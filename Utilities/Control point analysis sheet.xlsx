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Questa_cartella_di_lavor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offi\Documents\GitHub\IdrAgra_v2\Utilities\"/>
    </mc:Choice>
  </mc:AlternateContent>
  <xr:revisionPtr revIDLastSave="0" documentId="13_ncr:1_{E5DF4952-9133-4030-A70A-D6057280E040}" xr6:coauthVersionLast="47" xr6:coauthVersionMax="47" xr10:uidLastSave="{00000000-0000-0000-0000-000000000000}"/>
  <bookViews>
    <workbookView xWindow="-22416" yWindow="636" windowWidth="17280" windowHeight="10008" tabRatio="731" firstSheet="1" activeTab="4" xr2:uid="{00000000-000D-0000-FFFF-FFFF00000000}"/>
  </bookViews>
  <sheets>
    <sheet name="Sintesi" sheetId="4" r:id="rId1"/>
    <sheet name="Paste cell here" sheetId="1" r:id="rId2"/>
    <sheet name="Paste cellparameters here" sheetId="11" r:id="rId3"/>
    <sheet name="Paste cellinfo here" sheetId="9" r:id="rId4"/>
    <sheet name="Rootzone balance" sheetId="12" r:id="rId5"/>
    <sheet name="Verifica produttività" sheetId="10" r:id="rId6"/>
    <sheet name="Bilancio primo strato" sheetId="5" r:id="rId7"/>
    <sheet name="Strato evaporativo" sheetId="3" r:id="rId8"/>
    <sheet name="Bilancio secondo strato" sheetId="7" r:id="rId9"/>
    <sheet name="Strato traspirativo" sheetId="8" r:id="rId10"/>
  </sheets>
  <definedNames>
    <definedName name="_xlnm._FilterDatabase" localSheetId="6" hidden="1">'Bilancio primo strato'!$A$1:$R$366</definedName>
    <definedName name="_xlnm._FilterDatabase" localSheetId="8" hidden="1">'Bilancio secondo strato'!$A$1:$T$366</definedName>
    <definedName name="_xlnm._FilterDatabase" localSheetId="1" hidden="1">'Paste cell here'!$A$1:$BU$1</definedName>
    <definedName name="_xlnm._FilterDatabase" localSheetId="5" hidden="1">'Verifica produttività'!$A$1:$M$366</definedName>
    <definedName name="Dati_colture">Sintesi!$D$9:$F$25</definedName>
    <definedName name="HI">'Paste cellparameters here'!$B$3:$E$3</definedName>
    <definedName name="ii0">'Paste cellparameters here'!$B$14:$E$14</definedName>
    <definedName name="iid">'Paste cellparameters here'!$B$16:$E$16</definedName>
    <definedName name="iie">'Paste cellparameters here'!$B$15:$E$15</definedName>
    <definedName name="irandom">'Paste cellparameters here'!$B$18</definedName>
    <definedName name="Kcbini">'Paste cellparameters here'!$B$12:$E$12</definedName>
    <definedName name="Kcbmax">'Paste cellparameters here'!$B$13:$E$13</definedName>
    <definedName name="Kcbmin">'Paste cellparameters here'!$B$11:$E$11</definedName>
    <definedName name="KyP">'Paste cellparameters here'!$B$5:$E$8</definedName>
    <definedName name="KyT">'Paste cellparameters here'!$B$4:$E$4</definedName>
    <definedName name="Tcrit">'Paste cellparameters here'!$B$9:$E$9</definedName>
    <definedName name="Tlim">'Paste cellparameters here'!$B$10:$E$10</definedName>
    <definedName name="WPadj">'Paste cellparameters here'!$B$2:$E$2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" i="12"/>
  <c r="F60" i="4"/>
  <c r="E60" i="4"/>
  <c r="D60" i="4"/>
  <c r="F57" i="4"/>
  <c r="E57" i="4"/>
  <c r="D57" i="4"/>
  <c r="F56" i="4"/>
  <c r="E56" i="4"/>
  <c r="D56" i="4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7" i="4"/>
  <c r="F47" i="4"/>
  <c r="E47" i="4"/>
  <c r="G46" i="4"/>
  <c r="F46" i="4"/>
  <c r="E46" i="4"/>
  <c r="G45" i="4"/>
  <c r="F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E352" i="7"/>
  <c r="C6" i="4"/>
  <c r="C5" i="4"/>
  <c r="C4" i="4"/>
  <c r="E2" i="12"/>
  <c r="K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H2" i="12"/>
  <c r="G162" i="12"/>
  <c r="G2" i="12"/>
  <c r="O366" i="7"/>
  <c r="N366" i="7"/>
  <c r="I366" i="7"/>
  <c r="H366" i="7"/>
  <c r="G366" i="7"/>
  <c r="F366" i="7"/>
  <c r="E366" i="7"/>
  <c r="D366" i="7"/>
  <c r="C366" i="7"/>
  <c r="B366" i="7"/>
  <c r="O365" i="7"/>
  <c r="N365" i="7"/>
  <c r="I365" i="7"/>
  <c r="J365" i="7" s="1"/>
  <c r="H365" i="7"/>
  <c r="G365" i="7"/>
  <c r="F365" i="7"/>
  <c r="E365" i="7"/>
  <c r="D365" i="7"/>
  <c r="C365" i="7"/>
  <c r="B365" i="7"/>
  <c r="O364" i="7"/>
  <c r="N364" i="7"/>
  <c r="I364" i="7"/>
  <c r="H364" i="7"/>
  <c r="S364" i="7" s="1"/>
  <c r="G364" i="7"/>
  <c r="F364" i="7"/>
  <c r="E364" i="7"/>
  <c r="D364" i="7"/>
  <c r="C364" i="7"/>
  <c r="B364" i="7"/>
  <c r="O363" i="7"/>
  <c r="N363" i="7"/>
  <c r="I363" i="7"/>
  <c r="H363" i="7"/>
  <c r="S363" i="7" s="1"/>
  <c r="G363" i="7"/>
  <c r="F363" i="7"/>
  <c r="E363" i="7"/>
  <c r="D363" i="7"/>
  <c r="C363" i="7"/>
  <c r="B363" i="7"/>
  <c r="O362" i="7"/>
  <c r="N362" i="7"/>
  <c r="I362" i="7"/>
  <c r="H362" i="7"/>
  <c r="S362" i="7" s="1"/>
  <c r="G362" i="7"/>
  <c r="F362" i="7"/>
  <c r="E362" i="7"/>
  <c r="D362" i="7"/>
  <c r="C362" i="7"/>
  <c r="J362" i="7" s="1"/>
  <c r="B362" i="7"/>
  <c r="O361" i="7"/>
  <c r="N361" i="7"/>
  <c r="I361" i="7"/>
  <c r="H361" i="7"/>
  <c r="S361" i="7" s="1"/>
  <c r="G361" i="7"/>
  <c r="F361" i="7"/>
  <c r="E361" i="7"/>
  <c r="D361" i="7"/>
  <c r="C361" i="7"/>
  <c r="B361" i="7"/>
  <c r="O360" i="7"/>
  <c r="N360" i="7"/>
  <c r="I360" i="7"/>
  <c r="J360" i="7" s="1"/>
  <c r="H360" i="7"/>
  <c r="G360" i="7"/>
  <c r="F360" i="7"/>
  <c r="E360" i="7"/>
  <c r="D360" i="7"/>
  <c r="C360" i="7"/>
  <c r="B360" i="7"/>
  <c r="O359" i="7"/>
  <c r="N359" i="7"/>
  <c r="S359" i="7" s="1"/>
  <c r="I359" i="7"/>
  <c r="H359" i="7"/>
  <c r="G359" i="7"/>
  <c r="F359" i="7"/>
  <c r="E359" i="7"/>
  <c r="D359" i="7"/>
  <c r="C359" i="7"/>
  <c r="J359" i="7" s="1"/>
  <c r="B359" i="7"/>
  <c r="O358" i="7"/>
  <c r="N358" i="7"/>
  <c r="I358" i="7"/>
  <c r="H358" i="7"/>
  <c r="S358" i="7" s="1"/>
  <c r="G358" i="7"/>
  <c r="F358" i="7"/>
  <c r="E358" i="7"/>
  <c r="D358" i="7"/>
  <c r="C358" i="7"/>
  <c r="B358" i="7"/>
  <c r="O357" i="7"/>
  <c r="N357" i="7"/>
  <c r="I357" i="7"/>
  <c r="H357" i="7"/>
  <c r="S357" i="7" s="1"/>
  <c r="G357" i="7"/>
  <c r="F357" i="7"/>
  <c r="E357" i="7"/>
  <c r="D357" i="7"/>
  <c r="C357" i="7"/>
  <c r="B357" i="7"/>
  <c r="O356" i="7"/>
  <c r="N356" i="7"/>
  <c r="I356" i="7"/>
  <c r="H356" i="7"/>
  <c r="G356" i="7"/>
  <c r="F356" i="7"/>
  <c r="E356" i="7"/>
  <c r="D356" i="7"/>
  <c r="C356" i="7"/>
  <c r="J356" i="7" s="1"/>
  <c r="B356" i="7"/>
  <c r="O355" i="7"/>
  <c r="N355" i="7"/>
  <c r="I355" i="7"/>
  <c r="H355" i="7"/>
  <c r="S355" i="7" s="1"/>
  <c r="G355" i="7"/>
  <c r="F355" i="7"/>
  <c r="E355" i="7"/>
  <c r="D355" i="7"/>
  <c r="C355" i="7"/>
  <c r="B355" i="7"/>
  <c r="O354" i="7"/>
  <c r="N354" i="7"/>
  <c r="I354" i="7"/>
  <c r="J354" i="7" s="1"/>
  <c r="H354" i="7"/>
  <c r="S354" i="7" s="1"/>
  <c r="G354" i="7"/>
  <c r="F354" i="7"/>
  <c r="E354" i="7"/>
  <c r="D354" i="7"/>
  <c r="C354" i="7"/>
  <c r="B354" i="7"/>
  <c r="O353" i="7"/>
  <c r="N353" i="7"/>
  <c r="I353" i="7"/>
  <c r="H353" i="7"/>
  <c r="G353" i="7"/>
  <c r="F353" i="7"/>
  <c r="E353" i="7"/>
  <c r="D353" i="7"/>
  <c r="C353" i="7"/>
  <c r="B353" i="7"/>
  <c r="O352" i="7"/>
  <c r="N352" i="7"/>
  <c r="I352" i="7"/>
  <c r="H352" i="7"/>
  <c r="S352" i="7" s="1"/>
  <c r="G352" i="7"/>
  <c r="F352" i="7"/>
  <c r="D352" i="7"/>
  <c r="C352" i="7"/>
  <c r="B352" i="7"/>
  <c r="S351" i="7"/>
  <c r="O351" i="7"/>
  <c r="N351" i="7"/>
  <c r="I351" i="7"/>
  <c r="H351" i="7"/>
  <c r="G351" i="7"/>
  <c r="F351" i="7"/>
  <c r="E351" i="7"/>
  <c r="D351" i="7"/>
  <c r="C351" i="7"/>
  <c r="B351" i="7"/>
  <c r="O350" i="7"/>
  <c r="N350" i="7"/>
  <c r="I350" i="7"/>
  <c r="H350" i="7"/>
  <c r="G350" i="7"/>
  <c r="F350" i="7"/>
  <c r="J350" i="7" s="1"/>
  <c r="E350" i="7"/>
  <c r="D350" i="7"/>
  <c r="C350" i="7"/>
  <c r="B350" i="7"/>
  <c r="O349" i="7"/>
  <c r="N349" i="7"/>
  <c r="I349" i="7"/>
  <c r="H349" i="7"/>
  <c r="G349" i="7"/>
  <c r="F349" i="7"/>
  <c r="E349" i="7"/>
  <c r="J349" i="7" s="1"/>
  <c r="D349" i="7"/>
  <c r="C349" i="7"/>
  <c r="B349" i="7"/>
  <c r="S348" i="7"/>
  <c r="O348" i="7"/>
  <c r="N348" i="7"/>
  <c r="I348" i="7"/>
  <c r="H348" i="7"/>
  <c r="G348" i="7"/>
  <c r="F348" i="7"/>
  <c r="E348" i="7"/>
  <c r="D348" i="7"/>
  <c r="C348" i="7"/>
  <c r="J348" i="7" s="1"/>
  <c r="B348" i="7"/>
  <c r="S347" i="7"/>
  <c r="O347" i="7"/>
  <c r="N347" i="7"/>
  <c r="I347" i="7"/>
  <c r="H347" i="7"/>
  <c r="G347" i="7"/>
  <c r="F347" i="7"/>
  <c r="E347" i="7"/>
  <c r="D347" i="7"/>
  <c r="C347" i="7"/>
  <c r="B347" i="7"/>
  <c r="O346" i="7"/>
  <c r="N346" i="7"/>
  <c r="I346" i="7"/>
  <c r="H346" i="7"/>
  <c r="S346" i="7" s="1"/>
  <c r="G346" i="7"/>
  <c r="F346" i="7"/>
  <c r="E346" i="7"/>
  <c r="D346" i="7"/>
  <c r="C346" i="7"/>
  <c r="B346" i="7"/>
  <c r="O345" i="7"/>
  <c r="N345" i="7"/>
  <c r="I345" i="7"/>
  <c r="H345" i="7"/>
  <c r="G345" i="7"/>
  <c r="F345" i="7"/>
  <c r="E345" i="7"/>
  <c r="D345" i="7"/>
  <c r="C345" i="7"/>
  <c r="B345" i="7"/>
  <c r="O344" i="7"/>
  <c r="N344" i="7"/>
  <c r="I344" i="7"/>
  <c r="H344" i="7"/>
  <c r="G344" i="7"/>
  <c r="F344" i="7"/>
  <c r="E344" i="7"/>
  <c r="D344" i="7"/>
  <c r="C344" i="7"/>
  <c r="B344" i="7"/>
  <c r="O343" i="7"/>
  <c r="N343" i="7"/>
  <c r="S343" i="7" s="1"/>
  <c r="I343" i="7"/>
  <c r="H343" i="7"/>
  <c r="G343" i="7"/>
  <c r="F343" i="7"/>
  <c r="E343" i="7"/>
  <c r="D343" i="7"/>
  <c r="C343" i="7"/>
  <c r="B343" i="7"/>
  <c r="S342" i="7"/>
  <c r="O342" i="7"/>
  <c r="N342" i="7"/>
  <c r="I342" i="7"/>
  <c r="H342" i="7"/>
  <c r="G342" i="7"/>
  <c r="F342" i="7"/>
  <c r="E342" i="7"/>
  <c r="D342" i="7"/>
  <c r="C342" i="7"/>
  <c r="B342" i="7"/>
  <c r="O341" i="7"/>
  <c r="N341" i="7"/>
  <c r="S341" i="7" s="1"/>
  <c r="I341" i="7"/>
  <c r="H341" i="7"/>
  <c r="G341" i="7"/>
  <c r="F341" i="7"/>
  <c r="E341" i="7"/>
  <c r="D341" i="7"/>
  <c r="C341" i="7"/>
  <c r="B341" i="7"/>
  <c r="O340" i="7"/>
  <c r="N340" i="7"/>
  <c r="I340" i="7"/>
  <c r="H340" i="7"/>
  <c r="G340" i="7"/>
  <c r="F340" i="7"/>
  <c r="E340" i="7"/>
  <c r="D340" i="7"/>
  <c r="C340" i="7"/>
  <c r="B340" i="7"/>
  <c r="O339" i="7"/>
  <c r="N339" i="7"/>
  <c r="I339" i="7"/>
  <c r="H339" i="7"/>
  <c r="G339" i="7"/>
  <c r="F339" i="7"/>
  <c r="E339" i="7"/>
  <c r="D339" i="7"/>
  <c r="C339" i="7"/>
  <c r="B339" i="7"/>
  <c r="O338" i="7"/>
  <c r="N338" i="7"/>
  <c r="I338" i="7"/>
  <c r="J338" i="7" s="1"/>
  <c r="H338" i="7"/>
  <c r="G338" i="7"/>
  <c r="F338" i="7"/>
  <c r="E338" i="7"/>
  <c r="D338" i="7"/>
  <c r="C338" i="7"/>
  <c r="B338" i="7"/>
  <c r="O337" i="7"/>
  <c r="N337" i="7"/>
  <c r="I337" i="7"/>
  <c r="H337" i="7"/>
  <c r="G337" i="7"/>
  <c r="F337" i="7"/>
  <c r="E337" i="7"/>
  <c r="D337" i="7"/>
  <c r="C337" i="7"/>
  <c r="B337" i="7"/>
  <c r="O336" i="7"/>
  <c r="N336" i="7"/>
  <c r="I336" i="7"/>
  <c r="H336" i="7"/>
  <c r="G336" i="7"/>
  <c r="F336" i="7"/>
  <c r="E336" i="7"/>
  <c r="D336" i="7"/>
  <c r="C336" i="7"/>
  <c r="B336" i="7"/>
  <c r="O335" i="7"/>
  <c r="N335" i="7"/>
  <c r="I335" i="7"/>
  <c r="H335" i="7"/>
  <c r="S335" i="7" s="1"/>
  <c r="G335" i="7"/>
  <c r="F335" i="7"/>
  <c r="E335" i="7"/>
  <c r="D335" i="7"/>
  <c r="C335" i="7"/>
  <c r="B335" i="7"/>
  <c r="O334" i="7"/>
  <c r="N334" i="7"/>
  <c r="I334" i="7"/>
  <c r="H334" i="7"/>
  <c r="S334" i="7" s="1"/>
  <c r="G334" i="7"/>
  <c r="F334" i="7"/>
  <c r="E334" i="7"/>
  <c r="D334" i="7"/>
  <c r="C334" i="7"/>
  <c r="B334" i="7"/>
  <c r="O333" i="7"/>
  <c r="N333" i="7"/>
  <c r="I333" i="7"/>
  <c r="H333" i="7"/>
  <c r="S333" i="7" s="1"/>
  <c r="G333" i="7"/>
  <c r="F333" i="7"/>
  <c r="E333" i="7"/>
  <c r="D333" i="7"/>
  <c r="C333" i="7"/>
  <c r="B333" i="7"/>
  <c r="O332" i="7"/>
  <c r="N332" i="7"/>
  <c r="I332" i="7"/>
  <c r="H332" i="7"/>
  <c r="S332" i="7" s="1"/>
  <c r="G332" i="7"/>
  <c r="F332" i="7"/>
  <c r="E332" i="7"/>
  <c r="D332" i="7"/>
  <c r="C332" i="7"/>
  <c r="B332" i="7"/>
  <c r="O331" i="7"/>
  <c r="N331" i="7"/>
  <c r="I331" i="7"/>
  <c r="H331" i="7"/>
  <c r="S331" i="7" s="1"/>
  <c r="G331" i="7"/>
  <c r="F331" i="7"/>
  <c r="E331" i="7"/>
  <c r="D331" i="7"/>
  <c r="C331" i="7"/>
  <c r="B331" i="7"/>
  <c r="O330" i="7"/>
  <c r="N330" i="7"/>
  <c r="I330" i="7"/>
  <c r="H330" i="7"/>
  <c r="S330" i="7" s="1"/>
  <c r="G330" i="7"/>
  <c r="F330" i="7"/>
  <c r="E330" i="7"/>
  <c r="D330" i="7"/>
  <c r="C330" i="7"/>
  <c r="B330" i="7"/>
  <c r="O329" i="7"/>
  <c r="N329" i="7"/>
  <c r="I329" i="7"/>
  <c r="H329" i="7"/>
  <c r="S329" i="7" s="1"/>
  <c r="G329" i="7"/>
  <c r="F329" i="7"/>
  <c r="E329" i="7"/>
  <c r="D329" i="7"/>
  <c r="C329" i="7"/>
  <c r="B329" i="7"/>
  <c r="O328" i="7"/>
  <c r="N328" i="7"/>
  <c r="I328" i="7"/>
  <c r="H328" i="7"/>
  <c r="G328" i="7"/>
  <c r="F328" i="7"/>
  <c r="E328" i="7"/>
  <c r="D328" i="7"/>
  <c r="C328" i="7"/>
  <c r="B328" i="7"/>
  <c r="O327" i="7"/>
  <c r="N327" i="7"/>
  <c r="S327" i="7" s="1"/>
  <c r="I327" i="7"/>
  <c r="H327" i="7"/>
  <c r="G327" i="7"/>
  <c r="F327" i="7"/>
  <c r="E327" i="7"/>
  <c r="D327" i="7"/>
  <c r="C327" i="7"/>
  <c r="B327" i="7"/>
  <c r="O326" i="7"/>
  <c r="N326" i="7"/>
  <c r="I326" i="7"/>
  <c r="H326" i="7"/>
  <c r="S326" i="7" s="1"/>
  <c r="G326" i="7"/>
  <c r="F326" i="7"/>
  <c r="E326" i="7"/>
  <c r="D326" i="7"/>
  <c r="C326" i="7"/>
  <c r="B326" i="7"/>
  <c r="S325" i="7"/>
  <c r="O325" i="7"/>
  <c r="N325" i="7"/>
  <c r="I325" i="7"/>
  <c r="H325" i="7"/>
  <c r="G325" i="7"/>
  <c r="F325" i="7"/>
  <c r="E325" i="7"/>
  <c r="D325" i="7"/>
  <c r="C325" i="7"/>
  <c r="B325" i="7"/>
  <c r="S324" i="7"/>
  <c r="O324" i="7"/>
  <c r="N324" i="7"/>
  <c r="I324" i="7"/>
  <c r="H324" i="7"/>
  <c r="G324" i="7"/>
  <c r="F324" i="7"/>
  <c r="E324" i="7"/>
  <c r="D324" i="7"/>
  <c r="C324" i="7"/>
  <c r="B324" i="7"/>
  <c r="O323" i="7"/>
  <c r="N323" i="7"/>
  <c r="I323" i="7"/>
  <c r="H323" i="7"/>
  <c r="G323" i="7"/>
  <c r="F323" i="7"/>
  <c r="E323" i="7"/>
  <c r="D323" i="7"/>
  <c r="C323" i="7"/>
  <c r="B323" i="7"/>
  <c r="O322" i="7"/>
  <c r="N322" i="7"/>
  <c r="I322" i="7"/>
  <c r="J322" i="7" s="1"/>
  <c r="H322" i="7"/>
  <c r="G322" i="7"/>
  <c r="F322" i="7"/>
  <c r="E322" i="7"/>
  <c r="D322" i="7"/>
  <c r="C322" i="7"/>
  <c r="B322" i="7"/>
  <c r="S321" i="7"/>
  <c r="O321" i="7"/>
  <c r="N321" i="7"/>
  <c r="I321" i="7"/>
  <c r="H321" i="7"/>
  <c r="G321" i="7"/>
  <c r="F321" i="7"/>
  <c r="E321" i="7"/>
  <c r="D321" i="7"/>
  <c r="C321" i="7"/>
  <c r="B321" i="7"/>
  <c r="O320" i="7"/>
  <c r="N320" i="7"/>
  <c r="I320" i="7"/>
  <c r="H320" i="7"/>
  <c r="S320" i="7" s="1"/>
  <c r="G320" i="7"/>
  <c r="F320" i="7"/>
  <c r="E320" i="7"/>
  <c r="D320" i="7"/>
  <c r="C320" i="7"/>
  <c r="B320" i="7"/>
  <c r="O319" i="7"/>
  <c r="N319" i="7"/>
  <c r="I319" i="7"/>
  <c r="H319" i="7"/>
  <c r="S319" i="7" s="1"/>
  <c r="G319" i="7"/>
  <c r="F319" i="7"/>
  <c r="E319" i="7"/>
  <c r="D319" i="7"/>
  <c r="C319" i="7"/>
  <c r="B319" i="7"/>
  <c r="O318" i="7"/>
  <c r="N318" i="7"/>
  <c r="I318" i="7"/>
  <c r="H318" i="7"/>
  <c r="G318" i="7"/>
  <c r="J318" i="7" s="1"/>
  <c r="F318" i="7"/>
  <c r="E318" i="7"/>
  <c r="D318" i="7"/>
  <c r="C318" i="7"/>
  <c r="B318" i="7"/>
  <c r="O317" i="7"/>
  <c r="N317" i="7"/>
  <c r="I317" i="7"/>
  <c r="H317" i="7"/>
  <c r="G317" i="7"/>
  <c r="F317" i="7"/>
  <c r="E317" i="7"/>
  <c r="D317" i="7"/>
  <c r="C317" i="7"/>
  <c r="B317" i="7"/>
  <c r="S316" i="7"/>
  <c r="O316" i="7"/>
  <c r="N316" i="7"/>
  <c r="I316" i="7"/>
  <c r="H316" i="7"/>
  <c r="G316" i="7"/>
  <c r="F316" i="7"/>
  <c r="E316" i="7"/>
  <c r="D316" i="7"/>
  <c r="C316" i="7"/>
  <c r="J316" i="7" s="1"/>
  <c r="B316" i="7"/>
  <c r="S315" i="7"/>
  <c r="O315" i="7"/>
  <c r="N315" i="7"/>
  <c r="I315" i="7"/>
  <c r="H315" i="7"/>
  <c r="G315" i="7"/>
  <c r="F315" i="7"/>
  <c r="E315" i="7"/>
  <c r="D315" i="7"/>
  <c r="C315" i="7"/>
  <c r="B315" i="7"/>
  <c r="O314" i="7"/>
  <c r="N314" i="7"/>
  <c r="I314" i="7"/>
  <c r="H314" i="7"/>
  <c r="S314" i="7" s="1"/>
  <c r="G314" i="7"/>
  <c r="F314" i="7"/>
  <c r="E314" i="7"/>
  <c r="D314" i="7"/>
  <c r="C314" i="7"/>
  <c r="B314" i="7"/>
  <c r="O313" i="7"/>
  <c r="N313" i="7"/>
  <c r="I313" i="7"/>
  <c r="J313" i="7" s="1"/>
  <c r="H313" i="7"/>
  <c r="S313" i="7" s="1"/>
  <c r="G313" i="7"/>
  <c r="F313" i="7"/>
  <c r="E313" i="7"/>
  <c r="D313" i="7"/>
  <c r="C313" i="7"/>
  <c r="B313" i="7"/>
  <c r="O312" i="7"/>
  <c r="N312" i="7"/>
  <c r="I312" i="7"/>
  <c r="H312" i="7"/>
  <c r="G312" i="7"/>
  <c r="F312" i="7"/>
  <c r="E312" i="7"/>
  <c r="D312" i="7"/>
  <c r="C312" i="7"/>
  <c r="B312" i="7"/>
  <c r="O311" i="7"/>
  <c r="N311" i="7"/>
  <c r="I311" i="7"/>
  <c r="J311" i="7" s="1"/>
  <c r="H311" i="7"/>
  <c r="G311" i="7"/>
  <c r="F311" i="7"/>
  <c r="E311" i="7"/>
  <c r="D311" i="7"/>
  <c r="C311" i="7"/>
  <c r="B311" i="7"/>
  <c r="O310" i="7"/>
  <c r="N310" i="7"/>
  <c r="I310" i="7"/>
  <c r="H310" i="7"/>
  <c r="G310" i="7"/>
  <c r="F310" i="7"/>
  <c r="E310" i="7"/>
  <c r="D310" i="7"/>
  <c r="C310" i="7"/>
  <c r="J310" i="7" s="1"/>
  <c r="B310" i="7"/>
  <c r="S309" i="7"/>
  <c r="O309" i="7"/>
  <c r="N309" i="7"/>
  <c r="I309" i="7"/>
  <c r="H309" i="7"/>
  <c r="G309" i="7"/>
  <c r="F309" i="7"/>
  <c r="E309" i="7"/>
  <c r="D309" i="7"/>
  <c r="C309" i="7"/>
  <c r="B309" i="7"/>
  <c r="O308" i="7"/>
  <c r="N308" i="7"/>
  <c r="S308" i="7" s="1"/>
  <c r="I308" i="7"/>
  <c r="H308" i="7"/>
  <c r="G308" i="7"/>
  <c r="F308" i="7"/>
  <c r="E308" i="7"/>
  <c r="D308" i="7"/>
  <c r="C308" i="7"/>
  <c r="B308" i="7"/>
  <c r="O307" i="7"/>
  <c r="N307" i="7"/>
  <c r="I307" i="7"/>
  <c r="H307" i="7"/>
  <c r="S307" i="7" s="1"/>
  <c r="G307" i="7"/>
  <c r="F307" i="7"/>
  <c r="E307" i="7"/>
  <c r="D307" i="7"/>
  <c r="C307" i="7"/>
  <c r="B307" i="7"/>
  <c r="O306" i="7"/>
  <c r="N306" i="7"/>
  <c r="I306" i="7"/>
  <c r="H306" i="7"/>
  <c r="G306" i="7"/>
  <c r="F306" i="7"/>
  <c r="E306" i="7"/>
  <c r="D306" i="7"/>
  <c r="C306" i="7"/>
  <c r="J306" i="7" s="1"/>
  <c r="B306" i="7"/>
  <c r="O305" i="7"/>
  <c r="N305" i="7"/>
  <c r="I305" i="7"/>
  <c r="J305" i="7" s="1"/>
  <c r="H305" i="7"/>
  <c r="G305" i="7"/>
  <c r="F305" i="7"/>
  <c r="E305" i="7"/>
  <c r="D305" i="7"/>
  <c r="C305" i="7"/>
  <c r="B305" i="7"/>
  <c r="O304" i="7"/>
  <c r="N304" i="7"/>
  <c r="I304" i="7"/>
  <c r="H304" i="7"/>
  <c r="S304" i="7" s="1"/>
  <c r="G304" i="7"/>
  <c r="F304" i="7"/>
  <c r="E304" i="7"/>
  <c r="D304" i="7"/>
  <c r="C304" i="7"/>
  <c r="B304" i="7"/>
  <c r="O303" i="7"/>
  <c r="N303" i="7"/>
  <c r="I303" i="7"/>
  <c r="J303" i="7" s="1"/>
  <c r="H303" i="7"/>
  <c r="S303" i="7" s="1"/>
  <c r="G303" i="7"/>
  <c r="F303" i="7"/>
  <c r="E303" i="7"/>
  <c r="D303" i="7"/>
  <c r="C303" i="7"/>
  <c r="B303" i="7"/>
  <c r="O302" i="7"/>
  <c r="N302" i="7"/>
  <c r="I302" i="7"/>
  <c r="H302" i="7"/>
  <c r="S302" i="7" s="1"/>
  <c r="G302" i="7"/>
  <c r="F302" i="7"/>
  <c r="E302" i="7"/>
  <c r="D302" i="7"/>
  <c r="C302" i="7"/>
  <c r="B302" i="7"/>
  <c r="O301" i="7"/>
  <c r="N301" i="7"/>
  <c r="I301" i="7"/>
  <c r="H301" i="7"/>
  <c r="S301" i="7" s="1"/>
  <c r="G301" i="7"/>
  <c r="F301" i="7"/>
  <c r="E301" i="7"/>
  <c r="D301" i="7"/>
  <c r="C301" i="7"/>
  <c r="B301" i="7"/>
  <c r="O300" i="7"/>
  <c r="N300" i="7"/>
  <c r="S300" i="7" s="1"/>
  <c r="I300" i="7"/>
  <c r="H300" i="7"/>
  <c r="G300" i="7"/>
  <c r="F300" i="7"/>
  <c r="E300" i="7"/>
  <c r="D300" i="7"/>
  <c r="C300" i="7"/>
  <c r="B300" i="7"/>
  <c r="O299" i="7"/>
  <c r="N299" i="7"/>
  <c r="S299" i="7" s="1"/>
  <c r="I299" i="7"/>
  <c r="H299" i="7"/>
  <c r="G299" i="7"/>
  <c r="F299" i="7"/>
  <c r="E299" i="7"/>
  <c r="D299" i="7"/>
  <c r="C299" i="7"/>
  <c r="B299" i="7"/>
  <c r="O298" i="7"/>
  <c r="N298" i="7"/>
  <c r="I298" i="7"/>
  <c r="H298" i="7"/>
  <c r="G298" i="7"/>
  <c r="F298" i="7"/>
  <c r="E298" i="7"/>
  <c r="D298" i="7"/>
  <c r="C298" i="7"/>
  <c r="B298" i="7"/>
  <c r="O297" i="7"/>
  <c r="N297" i="7"/>
  <c r="I297" i="7"/>
  <c r="H297" i="7"/>
  <c r="S297" i="7" s="1"/>
  <c r="G297" i="7"/>
  <c r="F297" i="7"/>
  <c r="E297" i="7"/>
  <c r="D297" i="7"/>
  <c r="C297" i="7"/>
  <c r="B297" i="7"/>
  <c r="O296" i="7"/>
  <c r="N296" i="7"/>
  <c r="I296" i="7"/>
  <c r="H296" i="7"/>
  <c r="S296" i="7" s="1"/>
  <c r="G296" i="7"/>
  <c r="F296" i="7"/>
  <c r="E296" i="7"/>
  <c r="D296" i="7"/>
  <c r="C296" i="7"/>
  <c r="B296" i="7"/>
  <c r="O295" i="7"/>
  <c r="N295" i="7"/>
  <c r="I295" i="7"/>
  <c r="J295" i="7" s="1"/>
  <c r="H295" i="7"/>
  <c r="S295" i="7" s="1"/>
  <c r="G295" i="7"/>
  <c r="F295" i="7"/>
  <c r="E295" i="7"/>
  <c r="D295" i="7"/>
  <c r="C295" i="7"/>
  <c r="B295" i="7"/>
  <c r="O294" i="7"/>
  <c r="N294" i="7"/>
  <c r="I294" i="7"/>
  <c r="H294" i="7"/>
  <c r="G294" i="7"/>
  <c r="F294" i="7"/>
  <c r="E294" i="7"/>
  <c r="D294" i="7"/>
  <c r="C294" i="7"/>
  <c r="B294" i="7"/>
  <c r="O293" i="7"/>
  <c r="N293" i="7"/>
  <c r="I293" i="7"/>
  <c r="H293" i="7"/>
  <c r="S293" i="7" s="1"/>
  <c r="G293" i="7"/>
  <c r="F293" i="7"/>
  <c r="E293" i="7"/>
  <c r="D293" i="7"/>
  <c r="C293" i="7"/>
  <c r="B293" i="7"/>
  <c r="O292" i="7"/>
  <c r="N292" i="7"/>
  <c r="I292" i="7"/>
  <c r="H292" i="7"/>
  <c r="S292" i="7" s="1"/>
  <c r="G292" i="7"/>
  <c r="F292" i="7"/>
  <c r="E292" i="7"/>
  <c r="D292" i="7"/>
  <c r="C292" i="7"/>
  <c r="B292" i="7"/>
  <c r="O291" i="7"/>
  <c r="N291" i="7"/>
  <c r="I291" i="7"/>
  <c r="H291" i="7"/>
  <c r="G291" i="7"/>
  <c r="F291" i="7"/>
  <c r="E291" i="7"/>
  <c r="D291" i="7"/>
  <c r="C291" i="7"/>
  <c r="B291" i="7"/>
  <c r="O290" i="7"/>
  <c r="N290" i="7"/>
  <c r="I290" i="7"/>
  <c r="H290" i="7"/>
  <c r="S290" i="7" s="1"/>
  <c r="G290" i="7"/>
  <c r="F290" i="7"/>
  <c r="E290" i="7"/>
  <c r="D290" i="7"/>
  <c r="C290" i="7"/>
  <c r="B290" i="7"/>
  <c r="S289" i="7"/>
  <c r="O289" i="7"/>
  <c r="N289" i="7"/>
  <c r="I289" i="7"/>
  <c r="H289" i="7"/>
  <c r="G289" i="7"/>
  <c r="F289" i="7"/>
  <c r="E289" i="7"/>
  <c r="D289" i="7"/>
  <c r="C289" i="7"/>
  <c r="B289" i="7"/>
  <c r="O288" i="7"/>
  <c r="N288" i="7"/>
  <c r="I288" i="7"/>
  <c r="H288" i="7"/>
  <c r="G288" i="7"/>
  <c r="F288" i="7"/>
  <c r="E288" i="7"/>
  <c r="D288" i="7"/>
  <c r="C288" i="7"/>
  <c r="B288" i="7"/>
  <c r="O287" i="7"/>
  <c r="N287" i="7"/>
  <c r="I287" i="7"/>
  <c r="H287" i="7"/>
  <c r="S287" i="7" s="1"/>
  <c r="G287" i="7"/>
  <c r="F287" i="7"/>
  <c r="E287" i="7"/>
  <c r="D287" i="7"/>
  <c r="C287" i="7"/>
  <c r="B287" i="7"/>
  <c r="O286" i="7"/>
  <c r="N286" i="7"/>
  <c r="I286" i="7"/>
  <c r="H286" i="7"/>
  <c r="G286" i="7"/>
  <c r="F286" i="7"/>
  <c r="E286" i="7"/>
  <c r="D286" i="7"/>
  <c r="C286" i="7"/>
  <c r="B286" i="7"/>
  <c r="O285" i="7"/>
  <c r="N285" i="7"/>
  <c r="I285" i="7"/>
  <c r="H285" i="7"/>
  <c r="G285" i="7"/>
  <c r="F285" i="7"/>
  <c r="E285" i="7"/>
  <c r="D285" i="7"/>
  <c r="C285" i="7"/>
  <c r="B285" i="7"/>
  <c r="O284" i="7"/>
  <c r="N284" i="7"/>
  <c r="I284" i="7"/>
  <c r="H284" i="7"/>
  <c r="S284" i="7" s="1"/>
  <c r="G284" i="7"/>
  <c r="F284" i="7"/>
  <c r="E284" i="7"/>
  <c r="D284" i="7"/>
  <c r="C284" i="7"/>
  <c r="B284" i="7"/>
  <c r="O283" i="7"/>
  <c r="N283" i="7"/>
  <c r="S283" i="7" s="1"/>
  <c r="I283" i="7"/>
  <c r="H283" i="7"/>
  <c r="G283" i="7"/>
  <c r="F283" i="7"/>
  <c r="E283" i="7"/>
  <c r="D283" i="7"/>
  <c r="C283" i="7"/>
  <c r="B283" i="7"/>
  <c r="O282" i="7"/>
  <c r="N282" i="7"/>
  <c r="S282" i="7" s="1"/>
  <c r="I282" i="7"/>
  <c r="H282" i="7"/>
  <c r="G282" i="7"/>
  <c r="F282" i="7"/>
  <c r="E282" i="7"/>
  <c r="D282" i="7"/>
  <c r="C282" i="7"/>
  <c r="B282" i="7"/>
  <c r="O281" i="7"/>
  <c r="N281" i="7"/>
  <c r="I281" i="7"/>
  <c r="H281" i="7"/>
  <c r="S281" i="7" s="1"/>
  <c r="G281" i="7"/>
  <c r="F281" i="7"/>
  <c r="E281" i="7"/>
  <c r="D281" i="7"/>
  <c r="J281" i="7" s="1"/>
  <c r="C281" i="7"/>
  <c r="B281" i="7"/>
  <c r="O280" i="7"/>
  <c r="N280" i="7"/>
  <c r="I280" i="7"/>
  <c r="J280" i="7" s="1"/>
  <c r="H280" i="7"/>
  <c r="G280" i="7"/>
  <c r="F280" i="7"/>
  <c r="E280" i="7"/>
  <c r="D280" i="7"/>
  <c r="C280" i="7"/>
  <c r="B280" i="7"/>
  <c r="O279" i="7"/>
  <c r="N279" i="7"/>
  <c r="I279" i="7"/>
  <c r="H279" i="7"/>
  <c r="S279" i="7" s="1"/>
  <c r="G279" i="7"/>
  <c r="F279" i="7"/>
  <c r="E279" i="7"/>
  <c r="D279" i="7"/>
  <c r="C279" i="7"/>
  <c r="B279" i="7"/>
  <c r="O278" i="7"/>
  <c r="N278" i="7"/>
  <c r="S278" i="7" s="1"/>
  <c r="I278" i="7"/>
  <c r="H278" i="7"/>
  <c r="G278" i="7"/>
  <c r="F278" i="7"/>
  <c r="E278" i="7"/>
  <c r="D278" i="7"/>
  <c r="C278" i="7"/>
  <c r="J278" i="7" s="1"/>
  <c r="B278" i="7"/>
  <c r="O277" i="7"/>
  <c r="N277" i="7"/>
  <c r="I277" i="7"/>
  <c r="H277" i="7"/>
  <c r="S277" i="7" s="1"/>
  <c r="G277" i="7"/>
  <c r="F277" i="7"/>
  <c r="E277" i="7"/>
  <c r="D277" i="7"/>
  <c r="C277" i="7"/>
  <c r="B277" i="7"/>
  <c r="O276" i="7"/>
  <c r="N276" i="7"/>
  <c r="I276" i="7"/>
  <c r="H276" i="7"/>
  <c r="S276" i="7" s="1"/>
  <c r="G276" i="7"/>
  <c r="F276" i="7"/>
  <c r="E276" i="7"/>
  <c r="D276" i="7"/>
  <c r="C276" i="7"/>
  <c r="B276" i="7"/>
  <c r="O275" i="7"/>
  <c r="N275" i="7"/>
  <c r="I275" i="7"/>
  <c r="H275" i="7"/>
  <c r="G275" i="7"/>
  <c r="F275" i="7"/>
  <c r="E275" i="7"/>
  <c r="D275" i="7"/>
  <c r="C275" i="7"/>
  <c r="B275" i="7"/>
  <c r="O274" i="7"/>
  <c r="N274" i="7"/>
  <c r="I274" i="7"/>
  <c r="H274" i="7"/>
  <c r="S274" i="7" s="1"/>
  <c r="G274" i="7"/>
  <c r="F274" i="7"/>
  <c r="E274" i="7"/>
  <c r="D274" i="7"/>
  <c r="C274" i="7"/>
  <c r="B274" i="7"/>
  <c r="O273" i="7"/>
  <c r="N273" i="7"/>
  <c r="I273" i="7"/>
  <c r="H273" i="7"/>
  <c r="S273" i="7" s="1"/>
  <c r="G273" i="7"/>
  <c r="F273" i="7"/>
  <c r="E273" i="7"/>
  <c r="D273" i="7"/>
  <c r="C273" i="7"/>
  <c r="B273" i="7"/>
  <c r="O272" i="7"/>
  <c r="N272" i="7"/>
  <c r="I272" i="7"/>
  <c r="H272" i="7"/>
  <c r="S272" i="7" s="1"/>
  <c r="G272" i="7"/>
  <c r="F272" i="7"/>
  <c r="E272" i="7"/>
  <c r="D272" i="7"/>
  <c r="C272" i="7"/>
  <c r="B272" i="7"/>
  <c r="O271" i="7"/>
  <c r="N271" i="7"/>
  <c r="I271" i="7"/>
  <c r="H271" i="7"/>
  <c r="S271" i="7" s="1"/>
  <c r="G271" i="7"/>
  <c r="J271" i="7" s="1"/>
  <c r="F271" i="7"/>
  <c r="E271" i="7"/>
  <c r="D271" i="7"/>
  <c r="C271" i="7"/>
  <c r="B271" i="7"/>
  <c r="O270" i="7"/>
  <c r="N270" i="7"/>
  <c r="I270" i="7"/>
  <c r="H270" i="7"/>
  <c r="G270" i="7"/>
  <c r="F270" i="7"/>
  <c r="E270" i="7"/>
  <c r="D270" i="7"/>
  <c r="C270" i="7"/>
  <c r="B270" i="7"/>
  <c r="O269" i="7"/>
  <c r="N269" i="7"/>
  <c r="I269" i="7"/>
  <c r="H269" i="7"/>
  <c r="G269" i="7"/>
  <c r="F269" i="7"/>
  <c r="E269" i="7"/>
  <c r="D269" i="7"/>
  <c r="C269" i="7"/>
  <c r="B269" i="7"/>
  <c r="O268" i="7"/>
  <c r="N268" i="7"/>
  <c r="S268" i="7" s="1"/>
  <c r="I268" i="7"/>
  <c r="H268" i="7"/>
  <c r="G268" i="7"/>
  <c r="F268" i="7"/>
  <c r="E268" i="7"/>
  <c r="D268" i="7"/>
  <c r="C268" i="7"/>
  <c r="B268" i="7"/>
  <c r="O267" i="7"/>
  <c r="N267" i="7"/>
  <c r="I267" i="7"/>
  <c r="H267" i="7"/>
  <c r="S267" i="7" s="1"/>
  <c r="G267" i="7"/>
  <c r="F267" i="7"/>
  <c r="E267" i="7"/>
  <c r="D267" i="7"/>
  <c r="C267" i="7"/>
  <c r="B267" i="7"/>
  <c r="S266" i="7"/>
  <c r="O266" i="7"/>
  <c r="N266" i="7"/>
  <c r="I266" i="7"/>
  <c r="H266" i="7"/>
  <c r="G266" i="7"/>
  <c r="F266" i="7"/>
  <c r="E266" i="7"/>
  <c r="D266" i="7"/>
  <c r="C266" i="7"/>
  <c r="B266" i="7"/>
  <c r="O265" i="7"/>
  <c r="N265" i="7"/>
  <c r="I265" i="7"/>
  <c r="H265" i="7"/>
  <c r="S265" i="7" s="1"/>
  <c r="G265" i="7"/>
  <c r="F265" i="7"/>
  <c r="E265" i="7"/>
  <c r="D265" i="7"/>
  <c r="C265" i="7"/>
  <c r="B265" i="7"/>
  <c r="O264" i="7"/>
  <c r="N264" i="7"/>
  <c r="I264" i="7"/>
  <c r="H264" i="7"/>
  <c r="G264" i="7"/>
  <c r="F264" i="7"/>
  <c r="E264" i="7"/>
  <c r="D264" i="7"/>
  <c r="C264" i="7"/>
  <c r="J264" i="7" s="1"/>
  <c r="B264" i="7"/>
  <c r="O263" i="7"/>
  <c r="N263" i="7"/>
  <c r="I263" i="7"/>
  <c r="J263" i="7" s="1"/>
  <c r="H263" i="7"/>
  <c r="G263" i="7"/>
  <c r="F263" i="7"/>
  <c r="E263" i="7"/>
  <c r="D263" i="7"/>
  <c r="C263" i="7"/>
  <c r="B263" i="7"/>
  <c r="O262" i="7"/>
  <c r="N262" i="7"/>
  <c r="I262" i="7"/>
  <c r="H262" i="7"/>
  <c r="G262" i="7"/>
  <c r="F262" i="7"/>
  <c r="E262" i="7"/>
  <c r="D262" i="7"/>
  <c r="C262" i="7"/>
  <c r="B262" i="7"/>
  <c r="O261" i="7"/>
  <c r="N261" i="7"/>
  <c r="I261" i="7"/>
  <c r="H261" i="7"/>
  <c r="S261" i="7" s="1"/>
  <c r="G261" i="7"/>
  <c r="F261" i="7"/>
  <c r="E261" i="7"/>
  <c r="D261" i="7"/>
  <c r="C261" i="7"/>
  <c r="B261" i="7"/>
  <c r="O260" i="7"/>
  <c r="N260" i="7"/>
  <c r="I260" i="7"/>
  <c r="H260" i="7"/>
  <c r="G260" i="7"/>
  <c r="F260" i="7"/>
  <c r="E260" i="7"/>
  <c r="D260" i="7"/>
  <c r="C260" i="7"/>
  <c r="B260" i="7"/>
  <c r="O259" i="7"/>
  <c r="N259" i="7"/>
  <c r="I259" i="7"/>
  <c r="H259" i="7"/>
  <c r="S259" i="7" s="1"/>
  <c r="G259" i="7"/>
  <c r="F259" i="7"/>
  <c r="E259" i="7"/>
  <c r="D259" i="7"/>
  <c r="C259" i="7"/>
  <c r="B259" i="7"/>
  <c r="O258" i="7"/>
  <c r="N258" i="7"/>
  <c r="I258" i="7"/>
  <c r="H258" i="7"/>
  <c r="S258" i="7" s="1"/>
  <c r="G258" i="7"/>
  <c r="F258" i="7"/>
  <c r="E258" i="7"/>
  <c r="D258" i="7"/>
  <c r="C258" i="7"/>
  <c r="B258" i="7"/>
  <c r="O257" i="7"/>
  <c r="N257" i="7"/>
  <c r="I257" i="7"/>
  <c r="H257" i="7"/>
  <c r="G257" i="7"/>
  <c r="F257" i="7"/>
  <c r="E257" i="7"/>
  <c r="D257" i="7"/>
  <c r="C257" i="7"/>
  <c r="B257" i="7"/>
  <c r="O256" i="7"/>
  <c r="N256" i="7"/>
  <c r="I256" i="7"/>
  <c r="H256" i="7"/>
  <c r="S256" i="7" s="1"/>
  <c r="G256" i="7"/>
  <c r="F256" i="7"/>
  <c r="E256" i="7"/>
  <c r="D256" i="7"/>
  <c r="C256" i="7"/>
  <c r="B256" i="7"/>
  <c r="O255" i="7"/>
  <c r="N255" i="7"/>
  <c r="I255" i="7"/>
  <c r="J255" i="7" s="1"/>
  <c r="H255" i="7"/>
  <c r="S255" i="7" s="1"/>
  <c r="G255" i="7"/>
  <c r="F255" i="7"/>
  <c r="E255" i="7"/>
  <c r="D255" i="7"/>
  <c r="C255" i="7"/>
  <c r="B255" i="7"/>
  <c r="O254" i="7"/>
  <c r="N254" i="7"/>
  <c r="I254" i="7"/>
  <c r="H254" i="7"/>
  <c r="S254" i="7" s="1"/>
  <c r="G254" i="7"/>
  <c r="F254" i="7"/>
  <c r="E254" i="7"/>
  <c r="D254" i="7"/>
  <c r="C254" i="7"/>
  <c r="B254" i="7"/>
  <c r="O253" i="7"/>
  <c r="N253" i="7"/>
  <c r="I253" i="7"/>
  <c r="J253" i="7" s="1"/>
  <c r="H253" i="7"/>
  <c r="S253" i="7" s="1"/>
  <c r="G253" i="7"/>
  <c r="F253" i="7"/>
  <c r="E253" i="7"/>
  <c r="D253" i="7"/>
  <c r="C253" i="7"/>
  <c r="B253" i="7"/>
  <c r="S252" i="7"/>
  <c r="O252" i="7"/>
  <c r="N252" i="7"/>
  <c r="I252" i="7"/>
  <c r="H252" i="7"/>
  <c r="G252" i="7"/>
  <c r="F252" i="7"/>
  <c r="E252" i="7"/>
  <c r="D252" i="7"/>
  <c r="C252" i="7"/>
  <c r="B252" i="7"/>
  <c r="O251" i="7"/>
  <c r="N251" i="7"/>
  <c r="S251" i="7" s="1"/>
  <c r="I251" i="7"/>
  <c r="H251" i="7"/>
  <c r="G251" i="7"/>
  <c r="F251" i="7"/>
  <c r="E251" i="7"/>
  <c r="D251" i="7"/>
  <c r="C251" i="7"/>
  <c r="B251" i="7"/>
  <c r="O250" i="7"/>
  <c r="N250" i="7"/>
  <c r="I250" i="7"/>
  <c r="H250" i="7"/>
  <c r="G250" i="7"/>
  <c r="F250" i="7"/>
  <c r="E250" i="7"/>
  <c r="D250" i="7"/>
  <c r="C250" i="7"/>
  <c r="B250" i="7"/>
  <c r="O249" i="7"/>
  <c r="N249" i="7"/>
  <c r="I249" i="7"/>
  <c r="H249" i="7"/>
  <c r="G249" i="7"/>
  <c r="F249" i="7"/>
  <c r="E249" i="7"/>
  <c r="D249" i="7"/>
  <c r="C249" i="7"/>
  <c r="B249" i="7"/>
  <c r="O248" i="7"/>
  <c r="N248" i="7"/>
  <c r="I248" i="7"/>
  <c r="H248" i="7"/>
  <c r="S248" i="7" s="1"/>
  <c r="G248" i="7"/>
  <c r="F248" i="7"/>
  <c r="E248" i="7"/>
  <c r="D248" i="7"/>
  <c r="C248" i="7"/>
  <c r="B248" i="7"/>
  <c r="S247" i="7"/>
  <c r="O247" i="7"/>
  <c r="N247" i="7"/>
  <c r="I247" i="7"/>
  <c r="J247" i="7" s="1"/>
  <c r="H247" i="7"/>
  <c r="G247" i="7"/>
  <c r="F247" i="7"/>
  <c r="E247" i="7"/>
  <c r="D247" i="7"/>
  <c r="C247" i="7"/>
  <c r="B247" i="7"/>
  <c r="O246" i="7"/>
  <c r="N246" i="7"/>
  <c r="I246" i="7"/>
  <c r="H246" i="7"/>
  <c r="S246" i="7" s="1"/>
  <c r="G246" i="7"/>
  <c r="F246" i="7"/>
  <c r="E246" i="7"/>
  <c r="D246" i="7"/>
  <c r="C246" i="7"/>
  <c r="J246" i="7" s="1"/>
  <c r="B246" i="7"/>
  <c r="O245" i="7"/>
  <c r="N245" i="7"/>
  <c r="I245" i="7"/>
  <c r="H245" i="7"/>
  <c r="S245" i="7" s="1"/>
  <c r="G245" i="7"/>
  <c r="F245" i="7"/>
  <c r="E245" i="7"/>
  <c r="D245" i="7"/>
  <c r="C245" i="7"/>
  <c r="B245" i="7"/>
  <c r="O244" i="7"/>
  <c r="N244" i="7"/>
  <c r="I244" i="7"/>
  <c r="H244" i="7"/>
  <c r="S244" i="7" s="1"/>
  <c r="G244" i="7"/>
  <c r="F244" i="7"/>
  <c r="E244" i="7"/>
  <c r="D244" i="7"/>
  <c r="C244" i="7"/>
  <c r="B244" i="7"/>
  <c r="O243" i="7"/>
  <c r="N243" i="7"/>
  <c r="I243" i="7"/>
  <c r="H243" i="7"/>
  <c r="G243" i="7"/>
  <c r="F243" i="7"/>
  <c r="E243" i="7"/>
  <c r="D243" i="7"/>
  <c r="C243" i="7"/>
  <c r="B243" i="7"/>
  <c r="O242" i="7"/>
  <c r="N242" i="7"/>
  <c r="I242" i="7"/>
  <c r="H242" i="7"/>
  <c r="S242" i="7" s="1"/>
  <c r="G242" i="7"/>
  <c r="F242" i="7"/>
  <c r="E242" i="7"/>
  <c r="D242" i="7"/>
  <c r="C242" i="7"/>
  <c r="B242" i="7"/>
  <c r="O241" i="7"/>
  <c r="N241" i="7"/>
  <c r="I241" i="7"/>
  <c r="H241" i="7"/>
  <c r="S241" i="7" s="1"/>
  <c r="G241" i="7"/>
  <c r="F241" i="7"/>
  <c r="E241" i="7"/>
  <c r="D241" i="7"/>
  <c r="C241" i="7"/>
  <c r="B241" i="7"/>
  <c r="O240" i="7"/>
  <c r="N240" i="7"/>
  <c r="I240" i="7"/>
  <c r="H240" i="7"/>
  <c r="S240" i="7" s="1"/>
  <c r="G240" i="7"/>
  <c r="F240" i="7"/>
  <c r="E240" i="7"/>
  <c r="D240" i="7"/>
  <c r="C240" i="7"/>
  <c r="B240" i="7"/>
  <c r="S239" i="7"/>
  <c r="O239" i="7"/>
  <c r="N239" i="7"/>
  <c r="I239" i="7"/>
  <c r="H239" i="7"/>
  <c r="G239" i="7"/>
  <c r="F239" i="7"/>
  <c r="E239" i="7"/>
  <c r="D239" i="7"/>
  <c r="C239" i="7"/>
  <c r="B239" i="7"/>
  <c r="O238" i="7"/>
  <c r="N238" i="7"/>
  <c r="I238" i="7"/>
  <c r="H238" i="7"/>
  <c r="G238" i="7"/>
  <c r="F238" i="7"/>
  <c r="E238" i="7"/>
  <c r="D238" i="7"/>
  <c r="C238" i="7"/>
  <c r="B238" i="7"/>
  <c r="O237" i="7"/>
  <c r="N237" i="7"/>
  <c r="I237" i="7"/>
  <c r="H237" i="7"/>
  <c r="G237" i="7"/>
  <c r="F237" i="7"/>
  <c r="E237" i="7"/>
  <c r="D237" i="7"/>
  <c r="C237" i="7"/>
  <c r="B237" i="7"/>
  <c r="O236" i="7"/>
  <c r="N236" i="7"/>
  <c r="S236" i="7" s="1"/>
  <c r="I236" i="7"/>
  <c r="H236" i="7"/>
  <c r="G236" i="7"/>
  <c r="F236" i="7"/>
  <c r="E236" i="7"/>
  <c r="D236" i="7"/>
  <c r="C236" i="7"/>
  <c r="B236" i="7"/>
  <c r="O235" i="7"/>
  <c r="N235" i="7"/>
  <c r="I235" i="7"/>
  <c r="H235" i="7"/>
  <c r="S235" i="7" s="1"/>
  <c r="G235" i="7"/>
  <c r="F235" i="7"/>
  <c r="E235" i="7"/>
  <c r="D235" i="7"/>
  <c r="C235" i="7"/>
  <c r="B235" i="7"/>
  <c r="O234" i="7"/>
  <c r="N234" i="7"/>
  <c r="I234" i="7"/>
  <c r="H234" i="7"/>
  <c r="S234" i="7" s="1"/>
  <c r="G234" i="7"/>
  <c r="F234" i="7"/>
  <c r="E234" i="7"/>
  <c r="D234" i="7"/>
  <c r="C234" i="7"/>
  <c r="B234" i="7"/>
  <c r="O233" i="7"/>
  <c r="N233" i="7"/>
  <c r="I233" i="7"/>
  <c r="H233" i="7"/>
  <c r="S233" i="7" s="1"/>
  <c r="G233" i="7"/>
  <c r="F233" i="7"/>
  <c r="E233" i="7"/>
  <c r="D233" i="7"/>
  <c r="C233" i="7"/>
  <c r="B233" i="7"/>
  <c r="O232" i="7"/>
  <c r="N232" i="7"/>
  <c r="I232" i="7"/>
  <c r="J232" i="7" s="1"/>
  <c r="H232" i="7"/>
  <c r="S232" i="7" s="1"/>
  <c r="G232" i="7"/>
  <c r="F232" i="7"/>
  <c r="E232" i="7"/>
  <c r="D232" i="7"/>
  <c r="C232" i="7"/>
  <c r="B232" i="7"/>
  <c r="O231" i="7"/>
  <c r="N231" i="7"/>
  <c r="I231" i="7"/>
  <c r="H231" i="7"/>
  <c r="S231" i="7" s="1"/>
  <c r="G231" i="7"/>
  <c r="F231" i="7"/>
  <c r="E231" i="7"/>
  <c r="D231" i="7"/>
  <c r="C231" i="7"/>
  <c r="B231" i="7"/>
  <c r="O230" i="7"/>
  <c r="N230" i="7"/>
  <c r="I230" i="7"/>
  <c r="H230" i="7"/>
  <c r="G230" i="7"/>
  <c r="F230" i="7"/>
  <c r="E230" i="7"/>
  <c r="D230" i="7"/>
  <c r="C230" i="7"/>
  <c r="J230" i="7" s="1"/>
  <c r="B230" i="7"/>
  <c r="O229" i="7"/>
  <c r="N229" i="7"/>
  <c r="I229" i="7"/>
  <c r="H229" i="7"/>
  <c r="S229" i="7" s="1"/>
  <c r="G229" i="7"/>
  <c r="F229" i="7"/>
  <c r="E229" i="7"/>
  <c r="D229" i="7"/>
  <c r="C229" i="7"/>
  <c r="B229" i="7"/>
  <c r="O228" i="7"/>
  <c r="N228" i="7"/>
  <c r="I228" i="7"/>
  <c r="H228" i="7"/>
  <c r="S228" i="7" s="1"/>
  <c r="G228" i="7"/>
  <c r="F228" i="7"/>
  <c r="E228" i="7"/>
  <c r="D228" i="7"/>
  <c r="C228" i="7"/>
  <c r="B228" i="7"/>
  <c r="O227" i="7"/>
  <c r="N227" i="7"/>
  <c r="I227" i="7"/>
  <c r="H227" i="7"/>
  <c r="S227" i="7" s="1"/>
  <c r="G227" i="7"/>
  <c r="F227" i="7"/>
  <c r="E227" i="7"/>
  <c r="J227" i="7" s="1"/>
  <c r="D227" i="7"/>
  <c r="C227" i="7"/>
  <c r="B227" i="7"/>
  <c r="O226" i="7"/>
  <c r="N226" i="7"/>
  <c r="I226" i="7"/>
  <c r="H226" i="7"/>
  <c r="G226" i="7"/>
  <c r="F226" i="7"/>
  <c r="E226" i="7"/>
  <c r="D226" i="7"/>
  <c r="C226" i="7"/>
  <c r="B226" i="7"/>
  <c r="O225" i="7"/>
  <c r="N225" i="7"/>
  <c r="S225" i="7" s="1"/>
  <c r="I225" i="7"/>
  <c r="H225" i="7"/>
  <c r="G225" i="7"/>
  <c r="F225" i="7"/>
  <c r="E225" i="7"/>
  <c r="D225" i="7"/>
  <c r="C225" i="7"/>
  <c r="B225" i="7"/>
  <c r="O224" i="7"/>
  <c r="N224" i="7"/>
  <c r="I224" i="7"/>
  <c r="H224" i="7"/>
  <c r="S224" i="7" s="1"/>
  <c r="G224" i="7"/>
  <c r="F224" i="7"/>
  <c r="E224" i="7"/>
  <c r="D224" i="7"/>
  <c r="C224" i="7"/>
  <c r="B224" i="7"/>
  <c r="O223" i="7"/>
  <c r="N223" i="7"/>
  <c r="I223" i="7"/>
  <c r="H223" i="7"/>
  <c r="S223" i="7" s="1"/>
  <c r="G223" i="7"/>
  <c r="F223" i="7"/>
  <c r="E223" i="7"/>
  <c r="D223" i="7"/>
  <c r="C223" i="7"/>
  <c r="B223" i="7"/>
  <c r="O222" i="7"/>
  <c r="N222" i="7"/>
  <c r="I222" i="7"/>
  <c r="H222" i="7"/>
  <c r="S222" i="7" s="1"/>
  <c r="G222" i="7"/>
  <c r="F222" i="7"/>
  <c r="E222" i="7"/>
  <c r="D222" i="7"/>
  <c r="C222" i="7"/>
  <c r="B222" i="7"/>
  <c r="O221" i="7"/>
  <c r="N221" i="7"/>
  <c r="S221" i="7" s="1"/>
  <c r="I221" i="7"/>
  <c r="H221" i="7"/>
  <c r="G221" i="7"/>
  <c r="F221" i="7"/>
  <c r="E221" i="7"/>
  <c r="D221" i="7"/>
  <c r="C221" i="7"/>
  <c r="B221" i="7"/>
  <c r="O220" i="7"/>
  <c r="N220" i="7"/>
  <c r="I220" i="7"/>
  <c r="J220" i="7" s="1"/>
  <c r="H220" i="7"/>
  <c r="G220" i="7"/>
  <c r="F220" i="7"/>
  <c r="E220" i="7"/>
  <c r="D220" i="7"/>
  <c r="C220" i="7"/>
  <c r="B220" i="7"/>
  <c r="O219" i="7"/>
  <c r="N219" i="7"/>
  <c r="S219" i="7" s="1"/>
  <c r="I219" i="7"/>
  <c r="H219" i="7"/>
  <c r="G219" i="7"/>
  <c r="F219" i="7"/>
  <c r="E219" i="7"/>
  <c r="D219" i="7"/>
  <c r="C219" i="7"/>
  <c r="B219" i="7"/>
  <c r="O218" i="7"/>
  <c r="N218" i="7"/>
  <c r="I218" i="7"/>
  <c r="H218" i="7"/>
  <c r="G218" i="7"/>
  <c r="F218" i="7"/>
  <c r="E218" i="7"/>
  <c r="D218" i="7"/>
  <c r="C218" i="7"/>
  <c r="J218" i="7" s="1"/>
  <c r="B218" i="7"/>
  <c r="O217" i="7"/>
  <c r="N217" i="7"/>
  <c r="I217" i="7"/>
  <c r="H217" i="7"/>
  <c r="S217" i="7" s="1"/>
  <c r="G217" i="7"/>
  <c r="F217" i="7"/>
  <c r="E217" i="7"/>
  <c r="D217" i="7"/>
  <c r="C217" i="7"/>
  <c r="B217" i="7"/>
  <c r="O216" i="7"/>
  <c r="N216" i="7"/>
  <c r="I216" i="7"/>
  <c r="J216" i="7" s="1"/>
  <c r="H216" i="7"/>
  <c r="S216" i="7" s="1"/>
  <c r="G216" i="7"/>
  <c r="F216" i="7"/>
  <c r="E216" i="7"/>
  <c r="D216" i="7"/>
  <c r="C216" i="7"/>
  <c r="B216" i="7"/>
  <c r="S215" i="7"/>
  <c r="O215" i="7"/>
  <c r="N215" i="7"/>
  <c r="I215" i="7"/>
  <c r="H215" i="7"/>
  <c r="G215" i="7"/>
  <c r="F215" i="7"/>
  <c r="E215" i="7"/>
  <c r="D215" i="7"/>
  <c r="C215" i="7"/>
  <c r="B215" i="7"/>
  <c r="O214" i="7"/>
  <c r="N214" i="7"/>
  <c r="I214" i="7"/>
  <c r="H214" i="7"/>
  <c r="S214" i="7" s="1"/>
  <c r="G214" i="7"/>
  <c r="F214" i="7"/>
  <c r="E214" i="7"/>
  <c r="D214" i="7"/>
  <c r="C214" i="7"/>
  <c r="B214" i="7"/>
  <c r="O213" i="7"/>
  <c r="N213" i="7"/>
  <c r="I213" i="7"/>
  <c r="H213" i="7"/>
  <c r="S213" i="7" s="1"/>
  <c r="G213" i="7"/>
  <c r="F213" i="7"/>
  <c r="E213" i="7"/>
  <c r="D213" i="7"/>
  <c r="C213" i="7"/>
  <c r="B213" i="7"/>
  <c r="O212" i="7"/>
  <c r="N212" i="7"/>
  <c r="S212" i="7" s="1"/>
  <c r="I212" i="7"/>
  <c r="H212" i="7"/>
  <c r="G212" i="7"/>
  <c r="F212" i="7"/>
  <c r="E212" i="7"/>
  <c r="D212" i="7"/>
  <c r="C212" i="7"/>
  <c r="B212" i="7"/>
  <c r="O211" i="7"/>
  <c r="N211" i="7"/>
  <c r="I211" i="7"/>
  <c r="H211" i="7"/>
  <c r="S211" i="7" s="1"/>
  <c r="G211" i="7"/>
  <c r="F211" i="7"/>
  <c r="E211" i="7"/>
  <c r="D211" i="7"/>
  <c r="C211" i="7"/>
  <c r="B211" i="7"/>
  <c r="O210" i="7"/>
  <c r="N210" i="7"/>
  <c r="I210" i="7"/>
  <c r="H210" i="7"/>
  <c r="S210" i="7" s="1"/>
  <c r="G210" i="7"/>
  <c r="F210" i="7"/>
  <c r="E210" i="7"/>
  <c r="D210" i="7"/>
  <c r="C210" i="7"/>
  <c r="B210" i="7"/>
  <c r="O209" i="7"/>
  <c r="N209" i="7"/>
  <c r="I209" i="7"/>
  <c r="H209" i="7"/>
  <c r="S209" i="7" s="1"/>
  <c r="G209" i="7"/>
  <c r="F209" i="7"/>
  <c r="E209" i="7"/>
  <c r="D209" i="7"/>
  <c r="C209" i="7"/>
  <c r="B209" i="7"/>
  <c r="O208" i="7"/>
  <c r="N208" i="7"/>
  <c r="S208" i="7" s="1"/>
  <c r="I208" i="7"/>
  <c r="J208" i="7" s="1"/>
  <c r="H208" i="7"/>
  <c r="G208" i="7"/>
  <c r="F208" i="7"/>
  <c r="E208" i="7"/>
  <c r="D208" i="7"/>
  <c r="C208" i="7"/>
  <c r="B208" i="7"/>
  <c r="O207" i="7"/>
  <c r="N207" i="7"/>
  <c r="S207" i="7" s="1"/>
  <c r="I207" i="7"/>
  <c r="H207" i="7"/>
  <c r="G207" i="7"/>
  <c r="F207" i="7"/>
  <c r="E207" i="7"/>
  <c r="D207" i="7"/>
  <c r="C207" i="7"/>
  <c r="J207" i="7" s="1"/>
  <c r="B207" i="7"/>
  <c r="O206" i="7"/>
  <c r="N206" i="7"/>
  <c r="I206" i="7"/>
  <c r="H206" i="7"/>
  <c r="S206" i="7" s="1"/>
  <c r="G206" i="7"/>
  <c r="F206" i="7"/>
  <c r="E206" i="7"/>
  <c r="D206" i="7"/>
  <c r="C206" i="7"/>
  <c r="B206" i="7"/>
  <c r="O205" i="7"/>
  <c r="N205" i="7"/>
  <c r="I205" i="7"/>
  <c r="H205" i="7"/>
  <c r="S205" i="7" s="1"/>
  <c r="G205" i="7"/>
  <c r="F205" i="7"/>
  <c r="E205" i="7"/>
  <c r="D205" i="7"/>
  <c r="C205" i="7"/>
  <c r="B205" i="7"/>
  <c r="O204" i="7"/>
  <c r="N204" i="7"/>
  <c r="S204" i="7" s="1"/>
  <c r="I204" i="7"/>
  <c r="H204" i="7"/>
  <c r="G204" i="7"/>
  <c r="F204" i="7"/>
  <c r="E204" i="7"/>
  <c r="D204" i="7"/>
  <c r="C204" i="7"/>
  <c r="B204" i="7"/>
  <c r="O203" i="7"/>
  <c r="N203" i="7"/>
  <c r="I203" i="7"/>
  <c r="H203" i="7"/>
  <c r="S203" i="7" s="1"/>
  <c r="G203" i="7"/>
  <c r="F203" i="7"/>
  <c r="E203" i="7"/>
  <c r="D203" i="7"/>
  <c r="C203" i="7"/>
  <c r="B203" i="7"/>
  <c r="O202" i="7"/>
  <c r="N202" i="7"/>
  <c r="I202" i="7"/>
  <c r="H202" i="7"/>
  <c r="S202" i="7" s="1"/>
  <c r="G202" i="7"/>
  <c r="F202" i="7"/>
  <c r="E202" i="7"/>
  <c r="D202" i="7"/>
  <c r="C202" i="7"/>
  <c r="B202" i="7"/>
  <c r="O201" i="7"/>
  <c r="N201" i="7"/>
  <c r="I201" i="7"/>
  <c r="H201" i="7"/>
  <c r="S201" i="7" s="1"/>
  <c r="G201" i="7"/>
  <c r="F201" i="7"/>
  <c r="E201" i="7"/>
  <c r="D201" i="7"/>
  <c r="C201" i="7"/>
  <c r="B201" i="7"/>
  <c r="O200" i="7"/>
  <c r="N200" i="7"/>
  <c r="I200" i="7"/>
  <c r="H200" i="7"/>
  <c r="S200" i="7" s="1"/>
  <c r="G200" i="7"/>
  <c r="F200" i="7"/>
  <c r="E200" i="7"/>
  <c r="D200" i="7"/>
  <c r="C200" i="7"/>
  <c r="B200" i="7"/>
  <c r="O199" i="7"/>
  <c r="N199" i="7"/>
  <c r="I199" i="7"/>
  <c r="H199" i="7"/>
  <c r="S199" i="7" s="1"/>
  <c r="G199" i="7"/>
  <c r="F199" i="7"/>
  <c r="E199" i="7"/>
  <c r="J199" i="7" s="1"/>
  <c r="D199" i="7"/>
  <c r="C199" i="7"/>
  <c r="B199" i="7"/>
  <c r="O198" i="7"/>
  <c r="N198" i="7"/>
  <c r="I198" i="7"/>
  <c r="H198" i="7"/>
  <c r="S198" i="7" s="1"/>
  <c r="G198" i="7"/>
  <c r="F198" i="7"/>
  <c r="E198" i="7"/>
  <c r="J198" i="7" s="1"/>
  <c r="D198" i="7"/>
  <c r="C198" i="7"/>
  <c r="B198" i="7"/>
  <c r="O197" i="7"/>
  <c r="N197" i="7"/>
  <c r="I197" i="7"/>
  <c r="H197" i="7"/>
  <c r="G197" i="7"/>
  <c r="F197" i="7"/>
  <c r="E197" i="7"/>
  <c r="D197" i="7"/>
  <c r="C197" i="7"/>
  <c r="B197" i="7"/>
  <c r="O196" i="7"/>
  <c r="N196" i="7"/>
  <c r="S196" i="7" s="1"/>
  <c r="I196" i="7"/>
  <c r="H196" i="7"/>
  <c r="G196" i="7"/>
  <c r="F196" i="7"/>
  <c r="E196" i="7"/>
  <c r="D196" i="7"/>
  <c r="C196" i="7"/>
  <c r="B196" i="7"/>
  <c r="O195" i="7"/>
  <c r="N195" i="7"/>
  <c r="S195" i="7" s="1"/>
  <c r="J195" i="7"/>
  <c r="I195" i="7"/>
  <c r="H195" i="7"/>
  <c r="G195" i="7"/>
  <c r="F195" i="7"/>
  <c r="E195" i="7"/>
  <c r="D195" i="7"/>
  <c r="C195" i="7"/>
  <c r="B195" i="7"/>
  <c r="O194" i="7"/>
  <c r="N194" i="7"/>
  <c r="I194" i="7"/>
  <c r="H194" i="7"/>
  <c r="S194" i="7" s="1"/>
  <c r="G194" i="7"/>
  <c r="F194" i="7"/>
  <c r="E194" i="7"/>
  <c r="D194" i="7"/>
  <c r="C194" i="7"/>
  <c r="B194" i="7"/>
  <c r="O193" i="7"/>
  <c r="N193" i="7"/>
  <c r="I193" i="7"/>
  <c r="H193" i="7"/>
  <c r="G193" i="7"/>
  <c r="F193" i="7"/>
  <c r="E193" i="7"/>
  <c r="D193" i="7"/>
  <c r="C193" i="7"/>
  <c r="B193" i="7"/>
  <c r="O192" i="7"/>
  <c r="N192" i="7"/>
  <c r="S192" i="7" s="1"/>
  <c r="I192" i="7"/>
  <c r="J192" i="7" s="1"/>
  <c r="H192" i="7"/>
  <c r="G192" i="7"/>
  <c r="F192" i="7"/>
  <c r="E192" i="7"/>
  <c r="D192" i="7"/>
  <c r="C192" i="7"/>
  <c r="B192" i="7"/>
  <c r="O191" i="7"/>
  <c r="N191" i="7"/>
  <c r="I191" i="7"/>
  <c r="H191" i="7"/>
  <c r="S191" i="7" s="1"/>
  <c r="G191" i="7"/>
  <c r="F191" i="7"/>
  <c r="E191" i="7"/>
  <c r="D191" i="7"/>
  <c r="C191" i="7"/>
  <c r="B191" i="7"/>
  <c r="O190" i="7"/>
  <c r="N190" i="7"/>
  <c r="I190" i="7"/>
  <c r="H190" i="7"/>
  <c r="S190" i="7" s="1"/>
  <c r="G190" i="7"/>
  <c r="F190" i="7"/>
  <c r="E190" i="7"/>
  <c r="D190" i="7"/>
  <c r="C190" i="7"/>
  <c r="B190" i="7"/>
  <c r="O189" i="7"/>
  <c r="N189" i="7"/>
  <c r="I189" i="7"/>
  <c r="H189" i="7"/>
  <c r="S189" i="7" s="1"/>
  <c r="G189" i="7"/>
  <c r="F189" i="7"/>
  <c r="E189" i="7"/>
  <c r="D189" i="7"/>
  <c r="C189" i="7"/>
  <c r="B189" i="7"/>
  <c r="O188" i="7"/>
  <c r="N188" i="7"/>
  <c r="I188" i="7"/>
  <c r="H188" i="7"/>
  <c r="S188" i="7" s="1"/>
  <c r="G188" i="7"/>
  <c r="F188" i="7"/>
  <c r="E188" i="7"/>
  <c r="D188" i="7"/>
  <c r="C188" i="7"/>
  <c r="B188" i="7"/>
  <c r="O187" i="7"/>
  <c r="N187" i="7"/>
  <c r="S187" i="7" s="1"/>
  <c r="I187" i="7"/>
  <c r="J187" i="7" s="1"/>
  <c r="H187" i="7"/>
  <c r="G187" i="7"/>
  <c r="F187" i="7"/>
  <c r="E187" i="7"/>
  <c r="D187" i="7"/>
  <c r="C187" i="7"/>
  <c r="B187" i="7"/>
  <c r="O186" i="7"/>
  <c r="N186" i="7"/>
  <c r="I186" i="7"/>
  <c r="H186" i="7"/>
  <c r="G186" i="7"/>
  <c r="F186" i="7"/>
  <c r="E186" i="7"/>
  <c r="D186" i="7"/>
  <c r="C186" i="7"/>
  <c r="B186" i="7"/>
  <c r="S185" i="7"/>
  <c r="O185" i="7"/>
  <c r="N185" i="7"/>
  <c r="I185" i="7"/>
  <c r="H185" i="7"/>
  <c r="G185" i="7"/>
  <c r="F185" i="7"/>
  <c r="E185" i="7"/>
  <c r="D185" i="7"/>
  <c r="C185" i="7"/>
  <c r="B185" i="7"/>
  <c r="O184" i="7"/>
  <c r="N184" i="7"/>
  <c r="I184" i="7"/>
  <c r="H184" i="7"/>
  <c r="S184" i="7" s="1"/>
  <c r="G184" i="7"/>
  <c r="F184" i="7"/>
  <c r="E184" i="7"/>
  <c r="D184" i="7"/>
  <c r="C184" i="7"/>
  <c r="B184" i="7"/>
  <c r="O183" i="7"/>
  <c r="N183" i="7"/>
  <c r="I183" i="7"/>
  <c r="H183" i="7"/>
  <c r="S183" i="7" s="1"/>
  <c r="G183" i="7"/>
  <c r="F183" i="7"/>
  <c r="E183" i="7"/>
  <c r="D183" i="7"/>
  <c r="C183" i="7"/>
  <c r="B183" i="7"/>
  <c r="O182" i="7"/>
  <c r="N182" i="7"/>
  <c r="I182" i="7"/>
  <c r="H182" i="7"/>
  <c r="S182" i="7" s="1"/>
  <c r="G182" i="7"/>
  <c r="F182" i="7"/>
  <c r="E182" i="7"/>
  <c r="D182" i="7"/>
  <c r="C182" i="7"/>
  <c r="B182" i="7"/>
  <c r="O181" i="7"/>
  <c r="N181" i="7"/>
  <c r="S181" i="7" s="1"/>
  <c r="I181" i="7"/>
  <c r="J181" i="7" s="1"/>
  <c r="H181" i="7"/>
  <c r="G181" i="7"/>
  <c r="F181" i="7"/>
  <c r="E181" i="7"/>
  <c r="D181" i="7"/>
  <c r="C181" i="7"/>
  <c r="B181" i="7"/>
  <c r="O180" i="7"/>
  <c r="N180" i="7"/>
  <c r="S180" i="7" s="1"/>
  <c r="I180" i="7"/>
  <c r="H180" i="7"/>
  <c r="G180" i="7"/>
  <c r="F180" i="7"/>
  <c r="E180" i="7"/>
  <c r="D180" i="7"/>
  <c r="C180" i="7"/>
  <c r="B180" i="7"/>
  <c r="S179" i="7"/>
  <c r="O179" i="7"/>
  <c r="N179" i="7"/>
  <c r="I179" i="7"/>
  <c r="J179" i="7" s="1"/>
  <c r="H179" i="7"/>
  <c r="G179" i="7"/>
  <c r="F179" i="7"/>
  <c r="E179" i="7"/>
  <c r="D179" i="7"/>
  <c r="C179" i="7"/>
  <c r="B179" i="7"/>
  <c r="O178" i="7"/>
  <c r="N178" i="7"/>
  <c r="I178" i="7"/>
  <c r="H178" i="7"/>
  <c r="G178" i="7"/>
  <c r="F178" i="7"/>
  <c r="E178" i="7"/>
  <c r="D178" i="7"/>
  <c r="C178" i="7"/>
  <c r="B178" i="7"/>
  <c r="O177" i="7"/>
  <c r="N177" i="7"/>
  <c r="I177" i="7"/>
  <c r="H177" i="7"/>
  <c r="S177" i="7" s="1"/>
  <c r="G177" i="7"/>
  <c r="F177" i="7"/>
  <c r="E177" i="7"/>
  <c r="D177" i="7"/>
  <c r="C177" i="7"/>
  <c r="B177" i="7"/>
  <c r="O176" i="7"/>
  <c r="N176" i="7"/>
  <c r="I176" i="7"/>
  <c r="J176" i="7" s="1"/>
  <c r="H176" i="7"/>
  <c r="G176" i="7"/>
  <c r="F176" i="7"/>
  <c r="E176" i="7"/>
  <c r="D176" i="7"/>
  <c r="C176" i="7"/>
  <c r="B176" i="7"/>
  <c r="O175" i="7"/>
  <c r="N175" i="7"/>
  <c r="I175" i="7"/>
  <c r="J175" i="7" s="1"/>
  <c r="H175" i="7"/>
  <c r="G175" i="7"/>
  <c r="F175" i="7"/>
  <c r="E175" i="7"/>
  <c r="D175" i="7"/>
  <c r="C175" i="7"/>
  <c r="B175" i="7"/>
  <c r="O174" i="7"/>
  <c r="N174" i="7"/>
  <c r="I174" i="7"/>
  <c r="H174" i="7"/>
  <c r="S174" i="7" s="1"/>
  <c r="G174" i="7"/>
  <c r="F174" i="7"/>
  <c r="E174" i="7"/>
  <c r="D174" i="7"/>
  <c r="C174" i="7"/>
  <c r="B174" i="7"/>
  <c r="O173" i="7"/>
  <c r="N173" i="7"/>
  <c r="I173" i="7"/>
  <c r="H173" i="7"/>
  <c r="S173" i="7" s="1"/>
  <c r="G173" i="7"/>
  <c r="F173" i="7"/>
  <c r="E173" i="7"/>
  <c r="D173" i="7"/>
  <c r="C173" i="7"/>
  <c r="B173" i="7"/>
  <c r="O172" i="7"/>
  <c r="N172" i="7"/>
  <c r="I172" i="7"/>
  <c r="H172" i="7"/>
  <c r="S172" i="7" s="1"/>
  <c r="G172" i="7"/>
  <c r="F172" i="7"/>
  <c r="E172" i="7"/>
  <c r="D172" i="7"/>
  <c r="C172" i="7"/>
  <c r="B172" i="7"/>
  <c r="O171" i="7"/>
  <c r="N171" i="7"/>
  <c r="I171" i="7"/>
  <c r="H171" i="7"/>
  <c r="G171" i="7"/>
  <c r="F171" i="7"/>
  <c r="E171" i="7"/>
  <c r="D171" i="7"/>
  <c r="C171" i="7"/>
  <c r="B171" i="7"/>
  <c r="O170" i="7"/>
  <c r="N170" i="7"/>
  <c r="S170" i="7" s="1"/>
  <c r="I170" i="7"/>
  <c r="H170" i="7"/>
  <c r="G170" i="7"/>
  <c r="F170" i="7"/>
  <c r="E170" i="7"/>
  <c r="D170" i="7"/>
  <c r="C170" i="7"/>
  <c r="J170" i="7" s="1"/>
  <c r="B170" i="7"/>
  <c r="O169" i="7"/>
  <c r="N169" i="7"/>
  <c r="I169" i="7"/>
  <c r="H169" i="7"/>
  <c r="S169" i="7" s="1"/>
  <c r="G169" i="7"/>
  <c r="F169" i="7"/>
  <c r="E169" i="7"/>
  <c r="D169" i="7"/>
  <c r="C169" i="7"/>
  <c r="B169" i="7"/>
  <c r="S168" i="7"/>
  <c r="O168" i="7"/>
  <c r="N168" i="7"/>
  <c r="I168" i="7"/>
  <c r="H168" i="7"/>
  <c r="G168" i="7"/>
  <c r="F168" i="7"/>
  <c r="E168" i="7"/>
  <c r="D168" i="7"/>
  <c r="C168" i="7"/>
  <c r="B168" i="7"/>
  <c r="O167" i="7"/>
  <c r="N167" i="7"/>
  <c r="I167" i="7"/>
  <c r="H167" i="7"/>
  <c r="S167" i="7" s="1"/>
  <c r="G167" i="7"/>
  <c r="F167" i="7"/>
  <c r="E167" i="7"/>
  <c r="D167" i="7"/>
  <c r="C167" i="7"/>
  <c r="B167" i="7"/>
  <c r="O166" i="7"/>
  <c r="N166" i="7"/>
  <c r="I166" i="7"/>
  <c r="H166" i="7"/>
  <c r="S166" i="7" s="1"/>
  <c r="G166" i="7"/>
  <c r="F166" i="7"/>
  <c r="E166" i="7"/>
  <c r="D166" i="7"/>
  <c r="C166" i="7"/>
  <c r="B166" i="7"/>
  <c r="O165" i="7"/>
  <c r="N165" i="7"/>
  <c r="S165" i="7" s="1"/>
  <c r="I165" i="7"/>
  <c r="H165" i="7"/>
  <c r="G165" i="7"/>
  <c r="F165" i="7"/>
  <c r="E165" i="7"/>
  <c r="D165" i="7"/>
  <c r="C165" i="7"/>
  <c r="B165" i="7"/>
  <c r="O164" i="7"/>
  <c r="N164" i="7"/>
  <c r="S164" i="7" s="1"/>
  <c r="I164" i="7"/>
  <c r="H164" i="7"/>
  <c r="G164" i="7"/>
  <c r="F164" i="7"/>
  <c r="E164" i="7"/>
  <c r="D164" i="7"/>
  <c r="C164" i="7"/>
  <c r="J164" i="7" s="1"/>
  <c r="B164" i="7"/>
  <c r="O163" i="7"/>
  <c r="N163" i="7"/>
  <c r="S163" i="7" s="1"/>
  <c r="I163" i="7"/>
  <c r="H163" i="7"/>
  <c r="G163" i="7"/>
  <c r="F163" i="7"/>
  <c r="E163" i="7"/>
  <c r="D163" i="7"/>
  <c r="C163" i="7"/>
  <c r="B163" i="7"/>
  <c r="O162" i="7"/>
  <c r="N162" i="7"/>
  <c r="I162" i="7"/>
  <c r="H162" i="7"/>
  <c r="S162" i="7" s="1"/>
  <c r="G162" i="7"/>
  <c r="F162" i="7"/>
  <c r="E162" i="7"/>
  <c r="D162" i="7"/>
  <c r="C162" i="7"/>
  <c r="B162" i="7"/>
  <c r="O161" i="7"/>
  <c r="N161" i="7"/>
  <c r="I161" i="7"/>
  <c r="H161" i="7"/>
  <c r="G161" i="7"/>
  <c r="F161" i="7"/>
  <c r="E161" i="7"/>
  <c r="D161" i="7"/>
  <c r="C161" i="7"/>
  <c r="B161" i="7"/>
  <c r="O160" i="7"/>
  <c r="N160" i="7"/>
  <c r="S160" i="7" s="1"/>
  <c r="I160" i="7"/>
  <c r="J160" i="7" s="1"/>
  <c r="H160" i="7"/>
  <c r="G160" i="7"/>
  <c r="F160" i="7"/>
  <c r="E160" i="7"/>
  <c r="D160" i="7"/>
  <c r="C160" i="7"/>
  <c r="B160" i="7"/>
  <c r="O159" i="7"/>
  <c r="N159" i="7"/>
  <c r="I159" i="7"/>
  <c r="H159" i="7"/>
  <c r="G159" i="7"/>
  <c r="F159" i="7"/>
  <c r="E159" i="7"/>
  <c r="D159" i="7"/>
  <c r="C159" i="7"/>
  <c r="B159" i="7"/>
  <c r="O158" i="7"/>
  <c r="N158" i="7"/>
  <c r="I158" i="7"/>
  <c r="H158" i="7"/>
  <c r="S158" i="7" s="1"/>
  <c r="G158" i="7"/>
  <c r="F158" i="7"/>
  <c r="E158" i="7"/>
  <c r="D158" i="7"/>
  <c r="C158" i="7"/>
  <c r="B158" i="7"/>
  <c r="O157" i="7"/>
  <c r="N157" i="7"/>
  <c r="I157" i="7"/>
  <c r="H157" i="7"/>
  <c r="S157" i="7" s="1"/>
  <c r="G157" i="7"/>
  <c r="F157" i="7"/>
  <c r="E157" i="7"/>
  <c r="D157" i="7"/>
  <c r="C157" i="7"/>
  <c r="B157" i="7"/>
  <c r="O156" i="7"/>
  <c r="N156" i="7"/>
  <c r="I156" i="7"/>
  <c r="J156" i="7" s="1"/>
  <c r="H156" i="7"/>
  <c r="S156" i="7" s="1"/>
  <c r="G156" i="7"/>
  <c r="F156" i="7"/>
  <c r="E156" i="7"/>
  <c r="D156" i="7"/>
  <c r="C156" i="7"/>
  <c r="B156" i="7"/>
  <c r="O155" i="7"/>
  <c r="N155" i="7"/>
  <c r="I155" i="7"/>
  <c r="J155" i="7" s="1"/>
  <c r="H155" i="7"/>
  <c r="G155" i="7"/>
  <c r="F155" i="7"/>
  <c r="E155" i="7"/>
  <c r="D155" i="7"/>
  <c r="C155" i="7"/>
  <c r="B155" i="7"/>
  <c r="O154" i="7"/>
  <c r="N154" i="7"/>
  <c r="I154" i="7"/>
  <c r="H154" i="7"/>
  <c r="G154" i="7"/>
  <c r="F154" i="7"/>
  <c r="E154" i="7"/>
  <c r="D154" i="7"/>
  <c r="C154" i="7"/>
  <c r="J154" i="7" s="1"/>
  <c r="B154" i="7"/>
  <c r="O153" i="7"/>
  <c r="N153" i="7"/>
  <c r="I153" i="7"/>
  <c r="J153" i="7" s="1"/>
  <c r="H153" i="7"/>
  <c r="S153" i="7" s="1"/>
  <c r="G153" i="7"/>
  <c r="F153" i="7"/>
  <c r="E153" i="7"/>
  <c r="D153" i="7"/>
  <c r="C153" i="7"/>
  <c r="B153" i="7"/>
  <c r="S152" i="7"/>
  <c r="O152" i="7"/>
  <c r="N152" i="7"/>
  <c r="I152" i="7"/>
  <c r="H152" i="7"/>
  <c r="G152" i="7"/>
  <c r="F152" i="7"/>
  <c r="E152" i="7"/>
  <c r="D152" i="7"/>
  <c r="C152" i="7"/>
  <c r="B152" i="7"/>
  <c r="O151" i="7"/>
  <c r="N151" i="7"/>
  <c r="I151" i="7"/>
  <c r="H151" i="7"/>
  <c r="S151" i="7" s="1"/>
  <c r="G151" i="7"/>
  <c r="F151" i="7"/>
  <c r="E151" i="7"/>
  <c r="D151" i="7"/>
  <c r="C151" i="7"/>
  <c r="B151" i="7"/>
  <c r="O150" i="7"/>
  <c r="N150" i="7"/>
  <c r="I150" i="7"/>
  <c r="H150" i="7"/>
  <c r="S150" i="7" s="1"/>
  <c r="G150" i="7"/>
  <c r="F150" i="7"/>
  <c r="E150" i="7"/>
  <c r="D150" i="7"/>
  <c r="C150" i="7"/>
  <c r="B150" i="7"/>
  <c r="O149" i="7"/>
  <c r="N149" i="7"/>
  <c r="S149" i="7" s="1"/>
  <c r="I149" i="7"/>
  <c r="H149" i="7"/>
  <c r="G149" i="7"/>
  <c r="F149" i="7"/>
  <c r="E149" i="7"/>
  <c r="D149" i="7"/>
  <c r="C149" i="7"/>
  <c r="B149" i="7"/>
  <c r="S148" i="7"/>
  <c r="O148" i="7"/>
  <c r="N148" i="7"/>
  <c r="I148" i="7"/>
  <c r="H148" i="7"/>
  <c r="G148" i="7"/>
  <c r="F148" i="7"/>
  <c r="E148" i="7"/>
  <c r="D148" i="7"/>
  <c r="C148" i="7"/>
  <c r="B148" i="7"/>
  <c r="O147" i="7"/>
  <c r="N147" i="7"/>
  <c r="I147" i="7"/>
  <c r="H147" i="7"/>
  <c r="S147" i="7" s="1"/>
  <c r="G147" i="7"/>
  <c r="F147" i="7"/>
  <c r="E147" i="7"/>
  <c r="D147" i="7"/>
  <c r="C147" i="7"/>
  <c r="B147" i="7"/>
  <c r="O146" i="7"/>
  <c r="N146" i="7"/>
  <c r="I146" i="7"/>
  <c r="H146" i="7"/>
  <c r="S146" i="7" s="1"/>
  <c r="G146" i="7"/>
  <c r="F146" i="7"/>
  <c r="E146" i="7"/>
  <c r="D146" i="7"/>
  <c r="C146" i="7"/>
  <c r="B146" i="7"/>
  <c r="O145" i="7"/>
  <c r="N145" i="7"/>
  <c r="I145" i="7"/>
  <c r="H145" i="7"/>
  <c r="S145" i="7" s="1"/>
  <c r="G145" i="7"/>
  <c r="F145" i="7"/>
  <c r="E145" i="7"/>
  <c r="D145" i="7"/>
  <c r="C145" i="7"/>
  <c r="B145" i="7"/>
  <c r="O144" i="7"/>
  <c r="N144" i="7"/>
  <c r="I144" i="7"/>
  <c r="J144" i="7" s="1"/>
  <c r="H144" i="7"/>
  <c r="G144" i="7"/>
  <c r="F144" i="7"/>
  <c r="E144" i="7"/>
  <c r="D144" i="7"/>
  <c r="C144" i="7"/>
  <c r="B144" i="7"/>
  <c r="O143" i="7"/>
  <c r="N143" i="7"/>
  <c r="S143" i="7" s="1"/>
  <c r="I143" i="7"/>
  <c r="H143" i="7"/>
  <c r="G143" i="7"/>
  <c r="F143" i="7"/>
  <c r="E143" i="7"/>
  <c r="D143" i="7"/>
  <c r="C143" i="7"/>
  <c r="B143" i="7"/>
  <c r="S142" i="7"/>
  <c r="O142" i="7"/>
  <c r="N142" i="7"/>
  <c r="I142" i="7"/>
  <c r="H142" i="7"/>
  <c r="G142" i="7"/>
  <c r="F142" i="7"/>
  <c r="E142" i="7"/>
  <c r="D142" i="7"/>
  <c r="C142" i="7"/>
  <c r="B142" i="7"/>
  <c r="S141" i="7"/>
  <c r="O141" i="7"/>
  <c r="N141" i="7"/>
  <c r="I141" i="7"/>
  <c r="H141" i="7"/>
  <c r="G141" i="7"/>
  <c r="F141" i="7"/>
  <c r="E141" i="7"/>
  <c r="D141" i="7"/>
  <c r="C141" i="7"/>
  <c r="B141" i="7"/>
  <c r="O140" i="7"/>
  <c r="N140" i="7"/>
  <c r="I140" i="7"/>
  <c r="H140" i="7"/>
  <c r="S140" i="7" s="1"/>
  <c r="G140" i="7"/>
  <c r="F140" i="7"/>
  <c r="E140" i="7"/>
  <c r="D140" i="7"/>
  <c r="C140" i="7"/>
  <c r="B140" i="7"/>
  <c r="O139" i="7"/>
  <c r="N139" i="7"/>
  <c r="S139" i="7" s="1"/>
  <c r="I139" i="7"/>
  <c r="J139" i="7" s="1"/>
  <c r="H139" i="7"/>
  <c r="G139" i="7"/>
  <c r="F139" i="7"/>
  <c r="E139" i="7"/>
  <c r="D139" i="7"/>
  <c r="C139" i="7"/>
  <c r="B139" i="7"/>
  <c r="O138" i="7"/>
  <c r="N138" i="7"/>
  <c r="S138" i="7" s="1"/>
  <c r="I138" i="7"/>
  <c r="H138" i="7"/>
  <c r="G138" i="7"/>
  <c r="F138" i="7"/>
  <c r="E138" i="7"/>
  <c r="D138" i="7"/>
  <c r="C138" i="7"/>
  <c r="B138" i="7"/>
  <c r="O137" i="7"/>
  <c r="N137" i="7"/>
  <c r="I137" i="7"/>
  <c r="H137" i="7"/>
  <c r="S137" i="7" s="1"/>
  <c r="G137" i="7"/>
  <c r="F137" i="7"/>
  <c r="E137" i="7"/>
  <c r="D137" i="7"/>
  <c r="C137" i="7"/>
  <c r="B137" i="7"/>
  <c r="O136" i="7"/>
  <c r="N136" i="7"/>
  <c r="I136" i="7"/>
  <c r="H136" i="7"/>
  <c r="S136" i="7" s="1"/>
  <c r="G136" i="7"/>
  <c r="F136" i="7"/>
  <c r="E136" i="7"/>
  <c r="D136" i="7"/>
  <c r="C136" i="7"/>
  <c r="B136" i="7"/>
  <c r="O135" i="7"/>
  <c r="N135" i="7"/>
  <c r="I135" i="7"/>
  <c r="H135" i="7"/>
  <c r="S135" i="7" s="1"/>
  <c r="G135" i="7"/>
  <c r="F135" i="7"/>
  <c r="E135" i="7"/>
  <c r="D135" i="7"/>
  <c r="C135" i="7"/>
  <c r="B135" i="7"/>
  <c r="O134" i="7"/>
  <c r="N134" i="7"/>
  <c r="I134" i="7"/>
  <c r="H134" i="7"/>
  <c r="S134" i="7" s="1"/>
  <c r="G134" i="7"/>
  <c r="F134" i="7"/>
  <c r="E134" i="7"/>
  <c r="D134" i="7"/>
  <c r="C134" i="7"/>
  <c r="B134" i="7"/>
  <c r="O133" i="7"/>
  <c r="N133" i="7"/>
  <c r="S133" i="7" s="1"/>
  <c r="I133" i="7"/>
  <c r="H133" i="7"/>
  <c r="G133" i="7"/>
  <c r="F133" i="7"/>
  <c r="E133" i="7"/>
  <c r="D133" i="7"/>
  <c r="C133" i="7"/>
  <c r="B133" i="7"/>
  <c r="O132" i="7"/>
  <c r="N132" i="7"/>
  <c r="S132" i="7" s="1"/>
  <c r="I132" i="7"/>
  <c r="H132" i="7"/>
  <c r="G132" i="7"/>
  <c r="F132" i="7"/>
  <c r="E132" i="7"/>
  <c r="D132" i="7"/>
  <c r="C132" i="7"/>
  <c r="B132" i="7"/>
  <c r="O131" i="7"/>
  <c r="N131" i="7"/>
  <c r="I131" i="7"/>
  <c r="H131" i="7"/>
  <c r="S131" i="7" s="1"/>
  <c r="G131" i="7"/>
  <c r="F131" i="7"/>
  <c r="E131" i="7"/>
  <c r="D131" i="7"/>
  <c r="C131" i="7"/>
  <c r="B131" i="7"/>
  <c r="O130" i="7"/>
  <c r="N130" i="7"/>
  <c r="I130" i="7"/>
  <c r="H130" i="7"/>
  <c r="S130" i="7" s="1"/>
  <c r="G130" i="7"/>
  <c r="F130" i="7"/>
  <c r="E130" i="7"/>
  <c r="D130" i="7"/>
  <c r="C130" i="7"/>
  <c r="B130" i="7"/>
  <c r="O129" i="7"/>
  <c r="N129" i="7"/>
  <c r="I129" i="7"/>
  <c r="H129" i="7"/>
  <c r="G129" i="7"/>
  <c r="F129" i="7"/>
  <c r="E129" i="7"/>
  <c r="D129" i="7"/>
  <c r="C129" i="7"/>
  <c r="B129" i="7"/>
  <c r="O128" i="7"/>
  <c r="N128" i="7"/>
  <c r="I128" i="7"/>
  <c r="H128" i="7"/>
  <c r="G128" i="7"/>
  <c r="F128" i="7"/>
  <c r="E128" i="7"/>
  <c r="D128" i="7"/>
  <c r="C128" i="7"/>
  <c r="J128" i="7" s="1"/>
  <c r="B128" i="7"/>
  <c r="O127" i="7"/>
  <c r="N127" i="7"/>
  <c r="S127" i="7" s="1"/>
  <c r="I127" i="7"/>
  <c r="H127" i="7"/>
  <c r="G127" i="7"/>
  <c r="F127" i="7"/>
  <c r="E127" i="7"/>
  <c r="D127" i="7"/>
  <c r="C127" i="7"/>
  <c r="B127" i="7"/>
  <c r="O126" i="7"/>
  <c r="N126" i="7"/>
  <c r="I126" i="7"/>
  <c r="H126" i="7"/>
  <c r="S126" i="7" s="1"/>
  <c r="G126" i="7"/>
  <c r="F126" i="7"/>
  <c r="E126" i="7"/>
  <c r="D126" i="7"/>
  <c r="C126" i="7"/>
  <c r="B126" i="7"/>
  <c r="O125" i="7"/>
  <c r="N125" i="7"/>
  <c r="I125" i="7"/>
  <c r="H125" i="7"/>
  <c r="S125" i="7" s="1"/>
  <c r="G125" i="7"/>
  <c r="F125" i="7"/>
  <c r="E125" i="7"/>
  <c r="D125" i="7"/>
  <c r="C125" i="7"/>
  <c r="B125" i="7"/>
  <c r="O124" i="7"/>
  <c r="N124" i="7"/>
  <c r="I124" i="7"/>
  <c r="J124" i="7" s="1"/>
  <c r="H124" i="7"/>
  <c r="S124" i="7" s="1"/>
  <c r="G124" i="7"/>
  <c r="F124" i="7"/>
  <c r="E124" i="7"/>
  <c r="D124" i="7"/>
  <c r="C124" i="7"/>
  <c r="B124" i="7"/>
  <c r="O123" i="7"/>
  <c r="N123" i="7"/>
  <c r="S123" i="7" s="1"/>
  <c r="I123" i="7"/>
  <c r="J123" i="7" s="1"/>
  <c r="H123" i="7"/>
  <c r="G123" i="7"/>
  <c r="F123" i="7"/>
  <c r="E123" i="7"/>
  <c r="D123" i="7"/>
  <c r="C123" i="7"/>
  <c r="B123" i="7"/>
  <c r="O122" i="7"/>
  <c r="N122" i="7"/>
  <c r="S122" i="7" s="1"/>
  <c r="I122" i="7"/>
  <c r="H122" i="7"/>
  <c r="G122" i="7"/>
  <c r="F122" i="7"/>
  <c r="E122" i="7"/>
  <c r="D122" i="7"/>
  <c r="C122" i="7"/>
  <c r="J122" i="7" s="1"/>
  <c r="B122" i="7"/>
  <c r="S121" i="7"/>
  <c r="O121" i="7"/>
  <c r="N121" i="7"/>
  <c r="I121" i="7"/>
  <c r="H121" i="7"/>
  <c r="G121" i="7"/>
  <c r="F121" i="7"/>
  <c r="E121" i="7"/>
  <c r="D121" i="7"/>
  <c r="C121" i="7"/>
  <c r="B121" i="7"/>
  <c r="O120" i="7"/>
  <c r="N120" i="7"/>
  <c r="I120" i="7"/>
  <c r="H120" i="7"/>
  <c r="S120" i="7" s="1"/>
  <c r="G120" i="7"/>
  <c r="F120" i="7"/>
  <c r="E120" i="7"/>
  <c r="D120" i="7"/>
  <c r="C120" i="7"/>
  <c r="B120" i="7"/>
  <c r="O119" i="7"/>
  <c r="N119" i="7"/>
  <c r="I119" i="7"/>
  <c r="H119" i="7"/>
  <c r="S119" i="7" s="1"/>
  <c r="G119" i="7"/>
  <c r="F119" i="7"/>
  <c r="E119" i="7"/>
  <c r="D119" i="7"/>
  <c r="C119" i="7"/>
  <c r="B119" i="7"/>
  <c r="O118" i="7"/>
  <c r="N118" i="7"/>
  <c r="I118" i="7"/>
  <c r="J118" i="7" s="1"/>
  <c r="H118" i="7"/>
  <c r="G118" i="7"/>
  <c r="F118" i="7"/>
  <c r="E118" i="7"/>
  <c r="D118" i="7"/>
  <c r="C118" i="7"/>
  <c r="B118" i="7"/>
  <c r="O117" i="7"/>
  <c r="N117" i="7"/>
  <c r="I117" i="7"/>
  <c r="H117" i="7"/>
  <c r="G117" i="7"/>
  <c r="F117" i="7"/>
  <c r="E117" i="7"/>
  <c r="D117" i="7"/>
  <c r="C117" i="7"/>
  <c r="B117" i="7"/>
  <c r="O116" i="7"/>
  <c r="N116" i="7"/>
  <c r="S116" i="7" s="1"/>
  <c r="I116" i="7"/>
  <c r="H116" i="7"/>
  <c r="G116" i="7"/>
  <c r="F116" i="7"/>
  <c r="E116" i="7"/>
  <c r="D116" i="7"/>
  <c r="C116" i="7"/>
  <c r="B116" i="7"/>
  <c r="O115" i="7"/>
  <c r="N115" i="7"/>
  <c r="I115" i="7"/>
  <c r="H115" i="7"/>
  <c r="S115" i="7" s="1"/>
  <c r="G115" i="7"/>
  <c r="F115" i="7"/>
  <c r="E115" i="7"/>
  <c r="D115" i="7"/>
  <c r="C115" i="7"/>
  <c r="B115" i="7"/>
  <c r="O114" i="7"/>
  <c r="N114" i="7"/>
  <c r="I114" i="7"/>
  <c r="H114" i="7"/>
  <c r="G114" i="7"/>
  <c r="F114" i="7"/>
  <c r="E114" i="7"/>
  <c r="D114" i="7"/>
  <c r="C114" i="7"/>
  <c r="B114" i="7"/>
  <c r="O113" i="7"/>
  <c r="N113" i="7"/>
  <c r="S113" i="7" s="1"/>
  <c r="I113" i="7"/>
  <c r="H113" i="7"/>
  <c r="G113" i="7"/>
  <c r="F113" i="7"/>
  <c r="E113" i="7"/>
  <c r="D113" i="7"/>
  <c r="J113" i="7" s="1"/>
  <c r="C113" i="7"/>
  <c r="B113" i="7"/>
  <c r="O112" i="7"/>
  <c r="N112" i="7"/>
  <c r="I112" i="7"/>
  <c r="H112" i="7"/>
  <c r="G112" i="7"/>
  <c r="F112" i="7"/>
  <c r="E112" i="7"/>
  <c r="D112" i="7"/>
  <c r="J112" i="7" s="1"/>
  <c r="C112" i="7"/>
  <c r="B112" i="7"/>
  <c r="O111" i="7"/>
  <c r="N111" i="7"/>
  <c r="I111" i="7"/>
  <c r="H111" i="7"/>
  <c r="S111" i="7" s="1"/>
  <c r="G111" i="7"/>
  <c r="F111" i="7"/>
  <c r="E111" i="7"/>
  <c r="D111" i="7"/>
  <c r="C111" i="7"/>
  <c r="B111" i="7"/>
  <c r="O110" i="7"/>
  <c r="N110" i="7"/>
  <c r="I110" i="7"/>
  <c r="H110" i="7"/>
  <c r="S110" i="7" s="1"/>
  <c r="G110" i="7"/>
  <c r="F110" i="7"/>
  <c r="E110" i="7"/>
  <c r="D110" i="7"/>
  <c r="C110" i="7"/>
  <c r="B110" i="7"/>
  <c r="O109" i="7"/>
  <c r="N109" i="7"/>
  <c r="I109" i="7"/>
  <c r="H109" i="7"/>
  <c r="S109" i="7" s="1"/>
  <c r="G109" i="7"/>
  <c r="F109" i="7"/>
  <c r="E109" i="7"/>
  <c r="D109" i="7"/>
  <c r="C109" i="7"/>
  <c r="J109" i="7" s="1"/>
  <c r="B109" i="7"/>
  <c r="O108" i="7"/>
  <c r="N108" i="7"/>
  <c r="I108" i="7"/>
  <c r="H108" i="7"/>
  <c r="G108" i="7"/>
  <c r="F108" i="7"/>
  <c r="E108" i="7"/>
  <c r="D108" i="7"/>
  <c r="C108" i="7"/>
  <c r="B108" i="7"/>
  <c r="O107" i="7"/>
  <c r="N107" i="7"/>
  <c r="S107" i="7" s="1"/>
  <c r="I107" i="7"/>
  <c r="H107" i="7"/>
  <c r="G107" i="7"/>
  <c r="F107" i="7"/>
  <c r="E107" i="7"/>
  <c r="D107" i="7"/>
  <c r="C107" i="7"/>
  <c r="B107" i="7"/>
  <c r="O106" i="7"/>
  <c r="N106" i="7"/>
  <c r="I106" i="7"/>
  <c r="H106" i="7"/>
  <c r="G106" i="7"/>
  <c r="F106" i="7"/>
  <c r="E106" i="7"/>
  <c r="D106" i="7"/>
  <c r="C106" i="7"/>
  <c r="B106" i="7"/>
  <c r="O105" i="7"/>
  <c r="N105" i="7"/>
  <c r="I105" i="7"/>
  <c r="H105" i="7"/>
  <c r="S105" i="7" s="1"/>
  <c r="G105" i="7"/>
  <c r="F105" i="7"/>
  <c r="E105" i="7"/>
  <c r="D105" i="7"/>
  <c r="C105" i="7"/>
  <c r="B105" i="7"/>
  <c r="O104" i="7"/>
  <c r="N104" i="7"/>
  <c r="I104" i="7"/>
  <c r="H104" i="7"/>
  <c r="S104" i="7" s="1"/>
  <c r="G104" i="7"/>
  <c r="F104" i="7"/>
  <c r="E104" i="7"/>
  <c r="D104" i="7"/>
  <c r="C104" i="7"/>
  <c r="B104" i="7"/>
  <c r="O103" i="7"/>
  <c r="N103" i="7"/>
  <c r="I103" i="7"/>
  <c r="H103" i="7"/>
  <c r="S103" i="7" s="1"/>
  <c r="G103" i="7"/>
  <c r="F103" i="7"/>
  <c r="E103" i="7"/>
  <c r="D103" i="7"/>
  <c r="C103" i="7"/>
  <c r="B103" i="7"/>
  <c r="O102" i="7"/>
  <c r="N102" i="7"/>
  <c r="I102" i="7"/>
  <c r="H102" i="7"/>
  <c r="S102" i="7" s="1"/>
  <c r="G102" i="7"/>
  <c r="F102" i="7"/>
  <c r="E102" i="7"/>
  <c r="D102" i="7"/>
  <c r="C102" i="7"/>
  <c r="B102" i="7"/>
  <c r="O101" i="7"/>
  <c r="N101" i="7"/>
  <c r="I101" i="7"/>
  <c r="H101" i="7"/>
  <c r="S101" i="7" s="1"/>
  <c r="G101" i="7"/>
  <c r="F101" i="7"/>
  <c r="E101" i="7"/>
  <c r="D101" i="7"/>
  <c r="C101" i="7"/>
  <c r="B101" i="7"/>
  <c r="O100" i="7"/>
  <c r="N100" i="7"/>
  <c r="I100" i="7"/>
  <c r="H100" i="7"/>
  <c r="S100" i="7" s="1"/>
  <c r="G100" i="7"/>
  <c r="F100" i="7"/>
  <c r="E100" i="7"/>
  <c r="D100" i="7"/>
  <c r="C100" i="7"/>
  <c r="B100" i="7"/>
  <c r="O99" i="7"/>
  <c r="N99" i="7"/>
  <c r="S99" i="7" s="1"/>
  <c r="I99" i="7"/>
  <c r="H99" i="7"/>
  <c r="G99" i="7"/>
  <c r="F99" i="7"/>
  <c r="E99" i="7"/>
  <c r="D99" i="7"/>
  <c r="C99" i="7"/>
  <c r="J99" i="7" s="1"/>
  <c r="B99" i="7"/>
  <c r="O98" i="7"/>
  <c r="N98" i="7"/>
  <c r="I98" i="7"/>
  <c r="H98" i="7"/>
  <c r="G98" i="7"/>
  <c r="F98" i="7"/>
  <c r="E98" i="7"/>
  <c r="D98" i="7"/>
  <c r="C98" i="7"/>
  <c r="B98" i="7"/>
  <c r="O97" i="7"/>
  <c r="N97" i="7"/>
  <c r="I97" i="7"/>
  <c r="H97" i="7"/>
  <c r="S97" i="7" s="1"/>
  <c r="G97" i="7"/>
  <c r="F97" i="7"/>
  <c r="E97" i="7"/>
  <c r="D97" i="7"/>
  <c r="C97" i="7"/>
  <c r="B97" i="7"/>
  <c r="O96" i="7"/>
  <c r="N96" i="7"/>
  <c r="I96" i="7"/>
  <c r="H96" i="7"/>
  <c r="S96" i="7" s="1"/>
  <c r="G96" i="7"/>
  <c r="F96" i="7"/>
  <c r="E96" i="7"/>
  <c r="D96" i="7"/>
  <c r="C96" i="7"/>
  <c r="B96" i="7"/>
  <c r="O95" i="7"/>
  <c r="N95" i="7"/>
  <c r="I95" i="7"/>
  <c r="H95" i="7"/>
  <c r="G95" i="7"/>
  <c r="F95" i="7"/>
  <c r="E95" i="7"/>
  <c r="D95" i="7"/>
  <c r="C95" i="7"/>
  <c r="B95" i="7"/>
  <c r="O94" i="7"/>
  <c r="N94" i="7"/>
  <c r="S94" i="7" s="1"/>
  <c r="I94" i="7"/>
  <c r="H94" i="7"/>
  <c r="G94" i="7"/>
  <c r="F94" i="7"/>
  <c r="E94" i="7"/>
  <c r="D94" i="7"/>
  <c r="C94" i="7"/>
  <c r="B94" i="7"/>
  <c r="O93" i="7"/>
  <c r="N93" i="7"/>
  <c r="I93" i="7"/>
  <c r="H93" i="7"/>
  <c r="G93" i="7"/>
  <c r="F93" i="7"/>
  <c r="E93" i="7"/>
  <c r="D93" i="7"/>
  <c r="C93" i="7"/>
  <c r="B93" i="7"/>
  <c r="O92" i="7"/>
  <c r="N92" i="7"/>
  <c r="S92" i="7" s="1"/>
  <c r="I92" i="7"/>
  <c r="H92" i="7"/>
  <c r="G92" i="7"/>
  <c r="F92" i="7"/>
  <c r="E92" i="7"/>
  <c r="D92" i="7"/>
  <c r="C92" i="7"/>
  <c r="J92" i="7" s="1"/>
  <c r="B92" i="7"/>
  <c r="O91" i="7"/>
  <c r="N91" i="7"/>
  <c r="I91" i="7"/>
  <c r="H91" i="7"/>
  <c r="S91" i="7" s="1"/>
  <c r="G91" i="7"/>
  <c r="F91" i="7"/>
  <c r="E91" i="7"/>
  <c r="D91" i="7"/>
  <c r="C91" i="7"/>
  <c r="B91" i="7"/>
  <c r="O90" i="7"/>
  <c r="N90" i="7"/>
  <c r="I90" i="7"/>
  <c r="H90" i="7"/>
  <c r="S90" i="7" s="1"/>
  <c r="G90" i="7"/>
  <c r="F90" i="7"/>
  <c r="J90" i="7" s="1"/>
  <c r="E90" i="7"/>
  <c r="D90" i="7"/>
  <c r="C90" i="7"/>
  <c r="B90" i="7"/>
  <c r="S89" i="7"/>
  <c r="O89" i="7"/>
  <c r="N89" i="7"/>
  <c r="I89" i="7"/>
  <c r="H89" i="7"/>
  <c r="G89" i="7"/>
  <c r="F89" i="7"/>
  <c r="E89" i="7"/>
  <c r="D89" i="7"/>
  <c r="C89" i="7"/>
  <c r="B89" i="7"/>
  <c r="O88" i="7"/>
  <c r="N88" i="7"/>
  <c r="I88" i="7"/>
  <c r="H88" i="7"/>
  <c r="S88" i="7" s="1"/>
  <c r="G88" i="7"/>
  <c r="F88" i="7"/>
  <c r="E88" i="7"/>
  <c r="D88" i="7"/>
  <c r="C88" i="7"/>
  <c r="B88" i="7"/>
  <c r="O87" i="7"/>
  <c r="N87" i="7"/>
  <c r="I87" i="7"/>
  <c r="H87" i="7"/>
  <c r="S87" i="7" s="1"/>
  <c r="G87" i="7"/>
  <c r="F87" i="7"/>
  <c r="E87" i="7"/>
  <c r="D87" i="7"/>
  <c r="C87" i="7"/>
  <c r="B87" i="7"/>
  <c r="S86" i="7"/>
  <c r="O86" i="7"/>
  <c r="N86" i="7"/>
  <c r="I86" i="7"/>
  <c r="H86" i="7"/>
  <c r="G86" i="7"/>
  <c r="F86" i="7"/>
  <c r="E86" i="7"/>
  <c r="D86" i="7"/>
  <c r="C86" i="7"/>
  <c r="J86" i="7" s="1"/>
  <c r="B86" i="7"/>
  <c r="O85" i="7"/>
  <c r="N85" i="7"/>
  <c r="I85" i="7"/>
  <c r="H85" i="7"/>
  <c r="S85" i="7" s="1"/>
  <c r="G85" i="7"/>
  <c r="F85" i="7"/>
  <c r="E85" i="7"/>
  <c r="D85" i="7"/>
  <c r="C85" i="7"/>
  <c r="B85" i="7"/>
  <c r="O84" i="7"/>
  <c r="N84" i="7"/>
  <c r="I84" i="7"/>
  <c r="H84" i="7"/>
  <c r="S84" i="7" s="1"/>
  <c r="G84" i="7"/>
  <c r="F84" i="7"/>
  <c r="E84" i="7"/>
  <c r="D84" i="7"/>
  <c r="C84" i="7"/>
  <c r="B84" i="7"/>
  <c r="O83" i="7"/>
  <c r="N83" i="7"/>
  <c r="S83" i="7" s="1"/>
  <c r="I83" i="7"/>
  <c r="H83" i="7"/>
  <c r="G83" i="7"/>
  <c r="F83" i="7"/>
  <c r="E83" i="7"/>
  <c r="D83" i="7"/>
  <c r="C83" i="7"/>
  <c r="J83" i="7" s="1"/>
  <c r="B83" i="7"/>
  <c r="O82" i="7"/>
  <c r="N82" i="7"/>
  <c r="I82" i="7"/>
  <c r="H82" i="7"/>
  <c r="G82" i="7"/>
  <c r="F82" i="7"/>
  <c r="E82" i="7"/>
  <c r="D82" i="7"/>
  <c r="C82" i="7"/>
  <c r="B82" i="7"/>
  <c r="O81" i="7"/>
  <c r="N81" i="7"/>
  <c r="I81" i="7"/>
  <c r="H81" i="7"/>
  <c r="S81" i="7" s="1"/>
  <c r="G81" i="7"/>
  <c r="F81" i="7"/>
  <c r="E81" i="7"/>
  <c r="D81" i="7"/>
  <c r="C81" i="7"/>
  <c r="B81" i="7"/>
  <c r="O80" i="7"/>
  <c r="N80" i="7"/>
  <c r="I80" i="7"/>
  <c r="J80" i="7" s="1"/>
  <c r="H80" i="7"/>
  <c r="G80" i="7"/>
  <c r="F80" i="7"/>
  <c r="E80" i="7"/>
  <c r="D80" i="7"/>
  <c r="C80" i="7"/>
  <c r="B80" i="7"/>
  <c r="O79" i="7"/>
  <c r="N79" i="7"/>
  <c r="I79" i="7"/>
  <c r="H79" i="7"/>
  <c r="G79" i="7"/>
  <c r="F79" i="7"/>
  <c r="E79" i="7"/>
  <c r="D79" i="7"/>
  <c r="C79" i="7"/>
  <c r="B79" i="7"/>
  <c r="O78" i="7"/>
  <c r="N78" i="7"/>
  <c r="S78" i="7" s="1"/>
  <c r="I78" i="7"/>
  <c r="H78" i="7"/>
  <c r="G78" i="7"/>
  <c r="F78" i="7"/>
  <c r="E78" i="7"/>
  <c r="D78" i="7"/>
  <c r="J78" i="7" s="1"/>
  <c r="C78" i="7"/>
  <c r="B78" i="7"/>
  <c r="O77" i="7"/>
  <c r="N77" i="7"/>
  <c r="I77" i="7"/>
  <c r="H77" i="7"/>
  <c r="G77" i="7"/>
  <c r="F77" i="7"/>
  <c r="E77" i="7"/>
  <c r="D77" i="7"/>
  <c r="C77" i="7"/>
  <c r="B77" i="7"/>
  <c r="O76" i="7"/>
  <c r="N76" i="7"/>
  <c r="I76" i="7"/>
  <c r="H76" i="7"/>
  <c r="S76" i="7" s="1"/>
  <c r="G76" i="7"/>
  <c r="F76" i="7"/>
  <c r="E76" i="7"/>
  <c r="D76" i="7"/>
  <c r="C76" i="7"/>
  <c r="B76" i="7"/>
  <c r="O75" i="7"/>
  <c r="N75" i="7"/>
  <c r="I75" i="7"/>
  <c r="H75" i="7"/>
  <c r="S75" i="7" s="1"/>
  <c r="G75" i="7"/>
  <c r="F75" i="7"/>
  <c r="E75" i="7"/>
  <c r="D75" i="7"/>
  <c r="C75" i="7"/>
  <c r="B75" i="7"/>
  <c r="O74" i="7"/>
  <c r="N74" i="7"/>
  <c r="I74" i="7"/>
  <c r="H74" i="7"/>
  <c r="S74" i="7" s="1"/>
  <c r="G74" i="7"/>
  <c r="F74" i="7"/>
  <c r="E74" i="7"/>
  <c r="D74" i="7"/>
  <c r="C74" i="7"/>
  <c r="B74" i="7"/>
  <c r="S73" i="7"/>
  <c r="O73" i="7"/>
  <c r="N73" i="7"/>
  <c r="I73" i="7"/>
  <c r="J73" i="7" s="1"/>
  <c r="H73" i="7"/>
  <c r="G73" i="7"/>
  <c r="F73" i="7"/>
  <c r="E73" i="7"/>
  <c r="D73" i="7"/>
  <c r="C73" i="7"/>
  <c r="B73" i="7"/>
  <c r="O72" i="7"/>
  <c r="N72" i="7"/>
  <c r="I72" i="7"/>
  <c r="H72" i="7"/>
  <c r="S72" i="7" s="1"/>
  <c r="G72" i="7"/>
  <c r="F72" i="7"/>
  <c r="E72" i="7"/>
  <c r="D72" i="7"/>
  <c r="C72" i="7"/>
  <c r="B72" i="7"/>
  <c r="O71" i="7"/>
  <c r="N71" i="7"/>
  <c r="I71" i="7"/>
  <c r="H71" i="7"/>
  <c r="S71" i="7" s="1"/>
  <c r="G71" i="7"/>
  <c r="F71" i="7"/>
  <c r="E71" i="7"/>
  <c r="D71" i="7"/>
  <c r="C71" i="7"/>
  <c r="B71" i="7"/>
  <c r="O70" i="7"/>
  <c r="N70" i="7"/>
  <c r="I70" i="7"/>
  <c r="H70" i="7"/>
  <c r="G70" i="7"/>
  <c r="F70" i="7"/>
  <c r="E70" i="7"/>
  <c r="D70" i="7"/>
  <c r="C70" i="7"/>
  <c r="B70" i="7"/>
  <c r="O69" i="7"/>
  <c r="N69" i="7"/>
  <c r="I69" i="7"/>
  <c r="H69" i="7"/>
  <c r="S69" i="7" s="1"/>
  <c r="G69" i="7"/>
  <c r="F69" i="7"/>
  <c r="E69" i="7"/>
  <c r="D69" i="7"/>
  <c r="C69" i="7"/>
  <c r="B69" i="7"/>
  <c r="O68" i="7"/>
  <c r="N68" i="7"/>
  <c r="I68" i="7"/>
  <c r="H68" i="7"/>
  <c r="S68" i="7" s="1"/>
  <c r="G68" i="7"/>
  <c r="F68" i="7"/>
  <c r="E68" i="7"/>
  <c r="D68" i="7"/>
  <c r="C68" i="7"/>
  <c r="B68" i="7"/>
  <c r="O67" i="7"/>
  <c r="N67" i="7"/>
  <c r="S67" i="7" s="1"/>
  <c r="I67" i="7"/>
  <c r="H67" i="7"/>
  <c r="G67" i="7"/>
  <c r="F67" i="7"/>
  <c r="E67" i="7"/>
  <c r="D67" i="7"/>
  <c r="C67" i="7"/>
  <c r="B67" i="7"/>
  <c r="O66" i="7"/>
  <c r="N66" i="7"/>
  <c r="J66" i="7"/>
  <c r="I66" i="7"/>
  <c r="H66" i="7"/>
  <c r="G66" i="7"/>
  <c r="F66" i="7"/>
  <c r="E66" i="7"/>
  <c r="D66" i="7"/>
  <c r="C66" i="7"/>
  <c r="B66" i="7"/>
  <c r="S65" i="7"/>
  <c r="O65" i="7"/>
  <c r="N65" i="7"/>
  <c r="I65" i="7"/>
  <c r="H65" i="7"/>
  <c r="G65" i="7"/>
  <c r="F65" i="7"/>
  <c r="E65" i="7"/>
  <c r="D65" i="7"/>
  <c r="C65" i="7"/>
  <c r="B65" i="7"/>
  <c r="O64" i="7"/>
  <c r="N64" i="7"/>
  <c r="I64" i="7"/>
  <c r="H64" i="7"/>
  <c r="S64" i="7" s="1"/>
  <c r="G64" i="7"/>
  <c r="F64" i="7"/>
  <c r="E64" i="7"/>
  <c r="D64" i="7"/>
  <c r="C64" i="7"/>
  <c r="B64" i="7"/>
  <c r="O63" i="7"/>
  <c r="N63" i="7"/>
  <c r="I63" i="7"/>
  <c r="H63" i="7"/>
  <c r="S63" i="7" s="1"/>
  <c r="G63" i="7"/>
  <c r="F63" i="7"/>
  <c r="E63" i="7"/>
  <c r="D63" i="7"/>
  <c r="C63" i="7"/>
  <c r="J63" i="7" s="1"/>
  <c r="B63" i="7"/>
  <c r="O62" i="7"/>
  <c r="N62" i="7"/>
  <c r="S62" i="7" s="1"/>
  <c r="I62" i="7"/>
  <c r="H62" i="7"/>
  <c r="G62" i="7"/>
  <c r="F62" i="7"/>
  <c r="E62" i="7"/>
  <c r="D62" i="7"/>
  <c r="J62" i="7" s="1"/>
  <c r="C62" i="7"/>
  <c r="B62" i="7"/>
  <c r="O61" i="7"/>
  <c r="N61" i="7"/>
  <c r="S61" i="7" s="1"/>
  <c r="I61" i="7"/>
  <c r="H61" i="7"/>
  <c r="G61" i="7"/>
  <c r="F61" i="7"/>
  <c r="E61" i="7"/>
  <c r="D61" i="7"/>
  <c r="C61" i="7"/>
  <c r="B61" i="7"/>
  <c r="O60" i="7"/>
  <c r="N60" i="7"/>
  <c r="I60" i="7"/>
  <c r="H60" i="7"/>
  <c r="S60" i="7" s="1"/>
  <c r="G60" i="7"/>
  <c r="F60" i="7"/>
  <c r="E60" i="7"/>
  <c r="D60" i="7"/>
  <c r="C60" i="7"/>
  <c r="B60" i="7"/>
  <c r="O59" i="7"/>
  <c r="N59" i="7"/>
  <c r="I59" i="7"/>
  <c r="H59" i="7"/>
  <c r="S59" i="7" s="1"/>
  <c r="G59" i="7"/>
  <c r="F59" i="7"/>
  <c r="E59" i="7"/>
  <c r="D59" i="7"/>
  <c r="C59" i="7"/>
  <c r="B59" i="7"/>
  <c r="O58" i="7"/>
  <c r="N58" i="7"/>
  <c r="I58" i="7"/>
  <c r="H58" i="7"/>
  <c r="S58" i="7" s="1"/>
  <c r="G58" i="7"/>
  <c r="F58" i="7"/>
  <c r="J58" i="7" s="1"/>
  <c r="E58" i="7"/>
  <c r="D58" i="7"/>
  <c r="C58" i="7"/>
  <c r="B58" i="7"/>
  <c r="O57" i="7"/>
  <c r="N57" i="7"/>
  <c r="S57" i="7" s="1"/>
  <c r="I57" i="7"/>
  <c r="H57" i="7"/>
  <c r="G57" i="7"/>
  <c r="F57" i="7"/>
  <c r="E57" i="7"/>
  <c r="D57" i="7"/>
  <c r="C57" i="7"/>
  <c r="B57" i="7"/>
  <c r="O56" i="7"/>
  <c r="N56" i="7"/>
  <c r="I56" i="7"/>
  <c r="H56" i="7"/>
  <c r="G56" i="7"/>
  <c r="F56" i="7"/>
  <c r="E56" i="7"/>
  <c r="D56" i="7"/>
  <c r="C56" i="7"/>
  <c r="B56" i="7"/>
  <c r="S55" i="7"/>
  <c r="O55" i="7"/>
  <c r="N55" i="7"/>
  <c r="I55" i="7"/>
  <c r="H55" i="7"/>
  <c r="G55" i="7"/>
  <c r="F55" i="7"/>
  <c r="E55" i="7"/>
  <c r="D55" i="7"/>
  <c r="C55" i="7"/>
  <c r="B55" i="7"/>
  <c r="O54" i="7"/>
  <c r="N54" i="7"/>
  <c r="I54" i="7"/>
  <c r="H54" i="7"/>
  <c r="S54" i="7" s="1"/>
  <c r="G54" i="7"/>
  <c r="F54" i="7"/>
  <c r="E54" i="7"/>
  <c r="D54" i="7"/>
  <c r="C54" i="7"/>
  <c r="B54" i="7"/>
  <c r="O53" i="7"/>
  <c r="N53" i="7"/>
  <c r="I53" i="7"/>
  <c r="J53" i="7" s="1"/>
  <c r="H53" i="7"/>
  <c r="S53" i="7" s="1"/>
  <c r="G53" i="7"/>
  <c r="F53" i="7"/>
  <c r="E53" i="7"/>
  <c r="D53" i="7"/>
  <c r="C53" i="7"/>
  <c r="B53" i="7"/>
  <c r="O52" i="7"/>
  <c r="N52" i="7"/>
  <c r="I52" i="7"/>
  <c r="H52" i="7"/>
  <c r="G52" i="7"/>
  <c r="F52" i="7"/>
  <c r="E52" i="7"/>
  <c r="D52" i="7"/>
  <c r="C52" i="7"/>
  <c r="B52" i="7"/>
  <c r="O51" i="7"/>
  <c r="N51" i="7"/>
  <c r="I51" i="7"/>
  <c r="H51" i="7"/>
  <c r="G51" i="7"/>
  <c r="F51" i="7"/>
  <c r="E51" i="7"/>
  <c r="D51" i="7"/>
  <c r="C51" i="7"/>
  <c r="B51" i="7"/>
  <c r="O50" i="7"/>
  <c r="N50" i="7"/>
  <c r="I50" i="7"/>
  <c r="H50" i="7"/>
  <c r="S50" i="7" s="1"/>
  <c r="G50" i="7"/>
  <c r="F50" i="7"/>
  <c r="E50" i="7"/>
  <c r="D50" i="7"/>
  <c r="C50" i="7"/>
  <c r="B50" i="7"/>
  <c r="O49" i="7"/>
  <c r="N49" i="7"/>
  <c r="I49" i="7"/>
  <c r="H49" i="7"/>
  <c r="S49" i="7" s="1"/>
  <c r="G49" i="7"/>
  <c r="F49" i="7"/>
  <c r="E49" i="7"/>
  <c r="D49" i="7"/>
  <c r="C49" i="7"/>
  <c r="J49" i="7" s="1"/>
  <c r="B49" i="7"/>
  <c r="O48" i="7"/>
  <c r="N48" i="7"/>
  <c r="I48" i="7"/>
  <c r="H48" i="7"/>
  <c r="S48" i="7" s="1"/>
  <c r="G48" i="7"/>
  <c r="F48" i="7"/>
  <c r="E48" i="7"/>
  <c r="D48" i="7"/>
  <c r="C48" i="7"/>
  <c r="B48" i="7"/>
  <c r="O47" i="7"/>
  <c r="N47" i="7"/>
  <c r="I47" i="7"/>
  <c r="H47" i="7"/>
  <c r="S47" i="7" s="1"/>
  <c r="G47" i="7"/>
  <c r="F47" i="7"/>
  <c r="E47" i="7"/>
  <c r="D47" i="7"/>
  <c r="C47" i="7"/>
  <c r="J47" i="7" s="1"/>
  <c r="B47" i="7"/>
  <c r="O46" i="7"/>
  <c r="N46" i="7"/>
  <c r="S46" i="7" s="1"/>
  <c r="J46" i="7"/>
  <c r="I46" i="7"/>
  <c r="H46" i="7"/>
  <c r="G46" i="7"/>
  <c r="F46" i="7"/>
  <c r="E46" i="7"/>
  <c r="D46" i="7"/>
  <c r="C46" i="7"/>
  <c r="B46" i="7"/>
  <c r="O45" i="7"/>
  <c r="N45" i="7"/>
  <c r="I45" i="7"/>
  <c r="H45" i="7"/>
  <c r="G45" i="7"/>
  <c r="F45" i="7"/>
  <c r="E45" i="7"/>
  <c r="D45" i="7"/>
  <c r="C45" i="7"/>
  <c r="B45" i="7"/>
  <c r="O44" i="7"/>
  <c r="N44" i="7"/>
  <c r="I44" i="7"/>
  <c r="H44" i="7"/>
  <c r="S44" i="7" s="1"/>
  <c r="G44" i="7"/>
  <c r="F44" i="7"/>
  <c r="E44" i="7"/>
  <c r="D44" i="7"/>
  <c r="C44" i="7"/>
  <c r="B44" i="7"/>
  <c r="O43" i="7"/>
  <c r="N43" i="7"/>
  <c r="I43" i="7"/>
  <c r="H43" i="7"/>
  <c r="S43" i="7" s="1"/>
  <c r="G43" i="7"/>
  <c r="F43" i="7"/>
  <c r="E43" i="7"/>
  <c r="D43" i="7"/>
  <c r="C43" i="7"/>
  <c r="B43" i="7"/>
  <c r="O42" i="7"/>
  <c r="N42" i="7"/>
  <c r="I42" i="7"/>
  <c r="H42" i="7"/>
  <c r="S42" i="7" s="1"/>
  <c r="G42" i="7"/>
  <c r="F42" i="7"/>
  <c r="E42" i="7"/>
  <c r="D42" i="7"/>
  <c r="C42" i="7"/>
  <c r="B42" i="7"/>
  <c r="O41" i="7"/>
  <c r="N41" i="7"/>
  <c r="I41" i="7"/>
  <c r="H41" i="7"/>
  <c r="S41" i="7" s="1"/>
  <c r="G41" i="7"/>
  <c r="F41" i="7"/>
  <c r="E41" i="7"/>
  <c r="D41" i="7"/>
  <c r="C41" i="7"/>
  <c r="B41" i="7"/>
  <c r="O40" i="7"/>
  <c r="N40" i="7"/>
  <c r="I40" i="7"/>
  <c r="H40" i="7"/>
  <c r="S40" i="7" s="1"/>
  <c r="G40" i="7"/>
  <c r="F40" i="7"/>
  <c r="E40" i="7"/>
  <c r="D40" i="7"/>
  <c r="C40" i="7"/>
  <c r="B40" i="7"/>
  <c r="O39" i="7"/>
  <c r="N39" i="7"/>
  <c r="I39" i="7"/>
  <c r="H39" i="7"/>
  <c r="S39" i="7" s="1"/>
  <c r="G39" i="7"/>
  <c r="F39" i="7"/>
  <c r="E39" i="7"/>
  <c r="D39" i="7"/>
  <c r="C39" i="7"/>
  <c r="B39" i="7"/>
  <c r="O38" i="7"/>
  <c r="N38" i="7"/>
  <c r="I38" i="7"/>
  <c r="H38" i="7"/>
  <c r="G38" i="7"/>
  <c r="F38" i="7"/>
  <c r="E38" i="7"/>
  <c r="D38" i="7"/>
  <c r="C38" i="7"/>
  <c r="B38" i="7"/>
  <c r="O37" i="7"/>
  <c r="N37" i="7"/>
  <c r="I37" i="7"/>
  <c r="H37" i="7"/>
  <c r="S37" i="7" s="1"/>
  <c r="G37" i="7"/>
  <c r="F37" i="7"/>
  <c r="E37" i="7"/>
  <c r="D37" i="7"/>
  <c r="C37" i="7"/>
  <c r="B37" i="7"/>
  <c r="O36" i="7"/>
  <c r="N36" i="7"/>
  <c r="I36" i="7"/>
  <c r="H36" i="7"/>
  <c r="S36" i="7" s="1"/>
  <c r="G36" i="7"/>
  <c r="F36" i="7"/>
  <c r="E36" i="7"/>
  <c r="D36" i="7"/>
  <c r="C36" i="7"/>
  <c r="B36" i="7"/>
  <c r="O35" i="7"/>
  <c r="N35" i="7"/>
  <c r="S35" i="7" s="1"/>
  <c r="I35" i="7"/>
  <c r="H35" i="7"/>
  <c r="G35" i="7"/>
  <c r="F35" i="7"/>
  <c r="E35" i="7"/>
  <c r="D35" i="7"/>
  <c r="C35" i="7"/>
  <c r="B35" i="7"/>
  <c r="O34" i="7"/>
  <c r="N34" i="7"/>
  <c r="I34" i="7"/>
  <c r="H34" i="7"/>
  <c r="S34" i="7" s="1"/>
  <c r="G34" i="7"/>
  <c r="F34" i="7"/>
  <c r="E34" i="7"/>
  <c r="D34" i="7"/>
  <c r="C34" i="7"/>
  <c r="B34" i="7"/>
  <c r="O33" i="7"/>
  <c r="N33" i="7"/>
  <c r="I33" i="7"/>
  <c r="H33" i="7"/>
  <c r="S33" i="7" s="1"/>
  <c r="G33" i="7"/>
  <c r="F33" i="7"/>
  <c r="E33" i="7"/>
  <c r="D33" i="7"/>
  <c r="C33" i="7"/>
  <c r="B33" i="7"/>
  <c r="O32" i="7"/>
  <c r="N32" i="7"/>
  <c r="I32" i="7"/>
  <c r="H32" i="7"/>
  <c r="G32" i="7"/>
  <c r="F32" i="7"/>
  <c r="E32" i="7"/>
  <c r="D32" i="7"/>
  <c r="C32" i="7"/>
  <c r="B32" i="7"/>
  <c r="O31" i="7"/>
  <c r="N31" i="7"/>
  <c r="I31" i="7"/>
  <c r="H31" i="7"/>
  <c r="S31" i="7" s="1"/>
  <c r="G31" i="7"/>
  <c r="F31" i="7"/>
  <c r="E31" i="7"/>
  <c r="D31" i="7"/>
  <c r="C31" i="7"/>
  <c r="B31" i="7"/>
  <c r="O30" i="7"/>
  <c r="N30" i="7"/>
  <c r="S30" i="7" s="1"/>
  <c r="I30" i="7"/>
  <c r="J30" i="7" s="1"/>
  <c r="H30" i="7"/>
  <c r="G30" i="7"/>
  <c r="F30" i="7"/>
  <c r="E30" i="7"/>
  <c r="D30" i="7"/>
  <c r="C30" i="7"/>
  <c r="B30" i="7"/>
  <c r="O29" i="7"/>
  <c r="N29" i="7"/>
  <c r="S29" i="7" s="1"/>
  <c r="I29" i="7"/>
  <c r="J29" i="7" s="1"/>
  <c r="H29" i="7"/>
  <c r="G29" i="7"/>
  <c r="F29" i="7"/>
  <c r="E29" i="7"/>
  <c r="D29" i="7"/>
  <c r="C29" i="7"/>
  <c r="B29" i="7"/>
  <c r="O28" i="7"/>
  <c r="N28" i="7"/>
  <c r="I28" i="7"/>
  <c r="H28" i="7"/>
  <c r="S28" i="7" s="1"/>
  <c r="G28" i="7"/>
  <c r="F28" i="7"/>
  <c r="E28" i="7"/>
  <c r="D28" i="7"/>
  <c r="C28" i="7"/>
  <c r="B28" i="7"/>
  <c r="O27" i="7"/>
  <c r="N27" i="7"/>
  <c r="S27" i="7" s="1"/>
  <c r="I27" i="7"/>
  <c r="H27" i="7"/>
  <c r="G27" i="7"/>
  <c r="F27" i="7"/>
  <c r="E27" i="7"/>
  <c r="D27" i="7"/>
  <c r="C27" i="7"/>
  <c r="B27" i="7"/>
  <c r="O26" i="7"/>
  <c r="N26" i="7"/>
  <c r="I26" i="7"/>
  <c r="H26" i="7"/>
  <c r="G26" i="7"/>
  <c r="F26" i="7"/>
  <c r="E26" i="7"/>
  <c r="D26" i="7"/>
  <c r="C26" i="7"/>
  <c r="B26" i="7"/>
  <c r="O25" i="7"/>
  <c r="N25" i="7"/>
  <c r="I25" i="7"/>
  <c r="H25" i="7"/>
  <c r="S25" i="7" s="1"/>
  <c r="G25" i="7"/>
  <c r="F25" i="7"/>
  <c r="E25" i="7"/>
  <c r="D25" i="7"/>
  <c r="C25" i="7"/>
  <c r="B25" i="7"/>
  <c r="O24" i="7"/>
  <c r="N24" i="7"/>
  <c r="I24" i="7"/>
  <c r="H24" i="7"/>
  <c r="S24" i="7" s="1"/>
  <c r="G24" i="7"/>
  <c r="F24" i="7"/>
  <c r="E24" i="7"/>
  <c r="D24" i="7"/>
  <c r="C24" i="7"/>
  <c r="B24" i="7"/>
  <c r="O23" i="7"/>
  <c r="N23" i="7"/>
  <c r="I23" i="7"/>
  <c r="J23" i="7" s="1"/>
  <c r="H23" i="7"/>
  <c r="S23" i="7" s="1"/>
  <c r="G23" i="7"/>
  <c r="F23" i="7"/>
  <c r="E23" i="7"/>
  <c r="D23" i="7"/>
  <c r="C23" i="7"/>
  <c r="B23" i="7"/>
  <c r="O22" i="7"/>
  <c r="N22" i="7"/>
  <c r="I22" i="7"/>
  <c r="H22" i="7"/>
  <c r="G22" i="7"/>
  <c r="F22" i="7"/>
  <c r="E22" i="7"/>
  <c r="D22" i="7"/>
  <c r="C22" i="7"/>
  <c r="B22" i="7"/>
  <c r="O21" i="7"/>
  <c r="N21" i="7"/>
  <c r="I21" i="7"/>
  <c r="H21" i="7"/>
  <c r="S21" i="7" s="1"/>
  <c r="G21" i="7"/>
  <c r="F21" i="7"/>
  <c r="E21" i="7"/>
  <c r="D21" i="7"/>
  <c r="C21" i="7"/>
  <c r="B21" i="7"/>
  <c r="O20" i="7"/>
  <c r="N20" i="7"/>
  <c r="I20" i="7"/>
  <c r="H20" i="7"/>
  <c r="S20" i="7" s="1"/>
  <c r="G20" i="7"/>
  <c r="F20" i="7"/>
  <c r="E20" i="7"/>
  <c r="D20" i="7"/>
  <c r="C20" i="7"/>
  <c r="B20" i="7"/>
  <c r="O19" i="7"/>
  <c r="N19" i="7"/>
  <c r="I19" i="7"/>
  <c r="H19" i="7"/>
  <c r="G19" i="7"/>
  <c r="F19" i="7"/>
  <c r="E19" i="7"/>
  <c r="D19" i="7"/>
  <c r="C19" i="7"/>
  <c r="B19" i="7"/>
  <c r="O18" i="7"/>
  <c r="N18" i="7"/>
  <c r="I18" i="7"/>
  <c r="H18" i="7"/>
  <c r="G18" i="7"/>
  <c r="F18" i="7"/>
  <c r="E18" i="7"/>
  <c r="D18" i="7"/>
  <c r="C18" i="7"/>
  <c r="J18" i="7" s="1"/>
  <c r="B18" i="7"/>
  <c r="O17" i="7"/>
  <c r="N17" i="7"/>
  <c r="I17" i="7"/>
  <c r="H17" i="7"/>
  <c r="S17" i="7" s="1"/>
  <c r="G17" i="7"/>
  <c r="F17" i="7"/>
  <c r="E17" i="7"/>
  <c r="D17" i="7"/>
  <c r="C17" i="7"/>
  <c r="B17" i="7"/>
  <c r="O16" i="7"/>
  <c r="N16" i="7"/>
  <c r="I16" i="7"/>
  <c r="H16" i="7"/>
  <c r="S16" i="7" s="1"/>
  <c r="G16" i="7"/>
  <c r="F16" i="7"/>
  <c r="E16" i="7"/>
  <c r="D16" i="7"/>
  <c r="C16" i="7"/>
  <c r="B16" i="7"/>
  <c r="O15" i="7"/>
  <c r="N15" i="7"/>
  <c r="S15" i="7" s="1"/>
  <c r="I15" i="7"/>
  <c r="H15" i="7"/>
  <c r="G15" i="7"/>
  <c r="F15" i="7"/>
  <c r="E15" i="7"/>
  <c r="D15" i="7"/>
  <c r="C15" i="7"/>
  <c r="B15" i="7"/>
  <c r="O14" i="7"/>
  <c r="N14" i="7"/>
  <c r="S14" i="7" s="1"/>
  <c r="I14" i="7"/>
  <c r="H14" i="7"/>
  <c r="G14" i="7"/>
  <c r="F14" i="7"/>
  <c r="E14" i="7"/>
  <c r="D14" i="7"/>
  <c r="C14" i="7"/>
  <c r="B14" i="7"/>
  <c r="O13" i="7"/>
  <c r="N13" i="7"/>
  <c r="S13" i="7" s="1"/>
  <c r="I13" i="7"/>
  <c r="H13" i="7"/>
  <c r="G13" i="7"/>
  <c r="F13" i="7"/>
  <c r="E13" i="7"/>
  <c r="D13" i="7"/>
  <c r="C13" i="7"/>
  <c r="B13" i="7"/>
  <c r="O12" i="7"/>
  <c r="N12" i="7"/>
  <c r="I12" i="7"/>
  <c r="J12" i="7" s="1"/>
  <c r="H12" i="7"/>
  <c r="S12" i="7" s="1"/>
  <c r="G12" i="7"/>
  <c r="F12" i="7"/>
  <c r="E12" i="7"/>
  <c r="D12" i="7"/>
  <c r="C12" i="7"/>
  <c r="B12" i="7"/>
  <c r="O11" i="7"/>
  <c r="N11" i="7"/>
  <c r="I11" i="7"/>
  <c r="H11" i="7"/>
  <c r="S11" i="7" s="1"/>
  <c r="G11" i="7"/>
  <c r="F11" i="7"/>
  <c r="E11" i="7"/>
  <c r="D11" i="7"/>
  <c r="C11" i="7"/>
  <c r="B11" i="7"/>
  <c r="O10" i="7"/>
  <c r="N10" i="7"/>
  <c r="I10" i="7"/>
  <c r="J10" i="7" s="1"/>
  <c r="H10" i="7"/>
  <c r="S10" i="7" s="1"/>
  <c r="G10" i="7"/>
  <c r="F10" i="7"/>
  <c r="E10" i="7"/>
  <c r="D10" i="7"/>
  <c r="C10" i="7"/>
  <c r="B10" i="7"/>
  <c r="O9" i="7"/>
  <c r="N9" i="7"/>
  <c r="S9" i="7" s="1"/>
  <c r="I9" i="7"/>
  <c r="J9" i="7" s="1"/>
  <c r="H9" i="7"/>
  <c r="G9" i="7"/>
  <c r="F9" i="7"/>
  <c r="E9" i="7"/>
  <c r="D9" i="7"/>
  <c r="C9" i="7"/>
  <c r="B9" i="7"/>
  <c r="O8" i="7"/>
  <c r="N8" i="7"/>
  <c r="I8" i="7"/>
  <c r="H8" i="7"/>
  <c r="S8" i="7" s="1"/>
  <c r="G8" i="7"/>
  <c r="F8" i="7"/>
  <c r="E8" i="7"/>
  <c r="D8" i="7"/>
  <c r="C8" i="7"/>
  <c r="B8" i="7"/>
  <c r="O7" i="7"/>
  <c r="N7" i="7"/>
  <c r="I7" i="7"/>
  <c r="H7" i="7"/>
  <c r="S7" i="7" s="1"/>
  <c r="G7" i="7"/>
  <c r="F7" i="7"/>
  <c r="E7" i="7"/>
  <c r="D7" i="7"/>
  <c r="C7" i="7"/>
  <c r="B7" i="7"/>
  <c r="O6" i="7"/>
  <c r="N6" i="7"/>
  <c r="I6" i="7"/>
  <c r="H6" i="7"/>
  <c r="S6" i="7" s="1"/>
  <c r="G6" i="7"/>
  <c r="F6" i="7"/>
  <c r="E6" i="7"/>
  <c r="D6" i="7"/>
  <c r="C6" i="7"/>
  <c r="B6" i="7"/>
  <c r="O5" i="7"/>
  <c r="N5" i="7"/>
  <c r="I5" i="7"/>
  <c r="J5" i="7" s="1"/>
  <c r="H5" i="7"/>
  <c r="G5" i="7"/>
  <c r="F5" i="7"/>
  <c r="E5" i="7"/>
  <c r="D5" i="7"/>
  <c r="C5" i="7"/>
  <c r="B5" i="7"/>
  <c r="O4" i="7"/>
  <c r="N4" i="7"/>
  <c r="I4" i="7"/>
  <c r="H4" i="7"/>
  <c r="S4" i="7" s="1"/>
  <c r="G4" i="7"/>
  <c r="F4" i="7"/>
  <c r="E4" i="7"/>
  <c r="D4" i="7"/>
  <c r="C4" i="7"/>
  <c r="B4" i="7"/>
  <c r="O3" i="7"/>
  <c r="N3" i="7"/>
  <c r="I3" i="7"/>
  <c r="H3" i="7"/>
  <c r="S3" i="7" s="1"/>
  <c r="G3" i="7"/>
  <c r="F3" i="7"/>
  <c r="E3" i="7"/>
  <c r="D3" i="7"/>
  <c r="C3" i="7"/>
  <c r="B3" i="7"/>
  <c r="O2" i="7"/>
  <c r="N2" i="7"/>
  <c r="I2" i="7"/>
  <c r="H2" i="7"/>
  <c r="S2" i="7" s="1"/>
  <c r="G2" i="7"/>
  <c r="F2" i="7"/>
  <c r="E2" i="7"/>
  <c r="D2" i="7"/>
  <c r="C2" i="7"/>
  <c r="B2" i="7"/>
  <c r="Z366" i="5"/>
  <c r="Q366" i="5"/>
  <c r="P366" i="5"/>
  <c r="O366" i="5"/>
  <c r="U366" i="5" s="1"/>
  <c r="N366" i="5"/>
  <c r="M366" i="5"/>
  <c r="L366" i="5"/>
  <c r="K366" i="5"/>
  <c r="J366" i="5"/>
  <c r="I366" i="5"/>
  <c r="H366" i="5"/>
  <c r="G366" i="5"/>
  <c r="F366" i="5"/>
  <c r="E366" i="5"/>
  <c r="D366" i="5"/>
  <c r="K366" i="7" s="1"/>
  <c r="C366" i="5"/>
  <c r="B366" i="5"/>
  <c r="Z365" i="5"/>
  <c r="U365" i="5"/>
  <c r="Q365" i="5"/>
  <c r="O365" i="5"/>
  <c r="N365" i="5"/>
  <c r="M365" i="5"/>
  <c r="L365" i="5"/>
  <c r="K365" i="5"/>
  <c r="J365" i="5"/>
  <c r="I365" i="5"/>
  <c r="H365" i="5"/>
  <c r="G365" i="5"/>
  <c r="F365" i="5"/>
  <c r="E365" i="5"/>
  <c r="D365" i="5"/>
  <c r="K365" i="7" s="1"/>
  <c r="C365" i="5"/>
  <c r="R365" i="5" s="1"/>
  <c r="B365" i="5"/>
  <c r="Z364" i="5"/>
  <c r="Q364" i="5"/>
  <c r="P364" i="5"/>
  <c r="O364" i="5"/>
  <c r="P365" i="5" s="1"/>
  <c r="N364" i="5"/>
  <c r="M364" i="5"/>
  <c r="L364" i="5"/>
  <c r="K364" i="5"/>
  <c r="J364" i="5"/>
  <c r="I364" i="5"/>
  <c r="H364" i="5"/>
  <c r="G364" i="5"/>
  <c r="F364" i="5"/>
  <c r="E364" i="5"/>
  <c r="D364" i="5"/>
  <c r="K364" i="7" s="1"/>
  <c r="C364" i="5"/>
  <c r="B364" i="5"/>
  <c r="Z363" i="5"/>
  <c r="U363" i="5"/>
  <c r="Q363" i="5"/>
  <c r="P363" i="5"/>
  <c r="O363" i="5"/>
  <c r="N363" i="5"/>
  <c r="M363" i="5"/>
  <c r="L363" i="5"/>
  <c r="K363" i="5"/>
  <c r="J363" i="5"/>
  <c r="I363" i="5"/>
  <c r="H363" i="5"/>
  <c r="G363" i="5"/>
  <c r="F363" i="5"/>
  <c r="E363" i="5"/>
  <c r="D363" i="5"/>
  <c r="K363" i="7" s="1"/>
  <c r="C363" i="5"/>
  <c r="B363" i="5"/>
  <c r="Z362" i="5"/>
  <c r="Q362" i="5"/>
  <c r="O362" i="5"/>
  <c r="U362" i="5" s="1"/>
  <c r="N362" i="5"/>
  <c r="M362" i="5"/>
  <c r="L362" i="5"/>
  <c r="K362" i="5"/>
  <c r="J362" i="5"/>
  <c r="I362" i="5"/>
  <c r="H362" i="5"/>
  <c r="G362" i="5"/>
  <c r="F362" i="5"/>
  <c r="E362" i="5"/>
  <c r="D362" i="5"/>
  <c r="K362" i="7" s="1"/>
  <c r="C362" i="5"/>
  <c r="B362" i="5"/>
  <c r="Z361" i="5"/>
  <c r="Q361" i="5"/>
  <c r="P361" i="5"/>
  <c r="O361" i="5"/>
  <c r="P362" i="5" s="1"/>
  <c r="N361" i="5"/>
  <c r="M361" i="5"/>
  <c r="L361" i="5"/>
  <c r="K361" i="5"/>
  <c r="J361" i="5"/>
  <c r="I361" i="5"/>
  <c r="H361" i="5"/>
  <c r="G361" i="5"/>
  <c r="F361" i="5"/>
  <c r="E361" i="5"/>
  <c r="D361" i="5"/>
  <c r="C361" i="5"/>
  <c r="B361" i="5"/>
  <c r="Z360" i="5"/>
  <c r="Q360" i="5"/>
  <c r="O360" i="5"/>
  <c r="U360" i="5" s="1"/>
  <c r="N360" i="5"/>
  <c r="M360" i="5"/>
  <c r="L360" i="5"/>
  <c r="K360" i="5"/>
  <c r="J360" i="5"/>
  <c r="I360" i="5"/>
  <c r="H360" i="5"/>
  <c r="G360" i="5"/>
  <c r="F360" i="5"/>
  <c r="E360" i="5"/>
  <c r="D360" i="5"/>
  <c r="K360" i="7" s="1"/>
  <c r="C360" i="5"/>
  <c r="B360" i="5"/>
  <c r="Z359" i="5"/>
  <c r="Q359" i="5"/>
  <c r="P359" i="5"/>
  <c r="O359" i="5"/>
  <c r="P360" i="5" s="1"/>
  <c r="N359" i="5"/>
  <c r="M359" i="5"/>
  <c r="L359" i="5"/>
  <c r="K359" i="5"/>
  <c r="J359" i="5"/>
  <c r="I359" i="5"/>
  <c r="H359" i="5"/>
  <c r="G359" i="5"/>
  <c r="F359" i="5"/>
  <c r="E359" i="5"/>
  <c r="D359" i="5"/>
  <c r="C359" i="5"/>
  <c r="B359" i="5"/>
  <c r="Z358" i="5"/>
  <c r="Q358" i="5"/>
  <c r="O358" i="5"/>
  <c r="U358" i="5" s="1"/>
  <c r="N358" i="5"/>
  <c r="M358" i="5"/>
  <c r="L358" i="5"/>
  <c r="K358" i="5"/>
  <c r="J358" i="5"/>
  <c r="I358" i="5"/>
  <c r="H358" i="5"/>
  <c r="G358" i="5"/>
  <c r="F358" i="5"/>
  <c r="E358" i="5"/>
  <c r="D358" i="5"/>
  <c r="K358" i="7" s="1"/>
  <c r="C358" i="5"/>
  <c r="B358" i="5"/>
  <c r="Z357" i="5"/>
  <c r="Q357" i="5"/>
  <c r="O357" i="5"/>
  <c r="P358" i="5" s="1"/>
  <c r="N357" i="5"/>
  <c r="M357" i="5"/>
  <c r="L357" i="5"/>
  <c r="K357" i="5"/>
  <c r="J357" i="5"/>
  <c r="I357" i="5"/>
  <c r="H357" i="5"/>
  <c r="G357" i="5"/>
  <c r="F357" i="5"/>
  <c r="E357" i="5"/>
  <c r="D357" i="5"/>
  <c r="C357" i="5"/>
  <c r="B357" i="5"/>
  <c r="Z356" i="5"/>
  <c r="Q356" i="5"/>
  <c r="P356" i="5"/>
  <c r="O356" i="5"/>
  <c r="U356" i="5" s="1"/>
  <c r="N356" i="5"/>
  <c r="M356" i="5"/>
  <c r="L356" i="5"/>
  <c r="K356" i="5"/>
  <c r="J356" i="5"/>
  <c r="I356" i="5"/>
  <c r="H356" i="5"/>
  <c r="G356" i="5"/>
  <c r="F356" i="5"/>
  <c r="E356" i="5"/>
  <c r="D356" i="5"/>
  <c r="K356" i="7" s="1"/>
  <c r="C356" i="5"/>
  <c r="B356" i="5"/>
  <c r="Z355" i="5"/>
  <c r="U355" i="5"/>
  <c r="Q355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D355" i="5"/>
  <c r="C355" i="5"/>
  <c r="B355" i="5"/>
  <c r="Z354" i="5"/>
  <c r="Q354" i="5"/>
  <c r="O354" i="5"/>
  <c r="U354" i="5" s="1"/>
  <c r="N354" i="5"/>
  <c r="M354" i="5"/>
  <c r="L354" i="5"/>
  <c r="K354" i="5"/>
  <c r="J354" i="5"/>
  <c r="I354" i="5"/>
  <c r="H354" i="5"/>
  <c r="G354" i="5"/>
  <c r="F354" i="5"/>
  <c r="E354" i="5"/>
  <c r="D354" i="5"/>
  <c r="K354" i="7" s="1"/>
  <c r="C354" i="5"/>
  <c r="B354" i="5"/>
  <c r="Z353" i="5"/>
  <c r="Q353" i="5"/>
  <c r="P353" i="5"/>
  <c r="O353" i="5"/>
  <c r="P354" i="5" s="1"/>
  <c r="N353" i="5"/>
  <c r="M353" i="5"/>
  <c r="L353" i="5"/>
  <c r="K353" i="5"/>
  <c r="J353" i="5"/>
  <c r="I353" i="5"/>
  <c r="H353" i="5"/>
  <c r="G353" i="5"/>
  <c r="F353" i="5"/>
  <c r="E353" i="5"/>
  <c r="D353" i="5"/>
  <c r="C353" i="5"/>
  <c r="B353" i="5"/>
  <c r="Z352" i="5"/>
  <c r="Q352" i="5"/>
  <c r="P352" i="5"/>
  <c r="O352" i="5"/>
  <c r="U352" i="5" s="1"/>
  <c r="N352" i="5"/>
  <c r="M352" i="5"/>
  <c r="L352" i="5"/>
  <c r="K352" i="5"/>
  <c r="J352" i="5"/>
  <c r="I352" i="5"/>
  <c r="H352" i="5"/>
  <c r="G352" i="5"/>
  <c r="F352" i="5"/>
  <c r="E352" i="5"/>
  <c r="D352" i="5"/>
  <c r="C352" i="5"/>
  <c r="B352" i="5"/>
  <c r="Z351" i="5"/>
  <c r="U351" i="5"/>
  <c r="Q351" i="5"/>
  <c r="O351" i="5"/>
  <c r="N351" i="5"/>
  <c r="M351" i="5"/>
  <c r="L351" i="5"/>
  <c r="K351" i="5"/>
  <c r="J351" i="5"/>
  <c r="I351" i="5"/>
  <c r="H351" i="5"/>
  <c r="G351" i="5"/>
  <c r="F351" i="5"/>
  <c r="E351" i="5"/>
  <c r="D351" i="5"/>
  <c r="C351" i="5"/>
  <c r="B351" i="5"/>
  <c r="Z350" i="5"/>
  <c r="Q350" i="5"/>
  <c r="O350" i="5"/>
  <c r="U350" i="5" s="1"/>
  <c r="N350" i="5"/>
  <c r="M350" i="5"/>
  <c r="L350" i="5"/>
  <c r="K350" i="5"/>
  <c r="J350" i="5"/>
  <c r="I350" i="5"/>
  <c r="H350" i="5"/>
  <c r="G350" i="5"/>
  <c r="F350" i="5"/>
  <c r="E350" i="5"/>
  <c r="D350" i="5"/>
  <c r="C350" i="5"/>
  <c r="B350" i="5"/>
  <c r="Z349" i="5"/>
  <c r="Q349" i="5"/>
  <c r="O349" i="5"/>
  <c r="P350" i="5" s="1"/>
  <c r="N349" i="5"/>
  <c r="M349" i="5"/>
  <c r="L349" i="5"/>
  <c r="K349" i="5"/>
  <c r="J349" i="5"/>
  <c r="I349" i="5"/>
  <c r="H349" i="5"/>
  <c r="G349" i="5"/>
  <c r="F349" i="5"/>
  <c r="E349" i="5"/>
  <c r="D349" i="5"/>
  <c r="C349" i="5"/>
  <c r="B349" i="5"/>
  <c r="Z348" i="5"/>
  <c r="Q348" i="5"/>
  <c r="O348" i="5"/>
  <c r="U348" i="5" s="1"/>
  <c r="N348" i="5"/>
  <c r="M348" i="5"/>
  <c r="L348" i="5"/>
  <c r="K348" i="5"/>
  <c r="J348" i="5"/>
  <c r="I348" i="5"/>
  <c r="H348" i="5"/>
  <c r="G348" i="5"/>
  <c r="F348" i="5"/>
  <c r="E348" i="5"/>
  <c r="D348" i="5"/>
  <c r="C348" i="5"/>
  <c r="B348" i="5"/>
  <c r="Z347" i="5"/>
  <c r="Q347" i="5"/>
  <c r="O347" i="5"/>
  <c r="P348" i="5" s="1"/>
  <c r="N347" i="5"/>
  <c r="M347" i="5"/>
  <c r="L347" i="5"/>
  <c r="K347" i="5"/>
  <c r="J347" i="5"/>
  <c r="I347" i="5"/>
  <c r="H347" i="5"/>
  <c r="G347" i="5"/>
  <c r="F347" i="5"/>
  <c r="E347" i="5"/>
  <c r="D347" i="5"/>
  <c r="C347" i="5"/>
  <c r="B347" i="5"/>
  <c r="Z346" i="5"/>
  <c r="Q346" i="5"/>
  <c r="P346" i="5"/>
  <c r="O346" i="5"/>
  <c r="U346" i="5" s="1"/>
  <c r="N346" i="5"/>
  <c r="M346" i="5"/>
  <c r="L346" i="5"/>
  <c r="K346" i="5"/>
  <c r="J346" i="5"/>
  <c r="I346" i="5"/>
  <c r="H346" i="5"/>
  <c r="G346" i="5"/>
  <c r="F346" i="5"/>
  <c r="E346" i="5"/>
  <c r="D346" i="5"/>
  <c r="C346" i="5"/>
  <c r="B346" i="5"/>
  <c r="Z345" i="5"/>
  <c r="U345" i="5"/>
  <c r="Q345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C345" i="5"/>
  <c r="B345" i="5"/>
  <c r="Z344" i="5"/>
  <c r="Q344" i="5"/>
  <c r="P344" i="5"/>
  <c r="O344" i="5"/>
  <c r="U344" i="5" s="1"/>
  <c r="N344" i="5"/>
  <c r="M344" i="5"/>
  <c r="L344" i="5"/>
  <c r="K344" i="5"/>
  <c r="J344" i="5"/>
  <c r="I344" i="5"/>
  <c r="H344" i="5"/>
  <c r="G344" i="5"/>
  <c r="F344" i="5"/>
  <c r="E344" i="5"/>
  <c r="D344" i="5"/>
  <c r="C344" i="5"/>
  <c r="B344" i="5"/>
  <c r="Z343" i="5"/>
  <c r="U343" i="5"/>
  <c r="Q343" i="5"/>
  <c r="O343" i="5"/>
  <c r="N343" i="5"/>
  <c r="M343" i="5"/>
  <c r="L343" i="5"/>
  <c r="K343" i="5"/>
  <c r="J343" i="5"/>
  <c r="I343" i="5"/>
  <c r="H343" i="5"/>
  <c r="G343" i="5"/>
  <c r="F343" i="5"/>
  <c r="E343" i="5"/>
  <c r="D343" i="5"/>
  <c r="C343" i="5"/>
  <c r="B343" i="5"/>
  <c r="Z342" i="5"/>
  <c r="Q342" i="5"/>
  <c r="O342" i="5"/>
  <c r="U342" i="5" s="1"/>
  <c r="N342" i="5"/>
  <c r="M342" i="5"/>
  <c r="L342" i="5"/>
  <c r="K342" i="5"/>
  <c r="J342" i="5"/>
  <c r="I342" i="5"/>
  <c r="H342" i="5"/>
  <c r="G342" i="5"/>
  <c r="F342" i="5"/>
  <c r="E342" i="5"/>
  <c r="D342" i="5"/>
  <c r="C342" i="5"/>
  <c r="B342" i="5"/>
  <c r="Z341" i="5"/>
  <c r="Q341" i="5"/>
  <c r="O341" i="5"/>
  <c r="P342" i="5" s="1"/>
  <c r="N341" i="5"/>
  <c r="M341" i="5"/>
  <c r="L341" i="5"/>
  <c r="K341" i="5"/>
  <c r="J341" i="5"/>
  <c r="I341" i="5"/>
  <c r="H341" i="5"/>
  <c r="G341" i="5"/>
  <c r="F341" i="5"/>
  <c r="E341" i="5"/>
  <c r="D341" i="5"/>
  <c r="C341" i="5"/>
  <c r="B341" i="5"/>
  <c r="Z340" i="5"/>
  <c r="Q340" i="5"/>
  <c r="P340" i="5"/>
  <c r="O340" i="5"/>
  <c r="U340" i="5" s="1"/>
  <c r="N340" i="5"/>
  <c r="M340" i="5"/>
  <c r="L340" i="5"/>
  <c r="K340" i="5"/>
  <c r="J340" i="5"/>
  <c r="I340" i="5"/>
  <c r="H340" i="5"/>
  <c r="G340" i="5"/>
  <c r="F340" i="5"/>
  <c r="E340" i="5"/>
  <c r="D340" i="5"/>
  <c r="C340" i="5"/>
  <c r="B340" i="5"/>
  <c r="Z339" i="5"/>
  <c r="U339" i="5"/>
  <c r="Q339" i="5"/>
  <c r="O339" i="5"/>
  <c r="N339" i="5"/>
  <c r="M339" i="5"/>
  <c r="L339" i="5"/>
  <c r="K339" i="5"/>
  <c r="J339" i="5"/>
  <c r="I339" i="5"/>
  <c r="H339" i="5"/>
  <c r="G339" i="5"/>
  <c r="F339" i="5"/>
  <c r="E339" i="5"/>
  <c r="D339" i="5"/>
  <c r="C339" i="5"/>
  <c r="B339" i="5"/>
  <c r="Z338" i="5"/>
  <c r="Q338" i="5"/>
  <c r="O338" i="5"/>
  <c r="U338" i="5" s="1"/>
  <c r="N338" i="5"/>
  <c r="M338" i="5"/>
  <c r="L338" i="5"/>
  <c r="K338" i="5"/>
  <c r="J338" i="5"/>
  <c r="I338" i="5"/>
  <c r="H338" i="5"/>
  <c r="G338" i="5"/>
  <c r="F338" i="5"/>
  <c r="E338" i="5"/>
  <c r="D338" i="5"/>
  <c r="C338" i="5"/>
  <c r="B338" i="5"/>
  <c r="Z337" i="5"/>
  <c r="U337" i="5"/>
  <c r="Q337" i="5"/>
  <c r="O337" i="5"/>
  <c r="P338" i="5" s="1"/>
  <c r="N337" i="5"/>
  <c r="M337" i="5"/>
  <c r="L337" i="5"/>
  <c r="K337" i="5"/>
  <c r="J337" i="5"/>
  <c r="I337" i="5"/>
  <c r="H337" i="5"/>
  <c r="G337" i="5"/>
  <c r="F337" i="5"/>
  <c r="E337" i="5"/>
  <c r="D337" i="5"/>
  <c r="C337" i="5"/>
  <c r="B337" i="5"/>
  <c r="Z336" i="5"/>
  <c r="Q336" i="5"/>
  <c r="O336" i="5"/>
  <c r="U336" i="5" s="1"/>
  <c r="N336" i="5"/>
  <c r="M336" i="5"/>
  <c r="L336" i="5"/>
  <c r="K336" i="5"/>
  <c r="J336" i="5"/>
  <c r="I336" i="5"/>
  <c r="H336" i="5"/>
  <c r="G336" i="5"/>
  <c r="F336" i="5"/>
  <c r="E336" i="5"/>
  <c r="D336" i="5"/>
  <c r="C336" i="5"/>
  <c r="B336" i="5"/>
  <c r="Z335" i="5"/>
  <c r="Q335" i="5"/>
  <c r="P335" i="5"/>
  <c r="O335" i="5"/>
  <c r="P336" i="5" s="1"/>
  <c r="N335" i="5"/>
  <c r="M335" i="5"/>
  <c r="L335" i="5"/>
  <c r="K335" i="5"/>
  <c r="J335" i="5"/>
  <c r="I335" i="5"/>
  <c r="H335" i="5"/>
  <c r="G335" i="5"/>
  <c r="F335" i="5"/>
  <c r="E335" i="5"/>
  <c r="D335" i="5"/>
  <c r="K335" i="7" s="1"/>
  <c r="C335" i="5"/>
  <c r="B335" i="5"/>
  <c r="Z334" i="5"/>
  <c r="Q334" i="5"/>
  <c r="P334" i="5"/>
  <c r="O334" i="5"/>
  <c r="U334" i="5" s="1"/>
  <c r="N334" i="5"/>
  <c r="M334" i="5"/>
  <c r="L334" i="5"/>
  <c r="K334" i="5"/>
  <c r="J334" i="5"/>
  <c r="I334" i="5"/>
  <c r="H334" i="5"/>
  <c r="G334" i="5"/>
  <c r="F334" i="5"/>
  <c r="E334" i="5"/>
  <c r="D334" i="5"/>
  <c r="C334" i="5"/>
  <c r="B334" i="5"/>
  <c r="Z333" i="5"/>
  <c r="U333" i="5"/>
  <c r="Q333" i="5"/>
  <c r="O333" i="5"/>
  <c r="N333" i="5"/>
  <c r="M333" i="5"/>
  <c r="L333" i="5"/>
  <c r="K333" i="5"/>
  <c r="J333" i="5"/>
  <c r="I333" i="5"/>
  <c r="H333" i="5"/>
  <c r="G333" i="5"/>
  <c r="F333" i="5"/>
  <c r="E333" i="5"/>
  <c r="D333" i="5"/>
  <c r="C333" i="5"/>
  <c r="B333" i="5"/>
  <c r="Z332" i="5"/>
  <c r="Q332" i="5"/>
  <c r="P332" i="5"/>
  <c r="O332" i="5"/>
  <c r="U332" i="5" s="1"/>
  <c r="N332" i="5"/>
  <c r="M332" i="5"/>
  <c r="L332" i="5"/>
  <c r="K332" i="5"/>
  <c r="J332" i="5"/>
  <c r="I332" i="5"/>
  <c r="H332" i="5"/>
  <c r="G332" i="5"/>
  <c r="F332" i="5"/>
  <c r="E332" i="5"/>
  <c r="D332" i="5"/>
  <c r="C332" i="5"/>
  <c r="B332" i="5"/>
  <c r="Z331" i="5"/>
  <c r="U331" i="5"/>
  <c r="Q331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D331" i="5"/>
  <c r="K331" i="7" s="1"/>
  <c r="C331" i="5"/>
  <c r="B331" i="5"/>
  <c r="Z330" i="5"/>
  <c r="Q330" i="5"/>
  <c r="O330" i="5"/>
  <c r="U330" i="5" s="1"/>
  <c r="N330" i="5"/>
  <c r="M330" i="5"/>
  <c r="L330" i="5"/>
  <c r="K330" i="5"/>
  <c r="J330" i="5"/>
  <c r="I330" i="5"/>
  <c r="H330" i="5"/>
  <c r="G330" i="5"/>
  <c r="F330" i="5"/>
  <c r="E330" i="5"/>
  <c r="D330" i="5"/>
  <c r="C330" i="5"/>
  <c r="B330" i="5"/>
  <c r="Z329" i="5"/>
  <c r="Q329" i="5"/>
  <c r="P329" i="5"/>
  <c r="O329" i="5"/>
  <c r="P330" i="5" s="1"/>
  <c r="N329" i="5"/>
  <c r="M329" i="5"/>
  <c r="L329" i="5"/>
  <c r="K329" i="5"/>
  <c r="J329" i="5"/>
  <c r="I329" i="5"/>
  <c r="H329" i="5"/>
  <c r="G329" i="5"/>
  <c r="F329" i="5"/>
  <c r="E329" i="5"/>
  <c r="D329" i="5"/>
  <c r="K329" i="7" s="1"/>
  <c r="C329" i="5"/>
  <c r="B329" i="5"/>
  <c r="Z328" i="5"/>
  <c r="Q328" i="5"/>
  <c r="O328" i="5"/>
  <c r="U328" i="5" s="1"/>
  <c r="N328" i="5"/>
  <c r="M328" i="5"/>
  <c r="L328" i="5"/>
  <c r="K328" i="5"/>
  <c r="J328" i="5"/>
  <c r="I328" i="5"/>
  <c r="H328" i="5"/>
  <c r="G328" i="5"/>
  <c r="F328" i="5"/>
  <c r="E328" i="5"/>
  <c r="D328" i="5"/>
  <c r="C328" i="5"/>
  <c r="B328" i="5"/>
  <c r="Z327" i="5"/>
  <c r="Q327" i="5"/>
  <c r="P327" i="5"/>
  <c r="O327" i="5"/>
  <c r="P328" i="5" s="1"/>
  <c r="N327" i="5"/>
  <c r="M327" i="5"/>
  <c r="L327" i="5"/>
  <c r="K327" i="5"/>
  <c r="J327" i="5"/>
  <c r="I327" i="5"/>
  <c r="H327" i="5"/>
  <c r="G327" i="5"/>
  <c r="F327" i="5"/>
  <c r="E327" i="5"/>
  <c r="D327" i="5"/>
  <c r="K327" i="7" s="1"/>
  <c r="C327" i="5"/>
  <c r="B327" i="5"/>
  <c r="Z326" i="5"/>
  <c r="Q326" i="5"/>
  <c r="O326" i="5"/>
  <c r="U326" i="5" s="1"/>
  <c r="N326" i="5"/>
  <c r="M326" i="5"/>
  <c r="L326" i="5"/>
  <c r="K326" i="5"/>
  <c r="J326" i="5"/>
  <c r="I326" i="5"/>
  <c r="H326" i="5"/>
  <c r="G326" i="5"/>
  <c r="F326" i="5"/>
  <c r="E326" i="5"/>
  <c r="D326" i="5"/>
  <c r="C326" i="5"/>
  <c r="B326" i="5"/>
  <c r="Z325" i="5"/>
  <c r="Q325" i="5"/>
  <c r="P325" i="5"/>
  <c r="O325" i="5"/>
  <c r="P326" i="5" s="1"/>
  <c r="N325" i="5"/>
  <c r="M325" i="5"/>
  <c r="L325" i="5"/>
  <c r="K325" i="5"/>
  <c r="J325" i="5"/>
  <c r="I325" i="5"/>
  <c r="H325" i="5"/>
  <c r="G325" i="5"/>
  <c r="F325" i="5"/>
  <c r="E325" i="5"/>
  <c r="D325" i="5"/>
  <c r="K325" i="7" s="1"/>
  <c r="C325" i="5"/>
  <c r="B325" i="5"/>
  <c r="Z324" i="5"/>
  <c r="Q324" i="5"/>
  <c r="P324" i="5"/>
  <c r="O324" i="5"/>
  <c r="U324" i="5" s="1"/>
  <c r="N324" i="5"/>
  <c r="M324" i="5"/>
  <c r="L324" i="5"/>
  <c r="K324" i="5"/>
  <c r="J324" i="5"/>
  <c r="I324" i="5"/>
  <c r="H324" i="5"/>
  <c r="G324" i="5"/>
  <c r="F324" i="5"/>
  <c r="E324" i="5"/>
  <c r="D324" i="5"/>
  <c r="C324" i="5"/>
  <c r="B324" i="5"/>
  <c r="Z323" i="5"/>
  <c r="U323" i="5"/>
  <c r="Q323" i="5"/>
  <c r="O323" i="5"/>
  <c r="N323" i="5"/>
  <c r="M323" i="5"/>
  <c r="L323" i="5"/>
  <c r="K323" i="5"/>
  <c r="J323" i="5"/>
  <c r="I323" i="5"/>
  <c r="H323" i="5"/>
  <c r="G323" i="5"/>
  <c r="F323" i="5"/>
  <c r="E323" i="5"/>
  <c r="D323" i="5"/>
  <c r="K323" i="7" s="1"/>
  <c r="C323" i="5"/>
  <c r="B323" i="5"/>
  <c r="Z322" i="5"/>
  <c r="Q322" i="5"/>
  <c r="O322" i="5"/>
  <c r="U322" i="5" s="1"/>
  <c r="N322" i="5"/>
  <c r="M322" i="5"/>
  <c r="L322" i="5"/>
  <c r="K322" i="5"/>
  <c r="J322" i="5"/>
  <c r="I322" i="5"/>
  <c r="H322" i="5"/>
  <c r="G322" i="5"/>
  <c r="F322" i="5"/>
  <c r="E322" i="5"/>
  <c r="D322" i="5"/>
  <c r="C322" i="5"/>
  <c r="B322" i="5"/>
  <c r="Z321" i="5"/>
  <c r="Q321" i="5"/>
  <c r="P321" i="5"/>
  <c r="O321" i="5"/>
  <c r="P322" i="5" s="1"/>
  <c r="N321" i="5"/>
  <c r="M321" i="5"/>
  <c r="L321" i="5"/>
  <c r="K321" i="5"/>
  <c r="J321" i="5"/>
  <c r="I321" i="5"/>
  <c r="H321" i="5"/>
  <c r="G321" i="5"/>
  <c r="F321" i="5"/>
  <c r="E321" i="5"/>
  <c r="D321" i="5"/>
  <c r="K321" i="7" s="1"/>
  <c r="C321" i="5"/>
  <c r="B321" i="5"/>
  <c r="Z320" i="5"/>
  <c r="Q320" i="5"/>
  <c r="O320" i="5"/>
  <c r="U320" i="5" s="1"/>
  <c r="N320" i="5"/>
  <c r="M320" i="5"/>
  <c r="L320" i="5"/>
  <c r="K320" i="5"/>
  <c r="J320" i="5"/>
  <c r="I320" i="5"/>
  <c r="H320" i="5"/>
  <c r="G320" i="5"/>
  <c r="F320" i="5"/>
  <c r="E320" i="5"/>
  <c r="D320" i="5"/>
  <c r="K320" i="7" s="1"/>
  <c r="C320" i="5"/>
  <c r="B320" i="5"/>
  <c r="Z319" i="5"/>
  <c r="Q319" i="5"/>
  <c r="O319" i="5"/>
  <c r="R320" i="5" s="1"/>
  <c r="N319" i="5"/>
  <c r="M319" i="5"/>
  <c r="L319" i="5"/>
  <c r="K319" i="5"/>
  <c r="J319" i="5"/>
  <c r="I319" i="5"/>
  <c r="H319" i="5"/>
  <c r="G319" i="5"/>
  <c r="F319" i="5"/>
  <c r="E319" i="5"/>
  <c r="D319" i="5"/>
  <c r="K319" i="7" s="1"/>
  <c r="C319" i="5"/>
  <c r="B319" i="5"/>
  <c r="Z318" i="5"/>
  <c r="Q318" i="5"/>
  <c r="O318" i="5"/>
  <c r="U318" i="5" s="1"/>
  <c r="N318" i="5"/>
  <c r="M318" i="5"/>
  <c r="L318" i="5"/>
  <c r="K318" i="5"/>
  <c r="J318" i="5"/>
  <c r="I318" i="5"/>
  <c r="H318" i="5"/>
  <c r="G318" i="5"/>
  <c r="F318" i="5"/>
  <c r="E318" i="5"/>
  <c r="D318" i="5"/>
  <c r="K318" i="7" s="1"/>
  <c r="C318" i="5"/>
  <c r="B318" i="5"/>
  <c r="Z317" i="5"/>
  <c r="Q317" i="5"/>
  <c r="O317" i="5"/>
  <c r="P318" i="5" s="1"/>
  <c r="N317" i="5"/>
  <c r="M317" i="5"/>
  <c r="L317" i="5"/>
  <c r="K317" i="5"/>
  <c r="J317" i="5"/>
  <c r="I317" i="5"/>
  <c r="H317" i="5"/>
  <c r="G317" i="5"/>
  <c r="F317" i="5"/>
  <c r="E317" i="5"/>
  <c r="D317" i="5"/>
  <c r="K317" i="7" s="1"/>
  <c r="C317" i="5"/>
  <c r="B317" i="5"/>
  <c r="Z316" i="5"/>
  <c r="Q316" i="5"/>
  <c r="R316" i="5" s="1"/>
  <c r="P316" i="5"/>
  <c r="O316" i="5"/>
  <c r="P317" i="5" s="1"/>
  <c r="N316" i="5"/>
  <c r="M316" i="5"/>
  <c r="L316" i="5"/>
  <c r="K316" i="5"/>
  <c r="J316" i="5"/>
  <c r="I316" i="5"/>
  <c r="H316" i="5"/>
  <c r="G316" i="5"/>
  <c r="F316" i="5"/>
  <c r="E316" i="5"/>
  <c r="D316" i="5"/>
  <c r="K316" i="7" s="1"/>
  <c r="C316" i="5"/>
  <c r="B316" i="5"/>
  <c r="Z315" i="5"/>
  <c r="U315" i="5"/>
  <c r="Q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K315" i="7" s="1"/>
  <c r="C315" i="5"/>
  <c r="B315" i="5"/>
  <c r="Z314" i="5"/>
  <c r="Q314" i="5"/>
  <c r="P314" i="5"/>
  <c r="O314" i="5"/>
  <c r="P315" i="5" s="1"/>
  <c r="N314" i="5"/>
  <c r="M314" i="5"/>
  <c r="L314" i="5"/>
  <c r="K314" i="5"/>
  <c r="J314" i="5"/>
  <c r="I314" i="5"/>
  <c r="H314" i="5"/>
  <c r="G314" i="5"/>
  <c r="F314" i="5"/>
  <c r="E314" i="5"/>
  <c r="D314" i="5"/>
  <c r="K314" i="7" s="1"/>
  <c r="C314" i="5"/>
  <c r="B314" i="5"/>
  <c r="Z313" i="5"/>
  <c r="U313" i="5"/>
  <c r="Q313" i="5"/>
  <c r="P313" i="5"/>
  <c r="O313" i="5"/>
  <c r="N313" i="5"/>
  <c r="M313" i="5"/>
  <c r="L313" i="5"/>
  <c r="K313" i="5"/>
  <c r="J313" i="5"/>
  <c r="I313" i="5"/>
  <c r="H313" i="5"/>
  <c r="R313" i="5" s="1"/>
  <c r="G313" i="5"/>
  <c r="F313" i="5"/>
  <c r="E313" i="5"/>
  <c r="D313" i="5"/>
  <c r="K313" i="7" s="1"/>
  <c r="C313" i="5"/>
  <c r="B313" i="5"/>
  <c r="Z312" i="5"/>
  <c r="U312" i="5"/>
  <c r="Q312" i="5"/>
  <c r="O312" i="5"/>
  <c r="N312" i="5"/>
  <c r="M312" i="5"/>
  <c r="L312" i="5"/>
  <c r="K312" i="5"/>
  <c r="J312" i="5"/>
  <c r="I312" i="5"/>
  <c r="H312" i="5"/>
  <c r="G312" i="5"/>
  <c r="F312" i="5"/>
  <c r="E312" i="5"/>
  <c r="D312" i="5"/>
  <c r="C312" i="5"/>
  <c r="B312" i="5"/>
  <c r="Z311" i="5"/>
  <c r="Q311" i="5"/>
  <c r="O311" i="5"/>
  <c r="P312" i="5" s="1"/>
  <c r="N311" i="5"/>
  <c r="M311" i="5"/>
  <c r="L311" i="5"/>
  <c r="K311" i="5"/>
  <c r="J311" i="5"/>
  <c r="I311" i="5"/>
  <c r="H311" i="5"/>
  <c r="G311" i="5"/>
  <c r="F311" i="5"/>
  <c r="E311" i="5"/>
  <c r="D311" i="5"/>
  <c r="K311" i="7" s="1"/>
  <c r="C311" i="5"/>
  <c r="B311" i="5"/>
  <c r="Z310" i="5"/>
  <c r="Q310" i="5"/>
  <c r="O310" i="5"/>
  <c r="P311" i="5" s="1"/>
  <c r="N310" i="5"/>
  <c r="M310" i="5"/>
  <c r="L310" i="5"/>
  <c r="K310" i="5"/>
  <c r="J310" i="5"/>
  <c r="I310" i="5"/>
  <c r="H310" i="5"/>
  <c r="G310" i="5"/>
  <c r="F310" i="5"/>
  <c r="E310" i="5"/>
  <c r="D310" i="5"/>
  <c r="K310" i="7" s="1"/>
  <c r="C310" i="5"/>
  <c r="B310" i="5"/>
  <c r="Z309" i="5"/>
  <c r="Q309" i="5"/>
  <c r="O309" i="5"/>
  <c r="P310" i="5" s="1"/>
  <c r="N309" i="5"/>
  <c r="M309" i="5"/>
  <c r="L309" i="5"/>
  <c r="K309" i="5"/>
  <c r="J309" i="5"/>
  <c r="I309" i="5"/>
  <c r="H309" i="5"/>
  <c r="G309" i="5"/>
  <c r="F309" i="5"/>
  <c r="E309" i="5"/>
  <c r="D309" i="5"/>
  <c r="K309" i="7" s="1"/>
  <c r="C309" i="5"/>
  <c r="B309" i="5"/>
  <c r="Z308" i="5"/>
  <c r="Q308" i="5"/>
  <c r="O308" i="5"/>
  <c r="P309" i="5" s="1"/>
  <c r="N308" i="5"/>
  <c r="M308" i="5"/>
  <c r="L308" i="5"/>
  <c r="K308" i="5"/>
  <c r="J308" i="5"/>
  <c r="I308" i="5"/>
  <c r="H308" i="5"/>
  <c r="G308" i="5"/>
  <c r="F308" i="5"/>
  <c r="E308" i="5"/>
  <c r="D308" i="5"/>
  <c r="K308" i="7" s="1"/>
  <c r="C308" i="5"/>
  <c r="B308" i="5"/>
  <c r="Z307" i="5"/>
  <c r="Q307" i="5"/>
  <c r="P307" i="5"/>
  <c r="O307" i="5"/>
  <c r="P308" i="5" s="1"/>
  <c r="N307" i="5"/>
  <c r="M307" i="5"/>
  <c r="L307" i="5"/>
  <c r="K307" i="5"/>
  <c r="J307" i="5"/>
  <c r="I307" i="5"/>
  <c r="H307" i="5"/>
  <c r="G307" i="5"/>
  <c r="F307" i="5"/>
  <c r="E307" i="5"/>
  <c r="D307" i="5"/>
  <c r="K307" i="7" s="1"/>
  <c r="C307" i="5"/>
  <c r="B307" i="5"/>
  <c r="Z306" i="5"/>
  <c r="U306" i="5"/>
  <c r="Q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K306" i="7" s="1"/>
  <c r="C306" i="5"/>
  <c r="R306" i="5" s="1"/>
  <c r="B306" i="5"/>
  <c r="Z305" i="5"/>
  <c r="Q305" i="5"/>
  <c r="P305" i="5"/>
  <c r="O305" i="5"/>
  <c r="P306" i="5" s="1"/>
  <c r="N305" i="5"/>
  <c r="M305" i="5"/>
  <c r="L305" i="5"/>
  <c r="K305" i="5"/>
  <c r="J305" i="5"/>
  <c r="I305" i="5"/>
  <c r="H305" i="5"/>
  <c r="G305" i="5"/>
  <c r="F305" i="5"/>
  <c r="E305" i="5"/>
  <c r="D305" i="5"/>
  <c r="C305" i="5"/>
  <c r="B305" i="5"/>
  <c r="Z304" i="5"/>
  <c r="U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K304" i="7" s="1"/>
  <c r="C304" i="5"/>
  <c r="B304" i="5"/>
  <c r="Z303" i="5"/>
  <c r="U303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D303" i="5"/>
  <c r="K303" i="7" s="1"/>
  <c r="C303" i="5"/>
  <c r="B303" i="5"/>
  <c r="Z302" i="5"/>
  <c r="U302" i="5"/>
  <c r="R302" i="5"/>
  <c r="Q302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D302" i="5"/>
  <c r="K302" i="7" s="1"/>
  <c r="C302" i="5"/>
  <c r="B302" i="5"/>
  <c r="Z301" i="5"/>
  <c r="U301" i="5"/>
  <c r="Q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K301" i="7" s="1"/>
  <c r="C301" i="5"/>
  <c r="B301" i="5"/>
  <c r="Z300" i="5"/>
  <c r="Q300" i="5"/>
  <c r="O300" i="5"/>
  <c r="P301" i="5" s="1"/>
  <c r="N300" i="5"/>
  <c r="M300" i="5"/>
  <c r="L300" i="5"/>
  <c r="K300" i="5"/>
  <c r="J300" i="5"/>
  <c r="I300" i="5"/>
  <c r="H300" i="5"/>
  <c r="G300" i="5"/>
  <c r="F300" i="5"/>
  <c r="E300" i="5"/>
  <c r="D300" i="5"/>
  <c r="K300" i="7" s="1"/>
  <c r="C300" i="5"/>
  <c r="B300" i="5"/>
  <c r="Z299" i="5"/>
  <c r="Q299" i="5"/>
  <c r="P299" i="5"/>
  <c r="O299" i="5"/>
  <c r="P300" i="5" s="1"/>
  <c r="N299" i="5"/>
  <c r="M299" i="5"/>
  <c r="L299" i="5"/>
  <c r="K299" i="5"/>
  <c r="J299" i="5"/>
  <c r="I299" i="5"/>
  <c r="H299" i="5"/>
  <c r="G299" i="5"/>
  <c r="F299" i="5"/>
  <c r="E299" i="5"/>
  <c r="D299" i="5"/>
  <c r="K299" i="7" s="1"/>
  <c r="C299" i="5"/>
  <c r="B299" i="5"/>
  <c r="Z298" i="5"/>
  <c r="U298" i="5"/>
  <c r="Q298" i="5"/>
  <c r="O298" i="5"/>
  <c r="N298" i="5"/>
  <c r="M298" i="5"/>
  <c r="L298" i="5"/>
  <c r="K298" i="5"/>
  <c r="J298" i="5"/>
  <c r="I298" i="5"/>
  <c r="H298" i="5"/>
  <c r="G298" i="5"/>
  <c r="F298" i="5"/>
  <c r="E298" i="5"/>
  <c r="D298" i="5"/>
  <c r="K298" i="7" s="1"/>
  <c r="C298" i="5"/>
  <c r="B298" i="5"/>
  <c r="Z297" i="5"/>
  <c r="Q297" i="5"/>
  <c r="O297" i="5"/>
  <c r="P298" i="5" s="1"/>
  <c r="N297" i="5"/>
  <c r="M297" i="5"/>
  <c r="L297" i="5"/>
  <c r="K297" i="5"/>
  <c r="J297" i="5"/>
  <c r="I297" i="5"/>
  <c r="H297" i="5"/>
  <c r="G297" i="5"/>
  <c r="F297" i="5"/>
  <c r="E297" i="5"/>
  <c r="D297" i="5"/>
  <c r="K297" i="7" s="1"/>
  <c r="C297" i="5"/>
  <c r="B297" i="5"/>
  <c r="Z296" i="5"/>
  <c r="U296" i="5"/>
  <c r="Q296" i="5"/>
  <c r="O296" i="5"/>
  <c r="P297" i="5" s="1"/>
  <c r="N296" i="5"/>
  <c r="M296" i="5"/>
  <c r="L296" i="5"/>
  <c r="K296" i="5"/>
  <c r="J296" i="5"/>
  <c r="I296" i="5"/>
  <c r="H296" i="5"/>
  <c r="G296" i="5"/>
  <c r="F296" i="5"/>
  <c r="E296" i="5"/>
  <c r="D296" i="5"/>
  <c r="K296" i="7" s="1"/>
  <c r="C296" i="5"/>
  <c r="B296" i="5"/>
  <c r="Z295" i="5"/>
  <c r="Q295" i="5"/>
  <c r="O295" i="5"/>
  <c r="P296" i="5" s="1"/>
  <c r="N295" i="5"/>
  <c r="M295" i="5"/>
  <c r="L295" i="5"/>
  <c r="K295" i="5"/>
  <c r="J295" i="5"/>
  <c r="I295" i="5"/>
  <c r="H295" i="5"/>
  <c r="G295" i="5"/>
  <c r="F295" i="5"/>
  <c r="E295" i="5"/>
  <c r="D295" i="5"/>
  <c r="K295" i="7" s="1"/>
  <c r="C295" i="5"/>
  <c r="B295" i="5"/>
  <c r="Z294" i="5"/>
  <c r="Q294" i="5"/>
  <c r="O294" i="5"/>
  <c r="R295" i="5" s="1"/>
  <c r="N294" i="5"/>
  <c r="M294" i="5"/>
  <c r="L294" i="5"/>
  <c r="K294" i="5"/>
  <c r="J294" i="5"/>
  <c r="I294" i="5"/>
  <c r="H294" i="5"/>
  <c r="G294" i="5"/>
  <c r="F294" i="5"/>
  <c r="E294" i="5"/>
  <c r="D294" i="5"/>
  <c r="K294" i="7" s="1"/>
  <c r="C294" i="5"/>
  <c r="B294" i="5"/>
  <c r="Z293" i="5"/>
  <c r="U293" i="5"/>
  <c r="Q293" i="5"/>
  <c r="P293" i="5"/>
  <c r="O293" i="5"/>
  <c r="P294" i="5" s="1"/>
  <c r="N293" i="5"/>
  <c r="M293" i="5"/>
  <c r="L293" i="5"/>
  <c r="K293" i="5"/>
  <c r="J293" i="5"/>
  <c r="I293" i="5"/>
  <c r="H293" i="5"/>
  <c r="G293" i="5"/>
  <c r="F293" i="5"/>
  <c r="E293" i="5"/>
  <c r="D293" i="5"/>
  <c r="K293" i="7" s="1"/>
  <c r="C293" i="5"/>
  <c r="B293" i="5"/>
  <c r="Z292" i="5"/>
  <c r="U292" i="5"/>
  <c r="Q292" i="5"/>
  <c r="P292" i="5"/>
  <c r="O292" i="5"/>
  <c r="N292" i="5"/>
  <c r="M292" i="5"/>
  <c r="L292" i="5"/>
  <c r="K292" i="5"/>
  <c r="J292" i="5"/>
  <c r="I292" i="5"/>
  <c r="H292" i="5"/>
  <c r="G292" i="5"/>
  <c r="F292" i="5"/>
  <c r="E292" i="5"/>
  <c r="D292" i="5"/>
  <c r="C292" i="5"/>
  <c r="B292" i="5"/>
  <c r="Z291" i="5"/>
  <c r="U291" i="5"/>
  <c r="Q291" i="5"/>
  <c r="O291" i="5"/>
  <c r="N291" i="5"/>
  <c r="M291" i="5"/>
  <c r="L291" i="5"/>
  <c r="K291" i="5"/>
  <c r="J291" i="5"/>
  <c r="I291" i="5"/>
  <c r="H291" i="5"/>
  <c r="G291" i="5"/>
  <c r="F291" i="5"/>
  <c r="E291" i="5"/>
  <c r="D291" i="5"/>
  <c r="K291" i="7" s="1"/>
  <c r="C291" i="5"/>
  <c r="B291" i="5"/>
  <c r="Z290" i="5"/>
  <c r="Q290" i="5"/>
  <c r="O290" i="5"/>
  <c r="P291" i="5" s="1"/>
  <c r="N290" i="5"/>
  <c r="M290" i="5"/>
  <c r="L290" i="5"/>
  <c r="K290" i="5"/>
  <c r="J290" i="5"/>
  <c r="I290" i="5"/>
  <c r="H290" i="5"/>
  <c r="G290" i="5"/>
  <c r="F290" i="5"/>
  <c r="E290" i="5"/>
  <c r="D290" i="5"/>
  <c r="K290" i="7" s="1"/>
  <c r="C290" i="5"/>
  <c r="B290" i="5"/>
  <c r="Z289" i="5"/>
  <c r="Q289" i="5"/>
  <c r="P289" i="5"/>
  <c r="O289" i="5"/>
  <c r="P290" i="5" s="1"/>
  <c r="N289" i="5"/>
  <c r="M289" i="5"/>
  <c r="L289" i="5"/>
  <c r="K289" i="5"/>
  <c r="J289" i="5"/>
  <c r="I289" i="5"/>
  <c r="H289" i="5"/>
  <c r="G289" i="5"/>
  <c r="F289" i="5"/>
  <c r="E289" i="5"/>
  <c r="D289" i="5"/>
  <c r="K289" i="7" s="1"/>
  <c r="C289" i="5"/>
  <c r="B289" i="5"/>
  <c r="Z288" i="5"/>
  <c r="U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K288" i="7" s="1"/>
  <c r="C288" i="5"/>
  <c r="B288" i="5"/>
  <c r="Z287" i="5"/>
  <c r="U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K287" i="7" s="1"/>
  <c r="C287" i="5"/>
  <c r="B287" i="5"/>
  <c r="Z286" i="5"/>
  <c r="U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Z285" i="5"/>
  <c r="U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K285" i="7" s="1"/>
  <c r="C285" i="5"/>
  <c r="B285" i="5"/>
  <c r="Z284" i="5"/>
  <c r="U284" i="5"/>
  <c r="Q284" i="5"/>
  <c r="O284" i="5"/>
  <c r="N284" i="5"/>
  <c r="M284" i="5"/>
  <c r="L284" i="5"/>
  <c r="K284" i="5"/>
  <c r="J284" i="5"/>
  <c r="I284" i="5"/>
  <c r="H284" i="5"/>
  <c r="G284" i="5"/>
  <c r="F284" i="5"/>
  <c r="E284" i="5"/>
  <c r="D284" i="5"/>
  <c r="K284" i="7" s="1"/>
  <c r="C284" i="5"/>
  <c r="B284" i="5"/>
  <c r="Z283" i="5"/>
  <c r="Q283" i="5"/>
  <c r="O283" i="5"/>
  <c r="R284" i="5" s="1"/>
  <c r="N283" i="5"/>
  <c r="M283" i="5"/>
  <c r="L283" i="5"/>
  <c r="K283" i="5"/>
  <c r="J283" i="5"/>
  <c r="I283" i="5"/>
  <c r="H283" i="5"/>
  <c r="G283" i="5"/>
  <c r="F283" i="5"/>
  <c r="E283" i="5"/>
  <c r="D283" i="5"/>
  <c r="C283" i="5"/>
  <c r="B283" i="5"/>
  <c r="Z282" i="5"/>
  <c r="Q282" i="5"/>
  <c r="P282" i="5"/>
  <c r="O282" i="5"/>
  <c r="P283" i="5" s="1"/>
  <c r="N282" i="5"/>
  <c r="M282" i="5"/>
  <c r="L282" i="5"/>
  <c r="K282" i="5"/>
  <c r="J282" i="5"/>
  <c r="I282" i="5"/>
  <c r="H282" i="5"/>
  <c r="G282" i="5"/>
  <c r="F282" i="5"/>
  <c r="E282" i="5"/>
  <c r="D282" i="5"/>
  <c r="K282" i="7" s="1"/>
  <c r="C282" i="5"/>
  <c r="B282" i="5"/>
  <c r="Z281" i="5"/>
  <c r="U281" i="5"/>
  <c r="Q281" i="5"/>
  <c r="P281" i="5"/>
  <c r="O281" i="5"/>
  <c r="N281" i="5"/>
  <c r="M281" i="5"/>
  <c r="L281" i="5"/>
  <c r="K281" i="5"/>
  <c r="J281" i="5"/>
  <c r="I281" i="5"/>
  <c r="H281" i="5"/>
  <c r="G281" i="5"/>
  <c r="F281" i="5"/>
  <c r="E281" i="5"/>
  <c r="D281" i="5"/>
  <c r="K281" i="7" s="1"/>
  <c r="C281" i="5"/>
  <c r="R281" i="5" s="1"/>
  <c r="B281" i="5"/>
  <c r="Z280" i="5"/>
  <c r="U280" i="5"/>
  <c r="Q280" i="5"/>
  <c r="O280" i="5"/>
  <c r="N280" i="5"/>
  <c r="M280" i="5"/>
  <c r="L280" i="5"/>
  <c r="K280" i="5"/>
  <c r="J280" i="5"/>
  <c r="I280" i="5"/>
  <c r="H280" i="5"/>
  <c r="G280" i="5"/>
  <c r="F280" i="5"/>
  <c r="E280" i="5"/>
  <c r="D280" i="5"/>
  <c r="C280" i="5"/>
  <c r="B280" i="5"/>
  <c r="Z279" i="5"/>
  <c r="Q279" i="5"/>
  <c r="O279" i="5"/>
  <c r="P280" i="5" s="1"/>
  <c r="N279" i="5"/>
  <c r="M279" i="5"/>
  <c r="L279" i="5"/>
  <c r="K279" i="5"/>
  <c r="J279" i="5"/>
  <c r="I279" i="5"/>
  <c r="H279" i="5"/>
  <c r="G279" i="5"/>
  <c r="F279" i="5"/>
  <c r="E279" i="5"/>
  <c r="D279" i="5"/>
  <c r="K279" i="7" s="1"/>
  <c r="C279" i="5"/>
  <c r="B279" i="5"/>
  <c r="Z278" i="5"/>
  <c r="Q278" i="5"/>
  <c r="O278" i="5"/>
  <c r="P279" i="5" s="1"/>
  <c r="N278" i="5"/>
  <c r="M278" i="5"/>
  <c r="L278" i="5"/>
  <c r="K278" i="5"/>
  <c r="J278" i="5"/>
  <c r="I278" i="5"/>
  <c r="H278" i="5"/>
  <c r="G278" i="5"/>
  <c r="F278" i="5"/>
  <c r="E278" i="5"/>
  <c r="D278" i="5"/>
  <c r="K278" i="7" s="1"/>
  <c r="C278" i="5"/>
  <c r="B278" i="5"/>
  <c r="Z277" i="5"/>
  <c r="Q277" i="5"/>
  <c r="O277" i="5"/>
  <c r="R278" i="5" s="1"/>
  <c r="N277" i="5"/>
  <c r="M277" i="5"/>
  <c r="L277" i="5"/>
  <c r="K277" i="5"/>
  <c r="J277" i="5"/>
  <c r="I277" i="5"/>
  <c r="H277" i="5"/>
  <c r="G277" i="5"/>
  <c r="F277" i="5"/>
  <c r="E277" i="5"/>
  <c r="D277" i="5"/>
  <c r="K277" i="7" s="1"/>
  <c r="C277" i="5"/>
  <c r="B277" i="5"/>
  <c r="Z276" i="5"/>
  <c r="Q276" i="5"/>
  <c r="O276" i="5"/>
  <c r="P277" i="5" s="1"/>
  <c r="N276" i="5"/>
  <c r="M276" i="5"/>
  <c r="L276" i="5"/>
  <c r="K276" i="5"/>
  <c r="J276" i="5"/>
  <c r="I276" i="5"/>
  <c r="H276" i="5"/>
  <c r="G276" i="5"/>
  <c r="F276" i="5"/>
  <c r="E276" i="5"/>
  <c r="D276" i="5"/>
  <c r="K276" i="7" s="1"/>
  <c r="C276" i="5"/>
  <c r="B276" i="5"/>
  <c r="Z275" i="5"/>
  <c r="Q275" i="5"/>
  <c r="P275" i="5"/>
  <c r="O275" i="5"/>
  <c r="P276" i="5" s="1"/>
  <c r="N275" i="5"/>
  <c r="M275" i="5"/>
  <c r="L275" i="5"/>
  <c r="K275" i="5"/>
  <c r="J275" i="5"/>
  <c r="I275" i="5"/>
  <c r="H275" i="5"/>
  <c r="G275" i="5"/>
  <c r="F275" i="5"/>
  <c r="E275" i="5"/>
  <c r="D275" i="5"/>
  <c r="K275" i="7" s="1"/>
  <c r="C275" i="5"/>
  <c r="B275" i="5"/>
  <c r="Z274" i="5"/>
  <c r="U274" i="5"/>
  <c r="Q274" i="5"/>
  <c r="O274" i="5"/>
  <c r="N274" i="5"/>
  <c r="M274" i="5"/>
  <c r="L274" i="5"/>
  <c r="K274" i="5"/>
  <c r="J274" i="5"/>
  <c r="I274" i="5"/>
  <c r="H274" i="5"/>
  <c r="R274" i="5" s="1"/>
  <c r="G274" i="5"/>
  <c r="F274" i="5"/>
  <c r="E274" i="5"/>
  <c r="D274" i="5"/>
  <c r="K274" i="7" s="1"/>
  <c r="C274" i="5"/>
  <c r="B274" i="5"/>
  <c r="Z273" i="5"/>
  <c r="Q273" i="5"/>
  <c r="O273" i="5"/>
  <c r="P274" i="5" s="1"/>
  <c r="N273" i="5"/>
  <c r="M273" i="5"/>
  <c r="L273" i="5"/>
  <c r="K273" i="5"/>
  <c r="J273" i="5"/>
  <c r="I273" i="5"/>
  <c r="H273" i="5"/>
  <c r="G273" i="5"/>
  <c r="F273" i="5"/>
  <c r="E273" i="5"/>
  <c r="D273" i="5"/>
  <c r="K273" i="7" s="1"/>
  <c r="C273" i="5"/>
  <c r="B273" i="5"/>
  <c r="Z272" i="5"/>
  <c r="Q272" i="5"/>
  <c r="O272" i="5"/>
  <c r="P273" i="5" s="1"/>
  <c r="N272" i="5"/>
  <c r="M272" i="5"/>
  <c r="L272" i="5"/>
  <c r="K272" i="5"/>
  <c r="J272" i="5"/>
  <c r="I272" i="5"/>
  <c r="H272" i="5"/>
  <c r="G272" i="5"/>
  <c r="F272" i="5"/>
  <c r="E272" i="5"/>
  <c r="D272" i="5"/>
  <c r="K272" i="7" s="1"/>
  <c r="C272" i="5"/>
  <c r="B272" i="5"/>
  <c r="Z271" i="5"/>
  <c r="Q271" i="5"/>
  <c r="O271" i="5"/>
  <c r="P272" i="5" s="1"/>
  <c r="N271" i="5"/>
  <c r="M271" i="5"/>
  <c r="L271" i="5"/>
  <c r="K271" i="5"/>
  <c r="J271" i="5"/>
  <c r="I271" i="5"/>
  <c r="H271" i="5"/>
  <c r="G271" i="5"/>
  <c r="F271" i="5"/>
  <c r="E271" i="5"/>
  <c r="D271" i="5"/>
  <c r="K271" i="7" s="1"/>
  <c r="C271" i="5"/>
  <c r="B271" i="5"/>
  <c r="Z270" i="5"/>
  <c r="Q270" i="5"/>
  <c r="O270" i="5"/>
  <c r="P271" i="5" s="1"/>
  <c r="N270" i="5"/>
  <c r="M270" i="5"/>
  <c r="L270" i="5"/>
  <c r="K270" i="5"/>
  <c r="J270" i="5"/>
  <c r="I270" i="5"/>
  <c r="H270" i="5"/>
  <c r="G270" i="5"/>
  <c r="F270" i="5"/>
  <c r="E270" i="5"/>
  <c r="D270" i="5"/>
  <c r="K270" i="7" s="1"/>
  <c r="C270" i="5"/>
  <c r="B270" i="5"/>
  <c r="Z269" i="5"/>
  <c r="U269" i="5"/>
  <c r="Q269" i="5"/>
  <c r="O269" i="5"/>
  <c r="P270" i="5" s="1"/>
  <c r="N269" i="5"/>
  <c r="M269" i="5"/>
  <c r="L269" i="5"/>
  <c r="K269" i="5"/>
  <c r="J269" i="5"/>
  <c r="I269" i="5"/>
  <c r="H269" i="5"/>
  <c r="G269" i="5"/>
  <c r="F269" i="5"/>
  <c r="E269" i="5"/>
  <c r="D269" i="5"/>
  <c r="K269" i="7" s="1"/>
  <c r="C269" i="5"/>
  <c r="B269" i="5"/>
  <c r="Z268" i="5"/>
  <c r="Q268" i="5"/>
  <c r="O268" i="5"/>
  <c r="P269" i="5" s="1"/>
  <c r="N268" i="5"/>
  <c r="M268" i="5"/>
  <c r="L268" i="5"/>
  <c r="K268" i="5"/>
  <c r="J268" i="5"/>
  <c r="I268" i="5"/>
  <c r="H268" i="5"/>
  <c r="G268" i="5"/>
  <c r="F268" i="5"/>
  <c r="E268" i="5"/>
  <c r="D268" i="5"/>
  <c r="K268" i="7" s="1"/>
  <c r="C268" i="5"/>
  <c r="B268" i="5"/>
  <c r="Z267" i="5"/>
  <c r="Q267" i="5"/>
  <c r="P267" i="5"/>
  <c r="O267" i="5"/>
  <c r="P268" i="5" s="1"/>
  <c r="N267" i="5"/>
  <c r="M267" i="5"/>
  <c r="L267" i="5"/>
  <c r="K267" i="5"/>
  <c r="J267" i="5"/>
  <c r="I267" i="5"/>
  <c r="H267" i="5"/>
  <c r="G267" i="5"/>
  <c r="F267" i="5"/>
  <c r="E267" i="5"/>
  <c r="D267" i="5"/>
  <c r="K267" i="7" s="1"/>
  <c r="C267" i="5"/>
  <c r="B267" i="5"/>
  <c r="Z266" i="5"/>
  <c r="Q266" i="5"/>
  <c r="O266" i="5"/>
  <c r="U266" i="5" s="1"/>
  <c r="N266" i="5"/>
  <c r="M266" i="5"/>
  <c r="L266" i="5"/>
  <c r="K266" i="5"/>
  <c r="J266" i="5"/>
  <c r="I266" i="5"/>
  <c r="H266" i="5"/>
  <c r="G266" i="5"/>
  <c r="F266" i="5"/>
  <c r="E266" i="5"/>
  <c r="D266" i="5"/>
  <c r="K266" i="7" s="1"/>
  <c r="C266" i="5"/>
  <c r="B266" i="5"/>
  <c r="Z265" i="5"/>
  <c r="Q265" i="5"/>
  <c r="O265" i="5"/>
  <c r="P266" i="5" s="1"/>
  <c r="N265" i="5"/>
  <c r="M265" i="5"/>
  <c r="L265" i="5"/>
  <c r="K265" i="5"/>
  <c r="J265" i="5"/>
  <c r="I265" i="5"/>
  <c r="H265" i="5"/>
  <c r="G265" i="5"/>
  <c r="F265" i="5"/>
  <c r="E265" i="5"/>
  <c r="D265" i="5"/>
  <c r="K265" i="7" s="1"/>
  <c r="C265" i="5"/>
  <c r="B265" i="5"/>
  <c r="Z264" i="5"/>
  <c r="U264" i="5"/>
  <c r="Q264" i="5"/>
  <c r="O264" i="5"/>
  <c r="P265" i="5" s="1"/>
  <c r="N264" i="5"/>
  <c r="M264" i="5"/>
  <c r="L264" i="5"/>
  <c r="K264" i="5"/>
  <c r="J264" i="5"/>
  <c r="I264" i="5"/>
  <c r="H264" i="5"/>
  <c r="G264" i="5"/>
  <c r="F264" i="5"/>
  <c r="E264" i="5"/>
  <c r="D264" i="5"/>
  <c r="C264" i="5"/>
  <c r="B264" i="5"/>
  <c r="Z263" i="5"/>
  <c r="Q263" i="5"/>
  <c r="O263" i="5"/>
  <c r="P264" i="5" s="1"/>
  <c r="N263" i="5"/>
  <c r="M263" i="5"/>
  <c r="L263" i="5"/>
  <c r="K263" i="5"/>
  <c r="J263" i="5"/>
  <c r="I263" i="5"/>
  <c r="H263" i="5"/>
  <c r="G263" i="5"/>
  <c r="F263" i="5"/>
  <c r="E263" i="5"/>
  <c r="D263" i="5"/>
  <c r="K263" i="7" s="1"/>
  <c r="C263" i="5"/>
  <c r="B263" i="5"/>
  <c r="Z262" i="5"/>
  <c r="Q262" i="5"/>
  <c r="O262" i="5"/>
  <c r="R263" i="5" s="1"/>
  <c r="N262" i="5"/>
  <c r="M262" i="5"/>
  <c r="L262" i="5"/>
  <c r="K262" i="5"/>
  <c r="J262" i="5"/>
  <c r="I262" i="5"/>
  <c r="H262" i="5"/>
  <c r="G262" i="5"/>
  <c r="F262" i="5"/>
  <c r="E262" i="5"/>
  <c r="D262" i="5"/>
  <c r="K262" i="7" s="1"/>
  <c r="C262" i="5"/>
  <c r="B262" i="5"/>
  <c r="Z261" i="5"/>
  <c r="U261" i="5"/>
  <c r="Q261" i="5"/>
  <c r="O261" i="5"/>
  <c r="R262" i="5" s="1"/>
  <c r="N261" i="5"/>
  <c r="M261" i="5"/>
  <c r="L261" i="5"/>
  <c r="K261" i="5"/>
  <c r="J261" i="5"/>
  <c r="I261" i="5"/>
  <c r="H261" i="5"/>
  <c r="G261" i="5"/>
  <c r="F261" i="5"/>
  <c r="E261" i="5"/>
  <c r="D261" i="5"/>
  <c r="K261" i="7" s="1"/>
  <c r="C261" i="5"/>
  <c r="B261" i="5"/>
  <c r="Z260" i="5"/>
  <c r="Q260" i="5"/>
  <c r="O260" i="5"/>
  <c r="P261" i="5" s="1"/>
  <c r="N260" i="5"/>
  <c r="M260" i="5"/>
  <c r="L260" i="5"/>
  <c r="K260" i="5"/>
  <c r="J260" i="5"/>
  <c r="I260" i="5"/>
  <c r="H260" i="5"/>
  <c r="G260" i="5"/>
  <c r="F260" i="5"/>
  <c r="E260" i="5"/>
  <c r="D260" i="5"/>
  <c r="K260" i="7" s="1"/>
  <c r="C260" i="5"/>
  <c r="B260" i="5"/>
  <c r="Z259" i="5"/>
  <c r="Q259" i="5"/>
  <c r="O259" i="5"/>
  <c r="P260" i="5" s="1"/>
  <c r="N259" i="5"/>
  <c r="M259" i="5"/>
  <c r="L259" i="5"/>
  <c r="K259" i="5"/>
  <c r="J259" i="5"/>
  <c r="I259" i="5"/>
  <c r="H259" i="5"/>
  <c r="G259" i="5"/>
  <c r="F259" i="5"/>
  <c r="E259" i="5"/>
  <c r="D259" i="5"/>
  <c r="K259" i="7" s="1"/>
  <c r="C259" i="5"/>
  <c r="B259" i="5"/>
  <c r="Z258" i="5"/>
  <c r="Q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K258" i="7" s="1"/>
  <c r="C258" i="5"/>
  <c r="B258" i="5"/>
  <c r="Z257" i="5"/>
  <c r="U257" i="5"/>
  <c r="Q257" i="5"/>
  <c r="O257" i="5"/>
  <c r="P258" i="5" s="1"/>
  <c r="N257" i="5"/>
  <c r="M257" i="5"/>
  <c r="L257" i="5"/>
  <c r="K257" i="5"/>
  <c r="J257" i="5"/>
  <c r="I257" i="5"/>
  <c r="H257" i="5"/>
  <c r="G257" i="5"/>
  <c r="F257" i="5"/>
  <c r="E257" i="5"/>
  <c r="D257" i="5"/>
  <c r="K257" i="7" s="1"/>
  <c r="C257" i="5"/>
  <c r="B257" i="5"/>
  <c r="Z256" i="5"/>
  <c r="Q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K256" i="7" s="1"/>
  <c r="C256" i="5"/>
  <c r="B256" i="5"/>
  <c r="Z255" i="5"/>
  <c r="Q255" i="5"/>
  <c r="O255" i="5"/>
  <c r="P256" i="5" s="1"/>
  <c r="N255" i="5"/>
  <c r="M255" i="5"/>
  <c r="L255" i="5"/>
  <c r="K255" i="5"/>
  <c r="J255" i="5"/>
  <c r="I255" i="5"/>
  <c r="H255" i="5"/>
  <c r="G255" i="5"/>
  <c r="F255" i="5"/>
  <c r="E255" i="5"/>
  <c r="D255" i="5"/>
  <c r="K255" i="7" s="1"/>
  <c r="C255" i="5"/>
  <c r="B255" i="5"/>
  <c r="Z254" i="5"/>
  <c r="Q254" i="5"/>
  <c r="O254" i="5"/>
  <c r="R255" i="5" s="1"/>
  <c r="N254" i="5"/>
  <c r="M254" i="5"/>
  <c r="L254" i="5"/>
  <c r="K254" i="5"/>
  <c r="J254" i="5"/>
  <c r="I254" i="5"/>
  <c r="H254" i="5"/>
  <c r="G254" i="5"/>
  <c r="F254" i="5"/>
  <c r="E254" i="5"/>
  <c r="D254" i="5"/>
  <c r="K254" i="7" s="1"/>
  <c r="C254" i="5"/>
  <c r="R254" i="5" s="1"/>
  <c r="B254" i="5"/>
  <c r="Z253" i="5"/>
  <c r="Q253" i="5"/>
  <c r="O253" i="5"/>
  <c r="P254" i="5" s="1"/>
  <c r="N253" i="5"/>
  <c r="M253" i="5"/>
  <c r="L253" i="5"/>
  <c r="K253" i="5"/>
  <c r="J253" i="5"/>
  <c r="I253" i="5"/>
  <c r="H253" i="5"/>
  <c r="G253" i="5"/>
  <c r="F253" i="5"/>
  <c r="E253" i="5"/>
  <c r="D253" i="5"/>
  <c r="K253" i="7" s="1"/>
  <c r="C253" i="5"/>
  <c r="B253" i="5"/>
  <c r="Z252" i="5"/>
  <c r="Q252" i="5"/>
  <c r="O252" i="5"/>
  <c r="P253" i="5" s="1"/>
  <c r="N252" i="5"/>
  <c r="M252" i="5"/>
  <c r="L252" i="5"/>
  <c r="K252" i="5"/>
  <c r="J252" i="5"/>
  <c r="I252" i="5"/>
  <c r="H252" i="5"/>
  <c r="G252" i="5"/>
  <c r="F252" i="5"/>
  <c r="E252" i="5"/>
  <c r="D252" i="5"/>
  <c r="K252" i="7" s="1"/>
  <c r="C252" i="5"/>
  <c r="B252" i="5"/>
  <c r="Z251" i="5"/>
  <c r="Q251" i="5"/>
  <c r="O251" i="5"/>
  <c r="P252" i="5" s="1"/>
  <c r="N251" i="5"/>
  <c r="M251" i="5"/>
  <c r="L251" i="5"/>
  <c r="K251" i="5"/>
  <c r="J251" i="5"/>
  <c r="I251" i="5"/>
  <c r="H251" i="5"/>
  <c r="G251" i="5"/>
  <c r="F251" i="5"/>
  <c r="E251" i="5"/>
  <c r="D251" i="5"/>
  <c r="K251" i="7" s="1"/>
  <c r="C251" i="5"/>
  <c r="B251" i="5"/>
  <c r="Z250" i="5"/>
  <c r="Q250" i="5"/>
  <c r="R251" i="5" s="1"/>
  <c r="O250" i="5"/>
  <c r="P251" i="5" s="1"/>
  <c r="N250" i="5"/>
  <c r="M250" i="5"/>
  <c r="L250" i="5"/>
  <c r="K250" i="5"/>
  <c r="J250" i="5"/>
  <c r="I250" i="5"/>
  <c r="H250" i="5"/>
  <c r="G250" i="5"/>
  <c r="F250" i="5"/>
  <c r="E250" i="5"/>
  <c r="D250" i="5"/>
  <c r="K250" i="7" s="1"/>
  <c r="C250" i="5"/>
  <c r="B250" i="5"/>
  <c r="Z249" i="5"/>
  <c r="Q249" i="5"/>
  <c r="O249" i="5"/>
  <c r="P250" i="5" s="1"/>
  <c r="N249" i="5"/>
  <c r="M249" i="5"/>
  <c r="L249" i="5"/>
  <c r="K249" i="5"/>
  <c r="J249" i="5"/>
  <c r="I249" i="5"/>
  <c r="H249" i="5"/>
  <c r="G249" i="5"/>
  <c r="F249" i="5"/>
  <c r="E249" i="5"/>
  <c r="D249" i="5"/>
  <c r="K249" i="7" s="1"/>
  <c r="C249" i="5"/>
  <c r="B249" i="5"/>
  <c r="Z248" i="5"/>
  <c r="Q248" i="5"/>
  <c r="O248" i="5"/>
  <c r="P249" i="5" s="1"/>
  <c r="N248" i="5"/>
  <c r="M248" i="5"/>
  <c r="L248" i="5"/>
  <c r="K248" i="5"/>
  <c r="J248" i="5"/>
  <c r="I248" i="5"/>
  <c r="H248" i="5"/>
  <c r="G248" i="5"/>
  <c r="F248" i="5"/>
  <c r="E248" i="5"/>
  <c r="D248" i="5"/>
  <c r="K248" i="7" s="1"/>
  <c r="C248" i="5"/>
  <c r="B248" i="5"/>
  <c r="Z247" i="5"/>
  <c r="U247" i="5"/>
  <c r="Q247" i="5"/>
  <c r="O247" i="5"/>
  <c r="P248" i="5" s="1"/>
  <c r="N247" i="5"/>
  <c r="M247" i="5"/>
  <c r="L247" i="5"/>
  <c r="K247" i="5"/>
  <c r="J247" i="5"/>
  <c r="I247" i="5"/>
  <c r="H247" i="5"/>
  <c r="G247" i="5"/>
  <c r="F247" i="5"/>
  <c r="E247" i="5"/>
  <c r="D247" i="5"/>
  <c r="K247" i="7" s="1"/>
  <c r="C247" i="5"/>
  <c r="B247" i="5"/>
  <c r="Z246" i="5"/>
  <c r="Q246" i="5"/>
  <c r="O246" i="5"/>
  <c r="P247" i="5" s="1"/>
  <c r="N246" i="5"/>
  <c r="M246" i="5"/>
  <c r="L246" i="5"/>
  <c r="K246" i="5"/>
  <c r="J246" i="5"/>
  <c r="I246" i="5"/>
  <c r="H246" i="5"/>
  <c r="G246" i="5"/>
  <c r="F246" i="5"/>
  <c r="E246" i="5"/>
  <c r="D246" i="5"/>
  <c r="K246" i="7" s="1"/>
  <c r="C246" i="5"/>
  <c r="B246" i="5"/>
  <c r="Z245" i="5"/>
  <c r="Q245" i="5"/>
  <c r="O245" i="5"/>
  <c r="P246" i="5" s="1"/>
  <c r="N245" i="5"/>
  <c r="M245" i="5"/>
  <c r="L245" i="5"/>
  <c r="K245" i="5"/>
  <c r="J245" i="5"/>
  <c r="I245" i="5"/>
  <c r="H245" i="5"/>
  <c r="G245" i="5"/>
  <c r="F245" i="5"/>
  <c r="E245" i="5"/>
  <c r="D245" i="5"/>
  <c r="K245" i="7" s="1"/>
  <c r="C245" i="5"/>
  <c r="B245" i="5"/>
  <c r="Z244" i="5"/>
  <c r="Q244" i="5"/>
  <c r="O244" i="5"/>
  <c r="P245" i="5" s="1"/>
  <c r="N244" i="5"/>
  <c r="M244" i="5"/>
  <c r="L244" i="5"/>
  <c r="K244" i="5"/>
  <c r="J244" i="5"/>
  <c r="I244" i="5"/>
  <c r="H244" i="5"/>
  <c r="G244" i="5"/>
  <c r="F244" i="5"/>
  <c r="E244" i="5"/>
  <c r="D244" i="5"/>
  <c r="K244" i="7" s="1"/>
  <c r="C244" i="5"/>
  <c r="B244" i="5"/>
  <c r="Z243" i="5"/>
  <c r="U243" i="5"/>
  <c r="Q243" i="5"/>
  <c r="O243" i="5"/>
  <c r="P244" i="5" s="1"/>
  <c r="N243" i="5"/>
  <c r="M243" i="5"/>
  <c r="L243" i="5"/>
  <c r="K243" i="5"/>
  <c r="J243" i="5"/>
  <c r="I243" i="5"/>
  <c r="H243" i="5"/>
  <c r="G243" i="5"/>
  <c r="F243" i="5"/>
  <c r="E243" i="5"/>
  <c r="D243" i="5"/>
  <c r="K243" i="7" s="1"/>
  <c r="C243" i="5"/>
  <c r="B243" i="5"/>
  <c r="Z242" i="5"/>
  <c r="Q242" i="5"/>
  <c r="O242" i="5"/>
  <c r="P243" i="5" s="1"/>
  <c r="N242" i="5"/>
  <c r="M242" i="5"/>
  <c r="L242" i="5"/>
  <c r="K242" i="5"/>
  <c r="J242" i="5"/>
  <c r="I242" i="5"/>
  <c r="H242" i="5"/>
  <c r="G242" i="5"/>
  <c r="F242" i="5"/>
  <c r="E242" i="5"/>
  <c r="D242" i="5"/>
  <c r="K242" i="7" s="1"/>
  <c r="C242" i="5"/>
  <c r="B242" i="5"/>
  <c r="Z241" i="5"/>
  <c r="Q241" i="5"/>
  <c r="O241" i="5"/>
  <c r="P242" i="5" s="1"/>
  <c r="N241" i="5"/>
  <c r="M241" i="5"/>
  <c r="L241" i="5"/>
  <c r="K241" i="5"/>
  <c r="J241" i="5"/>
  <c r="I241" i="5"/>
  <c r="H241" i="5"/>
  <c r="G241" i="5"/>
  <c r="F241" i="5"/>
  <c r="E241" i="5"/>
  <c r="D241" i="5"/>
  <c r="K241" i="7" s="1"/>
  <c r="C241" i="5"/>
  <c r="B241" i="5"/>
  <c r="Z240" i="5"/>
  <c r="Q240" i="5"/>
  <c r="R241" i="5" s="1"/>
  <c r="O240" i="5"/>
  <c r="P241" i="5" s="1"/>
  <c r="N240" i="5"/>
  <c r="M240" i="5"/>
  <c r="L240" i="5"/>
  <c r="K240" i="5"/>
  <c r="J240" i="5"/>
  <c r="I240" i="5"/>
  <c r="H240" i="5"/>
  <c r="G240" i="5"/>
  <c r="F240" i="5"/>
  <c r="E240" i="5"/>
  <c r="D240" i="5"/>
  <c r="K240" i="7" s="1"/>
  <c r="C240" i="5"/>
  <c r="B240" i="5"/>
  <c r="Z239" i="5"/>
  <c r="U239" i="5"/>
  <c r="Q239" i="5"/>
  <c r="O239" i="5"/>
  <c r="P240" i="5" s="1"/>
  <c r="N239" i="5"/>
  <c r="M239" i="5"/>
  <c r="L239" i="5"/>
  <c r="K239" i="5"/>
  <c r="J239" i="5"/>
  <c r="I239" i="5"/>
  <c r="H239" i="5"/>
  <c r="G239" i="5"/>
  <c r="F239" i="5"/>
  <c r="E239" i="5"/>
  <c r="D239" i="5"/>
  <c r="K239" i="7" s="1"/>
  <c r="C239" i="5"/>
  <c r="B239" i="5"/>
  <c r="Z238" i="5"/>
  <c r="Q238" i="5"/>
  <c r="O238" i="5"/>
  <c r="P239" i="5" s="1"/>
  <c r="N238" i="5"/>
  <c r="M238" i="5"/>
  <c r="L238" i="5"/>
  <c r="K238" i="5"/>
  <c r="J238" i="5"/>
  <c r="I238" i="5"/>
  <c r="H238" i="5"/>
  <c r="G238" i="5"/>
  <c r="F238" i="5"/>
  <c r="E238" i="5"/>
  <c r="D238" i="5"/>
  <c r="K238" i="7" s="1"/>
  <c r="C238" i="5"/>
  <c r="B238" i="5"/>
  <c r="Z237" i="5"/>
  <c r="Q237" i="5"/>
  <c r="O237" i="5"/>
  <c r="P238" i="5" s="1"/>
  <c r="N237" i="5"/>
  <c r="M237" i="5"/>
  <c r="L237" i="5"/>
  <c r="K237" i="5"/>
  <c r="J237" i="5"/>
  <c r="I237" i="5"/>
  <c r="H237" i="5"/>
  <c r="G237" i="5"/>
  <c r="F237" i="5"/>
  <c r="E237" i="5"/>
  <c r="D237" i="5"/>
  <c r="K237" i="7" s="1"/>
  <c r="C237" i="5"/>
  <c r="B237" i="5"/>
  <c r="Z236" i="5"/>
  <c r="Q236" i="5"/>
  <c r="O236" i="5"/>
  <c r="P237" i="5" s="1"/>
  <c r="N236" i="5"/>
  <c r="M236" i="5"/>
  <c r="L236" i="5"/>
  <c r="K236" i="5"/>
  <c r="J236" i="5"/>
  <c r="I236" i="5"/>
  <c r="H236" i="5"/>
  <c r="G236" i="5"/>
  <c r="F236" i="5"/>
  <c r="E236" i="5"/>
  <c r="D236" i="5"/>
  <c r="K236" i="7" s="1"/>
  <c r="C236" i="5"/>
  <c r="B236" i="5"/>
  <c r="Z235" i="5"/>
  <c r="Q235" i="5"/>
  <c r="O235" i="5"/>
  <c r="P236" i="5" s="1"/>
  <c r="N235" i="5"/>
  <c r="M235" i="5"/>
  <c r="L235" i="5"/>
  <c r="K235" i="5"/>
  <c r="J235" i="5"/>
  <c r="I235" i="5"/>
  <c r="H235" i="5"/>
  <c r="G235" i="5"/>
  <c r="F235" i="5"/>
  <c r="E235" i="5"/>
  <c r="D235" i="5"/>
  <c r="K235" i="7" s="1"/>
  <c r="C235" i="5"/>
  <c r="B235" i="5"/>
  <c r="Z234" i="5"/>
  <c r="Q234" i="5"/>
  <c r="O234" i="5"/>
  <c r="P235" i="5" s="1"/>
  <c r="N234" i="5"/>
  <c r="M234" i="5"/>
  <c r="L234" i="5"/>
  <c r="K234" i="5"/>
  <c r="J234" i="5"/>
  <c r="I234" i="5"/>
  <c r="H234" i="5"/>
  <c r="G234" i="5"/>
  <c r="F234" i="5"/>
  <c r="E234" i="5"/>
  <c r="D234" i="5"/>
  <c r="K234" i="7" s="1"/>
  <c r="C234" i="5"/>
  <c r="B234" i="5"/>
  <c r="Z233" i="5"/>
  <c r="Q233" i="5"/>
  <c r="O233" i="5"/>
  <c r="P234" i="5" s="1"/>
  <c r="N233" i="5"/>
  <c r="M233" i="5"/>
  <c r="L233" i="5"/>
  <c r="K233" i="5"/>
  <c r="J233" i="5"/>
  <c r="I233" i="5"/>
  <c r="H233" i="5"/>
  <c r="G233" i="5"/>
  <c r="F233" i="5"/>
  <c r="E233" i="5"/>
  <c r="D233" i="5"/>
  <c r="K233" i="7" s="1"/>
  <c r="C233" i="5"/>
  <c r="B233" i="5"/>
  <c r="Z232" i="5"/>
  <c r="Q232" i="5"/>
  <c r="O232" i="5"/>
  <c r="P233" i="5" s="1"/>
  <c r="N232" i="5"/>
  <c r="M232" i="5"/>
  <c r="L232" i="5"/>
  <c r="K232" i="5"/>
  <c r="J232" i="5"/>
  <c r="I232" i="5"/>
  <c r="H232" i="5"/>
  <c r="G232" i="5"/>
  <c r="F232" i="5"/>
  <c r="E232" i="5"/>
  <c r="D232" i="5"/>
  <c r="K232" i="7" s="1"/>
  <c r="C232" i="5"/>
  <c r="B232" i="5"/>
  <c r="Z231" i="5"/>
  <c r="U231" i="5"/>
  <c r="Q231" i="5"/>
  <c r="O231" i="5"/>
  <c r="P232" i="5" s="1"/>
  <c r="N231" i="5"/>
  <c r="M231" i="5"/>
  <c r="L231" i="5"/>
  <c r="K231" i="5"/>
  <c r="J231" i="5"/>
  <c r="I231" i="5"/>
  <c r="H231" i="5"/>
  <c r="G231" i="5"/>
  <c r="F231" i="5"/>
  <c r="E231" i="5"/>
  <c r="D231" i="5"/>
  <c r="K231" i="7" s="1"/>
  <c r="C231" i="5"/>
  <c r="B231" i="5"/>
  <c r="Z230" i="5"/>
  <c r="Q230" i="5"/>
  <c r="O230" i="5"/>
  <c r="P231" i="5" s="1"/>
  <c r="N230" i="5"/>
  <c r="M230" i="5"/>
  <c r="L230" i="5"/>
  <c r="K230" i="5"/>
  <c r="J230" i="5"/>
  <c r="I230" i="5"/>
  <c r="H230" i="5"/>
  <c r="G230" i="5"/>
  <c r="F230" i="5"/>
  <c r="E230" i="5"/>
  <c r="D230" i="5"/>
  <c r="K230" i="7" s="1"/>
  <c r="C230" i="5"/>
  <c r="B230" i="5"/>
  <c r="Z229" i="5"/>
  <c r="R229" i="5"/>
  <c r="Q229" i="5"/>
  <c r="O229" i="5"/>
  <c r="P230" i="5" s="1"/>
  <c r="N229" i="5"/>
  <c r="M229" i="5"/>
  <c r="L229" i="5"/>
  <c r="K229" i="5"/>
  <c r="J229" i="5"/>
  <c r="I229" i="5"/>
  <c r="H229" i="5"/>
  <c r="G229" i="5"/>
  <c r="F229" i="5"/>
  <c r="E229" i="5"/>
  <c r="D229" i="5"/>
  <c r="K229" i="7" s="1"/>
  <c r="C229" i="5"/>
  <c r="B229" i="5"/>
  <c r="Z228" i="5"/>
  <c r="Q228" i="5"/>
  <c r="O228" i="5"/>
  <c r="P229" i="5" s="1"/>
  <c r="N228" i="5"/>
  <c r="M228" i="5"/>
  <c r="L228" i="5"/>
  <c r="K228" i="5"/>
  <c r="J228" i="5"/>
  <c r="I228" i="5"/>
  <c r="H228" i="5"/>
  <c r="G228" i="5"/>
  <c r="F228" i="5"/>
  <c r="E228" i="5"/>
  <c r="D228" i="5"/>
  <c r="K228" i="7" s="1"/>
  <c r="C228" i="5"/>
  <c r="B228" i="5"/>
  <c r="Z227" i="5"/>
  <c r="Q227" i="5"/>
  <c r="O227" i="5"/>
  <c r="P228" i="5" s="1"/>
  <c r="N227" i="5"/>
  <c r="M227" i="5"/>
  <c r="L227" i="5"/>
  <c r="K227" i="5"/>
  <c r="J227" i="5"/>
  <c r="I227" i="5"/>
  <c r="H227" i="5"/>
  <c r="G227" i="5"/>
  <c r="F227" i="5"/>
  <c r="E227" i="5"/>
  <c r="D227" i="5"/>
  <c r="K227" i="7" s="1"/>
  <c r="C227" i="5"/>
  <c r="B227" i="5"/>
  <c r="Z226" i="5"/>
  <c r="Q226" i="5"/>
  <c r="O226" i="5"/>
  <c r="P227" i="5" s="1"/>
  <c r="N226" i="5"/>
  <c r="M226" i="5"/>
  <c r="L226" i="5"/>
  <c r="K226" i="5"/>
  <c r="J226" i="5"/>
  <c r="I226" i="5"/>
  <c r="H226" i="5"/>
  <c r="G226" i="5"/>
  <c r="F226" i="5"/>
  <c r="E226" i="5"/>
  <c r="D226" i="5"/>
  <c r="K226" i="7" s="1"/>
  <c r="C226" i="5"/>
  <c r="B226" i="5"/>
  <c r="Z225" i="5"/>
  <c r="Q225" i="5"/>
  <c r="O225" i="5"/>
  <c r="P226" i="5" s="1"/>
  <c r="N225" i="5"/>
  <c r="M225" i="5"/>
  <c r="L225" i="5"/>
  <c r="K225" i="5"/>
  <c r="J225" i="5"/>
  <c r="I225" i="5"/>
  <c r="H225" i="5"/>
  <c r="G225" i="5"/>
  <c r="F225" i="5"/>
  <c r="E225" i="5"/>
  <c r="D225" i="5"/>
  <c r="K225" i="7" s="1"/>
  <c r="C225" i="5"/>
  <c r="B225" i="5"/>
  <c r="Z224" i="5"/>
  <c r="Q224" i="5"/>
  <c r="O224" i="5"/>
  <c r="P225" i="5" s="1"/>
  <c r="N224" i="5"/>
  <c r="M224" i="5"/>
  <c r="L224" i="5"/>
  <c r="K224" i="5"/>
  <c r="J224" i="5"/>
  <c r="I224" i="5"/>
  <c r="H224" i="5"/>
  <c r="G224" i="5"/>
  <c r="F224" i="5"/>
  <c r="E224" i="5"/>
  <c r="D224" i="5"/>
  <c r="K224" i="7" s="1"/>
  <c r="C224" i="5"/>
  <c r="B224" i="5"/>
  <c r="Z223" i="5"/>
  <c r="U223" i="5"/>
  <c r="Q223" i="5"/>
  <c r="O223" i="5"/>
  <c r="P224" i="5" s="1"/>
  <c r="N223" i="5"/>
  <c r="M223" i="5"/>
  <c r="L223" i="5"/>
  <c r="K223" i="5"/>
  <c r="J223" i="5"/>
  <c r="I223" i="5"/>
  <c r="H223" i="5"/>
  <c r="G223" i="5"/>
  <c r="F223" i="5"/>
  <c r="E223" i="5"/>
  <c r="D223" i="5"/>
  <c r="K223" i="7" s="1"/>
  <c r="C223" i="5"/>
  <c r="B223" i="5"/>
  <c r="Z222" i="5"/>
  <c r="Q222" i="5"/>
  <c r="O222" i="5"/>
  <c r="P223" i="5" s="1"/>
  <c r="N222" i="5"/>
  <c r="M222" i="5"/>
  <c r="L222" i="5"/>
  <c r="K222" i="5"/>
  <c r="J222" i="5"/>
  <c r="I222" i="5"/>
  <c r="H222" i="5"/>
  <c r="G222" i="5"/>
  <c r="F222" i="5"/>
  <c r="E222" i="5"/>
  <c r="D222" i="5"/>
  <c r="K222" i="7" s="1"/>
  <c r="C222" i="5"/>
  <c r="B222" i="5"/>
  <c r="Z221" i="5"/>
  <c r="Q221" i="5"/>
  <c r="O221" i="5"/>
  <c r="P222" i="5" s="1"/>
  <c r="N221" i="5"/>
  <c r="M221" i="5"/>
  <c r="L221" i="5"/>
  <c r="K221" i="5"/>
  <c r="J221" i="5"/>
  <c r="I221" i="5"/>
  <c r="H221" i="5"/>
  <c r="G221" i="5"/>
  <c r="F221" i="5"/>
  <c r="E221" i="5"/>
  <c r="D221" i="5"/>
  <c r="K221" i="7" s="1"/>
  <c r="C221" i="5"/>
  <c r="B221" i="5"/>
  <c r="Z220" i="5"/>
  <c r="Q220" i="5"/>
  <c r="O220" i="5"/>
  <c r="P221" i="5" s="1"/>
  <c r="N220" i="5"/>
  <c r="M220" i="5"/>
  <c r="L220" i="5"/>
  <c r="K220" i="5"/>
  <c r="J220" i="5"/>
  <c r="I220" i="5"/>
  <c r="H220" i="5"/>
  <c r="G220" i="5"/>
  <c r="F220" i="5"/>
  <c r="E220" i="5"/>
  <c r="D220" i="5"/>
  <c r="K220" i="7" s="1"/>
  <c r="C220" i="5"/>
  <c r="B220" i="5"/>
  <c r="Z219" i="5"/>
  <c r="U219" i="5"/>
  <c r="Q219" i="5"/>
  <c r="O219" i="5"/>
  <c r="P220" i="5" s="1"/>
  <c r="N219" i="5"/>
  <c r="M219" i="5"/>
  <c r="L219" i="5"/>
  <c r="K219" i="5"/>
  <c r="J219" i="5"/>
  <c r="I219" i="5"/>
  <c r="H219" i="5"/>
  <c r="G219" i="5"/>
  <c r="F219" i="5"/>
  <c r="E219" i="5"/>
  <c r="D219" i="5"/>
  <c r="K219" i="7" s="1"/>
  <c r="C219" i="5"/>
  <c r="B219" i="5"/>
  <c r="Z218" i="5"/>
  <c r="Q218" i="5"/>
  <c r="O218" i="5"/>
  <c r="P219" i="5" s="1"/>
  <c r="N218" i="5"/>
  <c r="M218" i="5"/>
  <c r="L218" i="5"/>
  <c r="K218" i="5"/>
  <c r="J218" i="5"/>
  <c r="I218" i="5"/>
  <c r="H218" i="5"/>
  <c r="G218" i="5"/>
  <c r="F218" i="5"/>
  <c r="E218" i="5"/>
  <c r="D218" i="5"/>
  <c r="K218" i="7" s="1"/>
  <c r="C218" i="5"/>
  <c r="B218" i="5"/>
  <c r="Z217" i="5"/>
  <c r="Q217" i="5"/>
  <c r="O217" i="5"/>
  <c r="P218" i="5" s="1"/>
  <c r="N217" i="5"/>
  <c r="M217" i="5"/>
  <c r="L217" i="5"/>
  <c r="K217" i="5"/>
  <c r="J217" i="5"/>
  <c r="I217" i="5"/>
  <c r="H217" i="5"/>
  <c r="G217" i="5"/>
  <c r="F217" i="5"/>
  <c r="E217" i="5"/>
  <c r="D217" i="5"/>
  <c r="K217" i="7" s="1"/>
  <c r="C217" i="5"/>
  <c r="B217" i="5"/>
  <c r="Z216" i="5"/>
  <c r="R216" i="5"/>
  <c r="Q216" i="5"/>
  <c r="O216" i="5"/>
  <c r="P217" i="5" s="1"/>
  <c r="N216" i="5"/>
  <c r="M216" i="5"/>
  <c r="L216" i="5"/>
  <c r="K216" i="5"/>
  <c r="J216" i="5"/>
  <c r="I216" i="5"/>
  <c r="H216" i="5"/>
  <c r="G216" i="5"/>
  <c r="F216" i="5"/>
  <c r="E216" i="5"/>
  <c r="D216" i="5"/>
  <c r="K216" i="7" s="1"/>
  <c r="C216" i="5"/>
  <c r="B216" i="5"/>
  <c r="Z215" i="5"/>
  <c r="Q215" i="5"/>
  <c r="O215" i="5"/>
  <c r="P216" i="5" s="1"/>
  <c r="N215" i="5"/>
  <c r="M215" i="5"/>
  <c r="L215" i="5"/>
  <c r="K215" i="5"/>
  <c r="J215" i="5"/>
  <c r="I215" i="5"/>
  <c r="H215" i="5"/>
  <c r="G215" i="5"/>
  <c r="F215" i="5"/>
  <c r="E215" i="5"/>
  <c r="D215" i="5"/>
  <c r="K215" i="7" s="1"/>
  <c r="C215" i="5"/>
  <c r="B215" i="5"/>
  <c r="Z214" i="5"/>
  <c r="Q214" i="5"/>
  <c r="O214" i="5"/>
  <c r="P215" i="5" s="1"/>
  <c r="N214" i="5"/>
  <c r="M214" i="5"/>
  <c r="L214" i="5"/>
  <c r="K214" i="5"/>
  <c r="J214" i="5"/>
  <c r="I214" i="5"/>
  <c r="H214" i="5"/>
  <c r="G214" i="5"/>
  <c r="F214" i="5"/>
  <c r="E214" i="5"/>
  <c r="D214" i="5"/>
  <c r="K214" i="7" s="1"/>
  <c r="C214" i="5"/>
  <c r="B214" i="5"/>
  <c r="Z213" i="5"/>
  <c r="Q213" i="5"/>
  <c r="O213" i="5"/>
  <c r="P214" i="5" s="1"/>
  <c r="N213" i="5"/>
  <c r="M213" i="5"/>
  <c r="L213" i="5"/>
  <c r="K213" i="5"/>
  <c r="J213" i="5"/>
  <c r="I213" i="5"/>
  <c r="H213" i="5"/>
  <c r="G213" i="5"/>
  <c r="F213" i="5"/>
  <c r="E213" i="5"/>
  <c r="D213" i="5"/>
  <c r="K213" i="7" s="1"/>
  <c r="C213" i="5"/>
  <c r="B213" i="5"/>
  <c r="Z212" i="5"/>
  <c r="Q212" i="5"/>
  <c r="O212" i="5"/>
  <c r="P213" i="5" s="1"/>
  <c r="N212" i="5"/>
  <c r="M212" i="5"/>
  <c r="L212" i="5"/>
  <c r="K212" i="5"/>
  <c r="J212" i="5"/>
  <c r="I212" i="5"/>
  <c r="H212" i="5"/>
  <c r="G212" i="5"/>
  <c r="F212" i="5"/>
  <c r="E212" i="5"/>
  <c r="D212" i="5"/>
  <c r="K212" i="7" s="1"/>
  <c r="C212" i="5"/>
  <c r="B212" i="5"/>
  <c r="Z211" i="5"/>
  <c r="U211" i="5"/>
  <c r="Q211" i="5"/>
  <c r="O211" i="5"/>
  <c r="P212" i="5" s="1"/>
  <c r="N211" i="5"/>
  <c r="M211" i="5"/>
  <c r="L211" i="5"/>
  <c r="K211" i="5"/>
  <c r="J211" i="5"/>
  <c r="I211" i="5"/>
  <c r="H211" i="5"/>
  <c r="G211" i="5"/>
  <c r="F211" i="5"/>
  <c r="E211" i="5"/>
  <c r="D211" i="5"/>
  <c r="K211" i="7" s="1"/>
  <c r="C211" i="5"/>
  <c r="B211" i="5"/>
  <c r="Z210" i="5"/>
  <c r="Q210" i="5"/>
  <c r="O210" i="5"/>
  <c r="P211" i="5" s="1"/>
  <c r="N210" i="5"/>
  <c r="M210" i="5"/>
  <c r="L210" i="5"/>
  <c r="K210" i="5"/>
  <c r="J210" i="5"/>
  <c r="I210" i="5"/>
  <c r="H210" i="5"/>
  <c r="G210" i="5"/>
  <c r="F210" i="5"/>
  <c r="E210" i="5"/>
  <c r="D210" i="5"/>
  <c r="K210" i="7" s="1"/>
  <c r="C210" i="5"/>
  <c r="B210" i="5"/>
  <c r="Z209" i="5"/>
  <c r="Q209" i="5"/>
  <c r="O209" i="5"/>
  <c r="P210" i="5" s="1"/>
  <c r="N209" i="5"/>
  <c r="M209" i="5"/>
  <c r="L209" i="5"/>
  <c r="K209" i="5"/>
  <c r="J209" i="5"/>
  <c r="I209" i="5"/>
  <c r="H209" i="5"/>
  <c r="G209" i="5"/>
  <c r="F209" i="5"/>
  <c r="E209" i="5"/>
  <c r="D209" i="5"/>
  <c r="K209" i="7" s="1"/>
  <c r="C209" i="5"/>
  <c r="B209" i="5"/>
  <c r="Z208" i="5"/>
  <c r="Q208" i="5"/>
  <c r="O208" i="5"/>
  <c r="P209" i="5" s="1"/>
  <c r="N208" i="5"/>
  <c r="M208" i="5"/>
  <c r="L208" i="5"/>
  <c r="K208" i="5"/>
  <c r="J208" i="5"/>
  <c r="I208" i="5"/>
  <c r="H208" i="5"/>
  <c r="G208" i="5"/>
  <c r="F208" i="5"/>
  <c r="E208" i="5"/>
  <c r="D208" i="5"/>
  <c r="K208" i="7" s="1"/>
  <c r="C208" i="5"/>
  <c r="B208" i="5"/>
  <c r="Z207" i="5"/>
  <c r="Q207" i="5"/>
  <c r="O207" i="5"/>
  <c r="R208" i="5" s="1"/>
  <c r="N207" i="5"/>
  <c r="M207" i="5"/>
  <c r="L207" i="5"/>
  <c r="K207" i="5"/>
  <c r="J207" i="5"/>
  <c r="I207" i="5"/>
  <c r="H207" i="5"/>
  <c r="G207" i="5"/>
  <c r="F207" i="5"/>
  <c r="E207" i="5"/>
  <c r="D207" i="5"/>
  <c r="K207" i="7" s="1"/>
  <c r="C207" i="5"/>
  <c r="B207" i="5"/>
  <c r="Z206" i="5"/>
  <c r="Q206" i="5"/>
  <c r="O206" i="5"/>
  <c r="P207" i="5" s="1"/>
  <c r="N206" i="5"/>
  <c r="M206" i="5"/>
  <c r="L206" i="5"/>
  <c r="K206" i="5"/>
  <c r="J206" i="5"/>
  <c r="I206" i="5"/>
  <c r="H206" i="5"/>
  <c r="G206" i="5"/>
  <c r="F206" i="5"/>
  <c r="E206" i="5"/>
  <c r="D206" i="5"/>
  <c r="K206" i="7" s="1"/>
  <c r="C206" i="5"/>
  <c r="B206" i="5"/>
  <c r="Z205" i="5"/>
  <c r="Q205" i="5"/>
  <c r="O205" i="5"/>
  <c r="R206" i="5" s="1"/>
  <c r="N205" i="5"/>
  <c r="M205" i="5"/>
  <c r="L205" i="5"/>
  <c r="K205" i="5"/>
  <c r="J205" i="5"/>
  <c r="I205" i="5"/>
  <c r="H205" i="5"/>
  <c r="G205" i="5"/>
  <c r="F205" i="5"/>
  <c r="E205" i="5"/>
  <c r="D205" i="5"/>
  <c r="K205" i="7" s="1"/>
  <c r="C205" i="5"/>
  <c r="B205" i="5"/>
  <c r="Z204" i="5"/>
  <c r="Q204" i="5"/>
  <c r="P204" i="5"/>
  <c r="O204" i="5"/>
  <c r="P205" i="5" s="1"/>
  <c r="N204" i="5"/>
  <c r="M204" i="5"/>
  <c r="L204" i="5"/>
  <c r="K204" i="5"/>
  <c r="J204" i="5"/>
  <c r="I204" i="5"/>
  <c r="H204" i="5"/>
  <c r="G204" i="5"/>
  <c r="F204" i="5"/>
  <c r="E204" i="5"/>
  <c r="D204" i="5"/>
  <c r="K204" i="7" s="1"/>
  <c r="C204" i="5"/>
  <c r="B204" i="5"/>
  <c r="Z203" i="5"/>
  <c r="U203" i="5"/>
  <c r="Q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K203" i="7" s="1"/>
  <c r="C203" i="5"/>
  <c r="B203" i="5"/>
  <c r="Z202" i="5"/>
  <c r="Q202" i="5"/>
  <c r="O202" i="5"/>
  <c r="P203" i="5" s="1"/>
  <c r="N202" i="5"/>
  <c r="M202" i="5"/>
  <c r="L202" i="5"/>
  <c r="K202" i="5"/>
  <c r="J202" i="5"/>
  <c r="I202" i="5"/>
  <c r="H202" i="5"/>
  <c r="G202" i="5"/>
  <c r="F202" i="5"/>
  <c r="E202" i="5"/>
  <c r="D202" i="5"/>
  <c r="K202" i="7" s="1"/>
  <c r="C202" i="5"/>
  <c r="B202" i="5"/>
  <c r="Z201" i="5"/>
  <c r="Q201" i="5"/>
  <c r="O201" i="5"/>
  <c r="P202" i="5" s="1"/>
  <c r="N201" i="5"/>
  <c r="M201" i="5"/>
  <c r="L201" i="5"/>
  <c r="K201" i="5"/>
  <c r="J201" i="5"/>
  <c r="I201" i="5"/>
  <c r="H201" i="5"/>
  <c r="G201" i="5"/>
  <c r="F201" i="5"/>
  <c r="E201" i="5"/>
  <c r="D201" i="5"/>
  <c r="K201" i="7" s="1"/>
  <c r="C201" i="5"/>
  <c r="B201" i="5"/>
  <c r="Z200" i="5"/>
  <c r="Q200" i="5"/>
  <c r="O200" i="5"/>
  <c r="P201" i="5" s="1"/>
  <c r="N200" i="5"/>
  <c r="M200" i="5"/>
  <c r="L200" i="5"/>
  <c r="K200" i="5"/>
  <c r="J200" i="5"/>
  <c r="I200" i="5"/>
  <c r="H200" i="5"/>
  <c r="G200" i="5"/>
  <c r="F200" i="5"/>
  <c r="E200" i="5"/>
  <c r="D200" i="5"/>
  <c r="K200" i="7" s="1"/>
  <c r="C200" i="5"/>
  <c r="B200" i="5"/>
  <c r="Z199" i="5"/>
  <c r="Q199" i="5"/>
  <c r="O199" i="5"/>
  <c r="P200" i="5" s="1"/>
  <c r="N199" i="5"/>
  <c r="M199" i="5"/>
  <c r="L199" i="5"/>
  <c r="K199" i="5"/>
  <c r="J199" i="5"/>
  <c r="I199" i="5"/>
  <c r="H199" i="5"/>
  <c r="G199" i="5"/>
  <c r="F199" i="5"/>
  <c r="E199" i="5"/>
  <c r="D199" i="5"/>
  <c r="K199" i="7" s="1"/>
  <c r="C199" i="5"/>
  <c r="B199" i="5"/>
  <c r="Z198" i="5"/>
  <c r="Q198" i="5"/>
  <c r="O198" i="5"/>
  <c r="P199" i="5" s="1"/>
  <c r="N198" i="5"/>
  <c r="M198" i="5"/>
  <c r="L198" i="5"/>
  <c r="K198" i="5"/>
  <c r="J198" i="5"/>
  <c r="I198" i="5"/>
  <c r="H198" i="5"/>
  <c r="G198" i="5"/>
  <c r="F198" i="5"/>
  <c r="E198" i="5"/>
  <c r="D198" i="5"/>
  <c r="K198" i="7" s="1"/>
  <c r="C198" i="5"/>
  <c r="B198" i="5"/>
  <c r="Z197" i="5"/>
  <c r="Q197" i="5"/>
  <c r="O197" i="5"/>
  <c r="P198" i="5" s="1"/>
  <c r="N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Z196" i="5"/>
  <c r="Q196" i="5"/>
  <c r="O196" i="5"/>
  <c r="P197" i="5" s="1"/>
  <c r="N196" i="5"/>
  <c r="M196" i="5"/>
  <c r="L196" i="5"/>
  <c r="K196" i="5"/>
  <c r="J196" i="5"/>
  <c r="I196" i="5"/>
  <c r="H196" i="5"/>
  <c r="G196" i="5"/>
  <c r="F196" i="5"/>
  <c r="E196" i="5"/>
  <c r="D196" i="5"/>
  <c r="K196" i="7" s="1"/>
  <c r="C196" i="5"/>
  <c r="B196" i="5"/>
  <c r="Z195" i="5"/>
  <c r="Q195" i="5"/>
  <c r="O195" i="5"/>
  <c r="P196" i="5" s="1"/>
  <c r="N195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Z194" i="5"/>
  <c r="Q194" i="5"/>
  <c r="O194" i="5"/>
  <c r="P195" i="5" s="1"/>
  <c r="N194" i="5"/>
  <c r="M194" i="5"/>
  <c r="L194" i="5"/>
  <c r="K194" i="5"/>
  <c r="J194" i="5"/>
  <c r="I194" i="5"/>
  <c r="H194" i="5"/>
  <c r="G194" i="5"/>
  <c r="F194" i="5"/>
  <c r="E194" i="5"/>
  <c r="D194" i="5"/>
  <c r="K194" i="7" s="1"/>
  <c r="C194" i="5"/>
  <c r="B194" i="5"/>
  <c r="Z193" i="5"/>
  <c r="U193" i="5"/>
  <c r="Q193" i="5"/>
  <c r="O193" i="5"/>
  <c r="P194" i="5" s="1"/>
  <c r="N193" i="5"/>
  <c r="M193" i="5"/>
  <c r="L193" i="5"/>
  <c r="K193" i="5"/>
  <c r="J193" i="5"/>
  <c r="I193" i="5"/>
  <c r="H193" i="5"/>
  <c r="G193" i="5"/>
  <c r="F193" i="5"/>
  <c r="E193" i="5"/>
  <c r="D193" i="5"/>
  <c r="K193" i="7" s="1"/>
  <c r="C193" i="5"/>
  <c r="B193" i="5"/>
  <c r="Z192" i="5"/>
  <c r="Q192" i="5"/>
  <c r="O192" i="5"/>
  <c r="P193" i="5" s="1"/>
  <c r="N192" i="5"/>
  <c r="M192" i="5"/>
  <c r="L192" i="5"/>
  <c r="K192" i="5"/>
  <c r="J192" i="5"/>
  <c r="I192" i="5"/>
  <c r="H192" i="5"/>
  <c r="G192" i="5"/>
  <c r="F192" i="5"/>
  <c r="E192" i="5"/>
  <c r="D192" i="5"/>
  <c r="K192" i="7" s="1"/>
  <c r="C192" i="5"/>
  <c r="B192" i="5"/>
  <c r="Z191" i="5"/>
  <c r="Q191" i="5"/>
  <c r="O191" i="5"/>
  <c r="P192" i="5" s="1"/>
  <c r="N191" i="5"/>
  <c r="M191" i="5"/>
  <c r="L191" i="5"/>
  <c r="K191" i="5"/>
  <c r="J191" i="5"/>
  <c r="I191" i="5"/>
  <c r="H191" i="5"/>
  <c r="G191" i="5"/>
  <c r="F191" i="5"/>
  <c r="E191" i="5"/>
  <c r="D191" i="5"/>
  <c r="K191" i="7" s="1"/>
  <c r="C191" i="5"/>
  <c r="B191" i="5"/>
  <c r="Z190" i="5"/>
  <c r="Q190" i="5"/>
  <c r="O190" i="5"/>
  <c r="P191" i="5" s="1"/>
  <c r="N190" i="5"/>
  <c r="M190" i="5"/>
  <c r="L190" i="5"/>
  <c r="K190" i="5"/>
  <c r="J190" i="5"/>
  <c r="I190" i="5"/>
  <c r="H190" i="5"/>
  <c r="G190" i="5"/>
  <c r="F190" i="5"/>
  <c r="E190" i="5"/>
  <c r="D190" i="5"/>
  <c r="K190" i="7" s="1"/>
  <c r="C190" i="5"/>
  <c r="B190" i="5"/>
  <c r="Z189" i="5"/>
  <c r="Q189" i="5"/>
  <c r="O189" i="5"/>
  <c r="P190" i="5" s="1"/>
  <c r="N189" i="5"/>
  <c r="M189" i="5"/>
  <c r="L189" i="5"/>
  <c r="K189" i="5"/>
  <c r="J189" i="5"/>
  <c r="I189" i="5"/>
  <c r="H189" i="5"/>
  <c r="G189" i="5"/>
  <c r="F189" i="5"/>
  <c r="E189" i="5"/>
  <c r="D189" i="5"/>
  <c r="K189" i="7" s="1"/>
  <c r="C189" i="5"/>
  <c r="B189" i="5"/>
  <c r="Z188" i="5"/>
  <c r="Q188" i="5"/>
  <c r="P188" i="5"/>
  <c r="O188" i="5"/>
  <c r="P189" i="5" s="1"/>
  <c r="N188" i="5"/>
  <c r="M188" i="5"/>
  <c r="L188" i="5"/>
  <c r="K188" i="5"/>
  <c r="J188" i="5"/>
  <c r="I188" i="5"/>
  <c r="H188" i="5"/>
  <c r="G188" i="5"/>
  <c r="F188" i="5"/>
  <c r="E188" i="5"/>
  <c r="D188" i="5"/>
  <c r="K188" i="7" s="1"/>
  <c r="C188" i="5"/>
  <c r="B188" i="5"/>
  <c r="Z187" i="5"/>
  <c r="U187" i="5"/>
  <c r="Q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K187" i="7" s="1"/>
  <c r="C187" i="5"/>
  <c r="B187" i="5"/>
  <c r="Z186" i="5"/>
  <c r="Q186" i="5"/>
  <c r="O186" i="5"/>
  <c r="P187" i="5" s="1"/>
  <c r="N186" i="5"/>
  <c r="M186" i="5"/>
  <c r="L186" i="5"/>
  <c r="K186" i="5"/>
  <c r="J186" i="5"/>
  <c r="I186" i="5"/>
  <c r="H186" i="5"/>
  <c r="G186" i="5"/>
  <c r="F186" i="5"/>
  <c r="E186" i="5"/>
  <c r="D186" i="5"/>
  <c r="K186" i="7" s="1"/>
  <c r="C186" i="5"/>
  <c r="B186" i="5"/>
  <c r="Z185" i="5"/>
  <c r="Q185" i="5"/>
  <c r="O185" i="5"/>
  <c r="P186" i="5" s="1"/>
  <c r="N185" i="5"/>
  <c r="M185" i="5"/>
  <c r="L185" i="5"/>
  <c r="K185" i="5"/>
  <c r="J185" i="5"/>
  <c r="I185" i="5"/>
  <c r="H185" i="5"/>
  <c r="G185" i="5"/>
  <c r="F185" i="5"/>
  <c r="E185" i="5"/>
  <c r="D185" i="5"/>
  <c r="K185" i="7" s="1"/>
  <c r="C185" i="5"/>
  <c r="B185" i="5"/>
  <c r="Z184" i="5"/>
  <c r="Q184" i="5"/>
  <c r="O184" i="5"/>
  <c r="P185" i="5" s="1"/>
  <c r="N184" i="5"/>
  <c r="M184" i="5"/>
  <c r="L184" i="5"/>
  <c r="K184" i="5"/>
  <c r="J184" i="5"/>
  <c r="I184" i="5"/>
  <c r="H184" i="5"/>
  <c r="G184" i="5"/>
  <c r="F184" i="5"/>
  <c r="E184" i="5"/>
  <c r="D184" i="5"/>
  <c r="K184" i="7" s="1"/>
  <c r="C184" i="5"/>
  <c r="B184" i="5"/>
  <c r="Z183" i="5"/>
  <c r="U183" i="5"/>
  <c r="Q183" i="5"/>
  <c r="O183" i="5"/>
  <c r="P184" i="5" s="1"/>
  <c r="N183" i="5"/>
  <c r="M183" i="5"/>
  <c r="L183" i="5"/>
  <c r="K183" i="5"/>
  <c r="J183" i="5"/>
  <c r="I183" i="5"/>
  <c r="H183" i="5"/>
  <c r="G183" i="5"/>
  <c r="F183" i="5"/>
  <c r="E183" i="5"/>
  <c r="D183" i="5"/>
  <c r="K183" i="7" s="1"/>
  <c r="C183" i="5"/>
  <c r="B183" i="5"/>
  <c r="Z182" i="5"/>
  <c r="Q182" i="5"/>
  <c r="O182" i="5"/>
  <c r="P183" i="5" s="1"/>
  <c r="N182" i="5"/>
  <c r="M182" i="5"/>
  <c r="L182" i="5"/>
  <c r="K182" i="5"/>
  <c r="J182" i="5"/>
  <c r="I182" i="5"/>
  <c r="H182" i="5"/>
  <c r="G182" i="5"/>
  <c r="F182" i="5"/>
  <c r="E182" i="5"/>
  <c r="D182" i="5"/>
  <c r="K182" i="7" s="1"/>
  <c r="C182" i="5"/>
  <c r="B182" i="5"/>
  <c r="Z181" i="5"/>
  <c r="Q181" i="5"/>
  <c r="O181" i="5"/>
  <c r="P182" i="5" s="1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Z180" i="5"/>
  <c r="Q180" i="5"/>
  <c r="O180" i="5"/>
  <c r="P181" i="5" s="1"/>
  <c r="N180" i="5"/>
  <c r="M180" i="5"/>
  <c r="L180" i="5"/>
  <c r="K180" i="5"/>
  <c r="J180" i="5"/>
  <c r="I180" i="5"/>
  <c r="H180" i="5"/>
  <c r="G180" i="5"/>
  <c r="F180" i="5"/>
  <c r="E180" i="5"/>
  <c r="D180" i="5"/>
  <c r="K180" i="7" s="1"/>
  <c r="C180" i="5"/>
  <c r="B180" i="5"/>
  <c r="Z179" i="5"/>
  <c r="Q179" i="5"/>
  <c r="O179" i="5"/>
  <c r="P180" i="5" s="1"/>
  <c r="N179" i="5"/>
  <c r="M179" i="5"/>
  <c r="L179" i="5"/>
  <c r="K179" i="5"/>
  <c r="J179" i="5"/>
  <c r="I179" i="5"/>
  <c r="H179" i="5"/>
  <c r="G179" i="5"/>
  <c r="F179" i="5"/>
  <c r="E179" i="5"/>
  <c r="D179" i="5"/>
  <c r="K179" i="7" s="1"/>
  <c r="C179" i="5"/>
  <c r="B179" i="5"/>
  <c r="Z178" i="5"/>
  <c r="Q178" i="5"/>
  <c r="O178" i="5"/>
  <c r="P179" i="5" s="1"/>
  <c r="N178" i="5"/>
  <c r="M178" i="5"/>
  <c r="L178" i="5"/>
  <c r="K178" i="5"/>
  <c r="J178" i="5"/>
  <c r="I178" i="5"/>
  <c r="H178" i="5"/>
  <c r="G178" i="5"/>
  <c r="F178" i="5"/>
  <c r="E178" i="5"/>
  <c r="D178" i="5"/>
  <c r="K178" i="7" s="1"/>
  <c r="C178" i="5"/>
  <c r="B178" i="5"/>
  <c r="Z177" i="5"/>
  <c r="Q177" i="5"/>
  <c r="O177" i="5"/>
  <c r="P178" i="5" s="1"/>
  <c r="N177" i="5"/>
  <c r="M177" i="5"/>
  <c r="L177" i="5"/>
  <c r="K177" i="5"/>
  <c r="J177" i="5"/>
  <c r="I177" i="5"/>
  <c r="H177" i="5"/>
  <c r="G177" i="5"/>
  <c r="F177" i="5"/>
  <c r="E177" i="5"/>
  <c r="D177" i="5"/>
  <c r="K177" i="7" s="1"/>
  <c r="C177" i="5"/>
  <c r="B177" i="5"/>
  <c r="Z176" i="5"/>
  <c r="Q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K176" i="7" s="1"/>
  <c r="C176" i="5"/>
  <c r="B176" i="5"/>
  <c r="Z175" i="5"/>
  <c r="Q175" i="5"/>
  <c r="O175" i="5"/>
  <c r="R176" i="5" s="1"/>
  <c r="N175" i="5"/>
  <c r="M175" i="5"/>
  <c r="L175" i="5"/>
  <c r="K175" i="5"/>
  <c r="J175" i="5"/>
  <c r="I175" i="5"/>
  <c r="H175" i="5"/>
  <c r="G175" i="5"/>
  <c r="F175" i="5"/>
  <c r="E175" i="5"/>
  <c r="D175" i="5"/>
  <c r="K175" i="7" s="1"/>
  <c r="C175" i="5"/>
  <c r="B175" i="5"/>
  <c r="Z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K174" i="7" s="1"/>
  <c r="C174" i="5"/>
  <c r="B174" i="5"/>
  <c r="Z173" i="5"/>
  <c r="U173" i="5"/>
  <c r="Q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K173" i="7" s="1"/>
  <c r="C173" i="5"/>
  <c r="B173" i="5"/>
  <c r="Z172" i="5"/>
  <c r="Q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K172" i="7" s="1"/>
  <c r="C172" i="5"/>
  <c r="B172" i="5"/>
  <c r="Z171" i="5"/>
  <c r="Q171" i="5"/>
  <c r="O171" i="5"/>
  <c r="P172" i="5" s="1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Z170" i="5"/>
  <c r="Q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K170" i="7" s="1"/>
  <c r="C170" i="5"/>
  <c r="B170" i="5"/>
  <c r="Z169" i="5"/>
  <c r="Q169" i="5"/>
  <c r="O169" i="5"/>
  <c r="P170" i="5" s="1"/>
  <c r="N169" i="5"/>
  <c r="M169" i="5"/>
  <c r="L169" i="5"/>
  <c r="K169" i="5"/>
  <c r="J169" i="5"/>
  <c r="I169" i="5"/>
  <c r="H169" i="5"/>
  <c r="G169" i="5"/>
  <c r="F169" i="5"/>
  <c r="E169" i="5"/>
  <c r="D169" i="5"/>
  <c r="K169" i="7" s="1"/>
  <c r="C169" i="5"/>
  <c r="B169" i="5"/>
  <c r="Z168" i="5"/>
  <c r="Q168" i="5"/>
  <c r="R169" i="5" s="1"/>
  <c r="O168" i="5"/>
  <c r="N168" i="5"/>
  <c r="M168" i="5"/>
  <c r="L168" i="5"/>
  <c r="K168" i="5"/>
  <c r="J168" i="5"/>
  <c r="I168" i="5"/>
  <c r="H168" i="5"/>
  <c r="G168" i="5"/>
  <c r="F168" i="5"/>
  <c r="E168" i="5"/>
  <c r="D168" i="5"/>
  <c r="K168" i="7" s="1"/>
  <c r="C168" i="5"/>
  <c r="B168" i="5"/>
  <c r="Z167" i="5"/>
  <c r="Q167" i="5"/>
  <c r="O167" i="5"/>
  <c r="R168" i="5" s="1"/>
  <c r="N167" i="5"/>
  <c r="M167" i="5"/>
  <c r="L167" i="5"/>
  <c r="K167" i="5"/>
  <c r="J167" i="5"/>
  <c r="I167" i="5"/>
  <c r="H167" i="5"/>
  <c r="G167" i="5"/>
  <c r="F167" i="5"/>
  <c r="E167" i="5"/>
  <c r="D167" i="5"/>
  <c r="K167" i="7" s="1"/>
  <c r="C167" i="5"/>
  <c r="B167" i="5"/>
  <c r="Z166" i="5"/>
  <c r="Q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Z165" i="5"/>
  <c r="Q165" i="5"/>
  <c r="O165" i="5"/>
  <c r="P166" i="5" s="1"/>
  <c r="N165" i="5"/>
  <c r="M165" i="5"/>
  <c r="L165" i="5"/>
  <c r="K165" i="5"/>
  <c r="J165" i="5"/>
  <c r="I165" i="5"/>
  <c r="H165" i="5"/>
  <c r="G165" i="5"/>
  <c r="F165" i="5"/>
  <c r="E165" i="5"/>
  <c r="D165" i="5"/>
  <c r="K165" i="7" s="1"/>
  <c r="C165" i="5"/>
  <c r="B165" i="5"/>
  <c r="Z164" i="5"/>
  <c r="Q164" i="5"/>
  <c r="O164" i="5"/>
  <c r="R165" i="5" s="1"/>
  <c r="N164" i="5"/>
  <c r="M164" i="5"/>
  <c r="L164" i="5"/>
  <c r="K164" i="5"/>
  <c r="J164" i="5"/>
  <c r="I164" i="5"/>
  <c r="H164" i="5"/>
  <c r="G164" i="5"/>
  <c r="F164" i="5"/>
  <c r="E164" i="5"/>
  <c r="D164" i="5"/>
  <c r="K164" i="7" s="1"/>
  <c r="C164" i="5"/>
  <c r="B164" i="5"/>
  <c r="Z163" i="5"/>
  <c r="Q163" i="5"/>
  <c r="O163" i="5"/>
  <c r="P164" i="5" s="1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Z162" i="5"/>
  <c r="Q162" i="5"/>
  <c r="O162" i="5"/>
  <c r="P163" i="5" s="1"/>
  <c r="N162" i="5"/>
  <c r="M162" i="5"/>
  <c r="L162" i="5"/>
  <c r="K162" i="5"/>
  <c r="J162" i="5"/>
  <c r="I162" i="5"/>
  <c r="H162" i="5"/>
  <c r="G162" i="5"/>
  <c r="F162" i="5"/>
  <c r="E162" i="5"/>
  <c r="D162" i="5"/>
  <c r="K162" i="7" s="1"/>
  <c r="C162" i="5"/>
  <c r="B162" i="5"/>
  <c r="Z161" i="5"/>
  <c r="Q161" i="5"/>
  <c r="O161" i="5"/>
  <c r="P162" i="5" s="1"/>
  <c r="N161" i="5"/>
  <c r="M161" i="5"/>
  <c r="L161" i="5"/>
  <c r="K161" i="5"/>
  <c r="J161" i="5"/>
  <c r="I161" i="5"/>
  <c r="H161" i="5"/>
  <c r="G161" i="5"/>
  <c r="F161" i="5"/>
  <c r="E161" i="5"/>
  <c r="D161" i="5"/>
  <c r="K161" i="7" s="1"/>
  <c r="C161" i="5"/>
  <c r="B161" i="5"/>
  <c r="Z160" i="5"/>
  <c r="Q160" i="5"/>
  <c r="O160" i="5"/>
  <c r="P161" i="5" s="1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Z159" i="5"/>
  <c r="Q159" i="5"/>
  <c r="O159" i="5"/>
  <c r="P160" i="5" s="1"/>
  <c r="N159" i="5"/>
  <c r="M159" i="5"/>
  <c r="L159" i="5"/>
  <c r="K159" i="5"/>
  <c r="J159" i="5"/>
  <c r="I159" i="5"/>
  <c r="H159" i="5"/>
  <c r="G159" i="5"/>
  <c r="F159" i="5"/>
  <c r="E159" i="5"/>
  <c r="D159" i="5"/>
  <c r="K159" i="7" s="1"/>
  <c r="C159" i="5"/>
  <c r="B159" i="5"/>
  <c r="Z158" i="5"/>
  <c r="Q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K158" i="7" s="1"/>
  <c r="C158" i="5"/>
  <c r="B158" i="5"/>
  <c r="Z157" i="5"/>
  <c r="Q157" i="5"/>
  <c r="O157" i="5"/>
  <c r="P158" i="5" s="1"/>
  <c r="N157" i="5"/>
  <c r="M157" i="5"/>
  <c r="L157" i="5"/>
  <c r="K157" i="5"/>
  <c r="J157" i="5"/>
  <c r="I157" i="5"/>
  <c r="H157" i="5"/>
  <c r="G157" i="5"/>
  <c r="F157" i="5"/>
  <c r="E157" i="5"/>
  <c r="D157" i="5"/>
  <c r="K157" i="7" s="1"/>
  <c r="C157" i="5"/>
  <c r="B157" i="5"/>
  <c r="Z156" i="5"/>
  <c r="Q156" i="5"/>
  <c r="O156" i="5"/>
  <c r="P157" i="5" s="1"/>
  <c r="N156" i="5"/>
  <c r="M156" i="5"/>
  <c r="L156" i="5"/>
  <c r="K156" i="5"/>
  <c r="J156" i="5"/>
  <c r="I156" i="5"/>
  <c r="H156" i="5"/>
  <c r="G156" i="5"/>
  <c r="F156" i="5"/>
  <c r="E156" i="5"/>
  <c r="D156" i="5"/>
  <c r="K156" i="7" s="1"/>
  <c r="C156" i="5"/>
  <c r="B156" i="5"/>
  <c r="Z155" i="5"/>
  <c r="Q155" i="5"/>
  <c r="R156" i="5" s="1"/>
  <c r="O155" i="5"/>
  <c r="P156" i="5" s="1"/>
  <c r="N155" i="5"/>
  <c r="M155" i="5"/>
  <c r="L155" i="5"/>
  <c r="K155" i="5"/>
  <c r="J155" i="5"/>
  <c r="I155" i="5"/>
  <c r="H155" i="5"/>
  <c r="G155" i="5"/>
  <c r="F155" i="5"/>
  <c r="E155" i="5"/>
  <c r="D155" i="5"/>
  <c r="K155" i="7" s="1"/>
  <c r="C155" i="5"/>
  <c r="B155" i="5"/>
  <c r="Z154" i="5"/>
  <c r="U154" i="5"/>
  <c r="Q154" i="5"/>
  <c r="O154" i="5"/>
  <c r="P155" i="5" s="1"/>
  <c r="N154" i="5"/>
  <c r="M154" i="5"/>
  <c r="L154" i="5"/>
  <c r="K154" i="5"/>
  <c r="J154" i="5"/>
  <c r="I154" i="5"/>
  <c r="H154" i="5"/>
  <c r="G154" i="5"/>
  <c r="F154" i="5"/>
  <c r="E154" i="5"/>
  <c r="D154" i="5"/>
  <c r="K154" i="7" s="1"/>
  <c r="C154" i="5"/>
  <c r="B154" i="5"/>
  <c r="Z153" i="5"/>
  <c r="U153" i="5"/>
  <c r="Q153" i="5"/>
  <c r="O153" i="5"/>
  <c r="P154" i="5" s="1"/>
  <c r="N153" i="5"/>
  <c r="M153" i="5"/>
  <c r="L153" i="5"/>
  <c r="K153" i="5"/>
  <c r="J153" i="5"/>
  <c r="I153" i="5"/>
  <c r="H153" i="5"/>
  <c r="G153" i="5"/>
  <c r="F153" i="5"/>
  <c r="E153" i="5"/>
  <c r="D153" i="5"/>
  <c r="K153" i="7" s="1"/>
  <c r="C153" i="5"/>
  <c r="B153" i="5"/>
  <c r="Z152" i="5"/>
  <c r="Q152" i="5"/>
  <c r="O152" i="5"/>
  <c r="P153" i="5" s="1"/>
  <c r="N152" i="5"/>
  <c r="M152" i="5"/>
  <c r="L152" i="5"/>
  <c r="K152" i="5"/>
  <c r="J152" i="5"/>
  <c r="I152" i="5"/>
  <c r="H152" i="5"/>
  <c r="G152" i="5"/>
  <c r="F152" i="5"/>
  <c r="E152" i="5"/>
  <c r="D152" i="5"/>
  <c r="K152" i="7" s="1"/>
  <c r="C152" i="5"/>
  <c r="B152" i="5"/>
  <c r="Z151" i="5"/>
  <c r="Q151" i="5"/>
  <c r="O151" i="5"/>
  <c r="P152" i="5" s="1"/>
  <c r="N151" i="5"/>
  <c r="M151" i="5"/>
  <c r="L151" i="5"/>
  <c r="K151" i="5"/>
  <c r="J151" i="5"/>
  <c r="I151" i="5"/>
  <c r="H151" i="5"/>
  <c r="G151" i="5"/>
  <c r="F151" i="5"/>
  <c r="E151" i="5"/>
  <c r="D151" i="5"/>
  <c r="K151" i="7" s="1"/>
  <c r="C151" i="5"/>
  <c r="B151" i="5"/>
  <c r="Z150" i="5"/>
  <c r="Q150" i="5"/>
  <c r="O150" i="5"/>
  <c r="P151" i="5" s="1"/>
  <c r="N150" i="5"/>
  <c r="M150" i="5"/>
  <c r="L150" i="5"/>
  <c r="K150" i="5"/>
  <c r="J150" i="5"/>
  <c r="I150" i="5"/>
  <c r="H150" i="5"/>
  <c r="G150" i="5"/>
  <c r="F150" i="5"/>
  <c r="E150" i="5"/>
  <c r="D150" i="5"/>
  <c r="K150" i="7" s="1"/>
  <c r="C150" i="5"/>
  <c r="B150" i="5"/>
  <c r="Z149" i="5"/>
  <c r="Q149" i="5"/>
  <c r="O149" i="5"/>
  <c r="P150" i="5" s="1"/>
  <c r="N149" i="5"/>
  <c r="M149" i="5"/>
  <c r="L149" i="5"/>
  <c r="K149" i="5"/>
  <c r="J149" i="5"/>
  <c r="I149" i="5"/>
  <c r="H149" i="5"/>
  <c r="G149" i="5"/>
  <c r="F149" i="5"/>
  <c r="E149" i="5"/>
  <c r="D149" i="5"/>
  <c r="K149" i="7" s="1"/>
  <c r="C149" i="5"/>
  <c r="B149" i="5"/>
  <c r="Z148" i="5"/>
  <c r="Q148" i="5"/>
  <c r="O148" i="5"/>
  <c r="P149" i="5" s="1"/>
  <c r="N148" i="5"/>
  <c r="M148" i="5"/>
  <c r="L148" i="5"/>
  <c r="K148" i="5"/>
  <c r="J148" i="5"/>
  <c r="I148" i="5"/>
  <c r="H148" i="5"/>
  <c r="G148" i="5"/>
  <c r="F148" i="5"/>
  <c r="E148" i="5"/>
  <c r="D148" i="5"/>
  <c r="K148" i="7" s="1"/>
  <c r="C148" i="5"/>
  <c r="B148" i="5"/>
  <c r="Z147" i="5"/>
  <c r="Q147" i="5"/>
  <c r="O147" i="5"/>
  <c r="P148" i="5" s="1"/>
  <c r="N147" i="5"/>
  <c r="M147" i="5"/>
  <c r="L147" i="5"/>
  <c r="K147" i="5"/>
  <c r="J147" i="5"/>
  <c r="I147" i="5"/>
  <c r="H147" i="5"/>
  <c r="G147" i="5"/>
  <c r="F147" i="5"/>
  <c r="E147" i="5"/>
  <c r="D147" i="5"/>
  <c r="K147" i="7" s="1"/>
  <c r="C147" i="5"/>
  <c r="B147" i="5"/>
  <c r="Z146" i="5"/>
  <c r="Q146" i="5"/>
  <c r="O146" i="5"/>
  <c r="P147" i="5" s="1"/>
  <c r="N146" i="5"/>
  <c r="M146" i="5"/>
  <c r="L146" i="5"/>
  <c r="K146" i="5"/>
  <c r="J146" i="5"/>
  <c r="I146" i="5"/>
  <c r="H146" i="5"/>
  <c r="G146" i="5"/>
  <c r="F146" i="5"/>
  <c r="E146" i="5"/>
  <c r="D146" i="5"/>
  <c r="K146" i="7" s="1"/>
  <c r="C146" i="5"/>
  <c r="R146" i="5" s="1"/>
  <c r="B146" i="5"/>
  <c r="Z145" i="5"/>
  <c r="U145" i="5"/>
  <c r="Q145" i="5"/>
  <c r="O145" i="5"/>
  <c r="P146" i="5" s="1"/>
  <c r="N145" i="5"/>
  <c r="M145" i="5"/>
  <c r="L145" i="5"/>
  <c r="K145" i="5"/>
  <c r="J145" i="5"/>
  <c r="I145" i="5"/>
  <c r="H145" i="5"/>
  <c r="G145" i="5"/>
  <c r="F145" i="5"/>
  <c r="E145" i="5"/>
  <c r="D145" i="5"/>
  <c r="K145" i="7" s="1"/>
  <c r="C145" i="5"/>
  <c r="B145" i="5"/>
  <c r="Z144" i="5"/>
  <c r="Q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K144" i="7" s="1"/>
  <c r="C144" i="5"/>
  <c r="B144" i="5"/>
  <c r="Z143" i="5"/>
  <c r="U143" i="5"/>
  <c r="Q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K143" i="7" s="1"/>
  <c r="C143" i="5"/>
  <c r="B143" i="5"/>
  <c r="Z142" i="5"/>
  <c r="Q142" i="5"/>
  <c r="O142" i="5"/>
  <c r="P143" i="5" s="1"/>
  <c r="N142" i="5"/>
  <c r="M142" i="5"/>
  <c r="L142" i="5"/>
  <c r="K142" i="5"/>
  <c r="J142" i="5"/>
  <c r="I142" i="5"/>
  <c r="H142" i="5"/>
  <c r="G142" i="5"/>
  <c r="F142" i="5"/>
  <c r="E142" i="5"/>
  <c r="D142" i="5"/>
  <c r="K142" i="7" s="1"/>
  <c r="C142" i="5"/>
  <c r="B142" i="5"/>
  <c r="Z141" i="5"/>
  <c r="U141" i="5"/>
  <c r="Q141" i="5"/>
  <c r="O141" i="5"/>
  <c r="P142" i="5" s="1"/>
  <c r="N141" i="5"/>
  <c r="M141" i="5"/>
  <c r="L141" i="5"/>
  <c r="K141" i="5"/>
  <c r="J141" i="5"/>
  <c r="I141" i="5"/>
  <c r="H141" i="5"/>
  <c r="G141" i="5"/>
  <c r="F141" i="5"/>
  <c r="E141" i="5"/>
  <c r="D141" i="5"/>
  <c r="K141" i="7" s="1"/>
  <c r="C141" i="5"/>
  <c r="B141" i="5"/>
  <c r="Z140" i="5"/>
  <c r="Q140" i="5"/>
  <c r="O140" i="5"/>
  <c r="P141" i="5" s="1"/>
  <c r="N140" i="5"/>
  <c r="M140" i="5"/>
  <c r="L140" i="5"/>
  <c r="K140" i="5"/>
  <c r="J140" i="5"/>
  <c r="I140" i="5"/>
  <c r="H140" i="5"/>
  <c r="G140" i="5"/>
  <c r="F140" i="5"/>
  <c r="E140" i="5"/>
  <c r="D140" i="5"/>
  <c r="K140" i="7" s="1"/>
  <c r="C140" i="5"/>
  <c r="B140" i="5"/>
  <c r="Z139" i="5"/>
  <c r="Q139" i="5"/>
  <c r="O139" i="5"/>
  <c r="U139" i="5" s="1"/>
  <c r="N139" i="5"/>
  <c r="M139" i="5"/>
  <c r="L139" i="5"/>
  <c r="K139" i="5"/>
  <c r="J139" i="5"/>
  <c r="I139" i="5"/>
  <c r="H139" i="5"/>
  <c r="G139" i="5"/>
  <c r="F139" i="5"/>
  <c r="E139" i="5"/>
  <c r="D139" i="5"/>
  <c r="K139" i="7" s="1"/>
  <c r="C139" i="5"/>
  <c r="B139" i="5"/>
  <c r="Z138" i="5"/>
  <c r="Q138" i="5"/>
  <c r="O138" i="5"/>
  <c r="P139" i="5" s="1"/>
  <c r="N138" i="5"/>
  <c r="M138" i="5"/>
  <c r="L138" i="5"/>
  <c r="K138" i="5"/>
  <c r="J138" i="5"/>
  <c r="I138" i="5"/>
  <c r="H138" i="5"/>
  <c r="G138" i="5"/>
  <c r="F138" i="5"/>
  <c r="E138" i="5"/>
  <c r="D138" i="5"/>
  <c r="K138" i="7" s="1"/>
  <c r="C138" i="5"/>
  <c r="B138" i="5"/>
  <c r="Z137" i="5"/>
  <c r="Q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K137" i="7" s="1"/>
  <c r="C137" i="5"/>
  <c r="B137" i="5"/>
  <c r="Z136" i="5"/>
  <c r="Q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K136" i="7" s="1"/>
  <c r="C136" i="5"/>
  <c r="B136" i="5"/>
  <c r="Z135" i="5"/>
  <c r="Q135" i="5"/>
  <c r="O135" i="5"/>
  <c r="U135" i="5" s="1"/>
  <c r="N135" i="5"/>
  <c r="M135" i="5"/>
  <c r="L135" i="5"/>
  <c r="K135" i="5"/>
  <c r="J135" i="5"/>
  <c r="I135" i="5"/>
  <c r="H135" i="5"/>
  <c r="G135" i="5"/>
  <c r="F135" i="5"/>
  <c r="E135" i="5"/>
  <c r="D135" i="5"/>
  <c r="K135" i="7" s="1"/>
  <c r="C135" i="5"/>
  <c r="B135" i="5"/>
  <c r="Z134" i="5"/>
  <c r="Q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K134" i="7" s="1"/>
  <c r="C134" i="5"/>
  <c r="B134" i="5"/>
  <c r="Z133" i="5"/>
  <c r="Q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K133" i="7" s="1"/>
  <c r="C133" i="5"/>
  <c r="B133" i="5"/>
  <c r="Z132" i="5"/>
  <c r="U132" i="5"/>
  <c r="Q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Z131" i="5"/>
  <c r="Q131" i="5"/>
  <c r="O131" i="5"/>
  <c r="P132" i="5" s="1"/>
  <c r="N131" i="5"/>
  <c r="M131" i="5"/>
  <c r="L131" i="5"/>
  <c r="K131" i="5"/>
  <c r="J131" i="5"/>
  <c r="I131" i="5"/>
  <c r="H131" i="5"/>
  <c r="G131" i="5"/>
  <c r="F131" i="5"/>
  <c r="E131" i="5"/>
  <c r="D131" i="5"/>
  <c r="K131" i="7" s="1"/>
  <c r="C131" i="5"/>
  <c r="B131" i="5"/>
  <c r="Z130" i="5"/>
  <c r="Q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Z129" i="5"/>
  <c r="Q129" i="5"/>
  <c r="O129" i="5"/>
  <c r="P130" i="5" s="1"/>
  <c r="N129" i="5"/>
  <c r="M129" i="5"/>
  <c r="L129" i="5"/>
  <c r="K129" i="5"/>
  <c r="J129" i="5"/>
  <c r="I129" i="5"/>
  <c r="H129" i="5"/>
  <c r="G129" i="5"/>
  <c r="F129" i="5"/>
  <c r="E129" i="5"/>
  <c r="D129" i="5"/>
  <c r="K129" i="7" s="1"/>
  <c r="C129" i="5"/>
  <c r="B129" i="5"/>
  <c r="Z128" i="5"/>
  <c r="Q128" i="5"/>
  <c r="O128" i="5"/>
  <c r="P129" i="5" s="1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Z127" i="5"/>
  <c r="U127" i="5"/>
  <c r="Q127" i="5"/>
  <c r="O127" i="5"/>
  <c r="P128" i="5" s="1"/>
  <c r="N127" i="5"/>
  <c r="M127" i="5"/>
  <c r="L127" i="5"/>
  <c r="K127" i="5"/>
  <c r="J127" i="5"/>
  <c r="I127" i="5"/>
  <c r="H127" i="5"/>
  <c r="G127" i="5"/>
  <c r="F127" i="5"/>
  <c r="E127" i="5"/>
  <c r="D127" i="5"/>
  <c r="K127" i="7" s="1"/>
  <c r="C127" i="5"/>
  <c r="B127" i="5"/>
  <c r="Z126" i="5"/>
  <c r="Q126" i="5"/>
  <c r="O126" i="5"/>
  <c r="P127" i="5" s="1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Z125" i="5"/>
  <c r="Q125" i="5"/>
  <c r="O125" i="5"/>
  <c r="P126" i="5" s="1"/>
  <c r="N125" i="5"/>
  <c r="M125" i="5"/>
  <c r="L125" i="5"/>
  <c r="K125" i="5"/>
  <c r="J125" i="5"/>
  <c r="I125" i="5"/>
  <c r="H125" i="5"/>
  <c r="G125" i="5"/>
  <c r="F125" i="5"/>
  <c r="E125" i="5"/>
  <c r="D125" i="5"/>
  <c r="K125" i="7" s="1"/>
  <c r="C125" i="5"/>
  <c r="B125" i="5"/>
  <c r="Z124" i="5"/>
  <c r="Q124" i="5"/>
  <c r="O124" i="5"/>
  <c r="P125" i="5" s="1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Z123" i="5"/>
  <c r="U123" i="5"/>
  <c r="Q123" i="5"/>
  <c r="O123" i="5"/>
  <c r="P124" i="5" s="1"/>
  <c r="N123" i="5"/>
  <c r="M123" i="5"/>
  <c r="L123" i="5"/>
  <c r="K123" i="5"/>
  <c r="J123" i="5"/>
  <c r="I123" i="5"/>
  <c r="H123" i="5"/>
  <c r="G123" i="5"/>
  <c r="F123" i="5"/>
  <c r="E123" i="5"/>
  <c r="D123" i="5"/>
  <c r="K123" i="7" s="1"/>
  <c r="C123" i="5"/>
  <c r="B123" i="5"/>
  <c r="Z122" i="5"/>
  <c r="Q122" i="5"/>
  <c r="O122" i="5"/>
  <c r="P123" i="5" s="1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Z121" i="5"/>
  <c r="Q121" i="5"/>
  <c r="O121" i="5"/>
  <c r="P122" i="5" s="1"/>
  <c r="N121" i="5"/>
  <c r="M121" i="5"/>
  <c r="L121" i="5"/>
  <c r="K121" i="5"/>
  <c r="J121" i="5"/>
  <c r="I121" i="5"/>
  <c r="H121" i="5"/>
  <c r="G121" i="5"/>
  <c r="F121" i="5"/>
  <c r="E121" i="5"/>
  <c r="D121" i="5"/>
  <c r="K121" i="7" s="1"/>
  <c r="C121" i="5"/>
  <c r="B121" i="5"/>
  <c r="Z120" i="5"/>
  <c r="Q120" i="5"/>
  <c r="O120" i="5"/>
  <c r="P121" i="5" s="1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Z119" i="5"/>
  <c r="Q119" i="5"/>
  <c r="O119" i="5"/>
  <c r="P120" i="5" s="1"/>
  <c r="N119" i="5"/>
  <c r="M119" i="5"/>
  <c r="L119" i="5"/>
  <c r="K119" i="5"/>
  <c r="J119" i="5"/>
  <c r="I119" i="5"/>
  <c r="H119" i="5"/>
  <c r="G119" i="5"/>
  <c r="F119" i="5"/>
  <c r="E119" i="5"/>
  <c r="D119" i="5"/>
  <c r="K119" i="7" s="1"/>
  <c r="C119" i="5"/>
  <c r="B119" i="5"/>
  <c r="Z118" i="5"/>
  <c r="Q118" i="5"/>
  <c r="O118" i="5"/>
  <c r="P119" i="5" s="1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Z117" i="5"/>
  <c r="Q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K117" i="7" s="1"/>
  <c r="C117" i="5"/>
  <c r="B117" i="5"/>
  <c r="Z116" i="5"/>
  <c r="Q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Z115" i="5"/>
  <c r="Q115" i="5"/>
  <c r="O115" i="5"/>
  <c r="P116" i="5" s="1"/>
  <c r="N115" i="5"/>
  <c r="M115" i="5"/>
  <c r="L115" i="5"/>
  <c r="K115" i="5"/>
  <c r="J115" i="5"/>
  <c r="I115" i="5"/>
  <c r="H115" i="5"/>
  <c r="G115" i="5"/>
  <c r="F115" i="5"/>
  <c r="E115" i="5"/>
  <c r="D115" i="5"/>
  <c r="K115" i="7" s="1"/>
  <c r="C115" i="5"/>
  <c r="B115" i="5"/>
  <c r="Z114" i="5"/>
  <c r="Q114" i="5"/>
  <c r="O114" i="5"/>
  <c r="P115" i="5" s="1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Z113" i="5"/>
  <c r="U113" i="5"/>
  <c r="Q113" i="5"/>
  <c r="O113" i="5"/>
  <c r="P114" i="5" s="1"/>
  <c r="N113" i="5"/>
  <c r="M113" i="5"/>
  <c r="L113" i="5"/>
  <c r="K113" i="5"/>
  <c r="J113" i="5"/>
  <c r="I113" i="5"/>
  <c r="H113" i="5"/>
  <c r="G113" i="5"/>
  <c r="F113" i="5"/>
  <c r="E113" i="5"/>
  <c r="D113" i="5"/>
  <c r="K113" i="7" s="1"/>
  <c r="C113" i="5"/>
  <c r="B113" i="5"/>
  <c r="Z112" i="5"/>
  <c r="Q112" i="5"/>
  <c r="O112" i="5"/>
  <c r="P113" i="5" s="1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Z111" i="5"/>
  <c r="U111" i="5"/>
  <c r="Q111" i="5"/>
  <c r="O111" i="5"/>
  <c r="P112" i="5" s="1"/>
  <c r="N111" i="5"/>
  <c r="M111" i="5"/>
  <c r="L111" i="5"/>
  <c r="K111" i="5"/>
  <c r="J111" i="5"/>
  <c r="I111" i="5"/>
  <c r="H111" i="5"/>
  <c r="G111" i="5"/>
  <c r="F111" i="5"/>
  <c r="E111" i="5"/>
  <c r="D111" i="5"/>
  <c r="K111" i="7" s="1"/>
  <c r="C111" i="5"/>
  <c r="B111" i="5"/>
  <c r="Z110" i="5"/>
  <c r="Q110" i="5"/>
  <c r="O110" i="5"/>
  <c r="P111" i="5" s="1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Z109" i="5"/>
  <c r="Q109" i="5"/>
  <c r="O109" i="5"/>
  <c r="P110" i="5" s="1"/>
  <c r="N109" i="5"/>
  <c r="M109" i="5"/>
  <c r="L109" i="5"/>
  <c r="K109" i="5"/>
  <c r="J109" i="5"/>
  <c r="I109" i="5"/>
  <c r="H109" i="5"/>
  <c r="G109" i="5"/>
  <c r="F109" i="5"/>
  <c r="E109" i="5"/>
  <c r="D109" i="5"/>
  <c r="K109" i="7" s="1"/>
  <c r="C109" i="5"/>
  <c r="B109" i="5"/>
  <c r="Z108" i="5"/>
  <c r="Q108" i="5"/>
  <c r="O108" i="5"/>
  <c r="P109" i="5" s="1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Z107" i="5"/>
  <c r="Q107" i="5"/>
  <c r="O107" i="5"/>
  <c r="P108" i="5" s="1"/>
  <c r="N107" i="5"/>
  <c r="M107" i="5"/>
  <c r="L107" i="5"/>
  <c r="K107" i="5"/>
  <c r="J107" i="5"/>
  <c r="I107" i="5"/>
  <c r="H107" i="5"/>
  <c r="G107" i="5"/>
  <c r="F107" i="5"/>
  <c r="E107" i="5"/>
  <c r="D107" i="5"/>
  <c r="K107" i="7" s="1"/>
  <c r="C107" i="5"/>
  <c r="B107" i="5"/>
  <c r="Z106" i="5"/>
  <c r="Q106" i="5"/>
  <c r="O106" i="5"/>
  <c r="P107" i="5" s="1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Z105" i="5"/>
  <c r="Q105" i="5"/>
  <c r="O105" i="5"/>
  <c r="P106" i="5" s="1"/>
  <c r="N105" i="5"/>
  <c r="M105" i="5"/>
  <c r="L105" i="5"/>
  <c r="K105" i="5"/>
  <c r="J105" i="5"/>
  <c r="I105" i="5"/>
  <c r="H105" i="5"/>
  <c r="G105" i="5"/>
  <c r="F105" i="5"/>
  <c r="E105" i="5"/>
  <c r="D105" i="5"/>
  <c r="K105" i="7" s="1"/>
  <c r="C105" i="5"/>
  <c r="B105" i="5"/>
  <c r="Z104" i="5"/>
  <c r="Q104" i="5"/>
  <c r="O104" i="5"/>
  <c r="P105" i="5" s="1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Z103" i="5"/>
  <c r="Q103" i="5"/>
  <c r="O103" i="5"/>
  <c r="P104" i="5" s="1"/>
  <c r="N103" i="5"/>
  <c r="M103" i="5"/>
  <c r="L103" i="5"/>
  <c r="K103" i="5"/>
  <c r="J103" i="5"/>
  <c r="I103" i="5"/>
  <c r="H103" i="5"/>
  <c r="G103" i="5"/>
  <c r="F103" i="5"/>
  <c r="E103" i="5"/>
  <c r="D103" i="5"/>
  <c r="K103" i="7" s="1"/>
  <c r="C103" i="5"/>
  <c r="B103" i="5"/>
  <c r="Z102" i="5"/>
  <c r="Q102" i="5"/>
  <c r="O102" i="5"/>
  <c r="P103" i="5" s="1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Z101" i="5"/>
  <c r="U101" i="5"/>
  <c r="Q101" i="5"/>
  <c r="O101" i="5"/>
  <c r="P102" i="5" s="1"/>
  <c r="N101" i="5"/>
  <c r="M101" i="5"/>
  <c r="L101" i="5"/>
  <c r="K101" i="5"/>
  <c r="J101" i="5"/>
  <c r="I101" i="5"/>
  <c r="H101" i="5"/>
  <c r="G101" i="5"/>
  <c r="F101" i="5"/>
  <c r="E101" i="5"/>
  <c r="D101" i="5"/>
  <c r="K101" i="7" s="1"/>
  <c r="C101" i="5"/>
  <c r="B101" i="5"/>
  <c r="Z100" i="5"/>
  <c r="Q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Z99" i="5"/>
  <c r="U99" i="5"/>
  <c r="Q99" i="5"/>
  <c r="O99" i="5"/>
  <c r="P100" i="5" s="1"/>
  <c r="N99" i="5"/>
  <c r="M99" i="5"/>
  <c r="L99" i="5"/>
  <c r="K99" i="5"/>
  <c r="J99" i="5"/>
  <c r="I99" i="5"/>
  <c r="H99" i="5"/>
  <c r="G99" i="5"/>
  <c r="F99" i="5"/>
  <c r="E99" i="5"/>
  <c r="D99" i="5"/>
  <c r="K99" i="7" s="1"/>
  <c r="C99" i="5"/>
  <c r="B99" i="5"/>
  <c r="Z98" i="5"/>
  <c r="Q98" i="5"/>
  <c r="O98" i="5"/>
  <c r="P99" i="5" s="1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Z97" i="5"/>
  <c r="Q97" i="5"/>
  <c r="O97" i="5"/>
  <c r="P98" i="5" s="1"/>
  <c r="N97" i="5"/>
  <c r="M97" i="5"/>
  <c r="L97" i="5"/>
  <c r="K97" i="5"/>
  <c r="J97" i="5"/>
  <c r="I97" i="5"/>
  <c r="H97" i="5"/>
  <c r="G97" i="5"/>
  <c r="F97" i="5"/>
  <c r="E97" i="5"/>
  <c r="D97" i="5"/>
  <c r="K97" i="7" s="1"/>
  <c r="C97" i="5"/>
  <c r="B97" i="5"/>
  <c r="Z96" i="5"/>
  <c r="Q96" i="5"/>
  <c r="O96" i="5"/>
  <c r="P97" i="5" s="1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Z95" i="5"/>
  <c r="Q95" i="5"/>
  <c r="O95" i="5"/>
  <c r="P96" i="5" s="1"/>
  <c r="N95" i="5"/>
  <c r="M95" i="5"/>
  <c r="L95" i="5"/>
  <c r="K95" i="5"/>
  <c r="J95" i="5"/>
  <c r="I95" i="5"/>
  <c r="H95" i="5"/>
  <c r="G95" i="5"/>
  <c r="F95" i="5"/>
  <c r="E95" i="5"/>
  <c r="D95" i="5"/>
  <c r="K95" i="7" s="1"/>
  <c r="C95" i="5"/>
  <c r="B95" i="5"/>
  <c r="Z94" i="5"/>
  <c r="Q94" i="5"/>
  <c r="O94" i="5"/>
  <c r="P95" i="5" s="1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Z93" i="5"/>
  <c r="Q93" i="5"/>
  <c r="O93" i="5"/>
  <c r="P94" i="5" s="1"/>
  <c r="N93" i="5"/>
  <c r="M93" i="5"/>
  <c r="L93" i="5"/>
  <c r="K93" i="5"/>
  <c r="J93" i="5"/>
  <c r="I93" i="5"/>
  <c r="H93" i="5"/>
  <c r="G93" i="5"/>
  <c r="F93" i="5"/>
  <c r="E93" i="5"/>
  <c r="D93" i="5"/>
  <c r="K93" i="7" s="1"/>
  <c r="C93" i="5"/>
  <c r="B93" i="5"/>
  <c r="Z92" i="5"/>
  <c r="Q92" i="5"/>
  <c r="O92" i="5"/>
  <c r="P93" i="5" s="1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Z91" i="5"/>
  <c r="Q91" i="5"/>
  <c r="O91" i="5"/>
  <c r="N91" i="5"/>
  <c r="M91" i="5"/>
  <c r="L91" i="5"/>
  <c r="K91" i="5"/>
  <c r="J91" i="5"/>
  <c r="I91" i="5"/>
  <c r="H91" i="5"/>
  <c r="G91" i="5"/>
  <c r="F91" i="5"/>
  <c r="E91" i="5"/>
  <c r="D91" i="5"/>
  <c r="K91" i="7" s="1"/>
  <c r="C91" i="5"/>
  <c r="B91" i="5"/>
  <c r="Z90" i="5"/>
  <c r="Q90" i="5"/>
  <c r="O90" i="5"/>
  <c r="P91" i="5" s="1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Z89" i="5"/>
  <c r="Q89" i="5"/>
  <c r="O89" i="5"/>
  <c r="P90" i="5" s="1"/>
  <c r="N89" i="5"/>
  <c r="M89" i="5"/>
  <c r="L89" i="5"/>
  <c r="K89" i="5"/>
  <c r="J89" i="5"/>
  <c r="I89" i="5"/>
  <c r="H89" i="5"/>
  <c r="G89" i="5"/>
  <c r="F89" i="5"/>
  <c r="E89" i="5"/>
  <c r="D89" i="5"/>
  <c r="K89" i="7" s="1"/>
  <c r="C89" i="5"/>
  <c r="B89" i="5"/>
  <c r="Z88" i="5"/>
  <c r="Q88" i="5"/>
  <c r="O88" i="5"/>
  <c r="P89" i="5" s="1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Z87" i="5"/>
  <c r="U87" i="5"/>
  <c r="Q87" i="5"/>
  <c r="O87" i="5"/>
  <c r="P88" i="5" s="1"/>
  <c r="N87" i="5"/>
  <c r="M87" i="5"/>
  <c r="L87" i="5"/>
  <c r="K87" i="5"/>
  <c r="J87" i="5"/>
  <c r="I87" i="5"/>
  <c r="H87" i="5"/>
  <c r="G87" i="5"/>
  <c r="F87" i="5"/>
  <c r="E87" i="5"/>
  <c r="D87" i="5"/>
  <c r="K87" i="7" s="1"/>
  <c r="C87" i="5"/>
  <c r="B87" i="5"/>
  <c r="Z86" i="5"/>
  <c r="R86" i="5"/>
  <c r="Q86" i="5"/>
  <c r="O86" i="5"/>
  <c r="P87" i="5" s="1"/>
  <c r="N86" i="5"/>
  <c r="M86" i="5"/>
  <c r="L86" i="5"/>
  <c r="K86" i="5"/>
  <c r="J86" i="5"/>
  <c r="I86" i="5"/>
  <c r="H86" i="5"/>
  <c r="G86" i="5"/>
  <c r="F86" i="5"/>
  <c r="E86" i="5"/>
  <c r="D86" i="5"/>
  <c r="K86" i="7" s="1"/>
  <c r="C86" i="5"/>
  <c r="B86" i="5"/>
  <c r="Z85" i="5"/>
  <c r="Q85" i="5"/>
  <c r="O85" i="5"/>
  <c r="P86" i="5" s="1"/>
  <c r="N85" i="5"/>
  <c r="M85" i="5"/>
  <c r="L85" i="5"/>
  <c r="K85" i="5"/>
  <c r="J85" i="5"/>
  <c r="I85" i="5"/>
  <c r="H85" i="5"/>
  <c r="G85" i="5"/>
  <c r="F85" i="5"/>
  <c r="E85" i="5"/>
  <c r="D85" i="5"/>
  <c r="K85" i="7" s="1"/>
  <c r="C85" i="5"/>
  <c r="B85" i="5"/>
  <c r="Z84" i="5"/>
  <c r="Q84" i="5"/>
  <c r="O84" i="5"/>
  <c r="P85" i="5" s="1"/>
  <c r="N84" i="5"/>
  <c r="M84" i="5"/>
  <c r="L84" i="5"/>
  <c r="K84" i="5"/>
  <c r="J84" i="5"/>
  <c r="I84" i="5"/>
  <c r="H84" i="5"/>
  <c r="G84" i="5"/>
  <c r="F84" i="5"/>
  <c r="E84" i="5"/>
  <c r="D84" i="5"/>
  <c r="K84" i="7" s="1"/>
  <c r="C84" i="5"/>
  <c r="B84" i="5"/>
  <c r="Z83" i="5"/>
  <c r="Q83" i="5"/>
  <c r="O83" i="5"/>
  <c r="P84" i="5" s="1"/>
  <c r="N83" i="5"/>
  <c r="M83" i="5"/>
  <c r="L83" i="5"/>
  <c r="K83" i="5"/>
  <c r="J83" i="5"/>
  <c r="I83" i="5"/>
  <c r="H83" i="5"/>
  <c r="G83" i="5"/>
  <c r="F83" i="5"/>
  <c r="E83" i="5"/>
  <c r="D83" i="5"/>
  <c r="K83" i="7" s="1"/>
  <c r="C83" i="5"/>
  <c r="B83" i="5"/>
  <c r="Z82" i="5"/>
  <c r="Q82" i="5"/>
  <c r="O82" i="5"/>
  <c r="P83" i="5" s="1"/>
  <c r="N82" i="5"/>
  <c r="M82" i="5"/>
  <c r="L82" i="5"/>
  <c r="K82" i="5"/>
  <c r="J82" i="5"/>
  <c r="I82" i="5"/>
  <c r="H82" i="5"/>
  <c r="G82" i="5"/>
  <c r="F82" i="5"/>
  <c r="E82" i="5"/>
  <c r="D82" i="5"/>
  <c r="K82" i="7" s="1"/>
  <c r="C82" i="5"/>
  <c r="B82" i="5"/>
  <c r="Z81" i="5"/>
  <c r="U81" i="5"/>
  <c r="Q81" i="5"/>
  <c r="O81" i="5"/>
  <c r="P82" i="5" s="1"/>
  <c r="N81" i="5"/>
  <c r="M81" i="5"/>
  <c r="L81" i="5"/>
  <c r="K81" i="5"/>
  <c r="J81" i="5"/>
  <c r="I81" i="5"/>
  <c r="H81" i="5"/>
  <c r="G81" i="5"/>
  <c r="F81" i="5"/>
  <c r="E81" i="5"/>
  <c r="D81" i="5"/>
  <c r="K81" i="7" s="1"/>
  <c r="C81" i="5"/>
  <c r="B81" i="5"/>
  <c r="Z80" i="5"/>
  <c r="U80" i="5"/>
  <c r="Q80" i="5"/>
  <c r="O80" i="5"/>
  <c r="P81" i="5" s="1"/>
  <c r="N80" i="5"/>
  <c r="M80" i="5"/>
  <c r="L80" i="5"/>
  <c r="K80" i="5"/>
  <c r="J80" i="5"/>
  <c r="I80" i="5"/>
  <c r="H80" i="5"/>
  <c r="G80" i="5"/>
  <c r="F80" i="5"/>
  <c r="E80" i="5"/>
  <c r="D80" i="5"/>
  <c r="K80" i="7" s="1"/>
  <c r="C80" i="5"/>
  <c r="B80" i="5"/>
  <c r="Z79" i="5"/>
  <c r="Q79" i="5"/>
  <c r="O79" i="5"/>
  <c r="P80" i="5" s="1"/>
  <c r="N79" i="5"/>
  <c r="M79" i="5"/>
  <c r="L79" i="5"/>
  <c r="K79" i="5"/>
  <c r="J79" i="5"/>
  <c r="I79" i="5"/>
  <c r="H79" i="5"/>
  <c r="G79" i="5"/>
  <c r="F79" i="5"/>
  <c r="E79" i="5"/>
  <c r="D79" i="5"/>
  <c r="K79" i="7" s="1"/>
  <c r="C79" i="5"/>
  <c r="B79" i="5"/>
  <c r="Z78" i="5"/>
  <c r="Q78" i="5"/>
  <c r="O78" i="5"/>
  <c r="P79" i="5" s="1"/>
  <c r="N78" i="5"/>
  <c r="M78" i="5"/>
  <c r="L78" i="5"/>
  <c r="K78" i="5"/>
  <c r="J78" i="5"/>
  <c r="I78" i="5"/>
  <c r="H78" i="5"/>
  <c r="G78" i="5"/>
  <c r="F78" i="5"/>
  <c r="E78" i="5"/>
  <c r="D78" i="5"/>
  <c r="K78" i="7" s="1"/>
  <c r="C78" i="5"/>
  <c r="B78" i="5"/>
  <c r="Z77" i="5"/>
  <c r="Q77" i="5"/>
  <c r="O77" i="5"/>
  <c r="P78" i="5" s="1"/>
  <c r="N77" i="5"/>
  <c r="M77" i="5"/>
  <c r="L77" i="5"/>
  <c r="K77" i="5"/>
  <c r="J77" i="5"/>
  <c r="I77" i="5"/>
  <c r="H77" i="5"/>
  <c r="G77" i="5"/>
  <c r="F77" i="5"/>
  <c r="E77" i="5"/>
  <c r="D77" i="5"/>
  <c r="K77" i="7" s="1"/>
  <c r="C77" i="5"/>
  <c r="B77" i="5"/>
  <c r="Z76" i="5"/>
  <c r="U76" i="5"/>
  <c r="Q76" i="5"/>
  <c r="O76" i="5"/>
  <c r="P77" i="5" s="1"/>
  <c r="N76" i="5"/>
  <c r="M76" i="5"/>
  <c r="L76" i="5"/>
  <c r="K76" i="5"/>
  <c r="J76" i="5"/>
  <c r="I76" i="5"/>
  <c r="H76" i="5"/>
  <c r="G76" i="5"/>
  <c r="F76" i="5"/>
  <c r="E76" i="5"/>
  <c r="D76" i="5"/>
  <c r="K76" i="7" s="1"/>
  <c r="C76" i="5"/>
  <c r="B76" i="5"/>
  <c r="Z75" i="5"/>
  <c r="U75" i="5"/>
  <c r="Q75" i="5"/>
  <c r="O75" i="5"/>
  <c r="P76" i="5" s="1"/>
  <c r="N75" i="5"/>
  <c r="M75" i="5"/>
  <c r="L75" i="5"/>
  <c r="K75" i="5"/>
  <c r="J75" i="5"/>
  <c r="I75" i="5"/>
  <c r="H75" i="5"/>
  <c r="G75" i="5"/>
  <c r="F75" i="5"/>
  <c r="E75" i="5"/>
  <c r="D75" i="5"/>
  <c r="K75" i="7" s="1"/>
  <c r="C75" i="5"/>
  <c r="B75" i="5"/>
  <c r="Z74" i="5"/>
  <c r="Q74" i="5"/>
  <c r="O74" i="5"/>
  <c r="P75" i="5" s="1"/>
  <c r="N74" i="5"/>
  <c r="M74" i="5"/>
  <c r="L74" i="5"/>
  <c r="K74" i="5"/>
  <c r="J74" i="5"/>
  <c r="I74" i="5"/>
  <c r="H74" i="5"/>
  <c r="G74" i="5"/>
  <c r="F74" i="5"/>
  <c r="E74" i="5"/>
  <c r="D74" i="5"/>
  <c r="K74" i="7" s="1"/>
  <c r="C74" i="5"/>
  <c r="B74" i="5"/>
  <c r="Z73" i="5"/>
  <c r="Q73" i="5"/>
  <c r="O73" i="5"/>
  <c r="P74" i="5" s="1"/>
  <c r="N73" i="5"/>
  <c r="M73" i="5"/>
  <c r="L73" i="5"/>
  <c r="K73" i="5"/>
  <c r="J73" i="5"/>
  <c r="I73" i="5"/>
  <c r="H73" i="5"/>
  <c r="G73" i="5"/>
  <c r="F73" i="5"/>
  <c r="E73" i="5"/>
  <c r="D73" i="5"/>
  <c r="K73" i="7" s="1"/>
  <c r="C73" i="5"/>
  <c r="B73" i="5"/>
  <c r="Z72" i="5"/>
  <c r="Q72" i="5"/>
  <c r="O72" i="5"/>
  <c r="U72" i="5" s="1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Z71" i="5"/>
  <c r="Q71" i="5"/>
  <c r="O71" i="5"/>
  <c r="P72" i="5" s="1"/>
  <c r="N71" i="5"/>
  <c r="M71" i="5"/>
  <c r="L71" i="5"/>
  <c r="K71" i="5"/>
  <c r="J71" i="5"/>
  <c r="I71" i="5"/>
  <c r="H71" i="5"/>
  <c r="G71" i="5"/>
  <c r="F71" i="5"/>
  <c r="E71" i="5"/>
  <c r="D71" i="5"/>
  <c r="K71" i="7" s="1"/>
  <c r="C71" i="5"/>
  <c r="B71" i="5"/>
  <c r="Z70" i="5"/>
  <c r="Q70" i="5"/>
  <c r="O70" i="5"/>
  <c r="N70" i="5"/>
  <c r="M70" i="5"/>
  <c r="L70" i="5"/>
  <c r="K70" i="5"/>
  <c r="J70" i="5"/>
  <c r="I70" i="5"/>
  <c r="H70" i="5"/>
  <c r="G70" i="5"/>
  <c r="F70" i="5"/>
  <c r="E70" i="5"/>
  <c r="D70" i="5"/>
  <c r="K70" i="7" s="1"/>
  <c r="C70" i="5"/>
  <c r="B70" i="5"/>
  <c r="Z69" i="5"/>
  <c r="Q69" i="5"/>
  <c r="O69" i="5"/>
  <c r="N69" i="5"/>
  <c r="M69" i="5"/>
  <c r="L69" i="5"/>
  <c r="K69" i="5"/>
  <c r="J69" i="5"/>
  <c r="I69" i="5"/>
  <c r="H69" i="5"/>
  <c r="G69" i="5"/>
  <c r="F69" i="5"/>
  <c r="E69" i="5"/>
  <c r="D69" i="5"/>
  <c r="K69" i="7" s="1"/>
  <c r="C69" i="5"/>
  <c r="B69" i="5"/>
  <c r="Z68" i="5"/>
  <c r="Q68" i="5"/>
  <c r="O68" i="5"/>
  <c r="N68" i="5"/>
  <c r="M68" i="5"/>
  <c r="L68" i="5"/>
  <c r="K68" i="5"/>
  <c r="J68" i="5"/>
  <c r="I68" i="5"/>
  <c r="H68" i="5"/>
  <c r="G68" i="5"/>
  <c r="F68" i="5"/>
  <c r="E68" i="5"/>
  <c r="D68" i="5"/>
  <c r="K68" i="7" s="1"/>
  <c r="C68" i="5"/>
  <c r="B68" i="5"/>
  <c r="Z67" i="5"/>
  <c r="U67" i="5"/>
  <c r="Q67" i="5"/>
  <c r="P67" i="5"/>
  <c r="O67" i="5"/>
  <c r="P68" i="5" s="1"/>
  <c r="N67" i="5"/>
  <c r="M67" i="5"/>
  <c r="L67" i="5"/>
  <c r="K67" i="5"/>
  <c r="J67" i="5"/>
  <c r="I67" i="5"/>
  <c r="H67" i="5"/>
  <c r="G67" i="5"/>
  <c r="F67" i="5"/>
  <c r="E67" i="5"/>
  <c r="D67" i="5"/>
  <c r="K67" i="7" s="1"/>
  <c r="C67" i="5"/>
  <c r="B67" i="5"/>
  <c r="Z66" i="5"/>
  <c r="U66" i="5"/>
  <c r="Q66" i="5"/>
  <c r="O66" i="5"/>
  <c r="N66" i="5"/>
  <c r="M66" i="5"/>
  <c r="L66" i="5"/>
  <c r="K66" i="5"/>
  <c r="J66" i="5"/>
  <c r="I66" i="5"/>
  <c r="H66" i="5"/>
  <c r="G66" i="5"/>
  <c r="F66" i="5"/>
  <c r="E66" i="5"/>
  <c r="D66" i="5"/>
  <c r="K66" i="7" s="1"/>
  <c r="C66" i="5"/>
  <c r="B66" i="5"/>
  <c r="Z65" i="5"/>
  <c r="Q65" i="5"/>
  <c r="O65" i="5"/>
  <c r="P66" i="5" s="1"/>
  <c r="N65" i="5"/>
  <c r="M65" i="5"/>
  <c r="L65" i="5"/>
  <c r="K65" i="5"/>
  <c r="J65" i="5"/>
  <c r="I65" i="5"/>
  <c r="H65" i="5"/>
  <c r="G65" i="5"/>
  <c r="F65" i="5"/>
  <c r="E65" i="5"/>
  <c r="D65" i="5"/>
  <c r="K65" i="7" s="1"/>
  <c r="C65" i="5"/>
  <c r="B65" i="5"/>
  <c r="Z64" i="5"/>
  <c r="Q64" i="5"/>
  <c r="O64" i="5"/>
  <c r="N64" i="5"/>
  <c r="M64" i="5"/>
  <c r="L64" i="5"/>
  <c r="K64" i="5"/>
  <c r="J64" i="5"/>
  <c r="I64" i="5"/>
  <c r="H64" i="5"/>
  <c r="G64" i="5"/>
  <c r="F64" i="5"/>
  <c r="E64" i="5"/>
  <c r="D64" i="5"/>
  <c r="K64" i="7" s="1"/>
  <c r="C64" i="5"/>
  <c r="B64" i="5"/>
  <c r="Z63" i="5"/>
  <c r="U63" i="5"/>
  <c r="Q63" i="5"/>
  <c r="P63" i="5"/>
  <c r="O63" i="5"/>
  <c r="P64" i="5" s="1"/>
  <c r="N63" i="5"/>
  <c r="M63" i="5"/>
  <c r="L63" i="5"/>
  <c r="K63" i="5"/>
  <c r="J63" i="5"/>
  <c r="I63" i="5"/>
  <c r="H63" i="5"/>
  <c r="G63" i="5"/>
  <c r="F63" i="5"/>
  <c r="E63" i="5"/>
  <c r="D63" i="5"/>
  <c r="K63" i="7" s="1"/>
  <c r="C63" i="5"/>
  <c r="R63" i="5" s="1"/>
  <c r="B63" i="5"/>
  <c r="Z62" i="5"/>
  <c r="Q62" i="5"/>
  <c r="O62" i="5"/>
  <c r="U62" i="5" s="1"/>
  <c r="N62" i="5"/>
  <c r="M62" i="5"/>
  <c r="L62" i="5"/>
  <c r="K62" i="5"/>
  <c r="J62" i="5"/>
  <c r="I62" i="5"/>
  <c r="H62" i="5"/>
  <c r="G62" i="5"/>
  <c r="F62" i="5"/>
  <c r="E62" i="5"/>
  <c r="D62" i="5"/>
  <c r="K62" i="7" s="1"/>
  <c r="C62" i="5"/>
  <c r="B62" i="5"/>
  <c r="Z61" i="5"/>
  <c r="Q61" i="5"/>
  <c r="O61" i="5"/>
  <c r="P62" i="5" s="1"/>
  <c r="N61" i="5"/>
  <c r="M61" i="5"/>
  <c r="L61" i="5"/>
  <c r="K61" i="5"/>
  <c r="J61" i="5"/>
  <c r="I61" i="5"/>
  <c r="H61" i="5"/>
  <c r="G61" i="5"/>
  <c r="F61" i="5"/>
  <c r="E61" i="5"/>
  <c r="D61" i="5"/>
  <c r="K61" i="7" s="1"/>
  <c r="C61" i="5"/>
  <c r="B61" i="5"/>
  <c r="Z60" i="5"/>
  <c r="Q60" i="5"/>
  <c r="O60" i="5"/>
  <c r="P61" i="5" s="1"/>
  <c r="N60" i="5"/>
  <c r="M60" i="5"/>
  <c r="L60" i="5"/>
  <c r="K60" i="5"/>
  <c r="J60" i="5"/>
  <c r="I60" i="5"/>
  <c r="H60" i="5"/>
  <c r="G60" i="5"/>
  <c r="F60" i="5"/>
  <c r="E60" i="5"/>
  <c r="D60" i="5"/>
  <c r="K60" i="7" s="1"/>
  <c r="C60" i="5"/>
  <c r="B60" i="5"/>
  <c r="Z59" i="5"/>
  <c r="U59" i="5"/>
  <c r="Q59" i="5"/>
  <c r="O59" i="5"/>
  <c r="P60" i="5" s="1"/>
  <c r="N59" i="5"/>
  <c r="M59" i="5"/>
  <c r="L59" i="5"/>
  <c r="K59" i="5"/>
  <c r="J59" i="5"/>
  <c r="I59" i="5"/>
  <c r="H59" i="5"/>
  <c r="G59" i="5"/>
  <c r="F59" i="5"/>
  <c r="E59" i="5"/>
  <c r="D59" i="5"/>
  <c r="K59" i="7" s="1"/>
  <c r="C59" i="5"/>
  <c r="B59" i="5"/>
  <c r="Z58" i="5"/>
  <c r="U58" i="5"/>
  <c r="Q58" i="5"/>
  <c r="O58" i="5"/>
  <c r="N58" i="5"/>
  <c r="M58" i="5"/>
  <c r="L58" i="5"/>
  <c r="K58" i="5"/>
  <c r="J58" i="5"/>
  <c r="I58" i="5"/>
  <c r="H58" i="5"/>
  <c r="G58" i="5"/>
  <c r="F58" i="5"/>
  <c r="E58" i="5"/>
  <c r="D58" i="5"/>
  <c r="K58" i="7" s="1"/>
  <c r="C58" i="5"/>
  <c r="B58" i="5"/>
  <c r="Z57" i="5"/>
  <c r="Q57" i="5"/>
  <c r="O57" i="5"/>
  <c r="P58" i="5" s="1"/>
  <c r="N57" i="5"/>
  <c r="M57" i="5"/>
  <c r="L57" i="5"/>
  <c r="K57" i="5"/>
  <c r="J57" i="5"/>
  <c r="I57" i="5"/>
  <c r="H57" i="5"/>
  <c r="G57" i="5"/>
  <c r="F57" i="5"/>
  <c r="E57" i="5"/>
  <c r="D57" i="5"/>
  <c r="K57" i="7" s="1"/>
  <c r="C57" i="5"/>
  <c r="B57" i="5"/>
  <c r="Z56" i="5"/>
  <c r="Q56" i="5"/>
  <c r="O56" i="5"/>
  <c r="N56" i="5"/>
  <c r="M56" i="5"/>
  <c r="L56" i="5"/>
  <c r="K56" i="5"/>
  <c r="J56" i="5"/>
  <c r="I56" i="5"/>
  <c r="H56" i="5"/>
  <c r="G56" i="5"/>
  <c r="F56" i="5"/>
  <c r="E56" i="5"/>
  <c r="D56" i="5"/>
  <c r="K56" i="7" s="1"/>
  <c r="C56" i="5"/>
  <c r="B56" i="5"/>
  <c r="Z55" i="5"/>
  <c r="Q55" i="5"/>
  <c r="O55" i="5"/>
  <c r="N55" i="5"/>
  <c r="M55" i="5"/>
  <c r="L55" i="5"/>
  <c r="K55" i="5"/>
  <c r="J55" i="5"/>
  <c r="I55" i="5"/>
  <c r="H55" i="5"/>
  <c r="G55" i="5"/>
  <c r="F55" i="5"/>
  <c r="E55" i="5"/>
  <c r="D55" i="5"/>
  <c r="K55" i="7" s="1"/>
  <c r="C55" i="5"/>
  <c r="B55" i="5"/>
  <c r="Z54" i="5"/>
  <c r="Q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Z53" i="5"/>
  <c r="U53" i="5"/>
  <c r="Q53" i="5"/>
  <c r="O53" i="5"/>
  <c r="P54" i="5" s="1"/>
  <c r="N53" i="5"/>
  <c r="M53" i="5"/>
  <c r="L53" i="5"/>
  <c r="K53" i="5"/>
  <c r="J53" i="5"/>
  <c r="I53" i="5"/>
  <c r="H53" i="5"/>
  <c r="G53" i="5"/>
  <c r="F53" i="5"/>
  <c r="E53" i="5"/>
  <c r="D53" i="5"/>
  <c r="K53" i="7" s="1"/>
  <c r="C53" i="5"/>
  <c r="B53" i="5"/>
  <c r="Z52" i="5"/>
  <c r="Q52" i="5"/>
  <c r="O52" i="5"/>
  <c r="N52" i="5"/>
  <c r="M52" i="5"/>
  <c r="L52" i="5"/>
  <c r="K52" i="5"/>
  <c r="J52" i="5"/>
  <c r="I52" i="5"/>
  <c r="H52" i="5"/>
  <c r="G52" i="5"/>
  <c r="F52" i="5"/>
  <c r="E52" i="5"/>
  <c r="D52" i="5"/>
  <c r="K52" i="7" s="1"/>
  <c r="C52" i="5"/>
  <c r="B52" i="5"/>
  <c r="Z51" i="5"/>
  <c r="U51" i="5"/>
  <c r="Q51" i="5"/>
  <c r="O51" i="5"/>
  <c r="P52" i="5" s="1"/>
  <c r="N51" i="5"/>
  <c r="M51" i="5"/>
  <c r="L51" i="5"/>
  <c r="K51" i="5"/>
  <c r="J51" i="5"/>
  <c r="I51" i="5"/>
  <c r="H51" i="5"/>
  <c r="G51" i="5"/>
  <c r="F51" i="5"/>
  <c r="E51" i="5"/>
  <c r="D51" i="5"/>
  <c r="K51" i="7" s="1"/>
  <c r="C51" i="5"/>
  <c r="B51" i="5"/>
  <c r="Z50" i="5"/>
  <c r="Q50" i="5"/>
  <c r="O50" i="5"/>
  <c r="N50" i="5"/>
  <c r="M50" i="5"/>
  <c r="L50" i="5"/>
  <c r="K50" i="5"/>
  <c r="J50" i="5"/>
  <c r="I50" i="5"/>
  <c r="H50" i="5"/>
  <c r="G50" i="5"/>
  <c r="F50" i="5"/>
  <c r="E50" i="5"/>
  <c r="D50" i="5"/>
  <c r="K50" i="7" s="1"/>
  <c r="C50" i="5"/>
  <c r="B50" i="5"/>
  <c r="Z49" i="5"/>
  <c r="Q49" i="5"/>
  <c r="O49" i="5"/>
  <c r="P50" i="5" s="1"/>
  <c r="N49" i="5"/>
  <c r="M49" i="5"/>
  <c r="L49" i="5"/>
  <c r="K49" i="5"/>
  <c r="J49" i="5"/>
  <c r="I49" i="5"/>
  <c r="H49" i="5"/>
  <c r="G49" i="5"/>
  <c r="F49" i="5"/>
  <c r="E49" i="5"/>
  <c r="D49" i="5"/>
  <c r="K49" i="7" s="1"/>
  <c r="C49" i="5"/>
  <c r="B49" i="5"/>
  <c r="Z48" i="5"/>
  <c r="Q48" i="5"/>
  <c r="O48" i="5"/>
  <c r="P49" i="5" s="1"/>
  <c r="N48" i="5"/>
  <c r="M48" i="5"/>
  <c r="L48" i="5"/>
  <c r="K48" i="5"/>
  <c r="J48" i="5"/>
  <c r="I48" i="5"/>
  <c r="H48" i="5"/>
  <c r="G48" i="5"/>
  <c r="F48" i="5"/>
  <c r="E48" i="5"/>
  <c r="D48" i="5"/>
  <c r="K48" i="7" s="1"/>
  <c r="C48" i="5"/>
  <c r="B48" i="5"/>
  <c r="Z47" i="5"/>
  <c r="Q47" i="5"/>
  <c r="P47" i="5"/>
  <c r="O47" i="5"/>
  <c r="P48" i="5" s="1"/>
  <c r="N47" i="5"/>
  <c r="M47" i="5"/>
  <c r="L47" i="5"/>
  <c r="K47" i="5"/>
  <c r="J47" i="5"/>
  <c r="I47" i="5"/>
  <c r="H47" i="5"/>
  <c r="G47" i="5"/>
  <c r="F47" i="5"/>
  <c r="E47" i="5"/>
  <c r="D47" i="5"/>
  <c r="K47" i="7" s="1"/>
  <c r="C47" i="5"/>
  <c r="B47" i="5"/>
  <c r="Z46" i="5"/>
  <c r="U46" i="5"/>
  <c r="Q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Z45" i="5"/>
  <c r="Q45" i="5"/>
  <c r="O45" i="5"/>
  <c r="P46" i="5" s="1"/>
  <c r="N45" i="5"/>
  <c r="M45" i="5"/>
  <c r="L45" i="5"/>
  <c r="K45" i="5"/>
  <c r="J45" i="5"/>
  <c r="I45" i="5"/>
  <c r="H45" i="5"/>
  <c r="G45" i="5"/>
  <c r="F45" i="5"/>
  <c r="E45" i="5"/>
  <c r="D45" i="5"/>
  <c r="K45" i="7" s="1"/>
  <c r="C45" i="5"/>
  <c r="B45" i="5"/>
  <c r="Z44" i="5"/>
  <c r="U44" i="5"/>
  <c r="Q44" i="5"/>
  <c r="O44" i="5"/>
  <c r="P45" i="5" s="1"/>
  <c r="N44" i="5"/>
  <c r="M44" i="5"/>
  <c r="L44" i="5"/>
  <c r="K44" i="5"/>
  <c r="J44" i="5"/>
  <c r="I44" i="5"/>
  <c r="R44" i="5" s="1"/>
  <c r="H44" i="5"/>
  <c r="G44" i="5"/>
  <c r="F44" i="5"/>
  <c r="E44" i="5"/>
  <c r="D44" i="5"/>
  <c r="K44" i="7" s="1"/>
  <c r="C44" i="5"/>
  <c r="B44" i="5"/>
  <c r="Z43" i="5"/>
  <c r="Q43" i="5"/>
  <c r="O43" i="5"/>
  <c r="P44" i="5" s="1"/>
  <c r="N43" i="5"/>
  <c r="M43" i="5"/>
  <c r="L43" i="5"/>
  <c r="K43" i="5"/>
  <c r="J43" i="5"/>
  <c r="I43" i="5"/>
  <c r="H43" i="5"/>
  <c r="G43" i="5"/>
  <c r="F43" i="5"/>
  <c r="E43" i="5"/>
  <c r="D43" i="5"/>
  <c r="K43" i="7" s="1"/>
  <c r="C43" i="5"/>
  <c r="B43" i="5"/>
  <c r="Z42" i="5"/>
  <c r="Q42" i="5"/>
  <c r="P42" i="5"/>
  <c r="O42" i="5"/>
  <c r="P43" i="5" s="1"/>
  <c r="N42" i="5"/>
  <c r="M42" i="5"/>
  <c r="L42" i="5"/>
  <c r="K42" i="5"/>
  <c r="J42" i="5"/>
  <c r="I42" i="5"/>
  <c r="R42" i="5" s="1"/>
  <c r="H42" i="5"/>
  <c r="G42" i="5"/>
  <c r="F42" i="5"/>
  <c r="E42" i="5"/>
  <c r="D42" i="5"/>
  <c r="K42" i="7" s="1"/>
  <c r="C42" i="5"/>
  <c r="B42" i="5"/>
  <c r="Z41" i="5"/>
  <c r="U41" i="5"/>
  <c r="Q41" i="5"/>
  <c r="O41" i="5"/>
  <c r="N41" i="5"/>
  <c r="M41" i="5"/>
  <c r="L41" i="5"/>
  <c r="K41" i="5"/>
  <c r="J41" i="5"/>
  <c r="I41" i="5"/>
  <c r="H41" i="5"/>
  <c r="G41" i="5"/>
  <c r="F41" i="5"/>
  <c r="E41" i="5"/>
  <c r="D41" i="5"/>
  <c r="K41" i="7" s="1"/>
  <c r="C41" i="5"/>
  <c r="B41" i="5"/>
  <c r="Z40" i="5"/>
  <c r="Q40" i="5"/>
  <c r="O40" i="5"/>
  <c r="N40" i="5"/>
  <c r="M40" i="5"/>
  <c r="L40" i="5"/>
  <c r="K40" i="5"/>
  <c r="J40" i="5"/>
  <c r="I40" i="5"/>
  <c r="H40" i="5"/>
  <c r="G40" i="5"/>
  <c r="F40" i="5"/>
  <c r="E40" i="5"/>
  <c r="D40" i="5"/>
  <c r="K40" i="7" s="1"/>
  <c r="C40" i="5"/>
  <c r="B40" i="5"/>
  <c r="Z39" i="5"/>
  <c r="Q39" i="5"/>
  <c r="O39" i="5"/>
  <c r="P40" i="5" s="1"/>
  <c r="N39" i="5"/>
  <c r="M39" i="5"/>
  <c r="L39" i="5"/>
  <c r="K39" i="5"/>
  <c r="J39" i="5"/>
  <c r="I39" i="5"/>
  <c r="H39" i="5"/>
  <c r="G39" i="5"/>
  <c r="F39" i="5"/>
  <c r="E39" i="5"/>
  <c r="D39" i="5"/>
  <c r="K39" i="7" s="1"/>
  <c r="C39" i="5"/>
  <c r="B39" i="5"/>
  <c r="Z38" i="5"/>
  <c r="Q38" i="5"/>
  <c r="O38" i="5"/>
  <c r="N38" i="5"/>
  <c r="M38" i="5"/>
  <c r="L38" i="5"/>
  <c r="K38" i="5"/>
  <c r="J38" i="5"/>
  <c r="I38" i="5"/>
  <c r="H38" i="5"/>
  <c r="G38" i="5"/>
  <c r="F38" i="5"/>
  <c r="E38" i="5"/>
  <c r="D38" i="5"/>
  <c r="K38" i="7" s="1"/>
  <c r="C38" i="5"/>
  <c r="B38" i="5"/>
  <c r="Z37" i="5"/>
  <c r="Q37" i="5"/>
  <c r="O37" i="5"/>
  <c r="N37" i="5"/>
  <c r="M37" i="5"/>
  <c r="L37" i="5"/>
  <c r="K37" i="5"/>
  <c r="J37" i="5"/>
  <c r="I37" i="5"/>
  <c r="H37" i="5"/>
  <c r="G37" i="5"/>
  <c r="F37" i="5"/>
  <c r="E37" i="5"/>
  <c r="D37" i="5"/>
  <c r="K37" i="7" s="1"/>
  <c r="C37" i="5"/>
  <c r="B37" i="5"/>
  <c r="Z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K36" i="7" s="1"/>
  <c r="C36" i="5"/>
  <c r="B36" i="5"/>
  <c r="Z35" i="5"/>
  <c r="Q35" i="5"/>
  <c r="O35" i="5"/>
  <c r="N35" i="5"/>
  <c r="M35" i="5"/>
  <c r="L35" i="5"/>
  <c r="K35" i="5"/>
  <c r="J35" i="5"/>
  <c r="I35" i="5"/>
  <c r="H35" i="5"/>
  <c r="G35" i="5"/>
  <c r="F35" i="5"/>
  <c r="E35" i="5"/>
  <c r="D35" i="5"/>
  <c r="K35" i="7" s="1"/>
  <c r="C35" i="5"/>
  <c r="B35" i="5"/>
  <c r="Z34" i="5"/>
  <c r="Q34" i="5"/>
  <c r="O34" i="5"/>
  <c r="P35" i="5" s="1"/>
  <c r="N34" i="5"/>
  <c r="M34" i="5"/>
  <c r="L34" i="5"/>
  <c r="K34" i="5"/>
  <c r="J34" i="5"/>
  <c r="I34" i="5"/>
  <c r="H34" i="5"/>
  <c r="G34" i="5"/>
  <c r="F34" i="5"/>
  <c r="E34" i="5"/>
  <c r="D34" i="5"/>
  <c r="K34" i="7" s="1"/>
  <c r="C34" i="5"/>
  <c r="B34" i="5"/>
  <c r="Z33" i="5"/>
  <c r="U33" i="5"/>
  <c r="Q33" i="5"/>
  <c r="O33" i="5"/>
  <c r="N33" i="5"/>
  <c r="M33" i="5"/>
  <c r="L33" i="5"/>
  <c r="K33" i="5"/>
  <c r="J33" i="5"/>
  <c r="I33" i="5"/>
  <c r="H33" i="5"/>
  <c r="G33" i="5"/>
  <c r="F33" i="5"/>
  <c r="E33" i="5"/>
  <c r="D33" i="5"/>
  <c r="K33" i="7" s="1"/>
  <c r="C33" i="5"/>
  <c r="B33" i="5"/>
  <c r="Z32" i="5"/>
  <c r="Q32" i="5"/>
  <c r="O32" i="5"/>
  <c r="N32" i="5"/>
  <c r="M32" i="5"/>
  <c r="L32" i="5"/>
  <c r="K32" i="5"/>
  <c r="J32" i="5"/>
  <c r="I32" i="5"/>
  <c r="H32" i="5"/>
  <c r="G32" i="5"/>
  <c r="F32" i="5"/>
  <c r="E32" i="5"/>
  <c r="D32" i="5"/>
  <c r="K32" i="7" s="1"/>
  <c r="C32" i="5"/>
  <c r="B32" i="5"/>
  <c r="Z31" i="5"/>
  <c r="Q31" i="5"/>
  <c r="O31" i="5"/>
  <c r="N31" i="5"/>
  <c r="M31" i="5"/>
  <c r="L31" i="5"/>
  <c r="K31" i="5"/>
  <c r="J31" i="5"/>
  <c r="I31" i="5"/>
  <c r="H31" i="5"/>
  <c r="G31" i="5"/>
  <c r="F31" i="5"/>
  <c r="E31" i="5"/>
  <c r="D31" i="5"/>
  <c r="K31" i="7" s="1"/>
  <c r="C31" i="5"/>
  <c r="B31" i="5"/>
  <c r="Z30" i="5"/>
  <c r="Q30" i="5"/>
  <c r="O30" i="5"/>
  <c r="P31" i="5" s="1"/>
  <c r="N30" i="5"/>
  <c r="M30" i="5"/>
  <c r="L30" i="5"/>
  <c r="K30" i="5"/>
  <c r="J30" i="5"/>
  <c r="I30" i="5"/>
  <c r="H30" i="5"/>
  <c r="G30" i="5"/>
  <c r="F30" i="5"/>
  <c r="E30" i="5"/>
  <c r="D30" i="5"/>
  <c r="K30" i="7" s="1"/>
  <c r="C30" i="5"/>
  <c r="B30" i="5"/>
  <c r="Z29" i="5"/>
  <c r="Q29" i="5"/>
  <c r="P29" i="5"/>
  <c r="O29" i="5"/>
  <c r="P30" i="5" s="1"/>
  <c r="N29" i="5"/>
  <c r="M29" i="5"/>
  <c r="L29" i="5"/>
  <c r="K29" i="5"/>
  <c r="J29" i="5"/>
  <c r="I29" i="5"/>
  <c r="H29" i="5"/>
  <c r="G29" i="5"/>
  <c r="F29" i="5"/>
  <c r="E29" i="5"/>
  <c r="D29" i="5"/>
  <c r="K29" i="7" s="1"/>
  <c r="C29" i="5"/>
  <c r="B29" i="5"/>
  <c r="Z28" i="5"/>
  <c r="U28" i="5"/>
  <c r="Q28" i="5"/>
  <c r="O28" i="5"/>
  <c r="N28" i="5"/>
  <c r="M28" i="5"/>
  <c r="L28" i="5"/>
  <c r="K28" i="5"/>
  <c r="J28" i="5"/>
  <c r="I28" i="5"/>
  <c r="H28" i="5"/>
  <c r="G28" i="5"/>
  <c r="F28" i="5"/>
  <c r="E28" i="5"/>
  <c r="D28" i="5"/>
  <c r="K28" i="7" s="1"/>
  <c r="C28" i="5"/>
  <c r="B28" i="5"/>
  <c r="Z27" i="5"/>
  <c r="Q27" i="5"/>
  <c r="O27" i="5"/>
  <c r="N27" i="5"/>
  <c r="M27" i="5"/>
  <c r="L27" i="5"/>
  <c r="K27" i="5"/>
  <c r="J27" i="5"/>
  <c r="I27" i="5"/>
  <c r="H27" i="5"/>
  <c r="G27" i="5"/>
  <c r="F27" i="5"/>
  <c r="E27" i="5"/>
  <c r="D27" i="5"/>
  <c r="K27" i="7" s="1"/>
  <c r="C27" i="5"/>
  <c r="B27" i="5"/>
  <c r="Z26" i="5"/>
  <c r="Q26" i="5"/>
  <c r="O26" i="5"/>
  <c r="P27" i="5" s="1"/>
  <c r="N26" i="5"/>
  <c r="M26" i="5"/>
  <c r="L26" i="5"/>
  <c r="K26" i="5"/>
  <c r="J26" i="5"/>
  <c r="I26" i="5"/>
  <c r="H26" i="5"/>
  <c r="G26" i="5"/>
  <c r="F26" i="5"/>
  <c r="E26" i="5"/>
  <c r="D26" i="5"/>
  <c r="K26" i="7" s="1"/>
  <c r="C26" i="5"/>
  <c r="B26" i="5"/>
  <c r="Z25" i="5"/>
  <c r="Q25" i="5"/>
  <c r="O25" i="5"/>
  <c r="U25" i="5" s="1"/>
  <c r="N25" i="5"/>
  <c r="M25" i="5"/>
  <c r="L25" i="5"/>
  <c r="K25" i="5"/>
  <c r="J25" i="5"/>
  <c r="I25" i="5"/>
  <c r="H25" i="5"/>
  <c r="G25" i="5"/>
  <c r="F25" i="5"/>
  <c r="E25" i="5"/>
  <c r="D25" i="5"/>
  <c r="K25" i="7" s="1"/>
  <c r="C25" i="5"/>
  <c r="B25" i="5"/>
  <c r="Z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K24" i="7" s="1"/>
  <c r="C24" i="5"/>
  <c r="B24" i="5"/>
  <c r="Z23" i="5"/>
  <c r="U23" i="5"/>
  <c r="Q23" i="5"/>
  <c r="O23" i="5"/>
  <c r="N23" i="5"/>
  <c r="M23" i="5"/>
  <c r="L23" i="5"/>
  <c r="K23" i="5"/>
  <c r="J23" i="5"/>
  <c r="I23" i="5"/>
  <c r="H23" i="5"/>
  <c r="G23" i="5"/>
  <c r="F23" i="5"/>
  <c r="E23" i="5"/>
  <c r="D23" i="5"/>
  <c r="K23" i="7" s="1"/>
  <c r="C23" i="5"/>
  <c r="B23" i="5"/>
  <c r="Z22" i="5"/>
  <c r="Q22" i="5"/>
  <c r="O22" i="5"/>
  <c r="N22" i="5"/>
  <c r="M22" i="5"/>
  <c r="L22" i="5"/>
  <c r="K22" i="5"/>
  <c r="J22" i="5"/>
  <c r="I22" i="5"/>
  <c r="H22" i="5"/>
  <c r="G22" i="5"/>
  <c r="F22" i="5"/>
  <c r="E22" i="5"/>
  <c r="D22" i="5"/>
  <c r="K22" i="7" s="1"/>
  <c r="C22" i="5"/>
  <c r="B22" i="5"/>
  <c r="Z21" i="5"/>
  <c r="Q21" i="5"/>
  <c r="O21" i="5"/>
  <c r="U21" i="5" s="1"/>
  <c r="N21" i="5"/>
  <c r="M21" i="5"/>
  <c r="L21" i="5"/>
  <c r="K21" i="5"/>
  <c r="J21" i="5"/>
  <c r="I21" i="5"/>
  <c r="H21" i="5"/>
  <c r="G21" i="5"/>
  <c r="F21" i="5"/>
  <c r="E21" i="5"/>
  <c r="D21" i="5"/>
  <c r="K21" i="7" s="1"/>
  <c r="C21" i="5"/>
  <c r="B21" i="5"/>
  <c r="Z20" i="5"/>
  <c r="Q20" i="5"/>
  <c r="O20" i="5"/>
  <c r="N20" i="5"/>
  <c r="M20" i="5"/>
  <c r="L20" i="5"/>
  <c r="K20" i="5"/>
  <c r="J20" i="5"/>
  <c r="I20" i="5"/>
  <c r="H20" i="5"/>
  <c r="G20" i="5"/>
  <c r="F20" i="5"/>
  <c r="E20" i="5"/>
  <c r="D20" i="5"/>
  <c r="K20" i="7" s="1"/>
  <c r="C20" i="5"/>
  <c r="B20" i="5"/>
  <c r="Z19" i="5"/>
  <c r="Q19" i="5"/>
  <c r="O19" i="5"/>
  <c r="P20" i="5" s="1"/>
  <c r="N19" i="5"/>
  <c r="M19" i="5"/>
  <c r="L19" i="5"/>
  <c r="K19" i="5"/>
  <c r="J19" i="5"/>
  <c r="I19" i="5"/>
  <c r="H19" i="5"/>
  <c r="G19" i="5"/>
  <c r="F19" i="5"/>
  <c r="E19" i="5"/>
  <c r="D19" i="5"/>
  <c r="K19" i="7" s="1"/>
  <c r="C19" i="5"/>
  <c r="B19" i="5"/>
  <c r="Z18" i="5"/>
  <c r="Q18" i="5"/>
  <c r="O18" i="5"/>
  <c r="N18" i="5"/>
  <c r="M18" i="5"/>
  <c r="L18" i="5"/>
  <c r="K18" i="5"/>
  <c r="J18" i="5"/>
  <c r="I18" i="5"/>
  <c r="H18" i="5"/>
  <c r="G18" i="5"/>
  <c r="F18" i="5"/>
  <c r="E18" i="5"/>
  <c r="D18" i="5"/>
  <c r="K18" i="7" s="1"/>
  <c r="C18" i="5"/>
  <c r="B18" i="5"/>
  <c r="Z17" i="5"/>
  <c r="Q17" i="5"/>
  <c r="O17" i="5"/>
  <c r="N17" i="5"/>
  <c r="M17" i="5"/>
  <c r="L17" i="5"/>
  <c r="K17" i="5"/>
  <c r="J17" i="5"/>
  <c r="I17" i="5"/>
  <c r="H17" i="5"/>
  <c r="G17" i="5"/>
  <c r="F17" i="5"/>
  <c r="E17" i="5"/>
  <c r="D17" i="5"/>
  <c r="K17" i="7" s="1"/>
  <c r="C17" i="5"/>
  <c r="B17" i="5"/>
  <c r="Z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K16" i="7" s="1"/>
  <c r="C16" i="5"/>
  <c r="B16" i="5"/>
  <c r="Z15" i="5"/>
  <c r="U15" i="5"/>
  <c r="Q15" i="5"/>
  <c r="O15" i="5"/>
  <c r="N15" i="5"/>
  <c r="M15" i="5"/>
  <c r="L15" i="5"/>
  <c r="K15" i="5"/>
  <c r="J15" i="5"/>
  <c r="I15" i="5"/>
  <c r="H15" i="5"/>
  <c r="G15" i="5"/>
  <c r="F15" i="5"/>
  <c r="E15" i="5"/>
  <c r="D15" i="5"/>
  <c r="K15" i="7" s="1"/>
  <c r="C15" i="5"/>
  <c r="B15" i="5"/>
  <c r="Z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K14" i="7" s="1"/>
  <c r="C14" i="5"/>
  <c r="B14" i="5"/>
  <c r="Z13" i="5"/>
  <c r="U13" i="5"/>
  <c r="Q13" i="5"/>
  <c r="O13" i="5"/>
  <c r="N13" i="5"/>
  <c r="M13" i="5"/>
  <c r="L13" i="5"/>
  <c r="K13" i="5"/>
  <c r="J13" i="5"/>
  <c r="I13" i="5"/>
  <c r="H13" i="5"/>
  <c r="G13" i="5"/>
  <c r="F13" i="5"/>
  <c r="E13" i="5"/>
  <c r="D13" i="5"/>
  <c r="K13" i="7" s="1"/>
  <c r="C13" i="5"/>
  <c r="B13" i="5"/>
  <c r="Z12" i="5"/>
  <c r="Q12" i="5"/>
  <c r="O12" i="5"/>
  <c r="N12" i="5"/>
  <c r="M12" i="5"/>
  <c r="L12" i="5"/>
  <c r="K12" i="5"/>
  <c r="J12" i="5"/>
  <c r="I12" i="5"/>
  <c r="H12" i="5"/>
  <c r="G12" i="5"/>
  <c r="F12" i="5"/>
  <c r="E12" i="5"/>
  <c r="D12" i="5"/>
  <c r="K12" i="7" s="1"/>
  <c r="C12" i="5"/>
  <c r="B12" i="5"/>
  <c r="Z11" i="5"/>
  <c r="Q11" i="5"/>
  <c r="O11" i="5"/>
  <c r="P12" i="5" s="1"/>
  <c r="N11" i="5"/>
  <c r="M11" i="5"/>
  <c r="L11" i="5"/>
  <c r="K11" i="5"/>
  <c r="J11" i="5"/>
  <c r="I11" i="5"/>
  <c r="H11" i="5"/>
  <c r="G11" i="5"/>
  <c r="F11" i="5"/>
  <c r="E11" i="5"/>
  <c r="D11" i="5"/>
  <c r="K11" i="7" s="1"/>
  <c r="C11" i="5"/>
  <c r="B11" i="5"/>
  <c r="Z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K10" i="7" s="1"/>
  <c r="C10" i="5"/>
  <c r="B10" i="5"/>
  <c r="Z9" i="5"/>
  <c r="U9" i="5"/>
  <c r="Q9" i="5"/>
  <c r="O9" i="5"/>
  <c r="N9" i="5"/>
  <c r="M9" i="5"/>
  <c r="L9" i="5"/>
  <c r="K9" i="5"/>
  <c r="J9" i="5"/>
  <c r="I9" i="5"/>
  <c r="H9" i="5"/>
  <c r="G9" i="5"/>
  <c r="F9" i="5"/>
  <c r="E9" i="5"/>
  <c r="D9" i="5"/>
  <c r="K9" i="7" s="1"/>
  <c r="C9" i="5"/>
  <c r="B9" i="5"/>
  <c r="Z8" i="5"/>
  <c r="Q8" i="5"/>
  <c r="O8" i="5"/>
  <c r="N8" i="5"/>
  <c r="M8" i="5"/>
  <c r="L8" i="5"/>
  <c r="K8" i="5"/>
  <c r="J8" i="5"/>
  <c r="I8" i="5"/>
  <c r="H8" i="5"/>
  <c r="G8" i="5"/>
  <c r="F8" i="5"/>
  <c r="E8" i="5"/>
  <c r="D8" i="5"/>
  <c r="K8" i="7" s="1"/>
  <c r="C8" i="5"/>
  <c r="B8" i="5"/>
  <c r="Z7" i="5"/>
  <c r="Q7" i="5"/>
  <c r="O7" i="5"/>
  <c r="P8" i="5" s="1"/>
  <c r="N7" i="5"/>
  <c r="M7" i="5"/>
  <c r="L7" i="5"/>
  <c r="K7" i="5"/>
  <c r="J7" i="5"/>
  <c r="I7" i="5"/>
  <c r="H7" i="5"/>
  <c r="G7" i="5"/>
  <c r="F7" i="5"/>
  <c r="E7" i="5"/>
  <c r="D7" i="5"/>
  <c r="K7" i="7" s="1"/>
  <c r="C7" i="5"/>
  <c r="B7" i="5"/>
  <c r="Z6" i="5"/>
  <c r="Q6" i="5"/>
  <c r="O6" i="5"/>
  <c r="N6" i="5"/>
  <c r="M6" i="5"/>
  <c r="L6" i="5"/>
  <c r="K6" i="5"/>
  <c r="J6" i="5"/>
  <c r="I6" i="5"/>
  <c r="H6" i="5"/>
  <c r="G6" i="5"/>
  <c r="F6" i="5"/>
  <c r="E6" i="5"/>
  <c r="D6" i="5"/>
  <c r="K6" i="7" s="1"/>
  <c r="C6" i="5"/>
  <c r="B6" i="5"/>
  <c r="Z5" i="5"/>
  <c r="Q5" i="5"/>
  <c r="O5" i="5"/>
  <c r="P6" i="5" s="1"/>
  <c r="N5" i="5"/>
  <c r="M5" i="5"/>
  <c r="L5" i="5"/>
  <c r="K5" i="5"/>
  <c r="J5" i="5"/>
  <c r="I5" i="5"/>
  <c r="H5" i="5"/>
  <c r="G5" i="5"/>
  <c r="F5" i="5"/>
  <c r="E5" i="5"/>
  <c r="D5" i="5"/>
  <c r="K5" i="7" s="1"/>
  <c r="C5" i="5"/>
  <c r="B5" i="5"/>
  <c r="Z4" i="5"/>
  <c r="Q4" i="5"/>
  <c r="O4" i="5"/>
  <c r="N4" i="5"/>
  <c r="M4" i="5"/>
  <c r="L4" i="5"/>
  <c r="K4" i="5"/>
  <c r="J4" i="5"/>
  <c r="I4" i="5"/>
  <c r="H4" i="5"/>
  <c r="G4" i="5"/>
  <c r="F4" i="5"/>
  <c r="E4" i="5"/>
  <c r="D4" i="5"/>
  <c r="K4" i="7" s="1"/>
  <c r="C4" i="5"/>
  <c r="B4" i="5"/>
  <c r="Z3" i="5"/>
  <c r="Q3" i="5"/>
  <c r="O3" i="5"/>
  <c r="P4" i="5" s="1"/>
  <c r="N3" i="5"/>
  <c r="M3" i="5"/>
  <c r="L3" i="5"/>
  <c r="K3" i="5"/>
  <c r="J3" i="5"/>
  <c r="I3" i="5"/>
  <c r="H3" i="5"/>
  <c r="G3" i="5"/>
  <c r="F3" i="5"/>
  <c r="E3" i="5"/>
  <c r="D3" i="5"/>
  <c r="K3" i="7" s="1"/>
  <c r="C3" i="5"/>
  <c r="B3" i="5"/>
  <c r="Z2" i="5"/>
  <c r="Q2" i="5"/>
  <c r="O2" i="5"/>
  <c r="P3" i="5" s="1"/>
  <c r="N2" i="5"/>
  <c r="M2" i="5"/>
  <c r="L2" i="5"/>
  <c r="K2" i="5"/>
  <c r="J2" i="5"/>
  <c r="I2" i="5"/>
  <c r="H2" i="5"/>
  <c r="G2" i="5"/>
  <c r="F2" i="5"/>
  <c r="E2" i="5"/>
  <c r="D2" i="5"/>
  <c r="K2" i="7" s="1"/>
  <c r="C2" i="5"/>
  <c r="B2" i="5"/>
  <c r="J366" i="10"/>
  <c r="I366" i="10"/>
  <c r="K366" i="10" s="1"/>
  <c r="H366" i="10"/>
  <c r="G366" i="10"/>
  <c r="F366" i="10"/>
  <c r="E366" i="10"/>
  <c r="A366" i="10"/>
  <c r="B366" i="10" s="1"/>
  <c r="J365" i="10"/>
  <c r="I365" i="10"/>
  <c r="H365" i="10"/>
  <c r="G365" i="10"/>
  <c r="F365" i="10"/>
  <c r="E365" i="10"/>
  <c r="A365" i="10"/>
  <c r="B365" i="10" s="1"/>
  <c r="J364" i="10"/>
  <c r="I364" i="10"/>
  <c r="K364" i="10" s="1"/>
  <c r="H364" i="10"/>
  <c r="G364" i="10"/>
  <c r="F364" i="10"/>
  <c r="E364" i="10"/>
  <c r="A364" i="10"/>
  <c r="B364" i="10" s="1"/>
  <c r="J363" i="10"/>
  <c r="I363" i="10"/>
  <c r="K363" i="10" s="1"/>
  <c r="H363" i="10"/>
  <c r="G363" i="10"/>
  <c r="F363" i="10"/>
  <c r="E363" i="10"/>
  <c r="A363" i="10"/>
  <c r="B363" i="10" s="1"/>
  <c r="J362" i="10"/>
  <c r="I362" i="10"/>
  <c r="H362" i="10"/>
  <c r="G362" i="10"/>
  <c r="F362" i="10"/>
  <c r="E362" i="10"/>
  <c r="A362" i="10"/>
  <c r="J361" i="10"/>
  <c r="I361" i="10"/>
  <c r="K361" i="10" s="1"/>
  <c r="H361" i="10"/>
  <c r="G361" i="10"/>
  <c r="F361" i="10"/>
  <c r="E361" i="10"/>
  <c r="A361" i="10"/>
  <c r="B361" i="10" s="1"/>
  <c r="J360" i="10"/>
  <c r="I360" i="10"/>
  <c r="K360" i="10" s="1"/>
  <c r="H360" i="10"/>
  <c r="G360" i="10"/>
  <c r="F360" i="10"/>
  <c r="E360" i="10"/>
  <c r="A360" i="10"/>
  <c r="B360" i="10" s="1"/>
  <c r="J359" i="10"/>
  <c r="I359" i="10"/>
  <c r="H359" i="10"/>
  <c r="G359" i="10"/>
  <c r="F359" i="10"/>
  <c r="E359" i="10"/>
  <c r="A359" i="10"/>
  <c r="B359" i="10" s="1"/>
  <c r="J358" i="10"/>
  <c r="I358" i="10"/>
  <c r="H358" i="10"/>
  <c r="G358" i="10"/>
  <c r="F358" i="10"/>
  <c r="E358" i="10"/>
  <c r="A358" i="10"/>
  <c r="B358" i="10" s="1"/>
  <c r="J357" i="10"/>
  <c r="I357" i="10"/>
  <c r="H357" i="10"/>
  <c r="G357" i="10"/>
  <c r="F357" i="10"/>
  <c r="E357" i="10"/>
  <c r="A357" i="10"/>
  <c r="B357" i="10" s="1"/>
  <c r="J356" i="10"/>
  <c r="I356" i="10"/>
  <c r="K356" i="10" s="1"/>
  <c r="H356" i="10"/>
  <c r="G356" i="10"/>
  <c r="F356" i="10"/>
  <c r="E356" i="10"/>
  <c r="A356" i="10"/>
  <c r="B356" i="10" s="1"/>
  <c r="J355" i="10"/>
  <c r="I355" i="10"/>
  <c r="H355" i="10"/>
  <c r="G355" i="10"/>
  <c r="F355" i="10"/>
  <c r="E355" i="10"/>
  <c r="A355" i="10"/>
  <c r="J354" i="10"/>
  <c r="I354" i="10"/>
  <c r="K354" i="10" s="1"/>
  <c r="H354" i="10"/>
  <c r="G354" i="10"/>
  <c r="F354" i="10"/>
  <c r="E354" i="10"/>
  <c r="A354" i="10"/>
  <c r="B354" i="10" s="1"/>
  <c r="J353" i="10"/>
  <c r="I353" i="10"/>
  <c r="H353" i="10"/>
  <c r="G353" i="10"/>
  <c r="F353" i="10"/>
  <c r="E353" i="10"/>
  <c r="A353" i="10"/>
  <c r="B353" i="10" s="1"/>
  <c r="J352" i="10"/>
  <c r="I352" i="10"/>
  <c r="H352" i="10"/>
  <c r="G352" i="10"/>
  <c r="F352" i="10"/>
  <c r="E352" i="10"/>
  <c r="A352" i="10"/>
  <c r="B352" i="10" s="1"/>
  <c r="J351" i="10"/>
  <c r="I351" i="10"/>
  <c r="H351" i="10"/>
  <c r="G351" i="10"/>
  <c r="F351" i="10"/>
  <c r="E351" i="10"/>
  <c r="A351" i="10"/>
  <c r="B351" i="10" s="1"/>
  <c r="J350" i="10"/>
  <c r="I350" i="10"/>
  <c r="K350" i="10" s="1"/>
  <c r="H350" i="10"/>
  <c r="G350" i="10"/>
  <c r="F350" i="10"/>
  <c r="E350" i="10"/>
  <c r="A350" i="10"/>
  <c r="B350" i="10" s="1"/>
  <c r="J349" i="10"/>
  <c r="I349" i="10"/>
  <c r="H349" i="10"/>
  <c r="G349" i="10"/>
  <c r="F349" i="10"/>
  <c r="E349" i="10"/>
  <c r="A349" i="10"/>
  <c r="B349" i="10" s="1"/>
  <c r="J348" i="10"/>
  <c r="I348" i="10"/>
  <c r="H348" i="10"/>
  <c r="G348" i="10"/>
  <c r="F348" i="10"/>
  <c r="E348" i="10"/>
  <c r="A348" i="10"/>
  <c r="B348" i="10" s="1"/>
  <c r="J347" i="10"/>
  <c r="I347" i="10"/>
  <c r="K347" i="10" s="1"/>
  <c r="H347" i="10"/>
  <c r="G347" i="10"/>
  <c r="F347" i="10"/>
  <c r="E347" i="10"/>
  <c r="A347" i="10"/>
  <c r="J346" i="10"/>
  <c r="I346" i="10"/>
  <c r="H346" i="10"/>
  <c r="G346" i="10"/>
  <c r="F346" i="10"/>
  <c r="E346" i="10"/>
  <c r="A346" i="10"/>
  <c r="B346" i="10" s="1"/>
  <c r="J345" i="10"/>
  <c r="I345" i="10"/>
  <c r="H345" i="10"/>
  <c r="G345" i="10"/>
  <c r="F345" i="10"/>
  <c r="E345" i="10"/>
  <c r="A345" i="10"/>
  <c r="B345" i="10" s="1"/>
  <c r="J344" i="10"/>
  <c r="I344" i="10"/>
  <c r="H344" i="10"/>
  <c r="G344" i="10"/>
  <c r="F344" i="10"/>
  <c r="E344" i="10"/>
  <c r="A344" i="10"/>
  <c r="J343" i="10"/>
  <c r="I343" i="10"/>
  <c r="H343" i="10"/>
  <c r="K343" i="10" s="1"/>
  <c r="G343" i="10"/>
  <c r="F343" i="10"/>
  <c r="E343" i="10"/>
  <c r="A343" i="10"/>
  <c r="B343" i="10" s="1"/>
  <c r="J342" i="10"/>
  <c r="I342" i="10"/>
  <c r="H342" i="10"/>
  <c r="K342" i="10" s="1"/>
  <c r="G342" i="10"/>
  <c r="F342" i="10"/>
  <c r="E342" i="10"/>
  <c r="A342" i="10"/>
  <c r="B342" i="10" s="1"/>
  <c r="J341" i="10"/>
  <c r="I341" i="10"/>
  <c r="K341" i="10" s="1"/>
  <c r="H341" i="10"/>
  <c r="G341" i="10"/>
  <c r="F341" i="10"/>
  <c r="E341" i="10"/>
  <c r="A341" i="10"/>
  <c r="J340" i="10"/>
  <c r="I340" i="10"/>
  <c r="H340" i="10"/>
  <c r="G340" i="10"/>
  <c r="F340" i="10"/>
  <c r="E340" i="10"/>
  <c r="A340" i="10"/>
  <c r="B340" i="10" s="1"/>
  <c r="J339" i="10"/>
  <c r="I339" i="10"/>
  <c r="K339" i="10" s="1"/>
  <c r="H339" i="10"/>
  <c r="G339" i="10"/>
  <c r="F339" i="10"/>
  <c r="E339" i="10"/>
  <c r="A339" i="10"/>
  <c r="B339" i="10" s="1"/>
  <c r="K338" i="10"/>
  <c r="J338" i="10"/>
  <c r="I338" i="10"/>
  <c r="H338" i="10"/>
  <c r="G338" i="10"/>
  <c r="F338" i="10"/>
  <c r="E338" i="10"/>
  <c r="A338" i="10"/>
  <c r="B338" i="10" s="1"/>
  <c r="J337" i="10"/>
  <c r="I337" i="10"/>
  <c r="K337" i="10" s="1"/>
  <c r="H337" i="10"/>
  <c r="G337" i="10"/>
  <c r="F337" i="10"/>
  <c r="E337" i="10"/>
  <c r="A337" i="10"/>
  <c r="B337" i="10" s="1"/>
  <c r="J336" i="10"/>
  <c r="I336" i="10"/>
  <c r="H336" i="10"/>
  <c r="G336" i="10"/>
  <c r="F336" i="10"/>
  <c r="E336" i="10"/>
  <c r="A336" i="10"/>
  <c r="J335" i="10"/>
  <c r="I335" i="10"/>
  <c r="K335" i="10" s="1"/>
  <c r="H335" i="10"/>
  <c r="G335" i="10"/>
  <c r="F335" i="10"/>
  <c r="E335" i="10"/>
  <c r="A335" i="10"/>
  <c r="B335" i="10" s="1"/>
  <c r="J334" i="10"/>
  <c r="I334" i="10"/>
  <c r="H334" i="10"/>
  <c r="K334" i="10" s="1"/>
  <c r="G334" i="10"/>
  <c r="F334" i="10"/>
  <c r="E334" i="10"/>
  <c r="A334" i="10"/>
  <c r="B334" i="10" s="1"/>
  <c r="J333" i="10"/>
  <c r="I333" i="10"/>
  <c r="H333" i="10"/>
  <c r="G333" i="10"/>
  <c r="F333" i="10"/>
  <c r="E333" i="10"/>
  <c r="A333" i="10"/>
  <c r="B333" i="10" s="1"/>
  <c r="J332" i="10"/>
  <c r="I332" i="10"/>
  <c r="K332" i="10" s="1"/>
  <c r="H332" i="10"/>
  <c r="G332" i="10"/>
  <c r="F332" i="10"/>
  <c r="E332" i="10"/>
  <c r="A332" i="10"/>
  <c r="B332" i="10" s="1"/>
  <c r="J331" i="10"/>
  <c r="I331" i="10"/>
  <c r="K331" i="10" s="1"/>
  <c r="H331" i="10"/>
  <c r="G331" i="10"/>
  <c r="F331" i="10"/>
  <c r="E331" i="10"/>
  <c r="A331" i="10"/>
  <c r="K330" i="10"/>
  <c r="J330" i="10"/>
  <c r="I330" i="10"/>
  <c r="H330" i="10"/>
  <c r="G330" i="10"/>
  <c r="F330" i="10"/>
  <c r="E330" i="10"/>
  <c r="A330" i="10"/>
  <c r="B330" i="10" s="1"/>
  <c r="J329" i="10"/>
  <c r="I329" i="10"/>
  <c r="H329" i="10"/>
  <c r="G329" i="10"/>
  <c r="F329" i="10"/>
  <c r="E329" i="10"/>
  <c r="A329" i="10"/>
  <c r="B329" i="10" s="1"/>
  <c r="J328" i="10"/>
  <c r="I328" i="10"/>
  <c r="K328" i="10" s="1"/>
  <c r="H328" i="10"/>
  <c r="G328" i="10"/>
  <c r="F328" i="10"/>
  <c r="E328" i="10"/>
  <c r="A328" i="10"/>
  <c r="K327" i="10"/>
  <c r="J327" i="10"/>
  <c r="I327" i="10"/>
  <c r="H327" i="10"/>
  <c r="G327" i="10"/>
  <c r="F327" i="10"/>
  <c r="E327" i="10"/>
  <c r="A327" i="10"/>
  <c r="B327" i="10" s="1"/>
  <c r="J326" i="10"/>
  <c r="I326" i="10"/>
  <c r="H326" i="10"/>
  <c r="G326" i="10"/>
  <c r="F326" i="10"/>
  <c r="E326" i="10"/>
  <c r="A326" i="10"/>
  <c r="B326" i="10" s="1"/>
  <c r="J325" i="10"/>
  <c r="I325" i="10"/>
  <c r="K325" i="10" s="1"/>
  <c r="H325" i="10"/>
  <c r="G325" i="10"/>
  <c r="F325" i="10"/>
  <c r="E325" i="10"/>
  <c r="A325" i="10"/>
  <c r="B325" i="10" s="1"/>
  <c r="J324" i="10"/>
  <c r="I324" i="10"/>
  <c r="H324" i="10"/>
  <c r="G324" i="10"/>
  <c r="F324" i="10"/>
  <c r="E324" i="10"/>
  <c r="A324" i="10"/>
  <c r="J323" i="10"/>
  <c r="I323" i="10"/>
  <c r="K323" i="10" s="1"/>
  <c r="H323" i="10"/>
  <c r="G323" i="10"/>
  <c r="F323" i="10"/>
  <c r="E323" i="10"/>
  <c r="A323" i="10"/>
  <c r="B323" i="10" s="1"/>
  <c r="J322" i="10"/>
  <c r="I322" i="10"/>
  <c r="H322" i="10"/>
  <c r="G322" i="10"/>
  <c r="F322" i="10"/>
  <c r="E322" i="10"/>
  <c r="B322" i="10"/>
  <c r="A322" i="10"/>
  <c r="J321" i="10"/>
  <c r="I321" i="10"/>
  <c r="H321" i="10"/>
  <c r="G321" i="10"/>
  <c r="F321" i="10"/>
  <c r="E321" i="10"/>
  <c r="A321" i="10"/>
  <c r="B321" i="10" s="1"/>
  <c r="J320" i="10"/>
  <c r="I320" i="10"/>
  <c r="K320" i="10" s="1"/>
  <c r="H320" i="10"/>
  <c r="G320" i="10"/>
  <c r="F320" i="10"/>
  <c r="E320" i="10"/>
  <c r="A320" i="10"/>
  <c r="B320" i="10" s="1"/>
  <c r="J319" i="10"/>
  <c r="I319" i="10"/>
  <c r="H319" i="10"/>
  <c r="G319" i="10"/>
  <c r="F319" i="10"/>
  <c r="E319" i="10"/>
  <c r="A319" i="10"/>
  <c r="B319" i="10" s="1"/>
  <c r="J318" i="10"/>
  <c r="I318" i="10"/>
  <c r="H318" i="10"/>
  <c r="G318" i="10"/>
  <c r="F318" i="10"/>
  <c r="E318" i="10"/>
  <c r="A318" i="10"/>
  <c r="J317" i="10"/>
  <c r="I317" i="10"/>
  <c r="K317" i="10" s="1"/>
  <c r="H317" i="10"/>
  <c r="G317" i="10"/>
  <c r="F317" i="10"/>
  <c r="E317" i="10"/>
  <c r="A317" i="10"/>
  <c r="B317" i="10" s="1"/>
  <c r="J316" i="10"/>
  <c r="I316" i="10"/>
  <c r="H316" i="10"/>
  <c r="K316" i="10" s="1"/>
  <c r="G316" i="10"/>
  <c r="F316" i="10"/>
  <c r="E316" i="10"/>
  <c r="A316" i="10"/>
  <c r="B316" i="10" s="1"/>
  <c r="J315" i="10"/>
  <c r="I315" i="10"/>
  <c r="K315" i="10" s="1"/>
  <c r="H315" i="10"/>
  <c r="G315" i="10"/>
  <c r="F315" i="10"/>
  <c r="E315" i="10"/>
  <c r="B315" i="10"/>
  <c r="A315" i="10"/>
  <c r="J314" i="10"/>
  <c r="I314" i="10"/>
  <c r="H314" i="10"/>
  <c r="G314" i="10"/>
  <c r="F314" i="10"/>
  <c r="E314" i="10"/>
  <c r="B314" i="10"/>
  <c r="A314" i="10"/>
  <c r="J313" i="10"/>
  <c r="I313" i="10"/>
  <c r="K313" i="10" s="1"/>
  <c r="H313" i="10"/>
  <c r="G313" i="10"/>
  <c r="F313" i="10"/>
  <c r="E313" i="10"/>
  <c r="A313" i="10"/>
  <c r="B313" i="10" s="1"/>
  <c r="J312" i="10"/>
  <c r="I312" i="10"/>
  <c r="K312" i="10" s="1"/>
  <c r="H312" i="10"/>
  <c r="G312" i="10"/>
  <c r="F312" i="10"/>
  <c r="E312" i="10"/>
  <c r="A312" i="10"/>
  <c r="B312" i="10" s="1"/>
  <c r="K311" i="10"/>
  <c r="J311" i="10"/>
  <c r="I311" i="10"/>
  <c r="H311" i="10"/>
  <c r="G311" i="10"/>
  <c r="F311" i="10"/>
  <c r="E311" i="10"/>
  <c r="B311" i="10"/>
  <c r="L311" i="10" s="1"/>
  <c r="A311" i="10"/>
  <c r="J310" i="10"/>
  <c r="I310" i="10"/>
  <c r="K310" i="10" s="1"/>
  <c r="H310" i="10"/>
  <c r="G310" i="10"/>
  <c r="F310" i="10"/>
  <c r="E310" i="10"/>
  <c r="B310" i="10"/>
  <c r="A310" i="10"/>
  <c r="K309" i="10"/>
  <c r="J309" i="10"/>
  <c r="I309" i="10"/>
  <c r="H309" i="10"/>
  <c r="G309" i="10"/>
  <c r="F309" i="10"/>
  <c r="E309" i="10"/>
  <c r="B309" i="10"/>
  <c r="A309" i="10"/>
  <c r="K308" i="10"/>
  <c r="J308" i="10"/>
  <c r="I308" i="10"/>
  <c r="H308" i="10"/>
  <c r="G308" i="10"/>
  <c r="F308" i="10"/>
  <c r="E308" i="10"/>
  <c r="A308" i="10"/>
  <c r="B308" i="10" s="1"/>
  <c r="J307" i="10"/>
  <c r="I307" i="10"/>
  <c r="K307" i="10" s="1"/>
  <c r="H307" i="10"/>
  <c r="G307" i="10"/>
  <c r="F307" i="10"/>
  <c r="E307" i="10"/>
  <c r="A307" i="10"/>
  <c r="B307" i="10" s="1"/>
  <c r="J306" i="10"/>
  <c r="I306" i="10"/>
  <c r="K306" i="10" s="1"/>
  <c r="H306" i="10"/>
  <c r="G306" i="10"/>
  <c r="F306" i="10"/>
  <c r="E306" i="10"/>
  <c r="A306" i="10"/>
  <c r="B306" i="10" s="1"/>
  <c r="J305" i="10"/>
  <c r="I305" i="10"/>
  <c r="K305" i="10" s="1"/>
  <c r="H305" i="10"/>
  <c r="G305" i="10"/>
  <c r="F305" i="10"/>
  <c r="E305" i="10"/>
  <c r="B305" i="10"/>
  <c r="A305" i="10"/>
  <c r="J304" i="10"/>
  <c r="I304" i="10"/>
  <c r="K304" i="10" s="1"/>
  <c r="H304" i="10"/>
  <c r="G304" i="10"/>
  <c r="F304" i="10"/>
  <c r="E304" i="10"/>
  <c r="B304" i="10"/>
  <c r="A304" i="10"/>
  <c r="J303" i="10"/>
  <c r="I303" i="10"/>
  <c r="K303" i="10" s="1"/>
  <c r="H303" i="10"/>
  <c r="G303" i="10"/>
  <c r="F303" i="10"/>
  <c r="E303" i="10"/>
  <c r="B303" i="10"/>
  <c r="A303" i="10"/>
  <c r="J302" i="10"/>
  <c r="I302" i="10"/>
  <c r="K302" i="10" s="1"/>
  <c r="H302" i="10"/>
  <c r="G302" i="10"/>
  <c r="F302" i="10"/>
  <c r="E302" i="10"/>
  <c r="B302" i="10"/>
  <c r="A302" i="10"/>
  <c r="K301" i="10"/>
  <c r="J301" i="10"/>
  <c r="I301" i="10"/>
  <c r="H301" i="10"/>
  <c r="G301" i="10"/>
  <c r="F301" i="10"/>
  <c r="E301" i="10"/>
  <c r="A301" i="10"/>
  <c r="B301" i="10" s="1"/>
  <c r="J300" i="10"/>
  <c r="I300" i="10"/>
  <c r="K300" i="10" s="1"/>
  <c r="H300" i="10"/>
  <c r="G300" i="10"/>
  <c r="F300" i="10"/>
  <c r="E300" i="10"/>
  <c r="A300" i="10"/>
  <c r="B300" i="10" s="1"/>
  <c r="K299" i="10"/>
  <c r="J299" i="10"/>
  <c r="I299" i="10"/>
  <c r="H299" i="10"/>
  <c r="G299" i="10"/>
  <c r="F299" i="10"/>
  <c r="E299" i="10"/>
  <c r="B299" i="10"/>
  <c r="A299" i="10"/>
  <c r="J298" i="10"/>
  <c r="I298" i="10"/>
  <c r="K298" i="10" s="1"/>
  <c r="H298" i="10"/>
  <c r="G298" i="10"/>
  <c r="F298" i="10"/>
  <c r="E298" i="10"/>
  <c r="B298" i="10"/>
  <c r="A298" i="10"/>
  <c r="J297" i="10"/>
  <c r="I297" i="10"/>
  <c r="K297" i="10" s="1"/>
  <c r="H297" i="10"/>
  <c r="G297" i="10"/>
  <c r="F297" i="10"/>
  <c r="E297" i="10"/>
  <c r="B297" i="10"/>
  <c r="A297" i="10"/>
  <c r="K296" i="10"/>
  <c r="J296" i="10"/>
  <c r="I296" i="10"/>
  <c r="H296" i="10"/>
  <c r="G296" i="10"/>
  <c r="F296" i="10"/>
  <c r="E296" i="10"/>
  <c r="A296" i="10"/>
  <c r="B296" i="10" s="1"/>
  <c r="J295" i="10"/>
  <c r="I295" i="10"/>
  <c r="H295" i="10"/>
  <c r="K295" i="10" s="1"/>
  <c r="G295" i="10"/>
  <c r="F295" i="10"/>
  <c r="E295" i="10"/>
  <c r="B295" i="10"/>
  <c r="A295" i="10"/>
  <c r="J294" i="10"/>
  <c r="I294" i="10"/>
  <c r="H294" i="10"/>
  <c r="G294" i="10"/>
  <c r="F294" i="10"/>
  <c r="E294" i="10"/>
  <c r="B294" i="10"/>
  <c r="A294" i="10"/>
  <c r="K293" i="10"/>
  <c r="J293" i="10"/>
  <c r="I293" i="10"/>
  <c r="H293" i="10"/>
  <c r="G293" i="10"/>
  <c r="F293" i="10"/>
  <c r="E293" i="10"/>
  <c r="A293" i="10"/>
  <c r="B293" i="10" s="1"/>
  <c r="J292" i="10"/>
  <c r="I292" i="10"/>
  <c r="K292" i="10" s="1"/>
  <c r="H292" i="10"/>
  <c r="G292" i="10"/>
  <c r="F292" i="10"/>
  <c r="E292" i="10"/>
  <c r="B292" i="10"/>
  <c r="A292" i="10"/>
  <c r="J291" i="10"/>
  <c r="I291" i="10"/>
  <c r="K291" i="10" s="1"/>
  <c r="H291" i="10"/>
  <c r="G291" i="10"/>
  <c r="F291" i="10"/>
  <c r="E291" i="10"/>
  <c r="A291" i="10"/>
  <c r="B291" i="10" s="1"/>
  <c r="K290" i="10"/>
  <c r="J290" i="10"/>
  <c r="I290" i="10"/>
  <c r="H290" i="10"/>
  <c r="G290" i="10"/>
  <c r="F290" i="10"/>
  <c r="E290" i="10"/>
  <c r="A290" i="10"/>
  <c r="B290" i="10" s="1"/>
  <c r="J289" i="10"/>
  <c r="I289" i="10"/>
  <c r="K289" i="10" s="1"/>
  <c r="H289" i="10"/>
  <c r="G289" i="10"/>
  <c r="F289" i="10"/>
  <c r="E289" i="10"/>
  <c r="A289" i="10"/>
  <c r="B289" i="10" s="1"/>
  <c r="J288" i="10"/>
  <c r="I288" i="10"/>
  <c r="K288" i="10" s="1"/>
  <c r="H288" i="10"/>
  <c r="G288" i="10"/>
  <c r="F288" i="10"/>
  <c r="E288" i="10"/>
  <c r="A288" i="10"/>
  <c r="B288" i="10" s="1"/>
  <c r="J287" i="10"/>
  <c r="I287" i="10"/>
  <c r="K287" i="10" s="1"/>
  <c r="H287" i="10"/>
  <c r="G287" i="10"/>
  <c r="F287" i="10"/>
  <c r="E287" i="10"/>
  <c r="A287" i="10"/>
  <c r="B287" i="10" s="1"/>
  <c r="J286" i="10"/>
  <c r="I286" i="10"/>
  <c r="K286" i="10" s="1"/>
  <c r="H286" i="10"/>
  <c r="G286" i="10"/>
  <c r="F286" i="10"/>
  <c r="E286" i="10"/>
  <c r="A286" i="10"/>
  <c r="B286" i="10" s="1"/>
  <c r="J285" i="10"/>
  <c r="I285" i="10"/>
  <c r="H285" i="10"/>
  <c r="K285" i="10" s="1"/>
  <c r="G285" i="10"/>
  <c r="F285" i="10"/>
  <c r="E285" i="10"/>
  <c r="B285" i="10"/>
  <c r="A285" i="10"/>
  <c r="J284" i="10"/>
  <c r="I284" i="10"/>
  <c r="H284" i="10"/>
  <c r="G284" i="10"/>
  <c r="F284" i="10"/>
  <c r="E284" i="10"/>
  <c r="B284" i="10"/>
  <c r="A284" i="10"/>
  <c r="J283" i="10"/>
  <c r="I283" i="10"/>
  <c r="K283" i="10" s="1"/>
  <c r="H283" i="10"/>
  <c r="G283" i="10"/>
  <c r="F283" i="10"/>
  <c r="E283" i="10"/>
  <c r="B283" i="10"/>
  <c r="A283" i="10"/>
  <c r="J282" i="10"/>
  <c r="I282" i="10"/>
  <c r="K282" i="10" s="1"/>
  <c r="H282" i="10"/>
  <c r="G282" i="10"/>
  <c r="F282" i="10"/>
  <c r="E282" i="10"/>
  <c r="B282" i="10"/>
  <c r="A282" i="10"/>
  <c r="K281" i="10"/>
  <c r="J281" i="10"/>
  <c r="I281" i="10"/>
  <c r="H281" i="10"/>
  <c r="G281" i="10"/>
  <c r="F281" i="10"/>
  <c r="E281" i="10"/>
  <c r="A281" i="10"/>
  <c r="B281" i="10" s="1"/>
  <c r="J280" i="10"/>
  <c r="I280" i="10"/>
  <c r="K280" i="10" s="1"/>
  <c r="H280" i="10"/>
  <c r="G280" i="10"/>
  <c r="F280" i="10"/>
  <c r="E280" i="10"/>
  <c r="B280" i="10"/>
  <c r="A280" i="10"/>
  <c r="J279" i="10"/>
  <c r="I279" i="10"/>
  <c r="K279" i="10" s="1"/>
  <c r="H279" i="10"/>
  <c r="G279" i="10"/>
  <c r="F279" i="10"/>
  <c r="E279" i="10"/>
  <c r="A279" i="10"/>
  <c r="B279" i="10" s="1"/>
  <c r="J278" i="10"/>
  <c r="I278" i="10"/>
  <c r="K278" i="10" s="1"/>
  <c r="H278" i="10"/>
  <c r="G278" i="10"/>
  <c r="F278" i="10"/>
  <c r="E278" i="10"/>
  <c r="A278" i="10"/>
  <c r="B278" i="10" s="1"/>
  <c r="J277" i="10"/>
  <c r="I277" i="10"/>
  <c r="K277" i="10" s="1"/>
  <c r="H277" i="10"/>
  <c r="G277" i="10"/>
  <c r="F277" i="10"/>
  <c r="E277" i="10"/>
  <c r="B277" i="10"/>
  <c r="A277" i="10"/>
  <c r="K276" i="10"/>
  <c r="J276" i="10"/>
  <c r="I276" i="10"/>
  <c r="H276" i="10"/>
  <c r="G276" i="10"/>
  <c r="F276" i="10"/>
  <c r="E276" i="10"/>
  <c r="A276" i="10"/>
  <c r="B276" i="10" s="1"/>
  <c r="J275" i="10"/>
  <c r="I275" i="10"/>
  <c r="K275" i="10" s="1"/>
  <c r="H275" i="10"/>
  <c r="G275" i="10"/>
  <c r="F275" i="10"/>
  <c r="E275" i="10"/>
  <c r="A275" i="10"/>
  <c r="B275" i="10" s="1"/>
  <c r="J274" i="10"/>
  <c r="I274" i="10"/>
  <c r="H274" i="10"/>
  <c r="K274" i="10" s="1"/>
  <c r="G274" i="10"/>
  <c r="F274" i="10"/>
  <c r="E274" i="10"/>
  <c r="A274" i="10"/>
  <c r="B274" i="10" s="1"/>
  <c r="J273" i="10"/>
  <c r="I273" i="10"/>
  <c r="H273" i="10"/>
  <c r="G273" i="10"/>
  <c r="F273" i="10"/>
  <c r="E273" i="10"/>
  <c r="B273" i="10"/>
  <c r="A273" i="10"/>
  <c r="J272" i="10"/>
  <c r="I272" i="10"/>
  <c r="H272" i="10"/>
  <c r="G272" i="10"/>
  <c r="F272" i="10"/>
  <c r="E272" i="10"/>
  <c r="A272" i="10"/>
  <c r="B272" i="10" s="1"/>
  <c r="J271" i="10"/>
  <c r="I271" i="10"/>
  <c r="H271" i="10"/>
  <c r="G271" i="10"/>
  <c r="F271" i="10"/>
  <c r="E271" i="10"/>
  <c r="B271" i="10"/>
  <c r="A271" i="10"/>
  <c r="J270" i="10"/>
  <c r="I270" i="10"/>
  <c r="H270" i="10"/>
  <c r="G270" i="10"/>
  <c r="F270" i="10"/>
  <c r="E270" i="10"/>
  <c r="A270" i="10"/>
  <c r="B270" i="10" s="1"/>
  <c r="K269" i="10"/>
  <c r="J269" i="10"/>
  <c r="I269" i="10"/>
  <c r="H269" i="10"/>
  <c r="G269" i="10"/>
  <c r="F269" i="10"/>
  <c r="E269" i="10"/>
  <c r="A269" i="10"/>
  <c r="B269" i="10" s="1"/>
  <c r="J268" i="10"/>
  <c r="I268" i="10"/>
  <c r="K268" i="10" s="1"/>
  <c r="H268" i="10"/>
  <c r="G268" i="10"/>
  <c r="F268" i="10"/>
  <c r="E268" i="10"/>
  <c r="B268" i="10"/>
  <c r="A268" i="10"/>
  <c r="J267" i="10"/>
  <c r="I267" i="10"/>
  <c r="K267" i="10" s="1"/>
  <c r="H267" i="10"/>
  <c r="G267" i="10"/>
  <c r="F267" i="10"/>
  <c r="E267" i="10"/>
  <c r="B267" i="10"/>
  <c r="A267" i="10"/>
  <c r="J266" i="10"/>
  <c r="I266" i="10"/>
  <c r="H266" i="10"/>
  <c r="G266" i="10"/>
  <c r="F266" i="10"/>
  <c r="E266" i="10"/>
  <c r="B266" i="10"/>
  <c r="A266" i="10"/>
  <c r="J265" i="10"/>
  <c r="I265" i="10"/>
  <c r="K265" i="10" s="1"/>
  <c r="H265" i="10"/>
  <c r="G265" i="10"/>
  <c r="F265" i="10"/>
  <c r="E265" i="10"/>
  <c r="A265" i="10"/>
  <c r="B265" i="10" s="1"/>
  <c r="J264" i="10"/>
  <c r="I264" i="10"/>
  <c r="K264" i="10" s="1"/>
  <c r="H264" i="10"/>
  <c r="G264" i="10"/>
  <c r="F264" i="10"/>
  <c r="E264" i="10"/>
  <c r="B264" i="10"/>
  <c r="A264" i="10"/>
  <c r="K263" i="10"/>
  <c r="J263" i="10"/>
  <c r="I263" i="10"/>
  <c r="H263" i="10"/>
  <c r="G263" i="10"/>
  <c r="F263" i="10"/>
  <c r="E263" i="10"/>
  <c r="A263" i="10"/>
  <c r="B263" i="10" s="1"/>
  <c r="J262" i="10"/>
  <c r="I262" i="10"/>
  <c r="K262" i="10" s="1"/>
  <c r="H262" i="10"/>
  <c r="G262" i="10"/>
  <c r="F262" i="10"/>
  <c r="E262" i="10"/>
  <c r="A262" i="10"/>
  <c r="B262" i="10" s="1"/>
  <c r="J261" i="10"/>
  <c r="I261" i="10"/>
  <c r="K261" i="10" s="1"/>
  <c r="H261" i="10"/>
  <c r="G261" i="10"/>
  <c r="F261" i="10"/>
  <c r="E261" i="10"/>
  <c r="A261" i="10"/>
  <c r="B261" i="10" s="1"/>
  <c r="J260" i="10"/>
  <c r="I260" i="10"/>
  <c r="K260" i="10" s="1"/>
  <c r="H260" i="10"/>
  <c r="G260" i="10"/>
  <c r="F260" i="10"/>
  <c r="E260" i="10"/>
  <c r="B260" i="10"/>
  <c r="A260" i="10"/>
  <c r="J259" i="10"/>
  <c r="I259" i="10"/>
  <c r="H259" i="10"/>
  <c r="G259" i="10"/>
  <c r="F259" i="10"/>
  <c r="E259" i="10"/>
  <c r="A259" i="10"/>
  <c r="B259" i="10" s="1"/>
  <c r="K258" i="10"/>
  <c r="J258" i="10"/>
  <c r="I258" i="10"/>
  <c r="H258" i="10"/>
  <c r="G258" i="10"/>
  <c r="F258" i="10"/>
  <c r="E258" i="10"/>
  <c r="A258" i="10"/>
  <c r="B258" i="10" s="1"/>
  <c r="J257" i="10"/>
  <c r="I257" i="10"/>
  <c r="K257" i="10" s="1"/>
  <c r="H257" i="10"/>
  <c r="G257" i="10"/>
  <c r="F257" i="10"/>
  <c r="E257" i="10"/>
  <c r="A257" i="10"/>
  <c r="B257" i="10" s="1"/>
  <c r="K256" i="10"/>
  <c r="J256" i="10"/>
  <c r="I256" i="10"/>
  <c r="H256" i="10"/>
  <c r="G256" i="10"/>
  <c r="F256" i="10"/>
  <c r="E256" i="10"/>
  <c r="B256" i="10"/>
  <c r="A256" i="10"/>
  <c r="J255" i="10"/>
  <c r="I255" i="10"/>
  <c r="H255" i="10"/>
  <c r="G255" i="10"/>
  <c r="F255" i="10"/>
  <c r="E255" i="10"/>
  <c r="A255" i="10"/>
  <c r="B255" i="10" s="1"/>
  <c r="J254" i="10"/>
  <c r="I254" i="10"/>
  <c r="H254" i="10"/>
  <c r="G254" i="10"/>
  <c r="F254" i="10"/>
  <c r="E254" i="10"/>
  <c r="B254" i="10"/>
  <c r="A254" i="10"/>
  <c r="J253" i="10"/>
  <c r="I253" i="10"/>
  <c r="K253" i="10" s="1"/>
  <c r="H253" i="10"/>
  <c r="G253" i="10"/>
  <c r="F253" i="10"/>
  <c r="E253" i="10"/>
  <c r="B253" i="10"/>
  <c r="A253" i="10"/>
  <c r="J252" i="10"/>
  <c r="I252" i="10"/>
  <c r="K252" i="10" s="1"/>
  <c r="H252" i="10"/>
  <c r="G252" i="10"/>
  <c r="F252" i="10"/>
  <c r="E252" i="10"/>
  <c r="A252" i="10"/>
  <c r="B252" i="10" s="1"/>
  <c r="J251" i="10"/>
  <c r="I251" i="10"/>
  <c r="K251" i="10" s="1"/>
  <c r="H251" i="10"/>
  <c r="G251" i="10"/>
  <c r="F251" i="10"/>
  <c r="E251" i="10"/>
  <c r="B251" i="10"/>
  <c r="A251" i="10"/>
  <c r="J250" i="10"/>
  <c r="I250" i="10"/>
  <c r="K250" i="10" s="1"/>
  <c r="H250" i="10"/>
  <c r="G250" i="10"/>
  <c r="F250" i="10"/>
  <c r="E250" i="10"/>
  <c r="A250" i="10"/>
  <c r="B250" i="10" s="1"/>
  <c r="J249" i="10"/>
  <c r="I249" i="10"/>
  <c r="H249" i="10"/>
  <c r="G249" i="10"/>
  <c r="F249" i="10"/>
  <c r="E249" i="10"/>
  <c r="A249" i="10"/>
  <c r="B249" i="10" s="1"/>
  <c r="J248" i="10"/>
  <c r="I248" i="10"/>
  <c r="K248" i="10" s="1"/>
  <c r="H248" i="10"/>
  <c r="G248" i="10"/>
  <c r="F248" i="10"/>
  <c r="E248" i="10"/>
  <c r="B248" i="10"/>
  <c r="A248" i="10"/>
  <c r="J247" i="10"/>
  <c r="I247" i="10"/>
  <c r="H247" i="10"/>
  <c r="G247" i="10"/>
  <c r="F247" i="10"/>
  <c r="E247" i="10"/>
  <c r="B247" i="10"/>
  <c r="A247" i="10"/>
  <c r="J246" i="10"/>
  <c r="I246" i="10"/>
  <c r="H246" i="10"/>
  <c r="G246" i="10"/>
  <c r="F246" i="10"/>
  <c r="E246" i="10"/>
  <c r="B246" i="10"/>
  <c r="A246" i="10"/>
  <c r="J245" i="10"/>
  <c r="I245" i="10"/>
  <c r="H245" i="10"/>
  <c r="G245" i="10"/>
  <c r="F245" i="10"/>
  <c r="E245" i="10"/>
  <c r="A245" i="10"/>
  <c r="B245" i="10" s="1"/>
  <c r="J244" i="10"/>
  <c r="I244" i="10"/>
  <c r="K244" i="10" s="1"/>
  <c r="H244" i="10"/>
  <c r="G244" i="10"/>
  <c r="F244" i="10"/>
  <c r="E244" i="10"/>
  <c r="A244" i="10"/>
  <c r="B244" i="10" s="1"/>
  <c r="J243" i="10"/>
  <c r="I243" i="10"/>
  <c r="K243" i="10" s="1"/>
  <c r="H243" i="10"/>
  <c r="G243" i="10"/>
  <c r="F243" i="10"/>
  <c r="E243" i="10"/>
  <c r="B243" i="10"/>
  <c r="A243" i="10"/>
  <c r="K242" i="10"/>
  <c r="J242" i="10"/>
  <c r="I242" i="10"/>
  <c r="H242" i="10"/>
  <c r="G242" i="10"/>
  <c r="F242" i="10"/>
  <c r="E242" i="10"/>
  <c r="A242" i="10"/>
  <c r="B242" i="10" s="1"/>
  <c r="J241" i="10"/>
  <c r="I241" i="10"/>
  <c r="K241" i="10" s="1"/>
  <c r="H241" i="10"/>
  <c r="G241" i="10"/>
  <c r="F241" i="10"/>
  <c r="E241" i="10"/>
  <c r="A241" i="10"/>
  <c r="B241" i="10" s="1"/>
  <c r="J240" i="10"/>
  <c r="I240" i="10"/>
  <c r="H240" i="10"/>
  <c r="K240" i="10" s="1"/>
  <c r="G240" i="10"/>
  <c r="F240" i="10"/>
  <c r="E240" i="10"/>
  <c r="B240" i="10"/>
  <c r="A240" i="10"/>
  <c r="J239" i="10"/>
  <c r="I239" i="10"/>
  <c r="H239" i="10"/>
  <c r="G239" i="10"/>
  <c r="F239" i="10"/>
  <c r="E239" i="10"/>
  <c r="B239" i="10"/>
  <c r="A239" i="10"/>
  <c r="J238" i="10"/>
  <c r="I238" i="10"/>
  <c r="H238" i="10"/>
  <c r="G238" i="10"/>
  <c r="F238" i="10"/>
  <c r="E238" i="10"/>
  <c r="B238" i="10"/>
  <c r="A238" i="10"/>
  <c r="K237" i="10"/>
  <c r="J237" i="10"/>
  <c r="I237" i="10"/>
  <c r="H237" i="10"/>
  <c r="G237" i="10"/>
  <c r="F237" i="10"/>
  <c r="E237" i="10"/>
  <c r="B237" i="10"/>
  <c r="A237" i="10"/>
  <c r="J236" i="10"/>
  <c r="I236" i="10"/>
  <c r="K236" i="10" s="1"/>
  <c r="H236" i="10"/>
  <c r="G236" i="10"/>
  <c r="F236" i="10"/>
  <c r="E236" i="10"/>
  <c r="B236" i="10"/>
  <c r="A236" i="10"/>
  <c r="J235" i="10"/>
  <c r="I235" i="10"/>
  <c r="K235" i="10" s="1"/>
  <c r="H235" i="10"/>
  <c r="G235" i="10"/>
  <c r="F235" i="10"/>
  <c r="E235" i="10"/>
  <c r="B235" i="10"/>
  <c r="A235" i="10"/>
  <c r="K234" i="10"/>
  <c r="J234" i="10"/>
  <c r="I234" i="10"/>
  <c r="H234" i="10"/>
  <c r="G234" i="10"/>
  <c r="F234" i="10"/>
  <c r="E234" i="10"/>
  <c r="A234" i="10"/>
  <c r="B234" i="10" s="1"/>
  <c r="J233" i="10"/>
  <c r="I233" i="10"/>
  <c r="K233" i="10" s="1"/>
  <c r="H233" i="10"/>
  <c r="G233" i="10"/>
  <c r="F233" i="10"/>
  <c r="E233" i="10"/>
  <c r="A233" i="10"/>
  <c r="B233" i="10" s="1"/>
  <c r="J232" i="10"/>
  <c r="I232" i="10"/>
  <c r="K232" i="10" s="1"/>
  <c r="H232" i="10"/>
  <c r="G232" i="10"/>
  <c r="F232" i="10"/>
  <c r="E232" i="10"/>
  <c r="B232" i="10"/>
  <c r="A232" i="10"/>
  <c r="J231" i="10"/>
  <c r="I231" i="10"/>
  <c r="H231" i="10"/>
  <c r="G231" i="10"/>
  <c r="F231" i="10"/>
  <c r="E231" i="10"/>
  <c r="B231" i="10"/>
  <c r="A231" i="10"/>
  <c r="J230" i="10"/>
  <c r="I230" i="10"/>
  <c r="H230" i="10"/>
  <c r="G230" i="10"/>
  <c r="F230" i="10"/>
  <c r="E230" i="10"/>
  <c r="B230" i="10"/>
  <c r="A230" i="10"/>
  <c r="K229" i="10"/>
  <c r="J229" i="10"/>
  <c r="I229" i="10"/>
  <c r="H229" i="10"/>
  <c r="G229" i="10"/>
  <c r="F229" i="10"/>
  <c r="E229" i="10"/>
  <c r="A229" i="10"/>
  <c r="B229" i="10" s="1"/>
  <c r="J228" i="10"/>
  <c r="I228" i="10"/>
  <c r="H228" i="10"/>
  <c r="G228" i="10"/>
  <c r="F228" i="10"/>
  <c r="E228" i="10"/>
  <c r="A228" i="10"/>
  <c r="B228" i="10" s="1"/>
  <c r="K227" i="10"/>
  <c r="J227" i="10"/>
  <c r="I227" i="10"/>
  <c r="H227" i="10"/>
  <c r="G227" i="10"/>
  <c r="F227" i="10"/>
  <c r="E227" i="10"/>
  <c r="A227" i="10"/>
  <c r="B227" i="10" s="1"/>
  <c r="J226" i="10"/>
  <c r="I226" i="10"/>
  <c r="H226" i="10"/>
  <c r="G226" i="10"/>
  <c r="F226" i="10"/>
  <c r="E226" i="10"/>
  <c r="B226" i="10"/>
  <c r="A226" i="10"/>
  <c r="J225" i="10"/>
  <c r="I225" i="10"/>
  <c r="K225" i="10" s="1"/>
  <c r="H225" i="10"/>
  <c r="G225" i="10"/>
  <c r="F225" i="10"/>
  <c r="E225" i="10"/>
  <c r="A225" i="10"/>
  <c r="B225" i="10" s="1"/>
  <c r="J224" i="10"/>
  <c r="I224" i="10"/>
  <c r="H224" i="10"/>
  <c r="G224" i="10"/>
  <c r="F224" i="10"/>
  <c r="E224" i="10"/>
  <c r="B224" i="10"/>
  <c r="A224" i="10"/>
  <c r="J223" i="10"/>
  <c r="I223" i="10"/>
  <c r="H223" i="10"/>
  <c r="G223" i="10"/>
  <c r="F223" i="10"/>
  <c r="E223" i="10"/>
  <c r="A223" i="10"/>
  <c r="B223" i="10" s="1"/>
  <c r="J222" i="10"/>
  <c r="I222" i="10"/>
  <c r="H222" i="10"/>
  <c r="G222" i="10"/>
  <c r="F222" i="10"/>
  <c r="E222" i="10"/>
  <c r="B222" i="10"/>
  <c r="A222" i="10"/>
  <c r="K221" i="10"/>
  <c r="J221" i="10"/>
  <c r="I221" i="10"/>
  <c r="H221" i="10"/>
  <c r="G221" i="10"/>
  <c r="F221" i="10"/>
  <c r="E221" i="10"/>
  <c r="A221" i="10"/>
  <c r="B221" i="10" s="1"/>
  <c r="J220" i="10"/>
  <c r="I220" i="10"/>
  <c r="K220" i="10" s="1"/>
  <c r="H220" i="10"/>
  <c r="G220" i="10"/>
  <c r="F220" i="10"/>
  <c r="E220" i="10"/>
  <c r="A220" i="10"/>
  <c r="B220" i="10" s="1"/>
  <c r="J219" i="10"/>
  <c r="I219" i="10"/>
  <c r="H219" i="10"/>
  <c r="G219" i="10"/>
  <c r="F219" i="10"/>
  <c r="E219" i="10"/>
  <c r="A219" i="10"/>
  <c r="B219" i="10" s="1"/>
  <c r="K218" i="10"/>
  <c r="J218" i="10"/>
  <c r="I218" i="10"/>
  <c r="H218" i="10"/>
  <c r="G218" i="10"/>
  <c r="F218" i="10"/>
  <c r="E218" i="10"/>
  <c r="B218" i="10"/>
  <c r="A218" i="10"/>
  <c r="J217" i="10"/>
  <c r="I217" i="10"/>
  <c r="H217" i="10"/>
  <c r="G217" i="10"/>
  <c r="F217" i="10"/>
  <c r="E217" i="10"/>
  <c r="B217" i="10"/>
  <c r="A217" i="10"/>
  <c r="J216" i="10"/>
  <c r="I216" i="10"/>
  <c r="H216" i="10"/>
  <c r="K216" i="10" s="1"/>
  <c r="G216" i="10"/>
  <c r="F216" i="10"/>
  <c r="E216" i="10"/>
  <c r="B216" i="10"/>
  <c r="A216" i="10"/>
  <c r="J215" i="10"/>
  <c r="I215" i="10"/>
  <c r="H215" i="10"/>
  <c r="G215" i="10"/>
  <c r="F215" i="10"/>
  <c r="E215" i="10"/>
  <c r="B215" i="10"/>
  <c r="A215" i="10"/>
  <c r="J214" i="10"/>
  <c r="I214" i="10"/>
  <c r="H214" i="10"/>
  <c r="G214" i="10"/>
  <c r="F214" i="10"/>
  <c r="E214" i="10"/>
  <c r="B214" i="10"/>
  <c r="A214" i="10"/>
  <c r="J213" i="10"/>
  <c r="I213" i="10"/>
  <c r="K213" i="10" s="1"/>
  <c r="H213" i="10"/>
  <c r="G213" i="10"/>
  <c r="F213" i="10"/>
  <c r="E213" i="10"/>
  <c r="B213" i="10"/>
  <c r="A213" i="10"/>
  <c r="J212" i="10"/>
  <c r="I212" i="10"/>
  <c r="K212" i="10" s="1"/>
  <c r="H212" i="10"/>
  <c r="G212" i="10"/>
  <c r="F212" i="10"/>
  <c r="E212" i="10"/>
  <c r="B212" i="10"/>
  <c r="A212" i="10"/>
  <c r="J211" i="10"/>
  <c r="I211" i="10"/>
  <c r="H211" i="10"/>
  <c r="G211" i="10"/>
  <c r="F211" i="10"/>
  <c r="E211" i="10"/>
  <c r="B211" i="10"/>
  <c r="A211" i="10"/>
  <c r="J210" i="10"/>
  <c r="I210" i="10"/>
  <c r="H210" i="10"/>
  <c r="G210" i="10"/>
  <c r="F210" i="10"/>
  <c r="E210" i="10"/>
  <c r="B210" i="10"/>
  <c r="A210" i="10"/>
  <c r="J209" i="10"/>
  <c r="I209" i="10"/>
  <c r="H209" i="10"/>
  <c r="G209" i="10"/>
  <c r="F209" i="10"/>
  <c r="E209" i="10"/>
  <c r="B209" i="10"/>
  <c r="A209" i="10"/>
  <c r="J208" i="10"/>
  <c r="I208" i="10"/>
  <c r="H208" i="10"/>
  <c r="G208" i="10"/>
  <c r="F208" i="10"/>
  <c r="E208" i="10"/>
  <c r="B208" i="10"/>
  <c r="A208" i="10"/>
  <c r="J207" i="10"/>
  <c r="I207" i="10"/>
  <c r="K207" i="10" s="1"/>
  <c r="H207" i="10"/>
  <c r="G207" i="10"/>
  <c r="F207" i="10"/>
  <c r="E207" i="10"/>
  <c r="B207" i="10"/>
  <c r="A207" i="10"/>
  <c r="J206" i="10"/>
  <c r="I206" i="10"/>
  <c r="H206" i="10"/>
  <c r="G206" i="10"/>
  <c r="F206" i="10"/>
  <c r="E206" i="10"/>
  <c r="B206" i="10"/>
  <c r="A206" i="10"/>
  <c r="J205" i="10"/>
  <c r="I205" i="10"/>
  <c r="H205" i="10"/>
  <c r="G205" i="10"/>
  <c r="F205" i="10"/>
  <c r="E205" i="10"/>
  <c r="B205" i="10"/>
  <c r="A205" i="10"/>
  <c r="J204" i="10"/>
  <c r="I204" i="10"/>
  <c r="H204" i="10"/>
  <c r="G204" i="10"/>
  <c r="F204" i="10"/>
  <c r="E204" i="10"/>
  <c r="B204" i="10"/>
  <c r="A204" i="10"/>
  <c r="K203" i="10"/>
  <c r="J203" i="10"/>
  <c r="I203" i="10"/>
  <c r="H203" i="10"/>
  <c r="G203" i="10"/>
  <c r="F203" i="10"/>
  <c r="E203" i="10"/>
  <c r="A203" i="10"/>
  <c r="B203" i="10" s="1"/>
  <c r="J202" i="10"/>
  <c r="I202" i="10"/>
  <c r="K202" i="10" s="1"/>
  <c r="H202" i="10"/>
  <c r="G202" i="10"/>
  <c r="F202" i="10"/>
  <c r="E202" i="10"/>
  <c r="B202" i="10"/>
  <c r="A202" i="10"/>
  <c r="J201" i="10"/>
  <c r="I201" i="10"/>
  <c r="H201" i="10"/>
  <c r="G201" i="10"/>
  <c r="F201" i="10"/>
  <c r="E201" i="10"/>
  <c r="B201" i="10"/>
  <c r="A201" i="10"/>
  <c r="J200" i="10"/>
  <c r="I200" i="10"/>
  <c r="H200" i="10"/>
  <c r="G200" i="10"/>
  <c r="F200" i="10"/>
  <c r="E200" i="10"/>
  <c r="B200" i="10"/>
  <c r="L200" i="10" s="1"/>
  <c r="A200" i="10"/>
  <c r="J199" i="10"/>
  <c r="I199" i="10"/>
  <c r="H199" i="10"/>
  <c r="G199" i="10"/>
  <c r="F199" i="10"/>
  <c r="E199" i="10"/>
  <c r="A199" i="10"/>
  <c r="B199" i="10" s="1"/>
  <c r="L199" i="10" s="1"/>
  <c r="J198" i="10"/>
  <c r="I198" i="10"/>
  <c r="H198" i="10"/>
  <c r="K198" i="10" s="1"/>
  <c r="G198" i="10"/>
  <c r="F198" i="10"/>
  <c r="E198" i="10"/>
  <c r="A198" i="10"/>
  <c r="B198" i="10" s="1"/>
  <c r="L198" i="10" s="1"/>
  <c r="K197" i="10"/>
  <c r="J197" i="10"/>
  <c r="I197" i="10"/>
  <c r="H197" i="10"/>
  <c r="G197" i="10"/>
  <c r="F197" i="10"/>
  <c r="E197" i="10"/>
  <c r="A197" i="10"/>
  <c r="B197" i="10" s="1"/>
  <c r="L197" i="10" s="1"/>
  <c r="J196" i="10"/>
  <c r="I196" i="10"/>
  <c r="K196" i="10" s="1"/>
  <c r="H196" i="10"/>
  <c r="G196" i="10"/>
  <c r="F196" i="10"/>
  <c r="E196" i="10"/>
  <c r="A196" i="10"/>
  <c r="B196" i="10" s="1"/>
  <c r="L196" i="10" s="1"/>
  <c r="J195" i="10"/>
  <c r="I195" i="10"/>
  <c r="K195" i="10" s="1"/>
  <c r="H195" i="10"/>
  <c r="G195" i="10"/>
  <c r="F195" i="10"/>
  <c r="E195" i="10"/>
  <c r="B195" i="10"/>
  <c r="A195" i="10"/>
  <c r="J194" i="10"/>
  <c r="I194" i="10"/>
  <c r="H194" i="10"/>
  <c r="G194" i="10"/>
  <c r="F194" i="10"/>
  <c r="E194" i="10"/>
  <c r="A194" i="10"/>
  <c r="B194" i="10" s="1"/>
  <c r="L194" i="10" s="1"/>
  <c r="K193" i="10"/>
  <c r="J193" i="10"/>
  <c r="I193" i="10"/>
  <c r="H193" i="10"/>
  <c r="G193" i="10"/>
  <c r="F193" i="10"/>
  <c r="E193" i="10"/>
  <c r="B193" i="10"/>
  <c r="A193" i="10"/>
  <c r="J192" i="10"/>
  <c r="I192" i="10"/>
  <c r="H192" i="10"/>
  <c r="K192" i="10" s="1"/>
  <c r="G192" i="10"/>
  <c r="F192" i="10"/>
  <c r="E192" i="10"/>
  <c r="A192" i="10"/>
  <c r="B192" i="10" s="1"/>
  <c r="K191" i="10"/>
  <c r="J191" i="10"/>
  <c r="I191" i="10"/>
  <c r="H191" i="10"/>
  <c r="G191" i="10"/>
  <c r="F191" i="10"/>
  <c r="E191" i="10"/>
  <c r="A191" i="10"/>
  <c r="B191" i="10" s="1"/>
  <c r="J190" i="10"/>
  <c r="I190" i="10"/>
  <c r="K190" i="10" s="1"/>
  <c r="H190" i="10"/>
  <c r="G190" i="10"/>
  <c r="F190" i="10"/>
  <c r="E190" i="10"/>
  <c r="B190" i="10"/>
  <c r="A190" i="10"/>
  <c r="J189" i="10"/>
  <c r="I189" i="10"/>
  <c r="K189" i="10" s="1"/>
  <c r="H189" i="10"/>
  <c r="G189" i="10"/>
  <c r="F189" i="10"/>
  <c r="E189" i="10"/>
  <c r="A189" i="10"/>
  <c r="B189" i="10" s="1"/>
  <c r="J188" i="10"/>
  <c r="I188" i="10"/>
  <c r="K188" i="10" s="1"/>
  <c r="H188" i="10"/>
  <c r="G188" i="10"/>
  <c r="F188" i="10"/>
  <c r="E188" i="10"/>
  <c r="B188" i="10"/>
  <c r="L188" i="10" s="1"/>
  <c r="A188" i="10"/>
  <c r="J187" i="10"/>
  <c r="I187" i="10"/>
  <c r="K187" i="10" s="1"/>
  <c r="H187" i="10"/>
  <c r="G187" i="10"/>
  <c r="F187" i="10"/>
  <c r="E187" i="10"/>
  <c r="A187" i="10"/>
  <c r="J186" i="10"/>
  <c r="I186" i="10"/>
  <c r="K186" i="10" s="1"/>
  <c r="H186" i="10"/>
  <c r="G186" i="10"/>
  <c r="F186" i="10"/>
  <c r="E186" i="10"/>
  <c r="A186" i="10"/>
  <c r="J185" i="10"/>
  <c r="I185" i="10"/>
  <c r="K185" i="10" s="1"/>
  <c r="H185" i="10"/>
  <c r="G185" i="10"/>
  <c r="F185" i="10"/>
  <c r="E185" i="10"/>
  <c r="A185" i="10"/>
  <c r="J184" i="10"/>
  <c r="I184" i="10"/>
  <c r="H184" i="10"/>
  <c r="G184" i="10"/>
  <c r="F184" i="10"/>
  <c r="E184" i="10"/>
  <c r="B184" i="10"/>
  <c r="L184" i="10" s="1"/>
  <c r="A184" i="10"/>
  <c r="J183" i="10"/>
  <c r="I183" i="10"/>
  <c r="H183" i="10"/>
  <c r="G183" i="10"/>
  <c r="F183" i="10"/>
  <c r="E183" i="10"/>
  <c r="A183" i="10"/>
  <c r="J182" i="10"/>
  <c r="I182" i="10"/>
  <c r="H182" i="10"/>
  <c r="G182" i="10"/>
  <c r="F182" i="10"/>
  <c r="E182" i="10"/>
  <c r="A182" i="10"/>
  <c r="B182" i="10" s="1"/>
  <c r="K181" i="10"/>
  <c r="J181" i="10"/>
  <c r="I181" i="10"/>
  <c r="H181" i="10"/>
  <c r="G181" i="10"/>
  <c r="F181" i="10"/>
  <c r="E181" i="10"/>
  <c r="B181" i="10"/>
  <c r="A181" i="10"/>
  <c r="J180" i="10"/>
  <c r="I180" i="10"/>
  <c r="H180" i="10"/>
  <c r="G180" i="10"/>
  <c r="F180" i="10"/>
  <c r="E180" i="10"/>
  <c r="B180" i="10"/>
  <c r="A180" i="10"/>
  <c r="J179" i="10"/>
  <c r="I179" i="10"/>
  <c r="H179" i="10"/>
  <c r="G179" i="10"/>
  <c r="F179" i="10"/>
  <c r="E179" i="10"/>
  <c r="A179" i="10"/>
  <c r="J178" i="10"/>
  <c r="I178" i="10"/>
  <c r="K178" i="10" s="1"/>
  <c r="H178" i="10"/>
  <c r="G178" i="10"/>
  <c r="F178" i="10"/>
  <c r="E178" i="10"/>
  <c r="A178" i="10"/>
  <c r="B178" i="10" s="1"/>
  <c r="J177" i="10"/>
  <c r="I177" i="10"/>
  <c r="K177" i="10" s="1"/>
  <c r="H177" i="10"/>
  <c r="G177" i="10"/>
  <c r="F177" i="10"/>
  <c r="E177" i="10"/>
  <c r="A177" i="10"/>
  <c r="B177" i="10" s="1"/>
  <c r="J176" i="10"/>
  <c r="I176" i="10"/>
  <c r="H176" i="10"/>
  <c r="G176" i="10"/>
  <c r="F176" i="10"/>
  <c r="E176" i="10"/>
  <c r="A176" i="10"/>
  <c r="B176" i="10" s="1"/>
  <c r="L176" i="10" s="1"/>
  <c r="J175" i="10"/>
  <c r="I175" i="10"/>
  <c r="K175" i="10" s="1"/>
  <c r="H175" i="10"/>
  <c r="G175" i="10"/>
  <c r="F175" i="10"/>
  <c r="E175" i="10"/>
  <c r="A175" i="10"/>
  <c r="J174" i="10"/>
  <c r="I174" i="10"/>
  <c r="H174" i="10"/>
  <c r="G174" i="10"/>
  <c r="F174" i="10"/>
  <c r="E174" i="10"/>
  <c r="A174" i="10"/>
  <c r="B174" i="10" s="1"/>
  <c r="J173" i="10"/>
  <c r="I173" i="10"/>
  <c r="H173" i="10"/>
  <c r="G173" i="10"/>
  <c r="F173" i="10"/>
  <c r="E173" i="10"/>
  <c r="A173" i="10"/>
  <c r="B173" i="10" s="1"/>
  <c r="J172" i="10"/>
  <c r="I172" i="10"/>
  <c r="K172" i="10" s="1"/>
  <c r="H172" i="10"/>
  <c r="G172" i="10"/>
  <c r="F172" i="10"/>
  <c r="E172" i="10"/>
  <c r="B172" i="10"/>
  <c r="A172" i="10"/>
  <c r="J171" i="10"/>
  <c r="I171" i="10"/>
  <c r="H171" i="10"/>
  <c r="G171" i="10"/>
  <c r="F171" i="10"/>
  <c r="E171" i="10"/>
  <c r="A171" i="10"/>
  <c r="B171" i="10" s="1"/>
  <c r="K170" i="10"/>
  <c r="J170" i="10"/>
  <c r="I170" i="10"/>
  <c r="H170" i="10"/>
  <c r="G170" i="10"/>
  <c r="F170" i="10"/>
  <c r="E170" i="10"/>
  <c r="A170" i="10"/>
  <c r="J169" i="10"/>
  <c r="I169" i="10"/>
  <c r="H169" i="10"/>
  <c r="G169" i="10"/>
  <c r="F169" i="10"/>
  <c r="E169" i="10"/>
  <c r="A169" i="10"/>
  <c r="B169" i="10" s="1"/>
  <c r="K168" i="10"/>
  <c r="J168" i="10"/>
  <c r="I168" i="10"/>
  <c r="H168" i="10"/>
  <c r="G168" i="10"/>
  <c r="F168" i="10"/>
  <c r="E168" i="10"/>
  <c r="A168" i="10"/>
  <c r="B168" i="10" s="1"/>
  <c r="L168" i="10" s="1"/>
  <c r="J167" i="10"/>
  <c r="I167" i="10"/>
  <c r="H167" i="10"/>
  <c r="G167" i="10"/>
  <c r="F167" i="10"/>
  <c r="E167" i="10"/>
  <c r="A167" i="10"/>
  <c r="B167" i="10" s="1"/>
  <c r="L167" i="10" s="1"/>
  <c r="J166" i="10"/>
  <c r="I166" i="10"/>
  <c r="K166" i="10" s="1"/>
  <c r="H166" i="10"/>
  <c r="G166" i="10"/>
  <c r="F166" i="10"/>
  <c r="E166" i="10"/>
  <c r="B166" i="10"/>
  <c r="L166" i="10" s="1"/>
  <c r="A166" i="10"/>
  <c r="J165" i="10"/>
  <c r="I165" i="10"/>
  <c r="H165" i="10"/>
  <c r="G165" i="10"/>
  <c r="F165" i="10"/>
  <c r="E165" i="10"/>
  <c r="A165" i="10"/>
  <c r="K164" i="10"/>
  <c r="J164" i="10"/>
  <c r="I164" i="10"/>
  <c r="H164" i="10"/>
  <c r="G164" i="10"/>
  <c r="F164" i="10"/>
  <c r="E164" i="10"/>
  <c r="B164" i="10"/>
  <c r="L164" i="10" s="1"/>
  <c r="A164" i="10"/>
  <c r="J163" i="10"/>
  <c r="I163" i="10"/>
  <c r="K163" i="10" s="1"/>
  <c r="H163" i="10"/>
  <c r="G163" i="10"/>
  <c r="F163" i="10"/>
  <c r="E163" i="10"/>
  <c r="A163" i="10"/>
  <c r="B163" i="10" s="1"/>
  <c r="L163" i="10" s="1"/>
  <c r="K162" i="10"/>
  <c r="J162" i="10"/>
  <c r="I162" i="10"/>
  <c r="H162" i="10"/>
  <c r="G162" i="10"/>
  <c r="F162" i="10"/>
  <c r="E162" i="10"/>
  <c r="A162" i="10"/>
  <c r="B162" i="10" s="1"/>
  <c r="L162" i="10" s="1"/>
  <c r="J161" i="10"/>
  <c r="I161" i="10"/>
  <c r="K161" i="10" s="1"/>
  <c r="H161" i="10"/>
  <c r="G161" i="10"/>
  <c r="F161" i="10"/>
  <c r="E161" i="10"/>
  <c r="A161" i="10"/>
  <c r="B161" i="10" s="1"/>
  <c r="L161" i="10" s="1"/>
  <c r="J160" i="10"/>
  <c r="I160" i="10"/>
  <c r="K160" i="10" s="1"/>
  <c r="H160" i="10"/>
  <c r="G160" i="10"/>
  <c r="F160" i="10"/>
  <c r="E160" i="10"/>
  <c r="A160" i="10"/>
  <c r="B160" i="10" s="1"/>
  <c r="L160" i="10" s="1"/>
  <c r="J159" i="10"/>
  <c r="I159" i="10"/>
  <c r="H159" i="10"/>
  <c r="G159" i="10"/>
  <c r="F159" i="10"/>
  <c r="E159" i="10"/>
  <c r="A159" i="10"/>
  <c r="B159" i="10" s="1"/>
  <c r="K158" i="10"/>
  <c r="J158" i="10"/>
  <c r="I158" i="10"/>
  <c r="H158" i="10"/>
  <c r="G158" i="10"/>
  <c r="F158" i="10"/>
  <c r="E158" i="10"/>
  <c r="A158" i="10"/>
  <c r="J157" i="10"/>
  <c r="I157" i="10"/>
  <c r="H157" i="10"/>
  <c r="G157" i="10"/>
  <c r="F157" i="10"/>
  <c r="E157" i="10"/>
  <c r="B157" i="10"/>
  <c r="A157" i="10"/>
  <c r="K156" i="10"/>
  <c r="J156" i="10"/>
  <c r="I156" i="10"/>
  <c r="H156" i="10"/>
  <c r="G156" i="10"/>
  <c r="F156" i="10"/>
  <c r="E156" i="10"/>
  <c r="A156" i="10"/>
  <c r="J155" i="10"/>
  <c r="I155" i="10"/>
  <c r="H155" i="10"/>
  <c r="G155" i="10"/>
  <c r="F155" i="10"/>
  <c r="E155" i="10"/>
  <c r="A155" i="10"/>
  <c r="B155" i="10" s="1"/>
  <c r="J154" i="10"/>
  <c r="I154" i="10"/>
  <c r="K154" i="10" s="1"/>
  <c r="H154" i="10"/>
  <c r="G154" i="10"/>
  <c r="F154" i="10"/>
  <c r="E154" i="10"/>
  <c r="B154" i="10"/>
  <c r="A154" i="10"/>
  <c r="J153" i="10"/>
  <c r="I153" i="10"/>
  <c r="K153" i="10" s="1"/>
  <c r="H153" i="10"/>
  <c r="G153" i="10"/>
  <c r="F153" i="10"/>
  <c r="E153" i="10"/>
  <c r="A153" i="10"/>
  <c r="B153" i="10" s="1"/>
  <c r="J152" i="10"/>
  <c r="I152" i="10"/>
  <c r="K152" i="10" s="1"/>
  <c r="H152" i="10"/>
  <c r="G152" i="10"/>
  <c r="F152" i="10"/>
  <c r="E152" i="10"/>
  <c r="B152" i="10"/>
  <c r="L152" i="10" s="1"/>
  <c r="A152" i="10"/>
  <c r="J151" i="10"/>
  <c r="I151" i="10"/>
  <c r="H151" i="10"/>
  <c r="G151" i="10"/>
  <c r="F151" i="10"/>
  <c r="E151" i="10"/>
  <c r="A151" i="10"/>
  <c r="B151" i="10" s="1"/>
  <c r="K150" i="10"/>
  <c r="J150" i="10"/>
  <c r="I150" i="10"/>
  <c r="H150" i="10"/>
  <c r="G150" i="10"/>
  <c r="F150" i="10"/>
  <c r="E150" i="10"/>
  <c r="A150" i="10"/>
  <c r="B150" i="10" s="1"/>
  <c r="J149" i="10"/>
  <c r="I149" i="10"/>
  <c r="K149" i="10" s="1"/>
  <c r="H149" i="10"/>
  <c r="G149" i="10"/>
  <c r="F149" i="10"/>
  <c r="E149" i="10"/>
  <c r="B149" i="10"/>
  <c r="L149" i="10" s="1"/>
  <c r="A149" i="10"/>
  <c r="K148" i="10"/>
  <c r="J148" i="10"/>
  <c r="I148" i="10"/>
  <c r="H148" i="10"/>
  <c r="G148" i="10"/>
  <c r="F148" i="10"/>
  <c r="E148" i="10"/>
  <c r="A148" i="10"/>
  <c r="B148" i="10" s="1"/>
  <c r="K147" i="10"/>
  <c r="J147" i="10"/>
  <c r="I147" i="10"/>
  <c r="H147" i="10"/>
  <c r="G147" i="10"/>
  <c r="F147" i="10"/>
  <c r="E147" i="10"/>
  <c r="A147" i="10"/>
  <c r="B147" i="10" s="1"/>
  <c r="L147" i="10" s="1"/>
  <c r="K146" i="10"/>
  <c r="J146" i="10"/>
  <c r="I146" i="10"/>
  <c r="H146" i="10"/>
  <c r="G146" i="10"/>
  <c r="F146" i="10"/>
  <c r="E146" i="10"/>
  <c r="A146" i="10"/>
  <c r="B146" i="10" s="1"/>
  <c r="K145" i="10"/>
  <c r="J145" i="10"/>
  <c r="I145" i="10"/>
  <c r="H145" i="10"/>
  <c r="G145" i="10"/>
  <c r="F145" i="10"/>
  <c r="E145" i="10"/>
  <c r="A145" i="10"/>
  <c r="B145" i="10" s="1"/>
  <c r="J144" i="10"/>
  <c r="I144" i="10"/>
  <c r="K144" i="10" s="1"/>
  <c r="H144" i="10"/>
  <c r="G144" i="10"/>
  <c r="F144" i="10"/>
  <c r="E144" i="10"/>
  <c r="A144" i="10"/>
  <c r="B144" i="10" s="1"/>
  <c r="J143" i="10"/>
  <c r="I143" i="10"/>
  <c r="K143" i="10" s="1"/>
  <c r="H143" i="10"/>
  <c r="G143" i="10"/>
  <c r="F143" i="10"/>
  <c r="E143" i="10"/>
  <c r="A143" i="10"/>
  <c r="B143" i="10" s="1"/>
  <c r="L143" i="10" s="1"/>
  <c r="J142" i="10"/>
  <c r="I142" i="10"/>
  <c r="K142" i="10" s="1"/>
  <c r="H142" i="10"/>
  <c r="G142" i="10"/>
  <c r="F142" i="10"/>
  <c r="E142" i="10"/>
  <c r="A142" i="10"/>
  <c r="B142" i="10" s="1"/>
  <c r="J141" i="10"/>
  <c r="I141" i="10"/>
  <c r="H141" i="10"/>
  <c r="G141" i="10"/>
  <c r="F141" i="10"/>
  <c r="E141" i="10"/>
  <c r="A141" i="10"/>
  <c r="B141" i="10" s="1"/>
  <c r="J140" i="10"/>
  <c r="I140" i="10"/>
  <c r="K140" i="10" s="1"/>
  <c r="H140" i="10"/>
  <c r="G140" i="10"/>
  <c r="F140" i="10"/>
  <c r="E140" i="10"/>
  <c r="A140" i="10"/>
  <c r="B140" i="10" s="1"/>
  <c r="J139" i="10"/>
  <c r="I139" i="10"/>
  <c r="K139" i="10" s="1"/>
  <c r="H139" i="10"/>
  <c r="G139" i="10"/>
  <c r="F139" i="10"/>
  <c r="E139" i="10"/>
  <c r="A139" i="10"/>
  <c r="B139" i="10" s="1"/>
  <c r="J138" i="10"/>
  <c r="I138" i="10"/>
  <c r="H138" i="10"/>
  <c r="G138" i="10"/>
  <c r="F138" i="10"/>
  <c r="E138" i="10"/>
  <c r="A138" i="10"/>
  <c r="B138" i="10" s="1"/>
  <c r="J137" i="10"/>
  <c r="I137" i="10"/>
  <c r="H137" i="10"/>
  <c r="G137" i="10"/>
  <c r="F137" i="10"/>
  <c r="E137" i="10"/>
  <c r="A137" i="10"/>
  <c r="B137" i="10" s="1"/>
  <c r="J136" i="10"/>
  <c r="I136" i="10"/>
  <c r="K136" i="10" s="1"/>
  <c r="H136" i="10"/>
  <c r="G136" i="10"/>
  <c r="F136" i="10"/>
  <c r="E136" i="10"/>
  <c r="A136" i="10"/>
  <c r="B136" i="10" s="1"/>
  <c r="J135" i="10"/>
  <c r="I135" i="10"/>
  <c r="H135" i="10"/>
  <c r="G135" i="10"/>
  <c r="F135" i="10"/>
  <c r="E135" i="10"/>
  <c r="A135" i="10"/>
  <c r="B135" i="10" s="1"/>
  <c r="J134" i="10"/>
  <c r="I134" i="10"/>
  <c r="K134" i="10" s="1"/>
  <c r="H134" i="10"/>
  <c r="G134" i="10"/>
  <c r="F134" i="10"/>
  <c r="E134" i="10"/>
  <c r="A134" i="10"/>
  <c r="J133" i="10"/>
  <c r="I133" i="10"/>
  <c r="K133" i="10" s="1"/>
  <c r="H133" i="10"/>
  <c r="G133" i="10"/>
  <c r="F133" i="10"/>
  <c r="E133" i="10"/>
  <c r="A133" i="10"/>
  <c r="B133" i="10" s="1"/>
  <c r="J132" i="10"/>
  <c r="I132" i="10"/>
  <c r="H132" i="10"/>
  <c r="G132" i="10"/>
  <c r="F132" i="10"/>
  <c r="E132" i="10"/>
  <c r="A132" i="10"/>
  <c r="B132" i="10" s="1"/>
  <c r="J131" i="10"/>
  <c r="I131" i="10"/>
  <c r="H131" i="10"/>
  <c r="G131" i="10"/>
  <c r="F131" i="10"/>
  <c r="E131" i="10"/>
  <c r="A131" i="10"/>
  <c r="B131" i="10" s="1"/>
  <c r="J130" i="10"/>
  <c r="I130" i="10"/>
  <c r="H130" i="10"/>
  <c r="G130" i="10"/>
  <c r="F130" i="10"/>
  <c r="E130" i="10"/>
  <c r="A130" i="10"/>
  <c r="B130" i="10" s="1"/>
  <c r="J129" i="10"/>
  <c r="I129" i="10"/>
  <c r="H129" i="10"/>
  <c r="G129" i="10"/>
  <c r="F129" i="10"/>
  <c r="E129" i="10"/>
  <c r="A129" i="10"/>
  <c r="B129" i="10" s="1"/>
  <c r="J128" i="10"/>
  <c r="I128" i="10"/>
  <c r="K128" i="10" s="1"/>
  <c r="H128" i="10"/>
  <c r="G128" i="10"/>
  <c r="F128" i="10"/>
  <c r="E128" i="10"/>
  <c r="A128" i="10"/>
  <c r="B128" i="10" s="1"/>
  <c r="J127" i="10"/>
  <c r="I127" i="10"/>
  <c r="K127" i="10" s="1"/>
  <c r="H127" i="10"/>
  <c r="G127" i="10"/>
  <c r="F127" i="10"/>
  <c r="E127" i="10"/>
  <c r="A127" i="10"/>
  <c r="B127" i="10" s="1"/>
  <c r="L127" i="10" s="1"/>
  <c r="J126" i="10"/>
  <c r="I126" i="10"/>
  <c r="K126" i="10" s="1"/>
  <c r="H126" i="10"/>
  <c r="G126" i="10"/>
  <c r="F126" i="10"/>
  <c r="E126" i="10"/>
  <c r="A126" i="10"/>
  <c r="B126" i="10" s="1"/>
  <c r="J125" i="10"/>
  <c r="I125" i="10"/>
  <c r="H125" i="10"/>
  <c r="G125" i="10"/>
  <c r="F125" i="10"/>
  <c r="E125" i="10"/>
  <c r="A125" i="10"/>
  <c r="B125" i="10" s="1"/>
  <c r="J124" i="10"/>
  <c r="I124" i="10"/>
  <c r="K124" i="10" s="1"/>
  <c r="H124" i="10"/>
  <c r="G124" i="10"/>
  <c r="F124" i="10"/>
  <c r="E124" i="10"/>
  <c r="A124" i="10"/>
  <c r="B124" i="10" s="1"/>
  <c r="J123" i="10"/>
  <c r="I123" i="10"/>
  <c r="K123" i="10" s="1"/>
  <c r="H123" i="10"/>
  <c r="G123" i="10"/>
  <c r="F123" i="10"/>
  <c r="E123" i="10"/>
  <c r="A123" i="10"/>
  <c r="B123" i="10" s="1"/>
  <c r="J122" i="10"/>
  <c r="I122" i="10"/>
  <c r="H122" i="10"/>
  <c r="G122" i="10"/>
  <c r="F122" i="10"/>
  <c r="E122" i="10"/>
  <c r="A122" i="10"/>
  <c r="B122" i="10" s="1"/>
  <c r="J121" i="10"/>
  <c r="I121" i="10"/>
  <c r="H121" i="10"/>
  <c r="G121" i="10"/>
  <c r="F121" i="10"/>
  <c r="E121" i="10"/>
  <c r="A121" i="10"/>
  <c r="B121" i="10" s="1"/>
  <c r="J120" i="10"/>
  <c r="I120" i="10"/>
  <c r="K120" i="10" s="1"/>
  <c r="H120" i="10"/>
  <c r="G120" i="10"/>
  <c r="F120" i="10"/>
  <c r="E120" i="10"/>
  <c r="A120" i="10"/>
  <c r="B120" i="10" s="1"/>
  <c r="J119" i="10"/>
  <c r="I119" i="10"/>
  <c r="H119" i="10"/>
  <c r="G119" i="10"/>
  <c r="F119" i="10"/>
  <c r="E119" i="10"/>
  <c r="A119" i="10"/>
  <c r="B119" i="10" s="1"/>
  <c r="J118" i="10"/>
  <c r="I118" i="10"/>
  <c r="K118" i="10" s="1"/>
  <c r="H118" i="10"/>
  <c r="G118" i="10"/>
  <c r="F118" i="10"/>
  <c r="E118" i="10"/>
  <c r="A118" i="10"/>
  <c r="B118" i="10" s="1"/>
  <c r="J117" i="10"/>
  <c r="I117" i="10"/>
  <c r="K117" i="10" s="1"/>
  <c r="H117" i="10"/>
  <c r="G117" i="10"/>
  <c r="F117" i="10"/>
  <c r="E117" i="10"/>
  <c r="A117" i="10"/>
  <c r="B117" i="10" s="1"/>
  <c r="J116" i="10"/>
  <c r="I116" i="10"/>
  <c r="H116" i="10"/>
  <c r="G116" i="10"/>
  <c r="F116" i="10"/>
  <c r="E116" i="10"/>
  <c r="A116" i="10"/>
  <c r="B116" i="10" s="1"/>
  <c r="J115" i="10"/>
  <c r="I115" i="10"/>
  <c r="H115" i="10"/>
  <c r="G115" i="10"/>
  <c r="F115" i="10"/>
  <c r="E115" i="10"/>
  <c r="A115" i="10"/>
  <c r="J114" i="10"/>
  <c r="I114" i="10"/>
  <c r="H114" i="10"/>
  <c r="G114" i="10"/>
  <c r="F114" i="10"/>
  <c r="E114" i="10"/>
  <c r="A114" i="10"/>
  <c r="B114" i="10" s="1"/>
  <c r="J113" i="10"/>
  <c r="I113" i="10"/>
  <c r="H113" i="10"/>
  <c r="G113" i="10"/>
  <c r="F113" i="10"/>
  <c r="E113" i="10"/>
  <c r="A113" i="10"/>
  <c r="B113" i="10" s="1"/>
  <c r="J112" i="10"/>
  <c r="I112" i="10"/>
  <c r="K112" i="10" s="1"/>
  <c r="H112" i="10"/>
  <c r="G112" i="10"/>
  <c r="F112" i="10"/>
  <c r="E112" i="10"/>
  <c r="A112" i="10"/>
  <c r="B112" i="10" s="1"/>
  <c r="J111" i="10"/>
  <c r="I111" i="10"/>
  <c r="K111" i="10" s="1"/>
  <c r="H111" i="10"/>
  <c r="G111" i="10"/>
  <c r="F111" i="10"/>
  <c r="E111" i="10"/>
  <c r="A111" i="10"/>
  <c r="B111" i="10" s="1"/>
  <c r="J110" i="10"/>
  <c r="I110" i="10"/>
  <c r="K110" i="10" s="1"/>
  <c r="H110" i="10"/>
  <c r="G110" i="10"/>
  <c r="F110" i="10"/>
  <c r="E110" i="10"/>
  <c r="A110" i="10"/>
  <c r="B110" i="10" s="1"/>
  <c r="J109" i="10"/>
  <c r="I109" i="10"/>
  <c r="H109" i="10"/>
  <c r="G109" i="10"/>
  <c r="F109" i="10"/>
  <c r="E109" i="10"/>
  <c r="A109" i="10"/>
  <c r="B109" i="10" s="1"/>
  <c r="J108" i="10"/>
  <c r="I108" i="10"/>
  <c r="K108" i="10" s="1"/>
  <c r="H108" i="10"/>
  <c r="G108" i="10"/>
  <c r="F108" i="10"/>
  <c r="E108" i="10"/>
  <c r="A108" i="10"/>
  <c r="B108" i="10" s="1"/>
  <c r="J107" i="10"/>
  <c r="I107" i="10"/>
  <c r="K107" i="10" s="1"/>
  <c r="H107" i="10"/>
  <c r="G107" i="10"/>
  <c r="F107" i="10"/>
  <c r="E107" i="10"/>
  <c r="A107" i="10"/>
  <c r="J106" i="10"/>
  <c r="I106" i="10"/>
  <c r="K106" i="10" s="1"/>
  <c r="H106" i="10"/>
  <c r="G106" i="10"/>
  <c r="F106" i="10"/>
  <c r="E106" i="10"/>
  <c r="A106" i="10"/>
  <c r="B106" i="10" s="1"/>
  <c r="J105" i="10"/>
  <c r="I105" i="10"/>
  <c r="H105" i="10"/>
  <c r="G105" i="10"/>
  <c r="F105" i="10"/>
  <c r="E105" i="10"/>
  <c r="A105" i="10"/>
  <c r="B105" i="10" s="1"/>
  <c r="J104" i="10"/>
  <c r="I104" i="10"/>
  <c r="H104" i="10"/>
  <c r="G104" i="10"/>
  <c r="F104" i="10"/>
  <c r="E104" i="10"/>
  <c r="A104" i="10"/>
  <c r="B104" i="10" s="1"/>
  <c r="J103" i="10"/>
  <c r="I103" i="10"/>
  <c r="K103" i="10" s="1"/>
  <c r="H103" i="10"/>
  <c r="G103" i="10"/>
  <c r="F103" i="10"/>
  <c r="E103" i="10"/>
  <c r="A103" i="10"/>
  <c r="B103" i="10" s="1"/>
  <c r="K102" i="10"/>
  <c r="J102" i="10"/>
  <c r="I102" i="10"/>
  <c r="H102" i="10"/>
  <c r="G102" i="10"/>
  <c r="F102" i="10"/>
  <c r="E102" i="10"/>
  <c r="A102" i="10"/>
  <c r="B102" i="10" s="1"/>
  <c r="K101" i="10"/>
  <c r="J101" i="10"/>
  <c r="I101" i="10"/>
  <c r="H101" i="10"/>
  <c r="G101" i="10"/>
  <c r="F101" i="10"/>
  <c r="E101" i="10"/>
  <c r="A101" i="10"/>
  <c r="B101" i="10" s="1"/>
  <c r="J100" i="10"/>
  <c r="I100" i="10"/>
  <c r="H100" i="10"/>
  <c r="G100" i="10"/>
  <c r="F100" i="10"/>
  <c r="E100" i="10"/>
  <c r="A100" i="10"/>
  <c r="J99" i="10"/>
  <c r="I99" i="10"/>
  <c r="K99" i="10" s="1"/>
  <c r="H99" i="10"/>
  <c r="G99" i="10"/>
  <c r="F99" i="10"/>
  <c r="E99" i="10"/>
  <c r="B99" i="10"/>
  <c r="A99" i="10"/>
  <c r="J98" i="10"/>
  <c r="I98" i="10"/>
  <c r="K98" i="10" s="1"/>
  <c r="H98" i="10"/>
  <c r="G98" i="10"/>
  <c r="F98" i="10"/>
  <c r="E98" i="10"/>
  <c r="A98" i="10"/>
  <c r="B98" i="10" s="1"/>
  <c r="J97" i="10"/>
  <c r="I97" i="10"/>
  <c r="K97" i="10" s="1"/>
  <c r="H97" i="10"/>
  <c r="G97" i="10"/>
  <c r="F97" i="10"/>
  <c r="E97" i="10"/>
  <c r="B97" i="10"/>
  <c r="A97" i="10"/>
  <c r="J96" i="10"/>
  <c r="I96" i="10"/>
  <c r="K96" i="10" s="1"/>
  <c r="H96" i="10"/>
  <c r="G96" i="10"/>
  <c r="F96" i="10"/>
  <c r="E96" i="10"/>
  <c r="A96" i="10"/>
  <c r="K95" i="10"/>
  <c r="J95" i="10"/>
  <c r="I95" i="10"/>
  <c r="H95" i="10"/>
  <c r="G95" i="10"/>
  <c r="F95" i="10"/>
  <c r="E95" i="10"/>
  <c r="A95" i="10"/>
  <c r="B95" i="10" s="1"/>
  <c r="J94" i="10"/>
  <c r="I94" i="10"/>
  <c r="H94" i="10"/>
  <c r="G94" i="10"/>
  <c r="F94" i="10"/>
  <c r="E94" i="10"/>
  <c r="A94" i="10"/>
  <c r="B94" i="10" s="1"/>
  <c r="L94" i="10" s="1"/>
  <c r="K93" i="10"/>
  <c r="J93" i="10"/>
  <c r="I93" i="10"/>
  <c r="H93" i="10"/>
  <c r="G93" i="10"/>
  <c r="F93" i="10"/>
  <c r="E93" i="10"/>
  <c r="B93" i="10"/>
  <c r="L93" i="10" s="1"/>
  <c r="A93" i="10"/>
  <c r="J92" i="10"/>
  <c r="I92" i="10"/>
  <c r="K92" i="10" s="1"/>
  <c r="H92" i="10"/>
  <c r="G92" i="10"/>
  <c r="F92" i="10"/>
  <c r="E92" i="10"/>
  <c r="A92" i="10"/>
  <c r="J91" i="10"/>
  <c r="I91" i="10"/>
  <c r="K91" i="10" s="1"/>
  <c r="H91" i="10"/>
  <c r="G91" i="10"/>
  <c r="F91" i="10"/>
  <c r="E91" i="10"/>
  <c r="A91" i="10"/>
  <c r="J90" i="10"/>
  <c r="I90" i="10"/>
  <c r="H90" i="10"/>
  <c r="G90" i="10"/>
  <c r="F90" i="10"/>
  <c r="E90" i="10"/>
  <c r="A90" i="10"/>
  <c r="B90" i="10" s="1"/>
  <c r="J89" i="10"/>
  <c r="I89" i="10"/>
  <c r="H89" i="10"/>
  <c r="G89" i="10"/>
  <c r="F89" i="10"/>
  <c r="E89" i="10"/>
  <c r="A89" i="10"/>
  <c r="B89" i="10" s="1"/>
  <c r="L89" i="10" s="1"/>
  <c r="J88" i="10"/>
  <c r="I88" i="10"/>
  <c r="K88" i="10" s="1"/>
  <c r="H88" i="10"/>
  <c r="G88" i="10"/>
  <c r="F88" i="10"/>
  <c r="E88" i="10"/>
  <c r="A88" i="10"/>
  <c r="J87" i="10"/>
  <c r="I87" i="10"/>
  <c r="K87" i="10" s="1"/>
  <c r="H87" i="10"/>
  <c r="G87" i="10"/>
  <c r="F87" i="10"/>
  <c r="E87" i="10"/>
  <c r="A87" i="10"/>
  <c r="J86" i="10"/>
  <c r="I86" i="10"/>
  <c r="H86" i="10"/>
  <c r="G86" i="10"/>
  <c r="F86" i="10"/>
  <c r="E86" i="10"/>
  <c r="A86" i="10"/>
  <c r="B86" i="10" s="1"/>
  <c r="J85" i="10"/>
  <c r="I85" i="10"/>
  <c r="H85" i="10"/>
  <c r="G85" i="10"/>
  <c r="F85" i="10"/>
  <c r="E85" i="10"/>
  <c r="A85" i="10"/>
  <c r="B85" i="10" s="1"/>
  <c r="L85" i="10" s="1"/>
  <c r="J84" i="10"/>
  <c r="I84" i="10"/>
  <c r="K84" i="10" s="1"/>
  <c r="H84" i="10"/>
  <c r="G84" i="10"/>
  <c r="F84" i="10"/>
  <c r="E84" i="10"/>
  <c r="A84" i="10"/>
  <c r="K83" i="10"/>
  <c r="J83" i="10"/>
  <c r="I83" i="10"/>
  <c r="H83" i="10"/>
  <c r="G83" i="10"/>
  <c r="F83" i="10"/>
  <c r="E83" i="10"/>
  <c r="A83" i="10"/>
  <c r="J82" i="10"/>
  <c r="I82" i="10"/>
  <c r="H82" i="10"/>
  <c r="G82" i="10"/>
  <c r="F82" i="10"/>
  <c r="E82" i="10"/>
  <c r="A82" i="10"/>
  <c r="B82" i="10" s="1"/>
  <c r="J81" i="10"/>
  <c r="I81" i="10"/>
  <c r="H81" i="10"/>
  <c r="G81" i="10"/>
  <c r="F81" i="10"/>
  <c r="E81" i="10"/>
  <c r="A81" i="10"/>
  <c r="J80" i="10"/>
  <c r="I80" i="10"/>
  <c r="H80" i="10"/>
  <c r="G80" i="10"/>
  <c r="F80" i="10"/>
  <c r="E80" i="10"/>
  <c r="A80" i="10"/>
  <c r="J79" i="10"/>
  <c r="I79" i="10"/>
  <c r="H79" i="10"/>
  <c r="G79" i="10"/>
  <c r="F79" i="10"/>
  <c r="E79" i="10"/>
  <c r="A79" i="10"/>
  <c r="B79" i="10" s="1"/>
  <c r="J78" i="10"/>
  <c r="I78" i="10"/>
  <c r="K78" i="10" s="1"/>
  <c r="H78" i="10"/>
  <c r="G78" i="10"/>
  <c r="F78" i="10"/>
  <c r="E78" i="10"/>
  <c r="A78" i="10"/>
  <c r="B78" i="10" s="1"/>
  <c r="J77" i="10"/>
  <c r="I77" i="10"/>
  <c r="K77" i="10" s="1"/>
  <c r="H77" i="10"/>
  <c r="G77" i="10"/>
  <c r="F77" i="10"/>
  <c r="E77" i="10"/>
  <c r="A77" i="10"/>
  <c r="B77" i="10" s="1"/>
  <c r="J76" i="10"/>
  <c r="I76" i="10"/>
  <c r="K76" i="10" s="1"/>
  <c r="H76" i="10"/>
  <c r="G76" i="10"/>
  <c r="F76" i="10"/>
  <c r="E76" i="10"/>
  <c r="B76" i="10"/>
  <c r="A76" i="10"/>
  <c r="J75" i="10"/>
  <c r="I75" i="10"/>
  <c r="K75" i="10" s="1"/>
  <c r="H75" i="10"/>
  <c r="G75" i="10"/>
  <c r="F75" i="10"/>
  <c r="E75" i="10"/>
  <c r="A75" i="10"/>
  <c r="J74" i="10"/>
  <c r="I74" i="10"/>
  <c r="H74" i="10"/>
  <c r="G74" i="10"/>
  <c r="F74" i="10"/>
  <c r="E74" i="10"/>
  <c r="A74" i="10"/>
  <c r="B74" i="10" s="1"/>
  <c r="J73" i="10"/>
  <c r="I73" i="10"/>
  <c r="H73" i="10"/>
  <c r="G73" i="10"/>
  <c r="F73" i="10"/>
  <c r="E73" i="10"/>
  <c r="B73" i="10"/>
  <c r="A73" i="10"/>
  <c r="J72" i="10"/>
  <c r="I72" i="10"/>
  <c r="H72" i="10"/>
  <c r="K72" i="10" s="1"/>
  <c r="G72" i="10"/>
  <c r="F72" i="10"/>
  <c r="E72" i="10"/>
  <c r="B72" i="10"/>
  <c r="A72" i="10"/>
  <c r="J71" i="10"/>
  <c r="I71" i="10"/>
  <c r="H71" i="10"/>
  <c r="G71" i="10"/>
  <c r="F71" i="10"/>
  <c r="E71" i="10"/>
  <c r="A71" i="10"/>
  <c r="J70" i="10"/>
  <c r="I70" i="10"/>
  <c r="H70" i="10"/>
  <c r="G70" i="10"/>
  <c r="F70" i="10"/>
  <c r="E70" i="10"/>
  <c r="B70" i="10"/>
  <c r="A70" i="10"/>
  <c r="J69" i="10"/>
  <c r="I69" i="10"/>
  <c r="H69" i="10"/>
  <c r="G69" i="10"/>
  <c r="F69" i="10"/>
  <c r="E69" i="10"/>
  <c r="B69" i="10"/>
  <c r="A69" i="10"/>
  <c r="J68" i="10"/>
  <c r="I68" i="10"/>
  <c r="H68" i="10"/>
  <c r="K68" i="10" s="1"/>
  <c r="G68" i="10"/>
  <c r="F68" i="10"/>
  <c r="E68" i="10"/>
  <c r="B68" i="10"/>
  <c r="A68" i="10"/>
  <c r="J67" i="10"/>
  <c r="I67" i="10"/>
  <c r="H67" i="10"/>
  <c r="G67" i="10"/>
  <c r="F67" i="10"/>
  <c r="E67" i="10"/>
  <c r="A67" i="10"/>
  <c r="J66" i="10"/>
  <c r="I66" i="10"/>
  <c r="H66" i="10"/>
  <c r="G66" i="10"/>
  <c r="F66" i="10"/>
  <c r="E66" i="10"/>
  <c r="A66" i="10"/>
  <c r="B66" i="10" s="1"/>
  <c r="J65" i="10"/>
  <c r="I65" i="10"/>
  <c r="H65" i="10"/>
  <c r="G65" i="10"/>
  <c r="F65" i="10"/>
  <c r="E65" i="10"/>
  <c r="A65" i="10"/>
  <c r="B65" i="10" s="1"/>
  <c r="L65" i="10" s="1"/>
  <c r="J64" i="10"/>
  <c r="I64" i="10"/>
  <c r="H64" i="10"/>
  <c r="K64" i="10" s="1"/>
  <c r="G64" i="10"/>
  <c r="F64" i="10"/>
  <c r="E64" i="10"/>
  <c r="A64" i="10"/>
  <c r="J63" i="10"/>
  <c r="I63" i="10"/>
  <c r="H63" i="10"/>
  <c r="K63" i="10" s="1"/>
  <c r="G63" i="10"/>
  <c r="F63" i="10"/>
  <c r="E63" i="10"/>
  <c r="A63" i="10"/>
  <c r="B63" i="10" s="1"/>
  <c r="J62" i="10"/>
  <c r="I62" i="10"/>
  <c r="H62" i="10"/>
  <c r="G62" i="10"/>
  <c r="F62" i="10"/>
  <c r="E62" i="10"/>
  <c r="A62" i="10"/>
  <c r="B62" i="10" s="1"/>
  <c r="J61" i="10"/>
  <c r="I61" i="10"/>
  <c r="K61" i="10" s="1"/>
  <c r="H61" i="10"/>
  <c r="G61" i="10"/>
  <c r="F61" i="10"/>
  <c r="E61" i="10"/>
  <c r="A61" i="10"/>
  <c r="B61" i="10" s="1"/>
  <c r="L61" i="10" s="1"/>
  <c r="J60" i="10"/>
  <c r="I60" i="10"/>
  <c r="H60" i="10"/>
  <c r="K60" i="10" s="1"/>
  <c r="G60" i="10"/>
  <c r="F60" i="10"/>
  <c r="E60" i="10"/>
  <c r="A60" i="10"/>
  <c r="J59" i="10"/>
  <c r="I59" i="10"/>
  <c r="K59" i="10" s="1"/>
  <c r="H59" i="10"/>
  <c r="G59" i="10"/>
  <c r="F59" i="10"/>
  <c r="E59" i="10"/>
  <c r="A59" i="10"/>
  <c r="J58" i="10"/>
  <c r="I58" i="10"/>
  <c r="H58" i="10"/>
  <c r="K58" i="10" s="1"/>
  <c r="G58" i="10"/>
  <c r="F58" i="10"/>
  <c r="E58" i="10"/>
  <c r="A58" i="10"/>
  <c r="J57" i="10"/>
  <c r="I57" i="10"/>
  <c r="H57" i="10"/>
  <c r="K57" i="10" s="1"/>
  <c r="G57" i="10"/>
  <c r="F57" i="10"/>
  <c r="E57" i="10"/>
  <c r="A57" i="10"/>
  <c r="B57" i="10" s="1"/>
  <c r="L57" i="10" s="1"/>
  <c r="J56" i="10"/>
  <c r="I56" i="10"/>
  <c r="H56" i="10"/>
  <c r="K56" i="10" s="1"/>
  <c r="G56" i="10"/>
  <c r="F56" i="10"/>
  <c r="E56" i="10"/>
  <c r="A56" i="10"/>
  <c r="J55" i="10"/>
  <c r="I55" i="10"/>
  <c r="K55" i="10" s="1"/>
  <c r="H55" i="10"/>
  <c r="G55" i="10"/>
  <c r="F55" i="10"/>
  <c r="E55" i="10"/>
  <c r="A55" i="10"/>
  <c r="J54" i="10"/>
  <c r="I54" i="10"/>
  <c r="K54" i="10" s="1"/>
  <c r="H54" i="10"/>
  <c r="G54" i="10"/>
  <c r="F54" i="10"/>
  <c r="E54" i="10"/>
  <c r="A54" i="10"/>
  <c r="J53" i="10"/>
  <c r="I53" i="10"/>
  <c r="K53" i="10" s="1"/>
  <c r="H53" i="10"/>
  <c r="G53" i="10"/>
  <c r="F53" i="10"/>
  <c r="E53" i="10"/>
  <c r="A53" i="10"/>
  <c r="B53" i="10" s="1"/>
  <c r="L53" i="10" s="1"/>
  <c r="J52" i="10"/>
  <c r="I52" i="10"/>
  <c r="K52" i="10" s="1"/>
  <c r="H52" i="10"/>
  <c r="G52" i="10"/>
  <c r="F52" i="10"/>
  <c r="E52" i="10"/>
  <c r="A52" i="10"/>
  <c r="J51" i="10"/>
  <c r="I51" i="10"/>
  <c r="K51" i="10" s="1"/>
  <c r="H51" i="10"/>
  <c r="G51" i="10"/>
  <c r="F51" i="10"/>
  <c r="E51" i="10"/>
  <c r="A51" i="10"/>
  <c r="J50" i="10"/>
  <c r="I50" i="10"/>
  <c r="H50" i="10"/>
  <c r="G50" i="10"/>
  <c r="F50" i="10"/>
  <c r="E50" i="10"/>
  <c r="A50" i="10"/>
  <c r="J49" i="10"/>
  <c r="I49" i="10"/>
  <c r="H49" i="10"/>
  <c r="G49" i="10"/>
  <c r="F49" i="10"/>
  <c r="E49" i="10"/>
  <c r="B49" i="10"/>
  <c r="A49" i="10"/>
  <c r="J48" i="10"/>
  <c r="I48" i="10"/>
  <c r="K48" i="10" s="1"/>
  <c r="H48" i="10"/>
  <c r="G48" i="10"/>
  <c r="F48" i="10"/>
  <c r="E48" i="10"/>
  <c r="A48" i="10"/>
  <c r="J47" i="10"/>
  <c r="I47" i="10"/>
  <c r="K47" i="10" s="1"/>
  <c r="H47" i="10"/>
  <c r="G47" i="10"/>
  <c r="F47" i="10"/>
  <c r="E47" i="10"/>
  <c r="A47" i="10"/>
  <c r="J46" i="10"/>
  <c r="I46" i="10"/>
  <c r="H46" i="10"/>
  <c r="G46" i="10"/>
  <c r="F46" i="10"/>
  <c r="E46" i="10"/>
  <c r="A46" i="10"/>
  <c r="K45" i="10"/>
  <c r="J45" i="10"/>
  <c r="I45" i="10"/>
  <c r="H45" i="10"/>
  <c r="G45" i="10"/>
  <c r="F45" i="10"/>
  <c r="E45" i="10"/>
  <c r="B45" i="10"/>
  <c r="A45" i="10"/>
  <c r="J44" i="10"/>
  <c r="I44" i="10"/>
  <c r="K44" i="10" s="1"/>
  <c r="H44" i="10"/>
  <c r="G44" i="10"/>
  <c r="F44" i="10"/>
  <c r="E44" i="10"/>
  <c r="A44" i="10"/>
  <c r="J43" i="10"/>
  <c r="I43" i="10"/>
  <c r="K43" i="10" s="1"/>
  <c r="H43" i="10"/>
  <c r="G43" i="10"/>
  <c r="F43" i="10"/>
  <c r="E43" i="10"/>
  <c r="A43" i="10"/>
  <c r="J42" i="10"/>
  <c r="I42" i="10"/>
  <c r="H42" i="10"/>
  <c r="G42" i="10"/>
  <c r="F42" i="10"/>
  <c r="E42" i="10"/>
  <c r="A42" i="10"/>
  <c r="K41" i="10"/>
  <c r="J41" i="10"/>
  <c r="I41" i="10"/>
  <c r="H41" i="10"/>
  <c r="G41" i="10"/>
  <c r="F41" i="10"/>
  <c r="E41" i="10"/>
  <c r="B41" i="10"/>
  <c r="A41" i="10"/>
  <c r="J40" i="10"/>
  <c r="I40" i="10"/>
  <c r="K40" i="10" s="1"/>
  <c r="H40" i="10"/>
  <c r="G40" i="10"/>
  <c r="F40" i="10"/>
  <c r="E40" i="10"/>
  <c r="A40" i="10"/>
  <c r="J39" i="10"/>
  <c r="I39" i="10"/>
  <c r="K39" i="10" s="1"/>
  <c r="H39" i="10"/>
  <c r="G39" i="10"/>
  <c r="F39" i="10"/>
  <c r="E39" i="10"/>
  <c r="A39" i="10"/>
  <c r="J38" i="10"/>
  <c r="I38" i="10"/>
  <c r="H38" i="10"/>
  <c r="G38" i="10"/>
  <c r="F38" i="10"/>
  <c r="E38" i="10"/>
  <c r="A38" i="10"/>
  <c r="J37" i="10"/>
  <c r="I37" i="10"/>
  <c r="H37" i="10"/>
  <c r="K37" i="10" s="1"/>
  <c r="G37" i="10"/>
  <c r="F37" i="10"/>
  <c r="E37" i="10"/>
  <c r="B37" i="10"/>
  <c r="A37" i="10"/>
  <c r="J36" i="10"/>
  <c r="I36" i="10"/>
  <c r="H36" i="10"/>
  <c r="K36" i="10" s="1"/>
  <c r="G36" i="10"/>
  <c r="F36" i="10"/>
  <c r="E36" i="10"/>
  <c r="A36" i="10"/>
  <c r="B36" i="10" s="1"/>
  <c r="J35" i="10"/>
  <c r="I35" i="10"/>
  <c r="H35" i="10"/>
  <c r="G35" i="10"/>
  <c r="F35" i="10"/>
  <c r="E35" i="10"/>
  <c r="B35" i="10"/>
  <c r="A35" i="10"/>
  <c r="J34" i="10"/>
  <c r="I34" i="10"/>
  <c r="K34" i="10" s="1"/>
  <c r="H34" i="10"/>
  <c r="G34" i="10"/>
  <c r="F34" i="10"/>
  <c r="E34" i="10"/>
  <c r="B34" i="10"/>
  <c r="L34" i="10" s="1"/>
  <c r="A34" i="10"/>
  <c r="J33" i="10"/>
  <c r="I33" i="10"/>
  <c r="H33" i="10"/>
  <c r="G33" i="10"/>
  <c r="F33" i="10"/>
  <c r="E33" i="10"/>
  <c r="B33" i="10"/>
  <c r="A33" i="10"/>
  <c r="J32" i="10"/>
  <c r="I32" i="10"/>
  <c r="K32" i="10" s="1"/>
  <c r="H32" i="10"/>
  <c r="G32" i="10"/>
  <c r="F32" i="10"/>
  <c r="E32" i="10"/>
  <c r="B32" i="10"/>
  <c r="A32" i="10"/>
  <c r="J31" i="10"/>
  <c r="I31" i="10"/>
  <c r="H31" i="10"/>
  <c r="G31" i="10"/>
  <c r="F31" i="10"/>
  <c r="E31" i="10"/>
  <c r="A31" i="10"/>
  <c r="J30" i="10"/>
  <c r="I30" i="10"/>
  <c r="H30" i="10"/>
  <c r="G30" i="10"/>
  <c r="F30" i="10"/>
  <c r="E30" i="10"/>
  <c r="B30" i="10"/>
  <c r="A30" i="10"/>
  <c r="J29" i="10"/>
  <c r="I29" i="10"/>
  <c r="K29" i="10" s="1"/>
  <c r="H29" i="10"/>
  <c r="G29" i="10"/>
  <c r="F29" i="10"/>
  <c r="E29" i="10"/>
  <c r="A29" i="10"/>
  <c r="B29" i="10" s="1"/>
  <c r="J28" i="10"/>
  <c r="I28" i="10"/>
  <c r="H28" i="10"/>
  <c r="K28" i="10" s="1"/>
  <c r="G28" i="10"/>
  <c r="F28" i="10"/>
  <c r="E28" i="10"/>
  <c r="A28" i="10"/>
  <c r="J27" i="10"/>
  <c r="I27" i="10"/>
  <c r="H27" i="10"/>
  <c r="G27" i="10"/>
  <c r="F27" i="10"/>
  <c r="E27" i="10"/>
  <c r="A27" i="10"/>
  <c r="J26" i="10"/>
  <c r="I26" i="10"/>
  <c r="H26" i="10"/>
  <c r="K26" i="10" s="1"/>
  <c r="G26" i="10"/>
  <c r="F26" i="10"/>
  <c r="E26" i="10"/>
  <c r="A26" i="10"/>
  <c r="K25" i="10"/>
  <c r="J25" i="10"/>
  <c r="I25" i="10"/>
  <c r="H25" i="10"/>
  <c r="G25" i="10"/>
  <c r="F25" i="10"/>
  <c r="E25" i="10"/>
  <c r="B25" i="10"/>
  <c r="A25" i="10"/>
  <c r="J24" i="10"/>
  <c r="I24" i="10"/>
  <c r="K24" i="10" s="1"/>
  <c r="H24" i="10"/>
  <c r="G24" i="10"/>
  <c r="F24" i="10"/>
  <c r="E24" i="10"/>
  <c r="A24" i="10"/>
  <c r="J23" i="10"/>
  <c r="I23" i="10"/>
  <c r="H23" i="10"/>
  <c r="G23" i="10"/>
  <c r="F23" i="10"/>
  <c r="E23" i="10"/>
  <c r="A23" i="10"/>
  <c r="J22" i="10"/>
  <c r="I22" i="10"/>
  <c r="H22" i="10"/>
  <c r="G22" i="10"/>
  <c r="F22" i="10"/>
  <c r="E22" i="10"/>
  <c r="A22" i="10"/>
  <c r="B22" i="10" s="1"/>
  <c r="J21" i="10"/>
  <c r="I21" i="10"/>
  <c r="K21" i="10" s="1"/>
  <c r="H21" i="10"/>
  <c r="G21" i="10"/>
  <c r="F21" i="10"/>
  <c r="E21" i="10"/>
  <c r="A21" i="10"/>
  <c r="J20" i="10"/>
  <c r="I20" i="10"/>
  <c r="H20" i="10"/>
  <c r="G20" i="10"/>
  <c r="F20" i="10"/>
  <c r="E20" i="10"/>
  <c r="B20" i="10"/>
  <c r="A20" i="10"/>
  <c r="K19" i="10"/>
  <c r="J19" i="10"/>
  <c r="I19" i="10"/>
  <c r="H19" i="10"/>
  <c r="G19" i="10"/>
  <c r="F19" i="10"/>
  <c r="E19" i="10"/>
  <c r="A19" i="10"/>
  <c r="J18" i="10"/>
  <c r="I18" i="10"/>
  <c r="K18" i="10" s="1"/>
  <c r="H18" i="10"/>
  <c r="G18" i="10"/>
  <c r="F18" i="10"/>
  <c r="E18" i="10"/>
  <c r="B18" i="10"/>
  <c r="L18" i="10" s="1"/>
  <c r="A18" i="10"/>
  <c r="J17" i="10"/>
  <c r="I17" i="10"/>
  <c r="H17" i="10"/>
  <c r="G17" i="10"/>
  <c r="F17" i="10"/>
  <c r="E17" i="10"/>
  <c r="A17" i="10"/>
  <c r="J16" i="10"/>
  <c r="I16" i="10"/>
  <c r="H16" i="10"/>
  <c r="G16" i="10"/>
  <c r="F16" i="10"/>
  <c r="E16" i="10"/>
  <c r="A16" i="10"/>
  <c r="J15" i="10"/>
  <c r="I15" i="10"/>
  <c r="H15" i="10"/>
  <c r="G15" i="10"/>
  <c r="F15" i="10"/>
  <c r="E15" i="10"/>
  <c r="A15" i="10"/>
  <c r="B15" i="10" s="1"/>
  <c r="J14" i="10"/>
  <c r="I14" i="10"/>
  <c r="H14" i="10"/>
  <c r="G14" i="10"/>
  <c r="F14" i="10"/>
  <c r="E14" i="10"/>
  <c r="A14" i="10"/>
  <c r="B14" i="10" s="1"/>
  <c r="J13" i="10"/>
  <c r="I13" i="10"/>
  <c r="K13" i="10" s="1"/>
  <c r="H13" i="10"/>
  <c r="G13" i="10"/>
  <c r="F13" i="10"/>
  <c r="E13" i="10"/>
  <c r="A13" i="10"/>
  <c r="J12" i="10"/>
  <c r="I12" i="10"/>
  <c r="H12" i="10"/>
  <c r="G12" i="10"/>
  <c r="F12" i="10"/>
  <c r="E12" i="10"/>
  <c r="A12" i="10"/>
  <c r="J11" i="10"/>
  <c r="I11" i="10"/>
  <c r="K11" i="10" s="1"/>
  <c r="H11" i="10"/>
  <c r="G11" i="10"/>
  <c r="F11" i="10"/>
  <c r="E11" i="10"/>
  <c r="A11" i="10"/>
  <c r="J10" i="10"/>
  <c r="I10" i="10"/>
  <c r="H10" i="10"/>
  <c r="G10" i="10"/>
  <c r="F10" i="10"/>
  <c r="E10" i="10"/>
  <c r="A10" i="10"/>
  <c r="J9" i="10"/>
  <c r="I9" i="10"/>
  <c r="K9" i="10" s="1"/>
  <c r="H9" i="10"/>
  <c r="G9" i="10"/>
  <c r="F9" i="10"/>
  <c r="E9" i="10"/>
  <c r="B9" i="10"/>
  <c r="A9" i="10"/>
  <c r="J8" i="10"/>
  <c r="I8" i="10"/>
  <c r="K8" i="10" s="1"/>
  <c r="H8" i="10"/>
  <c r="G8" i="10"/>
  <c r="F8" i="10"/>
  <c r="E8" i="10"/>
  <c r="A8" i="10"/>
  <c r="B8" i="10" s="1"/>
  <c r="J7" i="10"/>
  <c r="I7" i="10"/>
  <c r="K7" i="10" s="1"/>
  <c r="H7" i="10"/>
  <c r="G7" i="10"/>
  <c r="F7" i="10"/>
  <c r="E7" i="10"/>
  <c r="A7" i="10"/>
  <c r="B7" i="10" s="1"/>
  <c r="L7" i="10" s="1"/>
  <c r="J6" i="10"/>
  <c r="I6" i="10"/>
  <c r="H6" i="10"/>
  <c r="G6" i="10"/>
  <c r="F6" i="10"/>
  <c r="E6" i="10"/>
  <c r="A6" i="10"/>
  <c r="J5" i="10"/>
  <c r="I5" i="10"/>
  <c r="H5" i="10"/>
  <c r="G5" i="10"/>
  <c r="F5" i="10"/>
  <c r="E5" i="10"/>
  <c r="A5" i="10"/>
  <c r="J4" i="10"/>
  <c r="I4" i="10"/>
  <c r="K4" i="10" s="1"/>
  <c r="H4" i="10"/>
  <c r="G4" i="10"/>
  <c r="F4" i="10"/>
  <c r="E4" i="10"/>
  <c r="A4" i="10"/>
  <c r="B4" i="10" s="1"/>
  <c r="J3" i="10"/>
  <c r="I3" i="10"/>
  <c r="K3" i="10" s="1"/>
  <c r="H3" i="10"/>
  <c r="G3" i="10"/>
  <c r="F3" i="10"/>
  <c r="E3" i="10"/>
  <c r="A3" i="10"/>
  <c r="J2" i="10"/>
  <c r="I2" i="10"/>
  <c r="K2" i="10" s="1"/>
  <c r="H2" i="10"/>
  <c r="G2" i="10"/>
  <c r="F2" i="10"/>
  <c r="E2" i="10"/>
  <c r="A2" i="10"/>
  <c r="B2" i="10" s="1"/>
  <c r="L2" i="10" s="1"/>
  <c r="N65" i="4"/>
  <c r="N64" i="4"/>
  <c r="N63" i="4"/>
  <c r="C53" i="4"/>
  <c r="C52" i="4"/>
  <c r="C51" i="4"/>
  <c r="C50" i="4"/>
  <c r="C49" i="4"/>
  <c r="C47" i="4"/>
  <c r="C46" i="4"/>
  <c r="C45" i="4"/>
  <c r="C44" i="4"/>
  <c r="C43" i="4"/>
  <c r="C42" i="4"/>
  <c r="C41" i="4"/>
  <c r="C40" i="4"/>
  <c r="C39" i="4"/>
  <c r="C35" i="4"/>
  <c r="C34" i="4"/>
  <c r="C33" i="4"/>
  <c r="P355" i="12" s="1"/>
  <c r="C32" i="4"/>
  <c r="C31" i="4"/>
  <c r="D31" i="4" s="1"/>
  <c r="C30" i="4"/>
  <c r="C29" i="4"/>
  <c r="C28" i="4"/>
  <c r="D28" i="4" s="1"/>
  <c r="C25" i="4" a="1"/>
  <c r="C25" i="4" s="1"/>
  <c r="C24" i="4" a="1"/>
  <c r="C20" i="4" a="1"/>
  <c r="C20" i="4" s="1"/>
  <c r="C19" i="4" a="1"/>
  <c r="C19" i="4" s="1"/>
  <c r="C18" i="4" a="1"/>
  <c r="C18" i="4" s="1"/>
  <c r="C17" i="4" a="1"/>
  <c r="C17" i="4" s="1"/>
  <c r="C16" i="4" a="1"/>
  <c r="C16" i="4" s="1"/>
  <c r="C15" i="4" a="1"/>
  <c r="C15" i="4" s="1"/>
  <c r="C14" i="4" a="1"/>
  <c r="C14" i="4" s="1"/>
  <c r="C10" i="4" a="1"/>
  <c r="C9" i="4" a="1"/>
  <c r="E62" i="4" s="1"/>
  <c r="I366" i="12"/>
  <c r="H366" i="12"/>
  <c r="G366" i="12"/>
  <c r="P366" i="12" s="1"/>
  <c r="F366" i="12"/>
  <c r="D366" i="12"/>
  <c r="C366" i="12"/>
  <c r="B366" i="12"/>
  <c r="I365" i="12"/>
  <c r="H365" i="12"/>
  <c r="G365" i="12"/>
  <c r="F365" i="12"/>
  <c r="D365" i="12"/>
  <c r="C365" i="12"/>
  <c r="B365" i="12"/>
  <c r="I364" i="12"/>
  <c r="H364" i="12"/>
  <c r="G364" i="12"/>
  <c r="F364" i="12"/>
  <c r="D364" i="12"/>
  <c r="C364" i="12"/>
  <c r="B364" i="12"/>
  <c r="I363" i="12"/>
  <c r="H363" i="12"/>
  <c r="G363" i="12"/>
  <c r="F363" i="12"/>
  <c r="D363" i="12"/>
  <c r="C363" i="12"/>
  <c r="B363" i="12"/>
  <c r="I362" i="12"/>
  <c r="H362" i="12"/>
  <c r="G362" i="12"/>
  <c r="P362" i="12" s="1"/>
  <c r="F362" i="12"/>
  <c r="D362" i="12"/>
  <c r="C362" i="12"/>
  <c r="B362" i="12"/>
  <c r="I361" i="12"/>
  <c r="H361" i="12"/>
  <c r="G361" i="12"/>
  <c r="F361" i="12"/>
  <c r="D361" i="12"/>
  <c r="C361" i="12"/>
  <c r="B361" i="12"/>
  <c r="I360" i="12"/>
  <c r="H360" i="12"/>
  <c r="G360" i="12"/>
  <c r="P360" i="12" s="1"/>
  <c r="F360" i="12"/>
  <c r="D360" i="12"/>
  <c r="C360" i="12"/>
  <c r="B360" i="12"/>
  <c r="I359" i="12"/>
  <c r="H359" i="12"/>
  <c r="G359" i="12"/>
  <c r="F359" i="12"/>
  <c r="D359" i="12"/>
  <c r="C359" i="12"/>
  <c r="B359" i="12"/>
  <c r="I358" i="12"/>
  <c r="H358" i="12"/>
  <c r="G358" i="12"/>
  <c r="F358" i="12"/>
  <c r="D358" i="12"/>
  <c r="C358" i="12"/>
  <c r="B358" i="12"/>
  <c r="I357" i="12"/>
  <c r="H357" i="12"/>
  <c r="G357" i="12"/>
  <c r="P357" i="12" s="1"/>
  <c r="F357" i="12"/>
  <c r="M357" i="12" s="1"/>
  <c r="D357" i="12"/>
  <c r="C357" i="12"/>
  <c r="B357" i="12"/>
  <c r="I356" i="12"/>
  <c r="H356" i="12"/>
  <c r="G356" i="12"/>
  <c r="F356" i="12"/>
  <c r="D356" i="12"/>
  <c r="C356" i="12"/>
  <c r="B356" i="12"/>
  <c r="I355" i="12"/>
  <c r="H355" i="12"/>
  <c r="G355" i="12"/>
  <c r="F355" i="12"/>
  <c r="D355" i="12"/>
  <c r="C355" i="12"/>
  <c r="B355" i="12"/>
  <c r="I354" i="12"/>
  <c r="H354" i="12"/>
  <c r="G354" i="12"/>
  <c r="P354" i="12" s="1"/>
  <c r="F354" i="12"/>
  <c r="D354" i="12"/>
  <c r="C354" i="12"/>
  <c r="B354" i="12"/>
  <c r="I353" i="12"/>
  <c r="H353" i="12"/>
  <c r="G353" i="12"/>
  <c r="F353" i="12"/>
  <c r="D353" i="12"/>
  <c r="C353" i="12"/>
  <c r="B353" i="12"/>
  <c r="I352" i="12"/>
  <c r="H352" i="12"/>
  <c r="G352" i="12"/>
  <c r="P352" i="12" s="1"/>
  <c r="F352" i="12"/>
  <c r="D352" i="12"/>
  <c r="C352" i="12"/>
  <c r="B352" i="12"/>
  <c r="I351" i="12"/>
  <c r="H351" i="12"/>
  <c r="G351" i="12"/>
  <c r="P351" i="12" s="1"/>
  <c r="F351" i="12"/>
  <c r="D351" i="12"/>
  <c r="C351" i="12"/>
  <c r="B351" i="12"/>
  <c r="I350" i="12"/>
  <c r="H350" i="12"/>
  <c r="G350" i="12"/>
  <c r="P350" i="12" s="1"/>
  <c r="F350" i="12"/>
  <c r="D350" i="12"/>
  <c r="C350" i="12"/>
  <c r="B350" i="12"/>
  <c r="I349" i="12"/>
  <c r="H349" i="12"/>
  <c r="G349" i="12"/>
  <c r="F349" i="12"/>
  <c r="D349" i="12"/>
  <c r="C349" i="12"/>
  <c r="B349" i="12"/>
  <c r="I348" i="12"/>
  <c r="H348" i="12"/>
  <c r="G348" i="12"/>
  <c r="F348" i="12"/>
  <c r="D348" i="12"/>
  <c r="C348" i="12"/>
  <c r="B348" i="12"/>
  <c r="I347" i="12"/>
  <c r="H347" i="12"/>
  <c r="G347" i="12"/>
  <c r="F347" i="12"/>
  <c r="D347" i="12"/>
  <c r="C347" i="12"/>
  <c r="B347" i="12"/>
  <c r="I346" i="12"/>
  <c r="H346" i="12"/>
  <c r="G346" i="12"/>
  <c r="P346" i="12" s="1"/>
  <c r="F346" i="12"/>
  <c r="D346" i="12"/>
  <c r="C346" i="12"/>
  <c r="B346" i="12"/>
  <c r="I345" i="12"/>
  <c r="H345" i="12"/>
  <c r="G345" i="12"/>
  <c r="F345" i="12"/>
  <c r="D345" i="12"/>
  <c r="C345" i="12"/>
  <c r="B345" i="12"/>
  <c r="I344" i="12"/>
  <c r="H344" i="12"/>
  <c r="G344" i="12"/>
  <c r="P344" i="12" s="1"/>
  <c r="F344" i="12"/>
  <c r="D344" i="12"/>
  <c r="C344" i="12"/>
  <c r="B344" i="12"/>
  <c r="I343" i="12"/>
  <c r="H343" i="12"/>
  <c r="G343" i="12"/>
  <c r="F343" i="12"/>
  <c r="D343" i="12"/>
  <c r="C343" i="12"/>
  <c r="B343" i="12"/>
  <c r="I342" i="12"/>
  <c r="H342" i="12"/>
  <c r="G342" i="12"/>
  <c r="F342" i="12"/>
  <c r="D342" i="12"/>
  <c r="C342" i="12"/>
  <c r="B342" i="12"/>
  <c r="I341" i="12"/>
  <c r="H341" i="12"/>
  <c r="G341" i="12"/>
  <c r="P341" i="12" s="1"/>
  <c r="F341" i="12"/>
  <c r="M341" i="12" s="1"/>
  <c r="D341" i="12"/>
  <c r="C341" i="12"/>
  <c r="B341" i="12"/>
  <c r="I340" i="12"/>
  <c r="H340" i="12"/>
  <c r="G340" i="12"/>
  <c r="F340" i="12"/>
  <c r="D340" i="12"/>
  <c r="C340" i="12"/>
  <c r="B340" i="12"/>
  <c r="I339" i="12"/>
  <c r="H339" i="12"/>
  <c r="G339" i="12"/>
  <c r="F339" i="12"/>
  <c r="D339" i="12"/>
  <c r="C339" i="12"/>
  <c r="B339" i="12"/>
  <c r="I338" i="12"/>
  <c r="H338" i="12"/>
  <c r="G338" i="12"/>
  <c r="F338" i="12"/>
  <c r="D338" i="12"/>
  <c r="C338" i="12"/>
  <c r="B338" i="12"/>
  <c r="I337" i="12"/>
  <c r="H337" i="12"/>
  <c r="G337" i="12"/>
  <c r="F337" i="12"/>
  <c r="N337" i="12" s="1"/>
  <c r="D337" i="12"/>
  <c r="C337" i="12"/>
  <c r="B337" i="12"/>
  <c r="I336" i="12"/>
  <c r="H336" i="12"/>
  <c r="G336" i="12"/>
  <c r="P336" i="12" s="1"/>
  <c r="F336" i="12"/>
  <c r="D336" i="12"/>
  <c r="C336" i="12"/>
  <c r="B336" i="12"/>
  <c r="I335" i="12"/>
  <c r="H335" i="12"/>
  <c r="G335" i="12"/>
  <c r="P335" i="12" s="1"/>
  <c r="F335" i="12"/>
  <c r="D335" i="12"/>
  <c r="C335" i="12"/>
  <c r="B335" i="12"/>
  <c r="I334" i="12"/>
  <c r="H334" i="12"/>
  <c r="G334" i="12"/>
  <c r="P334" i="12" s="1"/>
  <c r="F334" i="12"/>
  <c r="D334" i="12"/>
  <c r="C334" i="12"/>
  <c r="B334" i="12"/>
  <c r="I333" i="12"/>
  <c r="H333" i="12"/>
  <c r="G333" i="12"/>
  <c r="F333" i="12"/>
  <c r="D333" i="12"/>
  <c r="C333" i="12"/>
  <c r="B333" i="12"/>
  <c r="I332" i="12"/>
  <c r="H332" i="12"/>
  <c r="G332" i="12"/>
  <c r="F332" i="12"/>
  <c r="D332" i="12"/>
  <c r="C332" i="12"/>
  <c r="B332" i="12"/>
  <c r="I331" i="12"/>
  <c r="H331" i="12"/>
  <c r="G331" i="12"/>
  <c r="F331" i="12"/>
  <c r="D331" i="12"/>
  <c r="C331" i="12"/>
  <c r="B331" i="12"/>
  <c r="I330" i="12"/>
  <c r="H330" i="12"/>
  <c r="G330" i="12"/>
  <c r="P330" i="12" s="1"/>
  <c r="F330" i="12"/>
  <c r="D330" i="12"/>
  <c r="C330" i="12"/>
  <c r="B330" i="12"/>
  <c r="I329" i="12"/>
  <c r="H329" i="12"/>
  <c r="G329" i="12"/>
  <c r="F329" i="12"/>
  <c r="D329" i="12"/>
  <c r="C329" i="12"/>
  <c r="B329" i="12"/>
  <c r="I328" i="12"/>
  <c r="H328" i="12"/>
  <c r="G328" i="12"/>
  <c r="P328" i="12" s="1"/>
  <c r="F328" i="12"/>
  <c r="D328" i="12"/>
  <c r="C328" i="12"/>
  <c r="B328" i="12"/>
  <c r="I327" i="12"/>
  <c r="H327" i="12"/>
  <c r="G327" i="12"/>
  <c r="F327" i="12"/>
  <c r="D327" i="12"/>
  <c r="C327" i="12"/>
  <c r="B327" i="12"/>
  <c r="I326" i="12"/>
  <c r="H326" i="12"/>
  <c r="G326" i="12"/>
  <c r="F326" i="12"/>
  <c r="D326" i="12"/>
  <c r="C326" i="12"/>
  <c r="B326" i="12"/>
  <c r="I325" i="12"/>
  <c r="H325" i="12"/>
  <c r="G325" i="12"/>
  <c r="P325" i="12" s="1"/>
  <c r="F325" i="12"/>
  <c r="M325" i="12" s="1"/>
  <c r="D325" i="12"/>
  <c r="C325" i="12"/>
  <c r="B325" i="12"/>
  <c r="I324" i="12"/>
  <c r="H324" i="12"/>
  <c r="G324" i="12"/>
  <c r="F324" i="12"/>
  <c r="D324" i="12"/>
  <c r="C324" i="12"/>
  <c r="B324" i="12"/>
  <c r="I323" i="12"/>
  <c r="H323" i="12"/>
  <c r="G323" i="12"/>
  <c r="F323" i="12"/>
  <c r="D323" i="12"/>
  <c r="C323" i="12"/>
  <c r="B323" i="12"/>
  <c r="I322" i="12"/>
  <c r="H322" i="12"/>
  <c r="G322" i="12"/>
  <c r="P322" i="12" s="1"/>
  <c r="F322" i="12"/>
  <c r="D322" i="12"/>
  <c r="C322" i="12"/>
  <c r="B322" i="12"/>
  <c r="I321" i="12"/>
  <c r="H321" i="12"/>
  <c r="G321" i="12"/>
  <c r="F321" i="12"/>
  <c r="N321" i="12" s="1"/>
  <c r="D321" i="12"/>
  <c r="C321" i="12"/>
  <c r="B321" i="12"/>
  <c r="I320" i="12"/>
  <c r="H320" i="12"/>
  <c r="G320" i="12"/>
  <c r="P320" i="12" s="1"/>
  <c r="F320" i="12"/>
  <c r="D320" i="12"/>
  <c r="C320" i="12"/>
  <c r="B320" i="12"/>
  <c r="I319" i="12"/>
  <c r="H319" i="12"/>
  <c r="G319" i="12"/>
  <c r="P319" i="12" s="1"/>
  <c r="F319" i="12"/>
  <c r="D319" i="12"/>
  <c r="C319" i="12"/>
  <c r="B319" i="12"/>
  <c r="I318" i="12"/>
  <c r="H318" i="12"/>
  <c r="G318" i="12"/>
  <c r="P318" i="12" s="1"/>
  <c r="F318" i="12"/>
  <c r="D318" i="12"/>
  <c r="C318" i="12"/>
  <c r="B318" i="12"/>
  <c r="I317" i="12"/>
  <c r="H317" i="12"/>
  <c r="G317" i="12"/>
  <c r="F317" i="12"/>
  <c r="D317" i="12"/>
  <c r="C317" i="12"/>
  <c r="B317" i="12"/>
  <c r="I316" i="12"/>
  <c r="H316" i="12"/>
  <c r="G316" i="12"/>
  <c r="F316" i="12"/>
  <c r="D316" i="12"/>
  <c r="C316" i="12"/>
  <c r="B316" i="12"/>
  <c r="I315" i="12"/>
  <c r="H315" i="12"/>
  <c r="G315" i="12"/>
  <c r="F315" i="12"/>
  <c r="D315" i="12"/>
  <c r="C315" i="12"/>
  <c r="B315" i="12"/>
  <c r="I314" i="12"/>
  <c r="H314" i="12"/>
  <c r="G314" i="12"/>
  <c r="P314" i="12" s="1"/>
  <c r="F314" i="12"/>
  <c r="D314" i="12"/>
  <c r="C314" i="12"/>
  <c r="B314" i="12"/>
  <c r="I313" i="12"/>
  <c r="H313" i="12"/>
  <c r="G313" i="12"/>
  <c r="F313" i="12"/>
  <c r="D313" i="12"/>
  <c r="C313" i="12"/>
  <c r="B313" i="12"/>
  <c r="I312" i="12"/>
  <c r="H312" i="12"/>
  <c r="G312" i="12"/>
  <c r="P312" i="12" s="1"/>
  <c r="F312" i="12"/>
  <c r="D312" i="12"/>
  <c r="C312" i="12"/>
  <c r="B312" i="12"/>
  <c r="I311" i="12"/>
  <c r="H311" i="12"/>
  <c r="G311" i="12"/>
  <c r="F311" i="12"/>
  <c r="D311" i="12"/>
  <c r="C311" i="12"/>
  <c r="B311" i="12"/>
  <c r="I310" i="12"/>
  <c r="H310" i="12"/>
  <c r="G310" i="12"/>
  <c r="F310" i="12"/>
  <c r="D310" i="12"/>
  <c r="C310" i="12"/>
  <c r="B310" i="12"/>
  <c r="I309" i="12"/>
  <c r="H309" i="12"/>
  <c r="G309" i="12"/>
  <c r="P309" i="12" s="1"/>
  <c r="F309" i="12"/>
  <c r="M309" i="12" s="1"/>
  <c r="D309" i="12"/>
  <c r="C309" i="12"/>
  <c r="B309" i="12"/>
  <c r="I308" i="12"/>
  <c r="H308" i="12"/>
  <c r="G308" i="12"/>
  <c r="F308" i="12"/>
  <c r="D308" i="12"/>
  <c r="C308" i="12"/>
  <c r="B308" i="12"/>
  <c r="I307" i="12"/>
  <c r="H307" i="12"/>
  <c r="G307" i="12"/>
  <c r="F307" i="12"/>
  <c r="D307" i="12"/>
  <c r="C307" i="12"/>
  <c r="B307" i="12"/>
  <c r="I306" i="12"/>
  <c r="H306" i="12"/>
  <c r="G306" i="12"/>
  <c r="F306" i="12"/>
  <c r="D306" i="12"/>
  <c r="C306" i="12"/>
  <c r="B306" i="12"/>
  <c r="I305" i="12"/>
  <c r="H305" i="12"/>
  <c r="G305" i="12"/>
  <c r="F305" i="12"/>
  <c r="D305" i="12"/>
  <c r="C305" i="12"/>
  <c r="B305" i="12"/>
  <c r="I304" i="12"/>
  <c r="H304" i="12"/>
  <c r="G304" i="12"/>
  <c r="P304" i="12" s="1"/>
  <c r="F304" i="12"/>
  <c r="D304" i="12"/>
  <c r="C304" i="12"/>
  <c r="B304" i="12"/>
  <c r="I303" i="12"/>
  <c r="H303" i="12"/>
  <c r="G303" i="12"/>
  <c r="P303" i="12" s="1"/>
  <c r="F303" i="12"/>
  <c r="D303" i="12"/>
  <c r="C303" i="12"/>
  <c r="B303" i="12"/>
  <c r="I302" i="12"/>
  <c r="H302" i="12"/>
  <c r="G302" i="12"/>
  <c r="P302" i="12" s="1"/>
  <c r="F302" i="12"/>
  <c r="D302" i="12"/>
  <c r="C302" i="12"/>
  <c r="B302" i="12"/>
  <c r="I301" i="12"/>
  <c r="H301" i="12"/>
  <c r="G301" i="12"/>
  <c r="F301" i="12"/>
  <c r="D301" i="12"/>
  <c r="C301" i="12"/>
  <c r="B301" i="12"/>
  <c r="I300" i="12"/>
  <c r="H300" i="12"/>
  <c r="G300" i="12"/>
  <c r="F300" i="12"/>
  <c r="D300" i="12"/>
  <c r="C300" i="12"/>
  <c r="B300" i="12"/>
  <c r="I299" i="12"/>
  <c r="H299" i="12"/>
  <c r="G299" i="12"/>
  <c r="F299" i="12"/>
  <c r="D299" i="12"/>
  <c r="C299" i="12"/>
  <c r="B299" i="12"/>
  <c r="I298" i="12"/>
  <c r="H298" i="12"/>
  <c r="G298" i="12"/>
  <c r="P298" i="12" s="1"/>
  <c r="F298" i="12"/>
  <c r="D298" i="12"/>
  <c r="C298" i="12"/>
  <c r="B298" i="12"/>
  <c r="I297" i="12"/>
  <c r="H297" i="12"/>
  <c r="G297" i="12"/>
  <c r="F297" i="12"/>
  <c r="D297" i="12"/>
  <c r="C297" i="12"/>
  <c r="B297" i="12"/>
  <c r="I296" i="12"/>
  <c r="H296" i="12"/>
  <c r="G296" i="12"/>
  <c r="P296" i="12" s="1"/>
  <c r="F296" i="12"/>
  <c r="D296" i="12"/>
  <c r="C296" i="12"/>
  <c r="B296" i="12"/>
  <c r="I295" i="12"/>
  <c r="H295" i="12"/>
  <c r="G295" i="12"/>
  <c r="F295" i="12"/>
  <c r="D295" i="12"/>
  <c r="C295" i="12"/>
  <c r="B295" i="12"/>
  <c r="I294" i="12"/>
  <c r="H294" i="12"/>
  <c r="G294" i="12"/>
  <c r="F294" i="12"/>
  <c r="D294" i="12"/>
  <c r="C294" i="12"/>
  <c r="B294" i="12"/>
  <c r="I293" i="12"/>
  <c r="H293" i="12"/>
  <c r="G293" i="12"/>
  <c r="P293" i="12" s="1"/>
  <c r="F293" i="12"/>
  <c r="M293" i="12" s="1"/>
  <c r="D293" i="12"/>
  <c r="C293" i="12"/>
  <c r="B293" i="12"/>
  <c r="I292" i="12"/>
  <c r="H292" i="12"/>
  <c r="G292" i="12"/>
  <c r="F292" i="12"/>
  <c r="D292" i="12"/>
  <c r="C292" i="12"/>
  <c r="B292" i="12"/>
  <c r="I291" i="12"/>
  <c r="H291" i="12"/>
  <c r="G291" i="12"/>
  <c r="F291" i="12"/>
  <c r="D291" i="12"/>
  <c r="C291" i="12"/>
  <c r="B291" i="12"/>
  <c r="I290" i="12"/>
  <c r="H290" i="12"/>
  <c r="G290" i="12"/>
  <c r="F290" i="12"/>
  <c r="D290" i="12"/>
  <c r="C290" i="12"/>
  <c r="B290" i="12"/>
  <c r="I289" i="12"/>
  <c r="H289" i="12"/>
  <c r="G289" i="12"/>
  <c r="F289" i="12"/>
  <c r="D289" i="12"/>
  <c r="C289" i="12"/>
  <c r="B289" i="12"/>
  <c r="I288" i="12"/>
  <c r="H288" i="12"/>
  <c r="G288" i="12"/>
  <c r="P288" i="12" s="1"/>
  <c r="F288" i="12"/>
  <c r="D288" i="12"/>
  <c r="C288" i="12"/>
  <c r="B288" i="12"/>
  <c r="I287" i="12"/>
  <c r="H287" i="12"/>
  <c r="G287" i="12"/>
  <c r="P287" i="12" s="1"/>
  <c r="F287" i="12"/>
  <c r="D287" i="12"/>
  <c r="C287" i="12"/>
  <c r="B287" i="12"/>
  <c r="I286" i="12"/>
  <c r="H286" i="12"/>
  <c r="G286" i="12"/>
  <c r="P286" i="12" s="1"/>
  <c r="F286" i="12"/>
  <c r="D286" i="12"/>
  <c r="C286" i="12"/>
  <c r="B286" i="12"/>
  <c r="I285" i="12"/>
  <c r="H285" i="12"/>
  <c r="G285" i="12"/>
  <c r="F285" i="12"/>
  <c r="D285" i="12"/>
  <c r="C285" i="12"/>
  <c r="B285" i="12"/>
  <c r="I284" i="12"/>
  <c r="H284" i="12"/>
  <c r="G284" i="12"/>
  <c r="F284" i="12"/>
  <c r="D284" i="12"/>
  <c r="C284" i="12"/>
  <c r="B284" i="12"/>
  <c r="I283" i="12"/>
  <c r="H283" i="12"/>
  <c r="G283" i="12"/>
  <c r="F283" i="12"/>
  <c r="D283" i="12"/>
  <c r="C283" i="12"/>
  <c r="B283" i="12"/>
  <c r="I282" i="12"/>
  <c r="H282" i="12"/>
  <c r="G282" i="12"/>
  <c r="P282" i="12" s="1"/>
  <c r="F282" i="12"/>
  <c r="D282" i="12"/>
  <c r="C282" i="12"/>
  <c r="B282" i="12"/>
  <c r="I281" i="12"/>
  <c r="H281" i="12"/>
  <c r="G281" i="12"/>
  <c r="F281" i="12"/>
  <c r="D281" i="12"/>
  <c r="C281" i="12"/>
  <c r="B281" i="12"/>
  <c r="I280" i="12"/>
  <c r="H280" i="12"/>
  <c r="G280" i="12"/>
  <c r="P280" i="12" s="1"/>
  <c r="F280" i="12"/>
  <c r="D280" i="12"/>
  <c r="C280" i="12"/>
  <c r="B280" i="12"/>
  <c r="I279" i="12"/>
  <c r="H279" i="12"/>
  <c r="G279" i="12"/>
  <c r="F279" i="12"/>
  <c r="D279" i="12"/>
  <c r="C279" i="12"/>
  <c r="B279" i="12"/>
  <c r="I278" i="12"/>
  <c r="H278" i="12"/>
  <c r="G278" i="12"/>
  <c r="F278" i="12"/>
  <c r="D278" i="12"/>
  <c r="C278" i="12"/>
  <c r="B278" i="12"/>
  <c r="I277" i="12"/>
  <c r="H277" i="12"/>
  <c r="G277" i="12"/>
  <c r="P277" i="12" s="1"/>
  <c r="F277" i="12"/>
  <c r="M277" i="12" s="1"/>
  <c r="D277" i="12"/>
  <c r="C277" i="12"/>
  <c r="B277" i="12"/>
  <c r="I276" i="12"/>
  <c r="H276" i="12"/>
  <c r="G276" i="12"/>
  <c r="F276" i="12"/>
  <c r="D276" i="12"/>
  <c r="C276" i="12"/>
  <c r="B276" i="12"/>
  <c r="I275" i="12"/>
  <c r="H275" i="12"/>
  <c r="G275" i="12"/>
  <c r="F275" i="12"/>
  <c r="D275" i="12"/>
  <c r="C275" i="12"/>
  <c r="B275" i="12"/>
  <c r="I274" i="12"/>
  <c r="H274" i="12"/>
  <c r="G274" i="12"/>
  <c r="F274" i="12"/>
  <c r="D274" i="12"/>
  <c r="C274" i="12"/>
  <c r="B274" i="12"/>
  <c r="I273" i="12"/>
  <c r="H273" i="12"/>
  <c r="G273" i="12"/>
  <c r="F273" i="12"/>
  <c r="D273" i="12"/>
  <c r="C273" i="12"/>
  <c r="B273" i="12"/>
  <c r="I272" i="12"/>
  <c r="H272" i="12"/>
  <c r="G272" i="12"/>
  <c r="P272" i="12" s="1"/>
  <c r="F272" i="12"/>
  <c r="D272" i="12"/>
  <c r="C272" i="12"/>
  <c r="B272" i="12"/>
  <c r="I271" i="12"/>
  <c r="H271" i="12"/>
  <c r="G271" i="12"/>
  <c r="P271" i="12" s="1"/>
  <c r="F271" i="12"/>
  <c r="D271" i="12"/>
  <c r="C271" i="12"/>
  <c r="B271" i="12"/>
  <c r="I270" i="12"/>
  <c r="H270" i="12"/>
  <c r="G270" i="12"/>
  <c r="P270" i="12" s="1"/>
  <c r="F270" i="12"/>
  <c r="D270" i="12"/>
  <c r="C270" i="12"/>
  <c r="B270" i="12"/>
  <c r="I269" i="12"/>
  <c r="H269" i="12"/>
  <c r="G269" i="12"/>
  <c r="F269" i="12"/>
  <c r="D269" i="12"/>
  <c r="C269" i="12"/>
  <c r="B269" i="12"/>
  <c r="I268" i="12"/>
  <c r="H268" i="12"/>
  <c r="G268" i="12"/>
  <c r="F268" i="12"/>
  <c r="D268" i="12"/>
  <c r="C268" i="12"/>
  <c r="B268" i="12"/>
  <c r="I267" i="12"/>
  <c r="H267" i="12"/>
  <c r="G267" i="12"/>
  <c r="F267" i="12"/>
  <c r="D267" i="12"/>
  <c r="C267" i="12"/>
  <c r="B267" i="12"/>
  <c r="I266" i="12"/>
  <c r="H266" i="12"/>
  <c r="G266" i="12"/>
  <c r="P266" i="12" s="1"/>
  <c r="F266" i="12"/>
  <c r="D266" i="12"/>
  <c r="C266" i="12"/>
  <c r="B266" i="12"/>
  <c r="I265" i="12"/>
  <c r="H265" i="12"/>
  <c r="G265" i="12"/>
  <c r="F265" i="12"/>
  <c r="D265" i="12"/>
  <c r="C265" i="12"/>
  <c r="B265" i="12"/>
  <c r="I264" i="12"/>
  <c r="H264" i="12"/>
  <c r="G264" i="12"/>
  <c r="P264" i="12" s="1"/>
  <c r="F264" i="12"/>
  <c r="D264" i="12"/>
  <c r="C264" i="12"/>
  <c r="B264" i="12"/>
  <c r="I263" i="12"/>
  <c r="H263" i="12"/>
  <c r="G263" i="12"/>
  <c r="F263" i="12"/>
  <c r="D263" i="12"/>
  <c r="C263" i="12"/>
  <c r="B263" i="12"/>
  <c r="I262" i="12"/>
  <c r="H262" i="12"/>
  <c r="G262" i="12"/>
  <c r="F262" i="12"/>
  <c r="D262" i="12"/>
  <c r="C262" i="12"/>
  <c r="B262" i="12"/>
  <c r="I261" i="12"/>
  <c r="H261" i="12"/>
  <c r="G261" i="12"/>
  <c r="P261" i="12" s="1"/>
  <c r="F261" i="12"/>
  <c r="M261" i="12" s="1"/>
  <c r="D261" i="12"/>
  <c r="C261" i="12"/>
  <c r="B261" i="12"/>
  <c r="I260" i="12"/>
  <c r="H260" i="12"/>
  <c r="G260" i="12"/>
  <c r="F260" i="12"/>
  <c r="D260" i="12"/>
  <c r="C260" i="12"/>
  <c r="B260" i="12"/>
  <c r="I259" i="12"/>
  <c r="H259" i="12"/>
  <c r="G259" i="12"/>
  <c r="F259" i="12"/>
  <c r="D259" i="12"/>
  <c r="C259" i="12"/>
  <c r="B259" i="12"/>
  <c r="I258" i="12"/>
  <c r="H258" i="12"/>
  <c r="G258" i="12"/>
  <c r="P258" i="12" s="1"/>
  <c r="F258" i="12"/>
  <c r="D258" i="12"/>
  <c r="C258" i="12"/>
  <c r="B258" i="12"/>
  <c r="I257" i="12"/>
  <c r="H257" i="12"/>
  <c r="G257" i="12"/>
  <c r="F257" i="12"/>
  <c r="D257" i="12"/>
  <c r="C257" i="12"/>
  <c r="B257" i="12"/>
  <c r="I256" i="12"/>
  <c r="H256" i="12"/>
  <c r="G256" i="12"/>
  <c r="P256" i="12" s="1"/>
  <c r="F256" i="12"/>
  <c r="D256" i="12"/>
  <c r="C256" i="12"/>
  <c r="B256" i="12"/>
  <c r="I255" i="12"/>
  <c r="H255" i="12"/>
  <c r="G255" i="12"/>
  <c r="P255" i="12" s="1"/>
  <c r="F255" i="12"/>
  <c r="D255" i="12"/>
  <c r="C255" i="12"/>
  <c r="B255" i="12"/>
  <c r="I254" i="12"/>
  <c r="H254" i="12"/>
  <c r="G254" i="12"/>
  <c r="P254" i="12" s="1"/>
  <c r="F254" i="12"/>
  <c r="D254" i="12"/>
  <c r="C254" i="12"/>
  <c r="B254" i="12"/>
  <c r="I253" i="12"/>
  <c r="H253" i="12"/>
  <c r="G253" i="12"/>
  <c r="F253" i="12"/>
  <c r="D253" i="12"/>
  <c r="C253" i="12"/>
  <c r="B253" i="12"/>
  <c r="I252" i="12"/>
  <c r="H252" i="12"/>
  <c r="G252" i="12"/>
  <c r="F252" i="12"/>
  <c r="D252" i="12"/>
  <c r="C252" i="12"/>
  <c r="B252" i="12"/>
  <c r="I251" i="12"/>
  <c r="H251" i="12"/>
  <c r="G251" i="12"/>
  <c r="F251" i="12"/>
  <c r="D251" i="12"/>
  <c r="C251" i="12"/>
  <c r="B251" i="12"/>
  <c r="I250" i="12"/>
  <c r="H250" i="12"/>
  <c r="G250" i="12"/>
  <c r="P250" i="12" s="1"/>
  <c r="F250" i="12"/>
  <c r="D250" i="12"/>
  <c r="C250" i="12"/>
  <c r="B250" i="12"/>
  <c r="I249" i="12"/>
  <c r="H249" i="12"/>
  <c r="G249" i="12"/>
  <c r="F249" i="12"/>
  <c r="D249" i="12"/>
  <c r="C249" i="12"/>
  <c r="B249" i="12"/>
  <c r="I248" i="12"/>
  <c r="H248" i="12"/>
  <c r="G248" i="12"/>
  <c r="P248" i="12" s="1"/>
  <c r="F248" i="12"/>
  <c r="D248" i="12"/>
  <c r="C248" i="12"/>
  <c r="B248" i="12"/>
  <c r="I247" i="12"/>
  <c r="H247" i="12"/>
  <c r="G247" i="12"/>
  <c r="F247" i="12"/>
  <c r="D247" i="12"/>
  <c r="C247" i="12"/>
  <c r="B247" i="12"/>
  <c r="I246" i="12"/>
  <c r="H246" i="12"/>
  <c r="G246" i="12"/>
  <c r="F246" i="12"/>
  <c r="D246" i="12"/>
  <c r="C246" i="12"/>
  <c r="B246" i="12"/>
  <c r="I245" i="12"/>
  <c r="H245" i="12"/>
  <c r="G245" i="12"/>
  <c r="P245" i="12" s="1"/>
  <c r="F245" i="12"/>
  <c r="M245" i="12" s="1"/>
  <c r="D245" i="12"/>
  <c r="C245" i="12"/>
  <c r="B245" i="12"/>
  <c r="I244" i="12"/>
  <c r="H244" i="12"/>
  <c r="G244" i="12"/>
  <c r="F244" i="12"/>
  <c r="D244" i="12"/>
  <c r="C244" i="12"/>
  <c r="B244" i="12"/>
  <c r="I243" i="12"/>
  <c r="H243" i="12"/>
  <c r="G243" i="12"/>
  <c r="F243" i="12"/>
  <c r="D243" i="12"/>
  <c r="C243" i="12"/>
  <c r="B243" i="12"/>
  <c r="I242" i="12"/>
  <c r="H242" i="12"/>
  <c r="G242" i="12"/>
  <c r="P242" i="12" s="1"/>
  <c r="F242" i="12"/>
  <c r="D242" i="12"/>
  <c r="C242" i="12"/>
  <c r="B242" i="12"/>
  <c r="I241" i="12"/>
  <c r="H241" i="12"/>
  <c r="G241" i="12"/>
  <c r="F241" i="12"/>
  <c r="N241" i="12" s="1"/>
  <c r="D241" i="12"/>
  <c r="C241" i="12"/>
  <c r="B241" i="12"/>
  <c r="I240" i="12"/>
  <c r="H240" i="12"/>
  <c r="G240" i="12"/>
  <c r="P240" i="12" s="1"/>
  <c r="F240" i="12"/>
  <c r="D240" i="12"/>
  <c r="C240" i="12"/>
  <c r="B240" i="12"/>
  <c r="I239" i="12"/>
  <c r="H239" i="12"/>
  <c r="G239" i="12"/>
  <c r="P239" i="12" s="1"/>
  <c r="F239" i="12"/>
  <c r="D239" i="12"/>
  <c r="C239" i="12"/>
  <c r="B239" i="12"/>
  <c r="I238" i="12"/>
  <c r="H238" i="12"/>
  <c r="G238" i="12"/>
  <c r="P238" i="12" s="1"/>
  <c r="F238" i="12"/>
  <c r="D238" i="12"/>
  <c r="C238" i="12"/>
  <c r="B238" i="12"/>
  <c r="I237" i="12"/>
  <c r="H237" i="12"/>
  <c r="G237" i="12"/>
  <c r="F237" i="12"/>
  <c r="D237" i="12"/>
  <c r="C237" i="12"/>
  <c r="B237" i="12"/>
  <c r="I236" i="12"/>
  <c r="H236" i="12"/>
  <c r="G236" i="12"/>
  <c r="F236" i="12"/>
  <c r="D236" i="12"/>
  <c r="C236" i="12"/>
  <c r="B236" i="12"/>
  <c r="I235" i="12"/>
  <c r="H235" i="12"/>
  <c r="G235" i="12"/>
  <c r="F235" i="12"/>
  <c r="D235" i="12"/>
  <c r="C235" i="12"/>
  <c r="B235" i="12"/>
  <c r="I234" i="12"/>
  <c r="H234" i="12"/>
  <c r="G234" i="12"/>
  <c r="P234" i="12" s="1"/>
  <c r="F234" i="12"/>
  <c r="D234" i="12"/>
  <c r="C234" i="12"/>
  <c r="B234" i="12"/>
  <c r="I233" i="12"/>
  <c r="H233" i="12"/>
  <c r="G233" i="12"/>
  <c r="F233" i="12"/>
  <c r="D233" i="12"/>
  <c r="C233" i="12"/>
  <c r="B233" i="12"/>
  <c r="I232" i="12"/>
  <c r="H232" i="12"/>
  <c r="G232" i="12"/>
  <c r="P232" i="12" s="1"/>
  <c r="F232" i="12"/>
  <c r="D232" i="12"/>
  <c r="C232" i="12"/>
  <c r="B232" i="12"/>
  <c r="I231" i="12"/>
  <c r="H231" i="12"/>
  <c r="G231" i="12"/>
  <c r="F231" i="12"/>
  <c r="D231" i="12"/>
  <c r="C231" i="12"/>
  <c r="B231" i="12"/>
  <c r="I230" i="12"/>
  <c r="H230" i="12"/>
  <c r="G230" i="12"/>
  <c r="F230" i="12"/>
  <c r="D230" i="12"/>
  <c r="C230" i="12"/>
  <c r="B230" i="12"/>
  <c r="I229" i="12"/>
  <c r="H229" i="12"/>
  <c r="G229" i="12"/>
  <c r="P229" i="12" s="1"/>
  <c r="F229" i="12"/>
  <c r="M229" i="12" s="1"/>
  <c r="D229" i="12"/>
  <c r="C229" i="12"/>
  <c r="B229" i="12"/>
  <c r="I228" i="12"/>
  <c r="H228" i="12"/>
  <c r="G228" i="12"/>
  <c r="F228" i="12"/>
  <c r="D228" i="12"/>
  <c r="C228" i="12"/>
  <c r="B228" i="12"/>
  <c r="I227" i="12"/>
  <c r="H227" i="12"/>
  <c r="G227" i="12"/>
  <c r="F227" i="12"/>
  <c r="D227" i="12"/>
  <c r="C227" i="12"/>
  <c r="B227" i="12"/>
  <c r="I226" i="12"/>
  <c r="H226" i="12"/>
  <c r="G226" i="12"/>
  <c r="P226" i="12" s="1"/>
  <c r="F226" i="12"/>
  <c r="D226" i="12"/>
  <c r="C226" i="12"/>
  <c r="B226" i="12"/>
  <c r="I225" i="12"/>
  <c r="H225" i="12"/>
  <c r="G225" i="12"/>
  <c r="F225" i="12"/>
  <c r="D225" i="12"/>
  <c r="C225" i="12"/>
  <c r="B225" i="12"/>
  <c r="I224" i="12"/>
  <c r="H224" i="12"/>
  <c r="G224" i="12"/>
  <c r="P224" i="12" s="1"/>
  <c r="F224" i="12"/>
  <c r="D224" i="12"/>
  <c r="C224" i="12"/>
  <c r="B224" i="12"/>
  <c r="I223" i="12"/>
  <c r="H223" i="12"/>
  <c r="G223" i="12"/>
  <c r="P223" i="12" s="1"/>
  <c r="F223" i="12"/>
  <c r="D223" i="12"/>
  <c r="C223" i="12"/>
  <c r="B223" i="12"/>
  <c r="I222" i="12"/>
  <c r="H222" i="12"/>
  <c r="G222" i="12"/>
  <c r="P222" i="12" s="1"/>
  <c r="F222" i="12"/>
  <c r="D222" i="12"/>
  <c r="C222" i="12"/>
  <c r="B222" i="12"/>
  <c r="I221" i="12"/>
  <c r="H221" i="12"/>
  <c r="G221" i="12"/>
  <c r="F221" i="12"/>
  <c r="D221" i="12"/>
  <c r="C221" i="12"/>
  <c r="B221" i="12"/>
  <c r="I220" i="12"/>
  <c r="H220" i="12"/>
  <c r="G220" i="12"/>
  <c r="F220" i="12"/>
  <c r="D220" i="12"/>
  <c r="C220" i="12"/>
  <c r="B220" i="12"/>
  <c r="I219" i="12"/>
  <c r="H219" i="12"/>
  <c r="G219" i="12"/>
  <c r="F219" i="12"/>
  <c r="D219" i="12"/>
  <c r="C219" i="12"/>
  <c r="B219" i="12"/>
  <c r="I218" i="12"/>
  <c r="H218" i="12"/>
  <c r="G218" i="12"/>
  <c r="P218" i="12" s="1"/>
  <c r="F218" i="12"/>
  <c r="D218" i="12"/>
  <c r="C218" i="12"/>
  <c r="B218" i="12"/>
  <c r="I217" i="12"/>
  <c r="H217" i="12"/>
  <c r="G217" i="12"/>
  <c r="F217" i="12"/>
  <c r="D217" i="12"/>
  <c r="C217" i="12"/>
  <c r="B217" i="12"/>
  <c r="I216" i="12"/>
  <c r="H216" i="12"/>
  <c r="G216" i="12"/>
  <c r="P216" i="12" s="1"/>
  <c r="F216" i="12"/>
  <c r="D216" i="12"/>
  <c r="C216" i="12"/>
  <c r="B216" i="12"/>
  <c r="I215" i="12"/>
  <c r="H215" i="12"/>
  <c r="G215" i="12"/>
  <c r="F215" i="12"/>
  <c r="D215" i="12"/>
  <c r="C215" i="12"/>
  <c r="B215" i="12"/>
  <c r="I214" i="12"/>
  <c r="H214" i="12"/>
  <c r="G214" i="12"/>
  <c r="F214" i="12"/>
  <c r="D214" i="12"/>
  <c r="C214" i="12"/>
  <c r="B214" i="12"/>
  <c r="I213" i="12"/>
  <c r="H213" i="12"/>
  <c r="G213" i="12"/>
  <c r="P213" i="12" s="1"/>
  <c r="F213" i="12"/>
  <c r="M213" i="12" s="1"/>
  <c r="D213" i="12"/>
  <c r="C213" i="12"/>
  <c r="B213" i="12"/>
  <c r="I212" i="12"/>
  <c r="H212" i="12"/>
  <c r="G212" i="12"/>
  <c r="F212" i="12"/>
  <c r="D212" i="12"/>
  <c r="C212" i="12"/>
  <c r="B212" i="12"/>
  <c r="I211" i="12"/>
  <c r="H211" i="12"/>
  <c r="G211" i="12"/>
  <c r="F211" i="12"/>
  <c r="D211" i="12"/>
  <c r="C211" i="12"/>
  <c r="B211" i="12"/>
  <c r="I210" i="12"/>
  <c r="H210" i="12"/>
  <c r="G210" i="12"/>
  <c r="P210" i="12" s="1"/>
  <c r="F210" i="12"/>
  <c r="D210" i="12"/>
  <c r="C210" i="12"/>
  <c r="B210" i="12"/>
  <c r="I209" i="12"/>
  <c r="H209" i="12"/>
  <c r="G209" i="12"/>
  <c r="F209" i="12"/>
  <c r="D209" i="12"/>
  <c r="C209" i="12"/>
  <c r="B209" i="12"/>
  <c r="I208" i="12"/>
  <c r="H208" i="12"/>
  <c r="G208" i="12"/>
  <c r="P208" i="12" s="1"/>
  <c r="F208" i="12"/>
  <c r="D208" i="12"/>
  <c r="C208" i="12"/>
  <c r="B208" i="12"/>
  <c r="I207" i="12"/>
  <c r="H207" i="12"/>
  <c r="G207" i="12"/>
  <c r="P207" i="12" s="1"/>
  <c r="F207" i="12"/>
  <c r="D207" i="12"/>
  <c r="C207" i="12"/>
  <c r="B207" i="12"/>
  <c r="I206" i="12"/>
  <c r="H206" i="12"/>
  <c r="G206" i="12"/>
  <c r="P206" i="12" s="1"/>
  <c r="F206" i="12"/>
  <c r="D206" i="12"/>
  <c r="C206" i="12"/>
  <c r="B206" i="12"/>
  <c r="I205" i="12"/>
  <c r="H205" i="12"/>
  <c r="G205" i="12"/>
  <c r="F205" i="12"/>
  <c r="D205" i="12"/>
  <c r="C205" i="12"/>
  <c r="B205" i="12"/>
  <c r="I204" i="12"/>
  <c r="H204" i="12"/>
  <c r="G204" i="12"/>
  <c r="F204" i="12"/>
  <c r="D204" i="12"/>
  <c r="C204" i="12"/>
  <c r="B204" i="12"/>
  <c r="I203" i="12"/>
  <c r="H203" i="12"/>
  <c r="G203" i="12"/>
  <c r="F203" i="12"/>
  <c r="D203" i="12"/>
  <c r="C203" i="12"/>
  <c r="B203" i="12"/>
  <c r="I202" i="12"/>
  <c r="H202" i="12"/>
  <c r="G202" i="12"/>
  <c r="P202" i="12" s="1"/>
  <c r="F202" i="12"/>
  <c r="D202" i="12"/>
  <c r="C202" i="12"/>
  <c r="B202" i="12"/>
  <c r="I201" i="12"/>
  <c r="H201" i="12"/>
  <c r="G201" i="12"/>
  <c r="F201" i="12"/>
  <c r="D201" i="12"/>
  <c r="C201" i="12"/>
  <c r="B201" i="12"/>
  <c r="I200" i="12"/>
  <c r="H200" i="12"/>
  <c r="G200" i="12"/>
  <c r="P200" i="12" s="1"/>
  <c r="F200" i="12"/>
  <c r="D200" i="12"/>
  <c r="C200" i="12"/>
  <c r="B200" i="12"/>
  <c r="I199" i="12"/>
  <c r="H199" i="12"/>
  <c r="G199" i="12"/>
  <c r="F199" i="12"/>
  <c r="D199" i="12"/>
  <c r="C199" i="12"/>
  <c r="B199" i="12"/>
  <c r="I198" i="12"/>
  <c r="H198" i="12"/>
  <c r="G198" i="12"/>
  <c r="F198" i="12"/>
  <c r="D198" i="12"/>
  <c r="C198" i="12"/>
  <c r="B198" i="12"/>
  <c r="I197" i="12"/>
  <c r="H197" i="12"/>
  <c r="G197" i="12"/>
  <c r="P197" i="12" s="1"/>
  <c r="F197" i="12"/>
  <c r="M197" i="12" s="1"/>
  <c r="D197" i="12"/>
  <c r="C197" i="12"/>
  <c r="B197" i="12"/>
  <c r="I196" i="12"/>
  <c r="H196" i="12"/>
  <c r="G196" i="12"/>
  <c r="F196" i="12"/>
  <c r="D196" i="12"/>
  <c r="C196" i="12"/>
  <c r="B196" i="12"/>
  <c r="I195" i="12"/>
  <c r="H195" i="12"/>
  <c r="G195" i="12"/>
  <c r="F195" i="12"/>
  <c r="D195" i="12"/>
  <c r="C195" i="12"/>
  <c r="B195" i="12"/>
  <c r="I194" i="12"/>
  <c r="H194" i="12"/>
  <c r="G194" i="12"/>
  <c r="P194" i="12" s="1"/>
  <c r="F194" i="12"/>
  <c r="D194" i="12"/>
  <c r="C194" i="12"/>
  <c r="B194" i="12"/>
  <c r="I193" i="12"/>
  <c r="H193" i="12"/>
  <c r="G193" i="12"/>
  <c r="F193" i="12"/>
  <c r="D193" i="12"/>
  <c r="C193" i="12"/>
  <c r="B193" i="12"/>
  <c r="I192" i="12"/>
  <c r="H192" i="12"/>
  <c r="G192" i="12"/>
  <c r="P192" i="12" s="1"/>
  <c r="F192" i="12"/>
  <c r="D192" i="12"/>
  <c r="C192" i="12"/>
  <c r="B192" i="12"/>
  <c r="I191" i="12"/>
  <c r="H191" i="12"/>
  <c r="G191" i="12"/>
  <c r="P191" i="12" s="1"/>
  <c r="F191" i="12"/>
  <c r="D191" i="12"/>
  <c r="C191" i="12"/>
  <c r="B191" i="12"/>
  <c r="I190" i="12"/>
  <c r="H190" i="12"/>
  <c r="G190" i="12"/>
  <c r="P190" i="12" s="1"/>
  <c r="F190" i="12"/>
  <c r="D190" i="12"/>
  <c r="C190" i="12"/>
  <c r="B190" i="12"/>
  <c r="I189" i="12"/>
  <c r="H189" i="12"/>
  <c r="G189" i="12"/>
  <c r="F189" i="12"/>
  <c r="D189" i="12"/>
  <c r="C189" i="12"/>
  <c r="B189" i="12"/>
  <c r="I188" i="12"/>
  <c r="H188" i="12"/>
  <c r="G188" i="12"/>
  <c r="F188" i="12"/>
  <c r="D188" i="12"/>
  <c r="C188" i="12"/>
  <c r="B188" i="12"/>
  <c r="I187" i="12"/>
  <c r="H187" i="12"/>
  <c r="G187" i="12"/>
  <c r="F187" i="12"/>
  <c r="D187" i="12"/>
  <c r="C187" i="12"/>
  <c r="B187" i="12"/>
  <c r="I186" i="12"/>
  <c r="H186" i="12"/>
  <c r="G186" i="12"/>
  <c r="P186" i="12" s="1"/>
  <c r="F186" i="12"/>
  <c r="D186" i="12"/>
  <c r="C186" i="12"/>
  <c r="B186" i="12"/>
  <c r="I185" i="12"/>
  <c r="H185" i="12"/>
  <c r="G185" i="12"/>
  <c r="F185" i="12"/>
  <c r="D185" i="12"/>
  <c r="C185" i="12"/>
  <c r="B185" i="12"/>
  <c r="I184" i="12"/>
  <c r="H184" i="12"/>
  <c r="G184" i="12"/>
  <c r="P184" i="12" s="1"/>
  <c r="F184" i="12"/>
  <c r="D184" i="12"/>
  <c r="C184" i="12"/>
  <c r="B184" i="12"/>
  <c r="I183" i="12"/>
  <c r="H183" i="12"/>
  <c r="G183" i="12"/>
  <c r="F183" i="12"/>
  <c r="D183" i="12"/>
  <c r="C183" i="12"/>
  <c r="B183" i="12"/>
  <c r="I182" i="12"/>
  <c r="H182" i="12"/>
  <c r="G182" i="12"/>
  <c r="F182" i="12"/>
  <c r="D182" i="12"/>
  <c r="C182" i="12"/>
  <c r="B182" i="12"/>
  <c r="I181" i="12"/>
  <c r="H181" i="12"/>
  <c r="G181" i="12"/>
  <c r="P181" i="12" s="1"/>
  <c r="F181" i="12"/>
  <c r="M181" i="12" s="1"/>
  <c r="D181" i="12"/>
  <c r="C181" i="12"/>
  <c r="B181" i="12"/>
  <c r="I180" i="12"/>
  <c r="H180" i="12"/>
  <c r="G180" i="12"/>
  <c r="F180" i="12"/>
  <c r="D180" i="12"/>
  <c r="C180" i="12"/>
  <c r="B180" i="12"/>
  <c r="I179" i="12"/>
  <c r="H179" i="12"/>
  <c r="G179" i="12"/>
  <c r="F179" i="12"/>
  <c r="D179" i="12"/>
  <c r="C179" i="12"/>
  <c r="B179" i="12"/>
  <c r="I178" i="12"/>
  <c r="H178" i="12"/>
  <c r="G178" i="12"/>
  <c r="P178" i="12" s="1"/>
  <c r="F178" i="12"/>
  <c r="D178" i="12"/>
  <c r="C178" i="12"/>
  <c r="B178" i="12"/>
  <c r="I177" i="12"/>
  <c r="H177" i="12"/>
  <c r="G177" i="12"/>
  <c r="F177" i="12"/>
  <c r="D177" i="12"/>
  <c r="C177" i="12"/>
  <c r="B177" i="12"/>
  <c r="I176" i="12"/>
  <c r="H176" i="12"/>
  <c r="G176" i="12"/>
  <c r="P176" i="12" s="1"/>
  <c r="F176" i="12"/>
  <c r="D176" i="12"/>
  <c r="C176" i="12"/>
  <c r="B176" i="12"/>
  <c r="I175" i="12"/>
  <c r="H175" i="12"/>
  <c r="G175" i="12"/>
  <c r="P175" i="12" s="1"/>
  <c r="F175" i="12"/>
  <c r="D175" i="12"/>
  <c r="C175" i="12"/>
  <c r="B175" i="12"/>
  <c r="I174" i="12"/>
  <c r="H174" i="12"/>
  <c r="G174" i="12"/>
  <c r="P174" i="12" s="1"/>
  <c r="F174" i="12"/>
  <c r="D174" i="12"/>
  <c r="C174" i="12"/>
  <c r="B174" i="12"/>
  <c r="I173" i="12"/>
  <c r="H173" i="12"/>
  <c r="G173" i="12"/>
  <c r="F173" i="12"/>
  <c r="D173" i="12"/>
  <c r="C173" i="12"/>
  <c r="B173" i="12"/>
  <c r="I172" i="12"/>
  <c r="H172" i="12"/>
  <c r="G172" i="12"/>
  <c r="F172" i="12"/>
  <c r="D172" i="12"/>
  <c r="C172" i="12"/>
  <c r="B172" i="12"/>
  <c r="I171" i="12"/>
  <c r="H171" i="12"/>
  <c r="G171" i="12"/>
  <c r="F171" i="12"/>
  <c r="D171" i="12"/>
  <c r="C171" i="12"/>
  <c r="B171" i="12"/>
  <c r="I170" i="12"/>
  <c r="H170" i="12"/>
  <c r="G170" i="12"/>
  <c r="P170" i="12" s="1"/>
  <c r="F170" i="12"/>
  <c r="D170" i="12"/>
  <c r="C170" i="12"/>
  <c r="B170" i="12"/>
  <c r="I169" i="12"/>
  <c r="H169" i="12"/>
  <c r="G169" i="12"/>
  <c r="F169" i="12"/>
  <c r="D169" i="12"/>
  <c r="C169" i="12"/>
  <c r="B169" i="12"/>
  <c r="I168" i="12"/>
  <c r="H168" i="12"/>
  <c r="G168" i="12"/>
  <c r="P168" i="12" s="1"/>
  <c r="F168" i="12"/>
  <c r="D168" i="12"/>
  <c r="C168" i="12"/>
  <c r="B168" i="12"/>
  <c r="I167" i="12"/>
  <c r="H167" i="12"/>
  <c r="G167" i="12"/>
  <c r="F167" i="12"/>
  <c r="D167" i="12"/>
  <c r="C167" i="12"/>
  <c r="B167" i="12"/>
  <c r="I166" i="12"/>
  <c r="H166" i="12"/>
  <c r="G166" i="12"/>
  <c r="F166" i="12"/>
  <c r="D166" i="12"/>
  <c r="C166" i="12"/>
  <c r="B166" i="12"/>
  <c r="I165" i="12"/>
  <c r="H165" i="12"/>
  <c r="G165" i="12"/>
  <c r="P165" i="12" s="1"/>
  <c r="F165" i="12"/>
  <c r="M165" i="12" s="1"/>
  <c r="D165" i="12"/>
  <c r="C165" i="12"/>
  <c r="B165" i="12"/>
  <c r="I164" i="12"/>
  <c r="H164" i="12"/>
  <c r="G164" i="12"/>
  <c r="F164" i="12"/>
  <c r="D164" i="12"/>
  <c r="C164" i="12"/>
  <c r="B164" i="12"/>
  <c r="I163" i="12"/>
  <c r="H163" i="12"/>
  <c r="G163" i="12"/>
  <c r="F163" i="12"/>
  <c r="D163" i="12"/>
  <c r="C163" i="12"/>
  <c r="B163" i="12"/>
  <c r="I162" i="12"/>
  <c r="H162" i="12"/>
  <c r="F162" i="12"/>
  <c r="D162" i="12"/>
  <c r="C162" i="12"/>
  <c r="B162" i="12"/>
  <c r="I161" i="12"/>
  <c r="H161" i="12"/>
  <c r="G161" i="12"/>
  <c r="P161" i="12" s="1"/>
  <c r="F161" i="12"/>
  <c r="D161" i="12"/>
  <c r="C161" i="12"/>
  <c r="B161" i="12"/>
  <c r="I160" i="12"/>
  <c r="H160" i="12"/>
  <c r="G160" i="12"/>
  <c r="F160" i="12"/>
  <c r="D160" i="12"/>
  <c r="C160" i="12"/>
  <c r="B160" i="12"/>
  <c r="I159" i="12"/>
  <c r="H159" i="12"/>
  <c r="G159" i="12"/>
  <c r="F159" i="12"/>
  <c r="D159" i="12"/>
  <c r="C159" i="12"/>
  <c r="B159" i="12"/>
  <c r="I158" i="12"/>
  <c r="H158" i="12"/>
  <c r="G158" i="12"/>
  <c r="P158" i="12" s="1"/>
  <c r="F158" i="12"/>
  <c r="M158" i="12" s="1"/>
  <c r="D158" i="12"/>
  <c r="C158" i="12"/>
  <c r="B158" i="12"/>
  <c r="I157" i="12"/>
  <c r="H157" i="12"/>
  <c r="G157" i="12"/>
  <c r="F157" i="12"/>
  <c r="D157" i="12"/>
  <c r="C157" i="12"/>
  <c r="B157" i="12"/>
  <c r="I156" i="12"/>
  <c r="H156" i="12"/>
  <c r="G156" i="12"/>
  <c r="P156" i="12" s="1"/>
  <c r="F156" i="12"/>
  <c r="D156" i="12"/>
  <c r="C156" i="12"/>
  <c r="B156" i="12"/>
  <c r="I155" i="12"/>
  <c r="H155" i="12"/>
  <c r="G155" i="12"/>
  <c r="P155" i="12" s="1"/>
  <c r="F155" i="12"/>
  <c r="D155" i="12"/>
  <c r="C155" i="12"/>
  <c r="B155" i="12"/>
  <c r="I154" i="12"/>
  <c r="H154" i="12"/>
  <c r="G154" i="12"/>
  <c r="F154" i="12"/>
  <c r="D154" i="12"/>
  <c r="C154" i="12"/>
  <c r="B154" i="12"/>
  <c r="I153" i="12"/>
  <c r="H153" i="12"/>
  <c r="G153" i="12"/>
  <c r="P153" i="12" s="1"/>
  <c r="F153" i="12"/>
  <c r="D153" i="12"/>
  <c r="C153" i="12"/>
  <c r="B153" i="12"/>
  <c r="I152" i="12"/>
  <c r="H152" i="12"/>
  <c r="G152" i="12"/>
  <c r="P152" i="12" s="1"/>
  <c r="F152" i="12"/>
  <c r="D152" i="12"/>
  <c r="C152" i="12"/>
  <c r="B152" i="12"/>
  <c r="I151" i="12"/>
  <c r="H151" i="12"/>
  <c r="G151" i="12"/>
  <c r="P151" i="12" s="1"/>
  <c r="F151" i="12"/>
  <c r="D151" i="12"/>
  <c r="C151" i="12"/>
  <c r="B151" i="12"/>
  <c r="I150" i="12"/>
  <c r="H150" i="12"/>
  <c r="G150" i="12"/>
  <c r="F150" i="12"/>
  <c r="D150" i="12"/>
  <c r="C150" i="12"/>
  <c r="B150" i="12"/>
  <c r="I149" i="12"/>
  <c r="H149" i="12"/>
  <c r="G149" i="12"/>
  <c r="F149" i="12"/>
  <c r="D149" i="12"/>
  <c r="C149" i="12"/>
  <c r="B149" i="12"/>
  <c r="I148" i="12"/>
  <c r="H148" i="12"/>
  <c r="G148" i="12"/>
  <c r="F148" i="12"/>
  <c r="D148" i="12"/>
  <c r="C148" i="12"/>
  <c r="B148" i="12"/>
  <c r="I147" i="12"/>
  <c r="H147" i="12"/>
  <c r="G147" i="12"/>
  <c r="F147" i="12"/>
  <c r="D147" i="12"/>
  <c r="C147" i="12"/>
  <c r="B147" i="12"/>
  <c r="I146" i="12"/>
  <c r="H146" i="12"/>
  <c r="G146" i="12"/>
  <c r="F146" i="12"/>
  <c r="D146" i="12"/>
  <c r="C146" i="12"/>
  <c r="B146" i="12"/>
  <c r="I145" i="12"/>
  <c r="H145" i="12"/>
  <c r="G145" i="12"/>
  <c r="P145" i="12" s="1"/>
  <c r="F145" i="12"/>
  <c r="D145" i="12"/>
  <c r="C145" i="12"/>
  <c r="B145" i="12"/>
  <c r="I144" i="12"/>
  <c r="H144" i="12"/>
  <c r="G144" i="12"/>
  <c r="F144" i="12"/>
  <c r="D144" i="12"/>
  <c r="C144" i="12"/>
  <c r="B144" i="12"/>
  <c r="I143" i="12"/>
  <c r="H143" i="12"/>
  <c r="G143" i="12"/>
  <c r="F143" i="12"/>
  <c r="D143" i="12"/>
  <c r="C143" i="12"/>
  <c r="B143" i="12"/>
  <c r="I142" i="12"/>
  <c r="H142" i="12"/>
  <c r="G142" i="12"/>
  <c r="P142" i="12" s="1"/>
  <c r="F142" i="12"/>
  <c r="M142" i="12" s="1"/>
  <c r="D142" i="12"/>
  <c r="C142" i="12"/>
  <c r="B142" i="12"/>
  <c r="I141" i="12"/>
  <c r="H141" i="12"/>
  <c r="G141" i="12"/>
  <c r="F141" i="12"/>
  <c r="D141" i="12"/>
  <c r="C141" i="12"/>
  <c r="B141" i="12"/>
  <c r="I140" i="12"/>
  <c r="H140" i="12"/>
  <c r="G140" i="12"/>
  <c r="P140" i="12" s="1"/>
  <c r="F140" i="12"/>
  <c r="D140" i="12"/>
  <c r="C140" i="12"/>
  <c r="B140" i="12"/>
  <c r="I139" i="12"/>
  <c r="H139" i="12"/>
  <c r="G139" i="12"/>
  <c r="P139" i="12" s="1"/>
  <c r="F139" i="12"/>
  <c r="D139" i="12"/>
  <c r="C139" i="12"/>
  <c r="B139" i="12"/>
  <c r="I138" i="12"/>
  <c r="H138" i="12"/>
  <c r="G138" i="12"/>
  <c r="F138" i="12"/>
  <c r="D138" i="12"/>
  <c r="C138" i="12"/>
  <c r="B138" i="12"/>
  <c r="I137" i="12"/>
  <c r="H137" i="12"/>
  <c r="G137" i="12"/>
  <c r="P137" i="12" s="1"/>
  <c r="F137" i="12"/>
  <c r="D137" i="12"/>
  <c r="C137" i="12"/>
  <c r="B137" i="12"/>
  <c r="I136" i="12"/>
  <c r="H136" i="12"/>
  <c r="G136" i="12"/>
  <c r="P136" i="12" s="1"/>
  <c r="F136" i="12"/>
  <c r="D136" i="12"/>
  <c r="C136" i="12"/>
  <c r="B136" i="12"/>
  <c r="I135" i="12"/>
  <c r="H135" i="12"/>
  <c r="G135" i="12"/>
  <c r="P135" i="12" s="1"/>
  <c r="F135" i="12"/>
  <c r="D135" i="12"/>
  <c r="C135" i="12"/>
  <c r="B135" i="12"/>
  <c r="I134" i="12"/>
  <c r="H134" i="12"/>
  <c r="G134" i="12"/>
  <c r="F134" i="12"/>
  <c r="D134" i="12"/>
  <c r="C134" i="12"/>
  <c r="B134" i="12"/>
  <c r="I133" i="12"/>
  <c r="H133" i="12"/>
  <c r="G133" i="12"/>
  <c r="F133" i="12"/>
  <c r="D133" i="12"/>
  <c r="C133" i="12"/>
  <c r="B133" i="12"/>
  <c r="I132" i="12"/>
  <c r="H132" i="12"/>
  <c r="G132" i="12"/>
  <c r="F132" i="12"/>
  <c r="D132" i="12"/>
  <c r="C132" i="12"/>
  <c r="B132" i="12"/>
  <c r="I131" i="12"/>
  <c r="H131" i="12"/>
  <c r="G131" i="12"/>
  <c r="F131" i="12"/>
  <c r="D131" i="12"/>
  <c r="C131" i="12"/>
  <c r="B131" i="12"/>
  <c r="I130" i="12"/>
  <c r="H130" i="12"/>
  <c r="G130" i="12"/>
  <c r="P130" i="12" s="1"/>
  <c r="F130" i="12"/>
  <c r="D130" i="12"/>
  <c r="C130" i="12"/>
  <c r="B130" i="12"/>
  <c r="I129" i="12"/>
  <c r="H129" i="12"/>
  <c r="G129" i="12"/>
  <c r="P129" i="12" s="1"/>
  <c r="F129" i="12"/>
  <c r="D129" i="12"/>
  <c r="C129" i="12"/>
  <c r="B129" i="12"/>
  <c r="I128" i="12"/>
  <c r="H128" i="12"/>
  <c r="G128" i="12"/>
  <c r="F128" i="12"/>
  <c r="D128" i="12"/>
  <c r="C128" i="12"/>
  <c r="B128" i="12"/>
  <c r="I127" i="12"/>
  <c r="H127" i="12"/>
  <c r="G127" i="12"/>
  <c r="F127" i="12"/>
  <c r="D127" i="12"/>
  <c r="C127" i="12"/>
  <c r="B127" i="12"/>
  <c r="I126" i="12"/>
  <c r="H126" i="12"/>
  <c r="G126" i="12"/>
  <c r="P126" i="12" s="1"/>
  <c r="F126" i="12"/>
  <c r="M126" i="12" s="1"/>
  <c r="D126" i="12"/>
  <c r="C126" i="12"/>
  <c r="B126" i="12"/>
  <c r="I125" i="12"/>
  <c r="H125" i="12"/>
  <c r="G125" i="12"/>
  <c r="F125" i="12"/>
  <c r="D125" i="12"/>
  <c r="C125" i="12"/>
  <c r="B125" i="12"/>
  <c r="I124" i="12"/>
  <c r="H124" i="12"/>
  <c r="G124" i="12"/>
  <c r="P124" i="12" s="1"/>
  <c r="F124" i="12"/>
  <c r="D124" i="12"/>
  <c r="C124" i="12"/>
  <c r="B124" i="12"/>
  <c r="I123" i="12"/>
  <c r="H123" i="12"/>
  <c r="G123" i="12"/>
  <c r="P123" i="12" s="1"/>
  <c r="F123" i="12"/>
  <c r="D123" i="12"/>
  <c r="C123" i="12"/>
  <c r="B123" i="12"/>
  <c r="I122" i="12"/>
  <c r="H122" i="12"/>
  <c r="G122" i="12"/>
  <c r="F122" i="12"/>
  <c r="D122" i="12"/>
  <c r="C122" i="12"/>
  <c r="B122" i="12"/>
  <c r="I121" i="12"/>
  <c r="H121" i="12"/>
  <c r="G121" i="12"/>
  <c r="P121" i="12" s="1"/>
  <c r="F121" i="12"/>
  <c r="D121" i="12"/>
  <c r="C121" i="12"/>
  <c r="B121" i="12"/>
  <c r="I120" i="12"/>
  <c r="H120" i="12"/>
  <c r="G120" i="12"/>
  <c r="P120" i="12" s="1"/>
  <c r="F120" i="12"/>
  <c r="D120" i="12"/>
  <c r="C120" i="12"/>
  <c r="B120" i="12"/>
  <c r="I119" i="12"/>
  <c r="H119" i="12"/>
  <c r="G119" i="12"/>
  <c r="P119" i="12" s="1"/>
  <c r="F119" i="12"/>
  <c r="D119" i="12"/>
  <c r="C119" i="12"/>
  <c r="B119" i="12"/>
  <c r="I118" i="12"/>
  <c r="H118" i="12"/>
  <c r="G118" i="12"/>
  <c r="F118" i="12"/>
  <c r="D118" i="12"/>
  <c r="C118" i="12"/>
  <c r="B118" i="12"/>
  <c r="I117" i="12"/>
  <c r="H117" i="12"/>
  <c r="G117" i="12"/>
  <c r="F117" i="12"/>
  <c r="D117" i="12"/>
  <c r="C117" i="12"/>
  <c r="B117" i="12"/>
  <c r="I116" i="12"/>
  <c r="H116" i="12"/>
  <c r="G116" i="12"/>
  <c r="F116" i="12"/>
  <c r="D116" i="12"/>
  <c r="C116" i="12"/>
  <c r="B116" i="12"/>
  <c r="I115" i="12"/>
  <c r="H115" i="12"/>
  <c r="G115" i="12"/>
  <c r="F115" i="12"/>
  <c r="D115" i="12"/>
  <c r="C115" i="12"/>
  <c r="B115" i="12"/>
  <c r="I114" i="12"/>
  <c r="H114" i="12"/>
  <c r="G114" i="12"/>
  <c r="F114" i="12"/>
  <c r="D114" i="12"/>
  <c r="C114" i="12"/>
  <c r="B114" i="12"/>
  <c r="I113" i="12"/>
  <c r="H113" i="12"/>
  <c r="G113" i="12"/>
  <c r="P113" i="12" s="1"/>
  <c r="F113" i="12"/>
  <c r="D113" i="12"/>
  <c r="C113" i="12"/>
  <c r="B113" i="12"/>
  <c r="I112" i="12"/>
  <c r="H112" i="12"/>
  <c r="G112" i="12"/>
  <c r="F112" i="12"/>
  <c r="D112" i="12"/>
  <c r="C112" i="12"/>
  <c r="B112" i="12"/>
  <c r="I111" i="12"/>
  <c r="H111" i="12"/>
  <c r="G111" i="12"/>
  <c r="F111" i="12"/>
  <c r="D111" i="12"/>
  <c r="C111" i="12"/>
  <c r="B111" i="12"/>
  <c r="I110" i="12"/>
  <c r="H110" i="12"/>
  <c r="G110" i="12"/>
  <c r="P110" i="12" s="1"/>
  <c r="F110" i="12"/>
  <c r="M110" i="12" s="1"/>
  <c r="D110" i="12"/>
  <c r="C110" i="12"/>
  <c r="B110" i="12"/>
  <c r="I109" i="12"/>
  <c r="H109" i="12"/>
  <c r="G109" i="12"/>
  <c r="F109" i="12"/>
  <c r="D109" i="12"/>
  <c r="C109" i="12"/>
  <c r="B109" i="12"/>
  <c r="I108" i="12"/>
  <c r="H108" i="12"/>
  <c r="G108" i="12"/>
  <c r="P108" i="12" s="1"/>
  <c r="F108" i="12"/>
  <c r="D108" i="12"/>
  <c r="C108" i="12"/>
  <c r="B108" i="12"/>
  <c r="I107" i="12"/>
  <c r="H107" i="12"/>
  <c r="G107" i="12"/>
  <c r="P107" i="12" s="1"/>
  <c r="F107" i="12"/>
  <c r="D107" i="12"/>
  <c r="C107" i="12"/>
  <c r="B107" i="12"/>
  <c r="I106" i="12"/>
  <c r="H106" i="12"/>
  <c r="G106" i="12"/>
  <c r="F106" i="12"/>
  <c r="D106" i="12"/>
  <c r="C106" i="12"/>
  <c r="B106" i="12"/>
  <c r="I105" i="12"/>
  <c r="H105" i="12"/>
  <c r="G105" i="12"/>
  <c r="P105" i="12" s="1"/>
  <c r="F105" i="12"/>
  <c r="D105" i="12"/>
  <c r="C105" i="12"/>
  <c r="B105" i="12"/>
  <c r="I104" i="12"/>
  <c r="H104" i="12"/>
  <c r="G104" i="12"/>
  <c r="P104" i="12" s="1"/>
  <c r="F104" i="12"/>
  <c r="D104" i="12"/>
  <c r="C104" i="12"/>
  <c r="B104" i="12"/>
  <c r="I103" i="12"/>
  <c r="H103" i="12"/>
  <c r="G103" i="12"/>
  <c r="P103" i="12" s="1"/>
  <c r="F103" i="12"/>
  <c r="D103" i="12"/>
  <c r="C103" i="12"/>
  <c r="B103" i="12"/>
  <c r="I102" i="12"/>
  <c r="H102" i="12"/>
  <c r="G102" i="12"/>
  <c r="F102" i="12"/>
  <c r="D102" i="12"/>
  <c r="C102" i="12"/>
  <c r="B102" i="12"/>
  <c r="I101" i="12"/>
  <c r="H101" i="12"/>
  <c r="G101" i="12"/>
  <c r="F101" i="12"/>
  <c r="D101" i="12"/>
  <c r="C101" i="12"/>
  <c r="B101" i="12"/>
  <c r="I100" i="12"/>
  <c r="H100" i="12"/>
  <c r="G100" i="12"/>
  <c r="F100" i="12"/>
  <c r="D100" i="12"/>
  <c r="C100" i="12"/>
  <c r="B100" i="12"/>
  <c r="I99" i="12"/>
  <c r="H99" i="12"/>
  <c r="G99" i="12"/>
  <c r="F99" i="12"/>
  <c r="D99" i="12"/>
  <c r="C99" i="12"/>
  <c r="B99" i="12"/>
  <c r="I98" i="12"/>
  <c r="H98" i="12"/>
  <c r="G98" i="12"/>
  <c r="F98" i="12"/>
  <c r="D98" i="12"/>
  <c r="C98" i="12"/>
  <c r="B98" i="12"/>
  <c r="I97" i="12"/>
  <c r="H97" i="12"/>
  <c r="G97" i="12"/>
  <c r="P97" i="12" s="1"/>
  <c r="F97" i="12"/>
  <c r="D97" i="12"/>
  <c r="C97" i="12"/>
  <c r="B97" i="12"/>
  <c r="I96" i="12"/>
  <c r="H96" i="12"/>
  <c r="G96" i="12"/>
  <c r="F96" i="12"/>
  <c r="D96" i="12"/>
  <c r="C96" i="12"/>
  <c r="B96" i="12"/>
  <c r="I95" i="12"/>
  <c r="H95" i="12"/>
  <c r="G95" i="12"/>
  <c r="F95" i="12"/>
  <c r="D95" i="12"/>
  <c r="C95" i="12"/>
  <c r="B95" i="12"/>
  <c r="I94" i="12"/>
  <c r="H94" i="12"/>
  <c r="G94" i="12"/>
  <c r="P94" i="12" s="1"/>
  <c r="F94" i="12"/>
  <c r="M94" i="12" s="1"/>
  <c r="D94" i="12"/>
  <c r="C94" i="12"/>
  <c r="B94" i="12"/>
  <c r="I93" i="12"/>
  <c r="H93" i="12"/>
  <c r="G93" i="12"/>
  <c r="F93" i="12"/>
  <c r="D93" i="12"/>
  <c r="C93" i="12"/>
  <c r="B93" i="12"/>
  <c r="I92" i="12"/>
  <c r="H92" i="12"/>
  <c r="G92" i="12"/>
  <c r="P92" i="12" s="1"/>
  <c r="F92" i="12"/>
  <c r="D92" i="12"/>
  <c r="C92" i="12"/>
  <c r="B92" i="12"/>
  <c r="I91" i="12"/>
  <c r="H91" i="12"/>
  <c r="G91" i="12"/>
  <c r="P91" i="12" s="1"/>
  <c r="F91" i="12"/>
  <c r="D91" i="12"/>
  <c r="C91" i="12"/>
  <c r="B91" i="12"/>
  <c r="I90" i="12"/>
  <c r="H90" i="12"/>
  <c r="G90" i="12"/>
  <c r="F90" i="12"/>
  <c r="D90" i="12"/>
  <c r="C90" i="12"/>
  <c r="B90" i="12"/>
  <c r="I89" i="12"/>
  <c r="H89" i="12"/>
  <c r="G89" i="12"/>
  <c r="P89" i="12" s="1"/>
  <c r="F89" i="12"/>
  <c r="D89" i="12"/>
  <c r="C89" i="12"/>
  <c r="B89" i="12"/>
  <c r="I88" i="12"/>
  <c r="H88" i="12"/>
  <c r="G88" i="12"/>
  <c r="P88" i="12" s="1"/>
  <c r="F88" i="12"/>
  <c r="D88" i="12"/>
  <c r="C88" i="12"/>
  <c r="B88" i="12"/>
  <c r="I87" i="12"/>
  <c r="H87" i="12"/>
  <c r="G87" i="12"/>
  <c r="P87" i="12" s="1"/>
  <c r="F87" i="12"/>
  <c r="D87" i="12"/>
  <c r="C87" i="12"/>
  <c r="B87" i="12"/>
  <c r="I86" i="12"/>
  <c r="H86" i="12"/>
  <c r="G86" i="12"/>
  <c r="F86" i="12"/>
  <c r="D86" i="12"/>
  <c r="C86" i="12"/>
  <c r="B86" i="12"/>
  <c r="I85" i="12"/>
  <c r="H85" i="12"/>
  <c r="G85" i="12"/>
  <c r="F85" i="12"/>
  <c r="D85" i="12"/>
  <c r="C85" i="12"/>
  <c r="B85" i="12"/>
  <c r="I84" i="12"/>
  <c r="H84" i="12"/>
  <c r="G84" i="12"/>
  <c r="F84" i="12"/>
  <c r="D84" i="12"/>
  <c r="C84" i="12"/>
  <c r="B84" i="12"/>
  <c r="I83" i="12"/>
  <c r="H83" i="12"/>
  <c r="G83" i="12"/>
  <c r="F83" i="12"/>
  <c r="D83" i="12"/>
  <c r="C83" i="12"/>
  <c r="B83" i="12"/>
  <c r="I82" i="12"/>
  <c r="H82" i="12"/>
  <c r="G82" i="12"/>
  <c r="F82" i="12"/>
  <c r="D82" i="12"/>
  <c r="C82" i="12"/>
  <c r="B82" i="12"/>
  <c r="I81" i="12"/>
  <c r="H81" i="12"/>
  <c r="G81" i="12"/>
  <c r="P81" i="12" s="1"/>
  <c r="F81" i="12"/>
  <c r="D81" i="12"/>
  <c r="C81" i="12"/>
  <c r="B81" i="12"/>
  <c r="I80" i="12"/>
  <c r="H80" i="12"/>
  <c r="G80" i="12"/>
  <c r="F80" i="12"/>
  <c r="D80" i="12"/>
  <c r="C80" i="12"/>
  <c r="B80" i="12"/>
  <c r="I79" i="12"/>
  <c r="H79" i="12"/>
  <c r="G79" i="12"/>
  <c r="F79" i="12"/>
  <c r="D79" i="12"/>
  <c r="C79" i="12"/>
  <c r="B79" i="12"/>
  <c r="I78" i="12"/>
  <c r="H78" i="12"/>
  <c r="G78" i="12"/>
  <c r="P78" i="12" s="1"/>
  <c r="F78" i="12"/>
  <c r="M78" i="12" s="1"/>
  <c r="D78" i="12"/>
  <c r="C78" i="12"/>
  <c r="B78" i="12"/>
  <c r="I77" i="12"/>
  <c r="H77" i="12"/>
  <c r="G77" i="12"/>
  <c r="F77" i="12"/>
  <c r="D77" i="12"/>
  <c r="C77" i="12"/>
  <c r="B77" i="12"/>
  <c r="I76" i="12"/>
  <c r="H76" i="12"/>
  <c r="G76" i="12"/>
  <c r="P76" i="12" s="1"/>
  <c r="F76" i="12"/>
  <c r="D76" i="12"/>
  <c r="C76" i="12"/>
  <c r="B76" i="12"/>
  <c r="I75" i="12"/>
  <c r="H75" i="12"/>
  <c r="G75" i="12"/>
  <c r="P75" i="12" s="1"/>
  <c r="F75" i="12"/>
  <c r="D75" i="12"/>
  <c r="C75" i="12"/>
  <c r="B75" i="12"/>
  <c r="I74" i="12"/>
  <c r="H74" i="12"/>
  <c r="G74" i="12"/>
  <c r="F74" i="12"/>
  <c r="D74" i="12"/>
  <c r="C74" i="12"/>
  <c r="B74" i="12"/>
  <c r="I73" i="12"/>
  <c r="H73" i="12"/>
  <c r="G73" i="12"/>
  <c r="P73" i="12" s="1"/>
  <c r="F73" i="12"/>
  <c r="D73" i="12"/>
  <c r="C73" i="12"/>
  <c r="B73" i="12"/>
  <c r="I72" i="12"/>
  <c r="H72" i="12"/>
  <c r="G72" i="12"/>
  <c r="P72" i="12" s="1"/>
  <c r="F72" i="12"/>
  <c r="D72" i="12"/>
  <c r="C72" i="12"/>
  <c r="B72" i="12"/>
  <c r="I71" i="12"/>
  <c r="H71" i="12"/>
  <c r="G71" i="12"/>
  <c r="P71" i="12" s="1"/>
  <c r="F71" i="12"/>
  <c r="D71" i="12"/>
  <c r="C71" i="12"/>
  <c r="B71" i="12"/>
  <c r="I70" i="12"/>
  <c r="H70" i="12"/>
  <c r="G70" i="12"/>
  <c r="F70" i="12"/>
  <c r="D70" i="12"/>
  <c r="C70" i="12"/>
  <c r="B70" i="12"/>
  <c r="I69" i="12"/>
  <c r="H69" i="12"/>
  <c r="G69" i="12"/>
  <c r="F69" i="12"/>
  <c r="D69" i="12"/>
  <c r="C69" i="12"/>
  <c r="B69" i="12"/>
  <c r="I68" i="12"/>
  <c r="H68" i="12"/>
  <c r="G68" i="12"/>
  <c r="F68" i="12"/>
  <c r="D68" i="12"/>
  <c r="C68" i="12"/>
  <c r="B68" i="12"/>
  <c r="I67" i="12"/>
  <c r="H67" i="12"/>
  <c r="G67" i="12"/>
  <c r="F67" i="12"/>
  <c r="D67" i="12"/>
  <c r="C67" i="12"/>
  <c r="B67" i="12"/>
  <c r="I66" i="12"/>
  <c r="H66" i="12"/>
  <c r="G66" i="12"/>
  <c r="F66" i="12"/>
  <c r="D66" i="12"/>
  <c r="C66" i="12"/>
  <c r="B66" i="12"/>
  <c r="I65" i="12"/>
  <c r="H65" i="12"/>
  <c r="G65" i="12"/>
  <c r="P65" i="12" s="1"/>
  <c r="F65" i="12"/>
  <c r="D65" i="12"/>
  <c r="C65" i="12"/>
  <c r="B65" i="12"/>
  <c r="I64" i="12"/>
  <c r="H64" i="12"/>
  <c r="G64" i="12"/>
  <c r="F64" i="12"/>
  <c r="D64" i="12"/>
  <c r="C64" i="12"/>
  <c r="B64" i="12"/>
  <c r="I63" i="12"/>
  <c r="H63" i="12"/>
  <c r="G63" i="12"/>
  <c r="F63" i="12"/>
  <c r="D63" i="12"/>
  <c r="C63" i="12"/>
  <c r="B63" i="12"/>
  <c r="I62" i="12"/>
  <c r="H62" i="12"/>
  <c r="G62" i="12"/>
  <c r="P62" i="12" s="1"/>
  <c r="F62" i="12"/>
  <c r="M62" i="12" s="1"/>
  <c r="D62" i="12"/>
  <c r="C62" i="12"/>
  <c r="B62" i="12"/>
  <c r="I61" i="12"/>
  <c r="H61" i="12"/>
  <c r="G61" i="12"/>
  <c r="F61" i="12"/>
  <c r="D61" i="12"/>
  <c r="C61" i="12"/>
  <c r="B61" i="12"/>
  <c r="I60" i="12"/>
  <c r="H60" i="12"/>
  <c r="G60" i="12"/>
  <c r="P60" i="12" s="1"/>
  <c r="F60" i="12"/>
  <c r="D60" i="12"/>
  <c r="C60" i="12"/>
  <c r="B60" i="12"/>
  <c r="I59" i="12"/>
  <c r="H59" i="12"/>
  <c r="G59" i="12"/>
  <c r="P59" i="12" s="1"/>
  <c r="F59" i="12"/>
  <c r="D59" i="12"/>
  <c r="C59" i="12"/>
  <c r="B59" i="12"/>
  <c r="I58" i="12"/>
  <c r="H58" i="12"/>
  <c r="G58" i="12"/>
  <c r="F58" i="12"/>
  <c r="D58" i="12"/>
  <c r="C58" i="12"/>
  <c r="B58" i="12"/>
  <c r="I57" i="12"/>
  <c r="H57" i="12"/>
  <c r="G57" i="12"/>
  <c r="P57" i="12" s="1"/>
  <c r="F57" i="12"/>
  <c r="D57" i="12"/>
  <c r="C57" i="12"/>
  <c r="B57" i="12"/>
  <c r="I56" i="12"/>
  <c r="H56" i="12"/>
  <c r="G56" i="12"/>
  <c r="P56" i="12" s="1"/>
  <c r="F56" i="12"/>
  <c r="D56" i="12"/>
  <c r="C56" i="12"/>
  <c r="B56" i="12"/>
  <c r="I55" i="12"/>
  <c r="H55" i="12"/>
  <c r="G55" i="12"/>
  <c r="P55" i="12" s="1"/>
  <c r="F55" i="12"/>
  <c r="D55" i="12"/>
  <c r="C55" i="12"/>
  <c r="B55" i="12"/>
  <c r="I54" i="12"/>
  <c r="H54" i="12"/>
  <c r="G54" i="12"/>
  <c r="F54" i="12"/>
  <c r="D54" i="12"/>
  <c r="C54" i="12"/>
  <c r="B54" i="12"/>
  <c r="I53" i="12"/>
  <c r="H53" i="12"/>
  <c r="G53" i="12"/>
  <c r="F53" i="12"/>
  <c r="D53" i="12"/>
  <c r="C53" i="12"/>
  <c r="B53" i="12"/>
  <c r="I52" i="12"/>
  <c r="H52" i="12"/>
  <c r="G52" i="12"/>
  <c r="F52" i="12"/>
  <c r="D52" i="12"/>
  <c r="C52" i="12"/>
  <c r="B52" i="12"/>
  <c r="I51" i="12"/>
  <c r="H51" i="12"/>
  <c r="G51" i="12"/>
  <c r="F51" i="12"/>
  <c r="D51" i="12"/>
  <c r="C51" i="12"/>
  <c r="B51" i="12"/>
  <c r="I50" i="12"/>
  <c r="H50" i="12"/>
  <c r="G50" i="12"/>
  <c r="F50" i="12"/>
  <c r="D50" i="12"/>
  <c r="C50" i="12"/>
  <c r="B50" i="12"/>
  <c r="I49" i="12"/>
  <c r="H49" i="12"/>
  <c r="G49" i="12"/>
  <c r="P49" i="12" s="1"/>
  <c r="F49" i="12"/>
  <c r="D49" i="12"/>
  <c r="C49" i="12"/>
  <c r="B49" i="12"/>
  <c r="I48" i="12"/>
  <c r="H48" i="12"/>
  <c r="G48" i="12"/>
  <c r="F48" i="12"/>
  <c r="D48" i="12"/>
  <c r="C48" i="12"/>
  <c r="B48" i="12"/>
  <c r="I47" i="12"/>
  <c r="H47" i="12"/>
  <c r="G47" i="12"/>
  <c r="F47" i="12"/>
  <c r="D47" i="12"/>
  <c r="C47" i="12"/>
  <c r="B47" i="12"/>
  <c r="I46" i="12"/>
  <c r="H46" i="12"/>
  <c r="G46" i="12"/>
  <c r="P46" i="12" s="1"/>
  <c r="F46" i="12"/>
  <c r="M46" i="12" s="1"/>
  <c r="D46" i="12"/>
  <c r="C46" i="12"/>
  <c r="B46" i="12"/>
  <c r="I45" i="12"/>
  <c r="H45" i="12"/>
  <c r="G45" i="12"/>
  <c r="F45" i="12"/>
  <c r="D45" i="12"/>
  <c r="C45" i="12"/>
  <c r="B45" i="12"/>
  <c r="I44" i="12"/>
  <c r="H44" i="12"/>
  <c r="G44" i="12"/>
  <c r="P44" i="12" s="1"/>
  <c r="F44" i="12"/>
  <c r="D44" i="12"/>
  <c r="C44" i="12"/>
  <c r="B44" i="12"/>
  <c r="I43" i="12"/>
  <c r="H43" i="12"/>
  <c r="G43" i="12"/>
  <c r="P43" i="12" s="1"/>
  <c r="F43" i="12"/>
  <c r="D43" i="12"/>
  <c r="C43" i="12"/>
  <c r="B43" i="12"/>
  <c r="I42" i="12"/>
  <c r="H42" i="12"/>
  <c r="G42" i="12"/>
  <c r="F42" i="12"/>
  <c r="D42" i="12"/>
  <c r="C42" i="12"/>
  <c r="B42" i="12"/>
  <c r="I41" i="12"/>
  <c r="H41" i="12"/>
  <c r="G41" i="12"/>
  <c r="P41" i="12" s="1"/>
  <c r="F41" i="12"/>
  <c r="D41" i="12"/>
  <c r="C41" i="12"/>
  <c r="B41" i="12"/>
  <c r="I40" i="12"/>
  <c r="H40" i="12"/>
  <c r="G40" i="12"/>
  <c r="P40" i="12" s="1"/>
  <c r="F40" i="12"/>
  <c r="D40" i="12"/>
  <c r="C40" i="12"/>
  <c r="B40" i="12"/>
  <c r="I39" i="12"/>
  <c r="H39" i="12"/>
  <c r="G39" i="12"/>
  <c r="P39" i="12" s="1"/>
  <c r="F39" i="12"/>
  <c r="D39" i="12"/>
  <c r="C39" i="12"/>
  <c r="B39" i="12"/>
  <c r="I38" i="12"/>
  <c r="H38" i="12"/>
  <c r="G38" i="12"/>
  <c r="F38" i="12"/>
  <c r="D38" i="12"/>
  <c r="C38" i="12"/>
  <c r="B38" i="12"/>
  <c r="I37" i="12"/>
  <c r="H37" i="12"/>
  <c r="G37" i="12"/>
  <c r="F37" i="12"/>
  <c r="D37" i="12"/>
  <c r="C37" i="12"/>
  <c r="B37" i="12"/>
  <c r="I36" i="12"/>
  <c r="H36" i="12"/>
  <c r="G36" i="12"/>
  <c r="F36" i="12"/>
  <c r="D36" i="12"/>
  <c r="C36" i="12"/>
  <c r="B36" i="12"/>
  <c r="I35" i="12"/>
  <c r="H35" i="12"/>
  <c r="G35" i="12"/>
  <c r="F35" i="12"/>
  <c r="D35" i="12"/>
  <c r="C35" i="12"/>
  <c r="B35" i="12"/>
  <c r="I34" i="12"/>
  <c r="H34" i="12"/>
  <c r="G34" i="12"/>
  <c r="F34" i="12"/>
  <c r="D34" i="12"/>
  <c r="C34" i="12"/>
  <c r="B34" i="12"/>
  <c r="I33" i="12"/>
  <c r="H33" i="12"/>
  <c r="G33" i="12"/>
  <c r="P33" i="12" s="1"/>
  <c r="F33" i="12"/>
  <c r="D33" i="12"/>
  <c r="C33" i="12"/>
  <c r="B33" i="12"/>
  <c r="I32" i="12"/>
  <c r="H32" i="12"/>
  <c r="G32" i="12"/>
  <c r="F32" i="12"/>
  <c r="D32" i="12"/>
  <c r="C32" i="12"/>
  <c r="B32" i="12"/>
  <c r="I31" i="12"/>
  <c r="H31" i="12"/>
  <c r="G31" i="12"/>
  <c r="F31" i="12"/>
  <c r="D31" i="12"/>
  <c r="C31" i="12"/>
  <c r="B31" i="12"/>
  <c r="I30" i="12"/>
  <c r="H30" i="12"/>
  <c r="G30" i="12"/>
  <c r="P30" i="12" s="1"/>
  <c r="F30" i="12"/>
  <c r="M30" i="12" s="1"/>
  <c r="D30" i="12"/>
  <c r="C30" i="12"/>
  <c r="B30" i="12"/>
  <c r="I29" i="12"/>
  <c r="H29" i="12"/>
  <c r="G29" i="12"/>
  <c r="F29" i="12"/>
  <c r="D29" i="12"/>
  <c r="C29" i="12"/>
  <c r="B29" i="12"/>
  <c r="I28" i="12"/>
  <c r="H28" i="12"/>
  <c r="G28" i="12"/>
  <c r="P28" i="12" s="1"/>
  <c r="F28" i="12"/>
  <c r="D28" i="12"/>
  <c r="C28" i="12"/>
  <c r="B28" i="12"/>
  <c r="I27" i="12"/>
  <c r="H27" i="12"/>
  <c r="G27" i="12"/>
  <c r="P27" i="12" s="1"/>
  <c r="F27" i="12"/>
  <c r="D27" i="12"/>
  <c r="C27" i="12"/>
  <c r="B27" i="12"/>
  <c r="I26" i="12"/>
  <c r="H26" i="12"/>
  <c r="G26" i="12"/>
  <c r="F26" i="12"/>
  <c r="D26" i="12"/>
  <c r="C26" i="12"/>
  <c r="B26" i="12"/>
  <c r="I25" i="12"/>
  <c r="H25" i="12"/>
  <c r="G25" i="12"/>
  <c r="P25" i="12" s="1"/>
  <c r="F25" i="12"/>
  <c r="D25" i="12"/>
  <c r="C25" i="12"/>
  <c r="B25" i="12"/>
  <c r="I24" i="12"/>
  <c r="H24" i="12"/>
  <c r="G24" i="12"/>
  <c r="P24" i="12" s="1"/>
  <c r="F24" i="12"/>
  <c r="D24" i="12"/>
  <c r="C24" i="12"/>
  <c r="B24" i="12"/>
  <c r="I23" i="12"/>
  <c r="H23" i="12"/>
  <c r="G23" i="12"/>
  <c r="P23" i="12" s="1"/>
  <c r="F23" i="12"/>
  <c r="D23" i="12"/>
  <c r="C23" i="12"/>
  <c r="B23" i="12"/>
  <c r="I22" i="12"/>
  <c r="H22" i="12"/>
  <c r="G22" i="12"/>
  <c r="F22" i="12"/>
  <c r="D22" i="12"/>
  <c r="C22" i="12"/>
  <c r="B22" i="12"/>
  <c r="I21" i="12"/>
  <c r="H21" i="12"/>
  <c r="G21" i="12"/>
  <c r="F21" i="12"/>
  <c r="D21" i="12"/>
  <c r="C21" i="12"/>
  <c r="B21" i="12"/>
  <c r="I20" i="12"/>
  <c r="H20" i="12"/>
  <c r="G20" i="12"/>
  <c r="F20" i="12"/>
  <c r="D20" i="12"/>
  <c r="C20" i="12"/>
  <c r="B20" i="12"/>
  <c r="I19" i="12"/>
  <c r="H19" i="12"/>
  <c r="G19" i="12"/>
  <c r="F19" i="12"/>
  <c r="D19" i="12"/>
  <c r="C19" i="12"/>
  <c r="B19" i="12"/>
  <c r="I18" i="12"/>
  <c r="H18" i="12"/>
  <c r="G18" i="12"/>
  <c r="F18" i="12"/>
  <c r="D18" i="12"/>
  <c r="C18" i="12"/>
  <c r="B18" i="12"/>
  <c r="I17" i="12"/>
  <c r="H17" i="12"/>
  <c r="G17" i="12"/>
  <c r="P17" i="12" s="1"/>
  <c r="F17" i="12"/>
  <c r="D17" i="12"/>
  <c r="C17" i="12"/>
  <c r="B17" i="12"/>
  <c r="I16" i="12"/>
  <c r="H16" i="12"/>
  <c r="G16" i="12"/>
  <c r="F16" i="12"/>
  <c r="D16" i="12"/>
  <c r="C16" i="12"/>
  <c r="B16" i="12"/>
  <c r="I15" i="12"/>
  <c r="H15" i="12"/>
  <c r="G15" i="12"/>
  <c r="F15" i="12"/>
  <c r="D15" i="12"/>
  <c r="C15" i="12"/>
  <c r="B15" i="12"/>
  <c r="I14" i="12"/>
  <c r="H14" i="12"/>
  <c r="G14" i="12"/>
  <c r="P14" i="12" s="1"/>
  <c r="F14" i="12"/>
  <c r="M14" i="12" s="1"/>
  <c r="D14" i="12"/>
  <c r="C14" i="12"/>
  <c r="B14" i="12"/>
  <c r="I13" i="12"/>
  <c r="H13" i="12"/>
  <c r="G13" i="12"/>
  <c r="F13" i="12"/>
  <c r="D13" i="12"/>
  <c r="C13" i="12"/>
  <c r="B13" i="12"/>
  <c r="I12" i="12"/>
  <c r="H12" i="12"/>
  <c r="G12" i="12"/>
  <c r="P12" i="12" s="1"/>
  <c r="F12" i="12"/>
  <c r="D12" i="12"/>
  <c r="C12" i="12"/>
  <c r="B12" i="12"/>
  <c r="I11" i="12"/>
  <c r="H11" i="12"/>
  <c r="G11" i="12"/>
  <c r="P11" i="12" s="1"/>
  <c r="F11" i="12"/>
  <c r="D11" i="12"/>
  <c r="C11" i="12"/>
  <c r="B11" i="12"/>
  <c r="I10" i="12"/>
  <c r="H10" i="12"/>
  <c r="G10" i="12"/>
  <c r="F10" i="12"/>
  <c r="D10" i="12"/>
  <c r="C10" i="12"/>
  <c r="B10" i="12"/>
  <c r="I9" i="12"/>
  <c r="H9" i="12"/>
  <c r="G9" i="12"/>
  <c r="P9" i="12" s="1"/>
  <c r="F9" i="12"/>
  <c r="D9" i="12"/>
  <c r="C9" i="12"/>
  <c r="B9" i="12"/>
  <c r="I8" i="12"/>
  <c r="H8" i="12"/>
  <c r="G8" i="12"/>
  <c r="P8" i="12" s="1"/>
  <c r="F8" i="12"/>
  <c r="D8" i="12"/>
  <c r="C8" i="12"/>
  <c r="B8" i="12"/>
  <c r="I7" i="12"/>
  <c r="H7" i="12"/>
  <c r="G7" i="12"/>
  <c r="P7" i="12" s="1"/>
  <c r="F7" i="12"/>
  <c r="D7" i="12"/>
  <c r="C7" i="12"/>
  <c r="B7" i="12"/>
  <c r="I6" i="12"/>
  <c r="H6" i="12"/>
  <c r="G6" i="12"/>
  <c r="F6" i="12"/>
  <c r="D6" i="12"/>
  <c r="C6" i="12"/>
  <c r="B6" i="12"/>
  <c r="I5" i="12"/>
  <c r="H5" i="12"/>
  <c r="G5" i="12"/>
  <c r="F5" i="12"/>
  <c r="D5" i="12"/>
  <c r="C5" i="12"/>
  <c r="B5" i="12"/>
  <c r="I4" i="12"/>
  <c r="H4" i="12"/>
  <c r="G4" i="12"/>
  <c r="F4" i="12"/>
  <c r="D4" i="12"/>
  <c r="C4" i="12"/>
  <c r="B4" i="12"/>
  <c r="I3" i="12"/>
  <c r="H3" i="12"/>
  <c r="G3" i="12"/>
  <c r="F3" i="12"/>
  <c r="D3" i="12"/>
  <c r="C3" i="12"/>
  <c r="B3" i="12"/>
  <c r="I2" i="12"/>
  <c r="F2" i="12"/>
  <c r="D2" i="12"/>
  <c r="C2" i="12"/>
  <c r="B2" i="12"/>
  <c r="D45" i="4"/>
  <c r="D41" i="4"/>
  <c r="C56" i="4"/>
  <c r="D50" i="4"/>
  <c r="D44" i="4"/>
  <c r="D53" i="4"/>
  <c r="D40" i="4"/>
  <c r="D43" i="4"/>
  <c r="D39" i="4"/>
  <c r="D49" i="4"/>
  <c r="C60" i="4"/>
  <c r="D52" i="4"/>
  <c r="D51" i="4"/>
  <c r="D46" i="4"/>
  <c r="D47" i="4"/>
  <c r="D42" i="4"/>
  <c r="C57" i="4"/>
  <c r="K346" i="10" l="1"/>
  <c r="R311" i="5"/>
  <c r="R327" i="5"/>
  <c r="J314" i="7"/>
  <c r="J361" i="7"/>
  <c r="P357" i="5"/>
  <c r="J355" i="7"/>
  <c r="K318" i="10"/>
  <c r="K333" i="10"/>
  <c r="U309" i="5"/>
  <c r="U316" i="5"/>
  <c r="R325" i="5"/>
  <c r="U335" i="5"/>
  <c r="P347" i="5"/>
  <c r="K351" i="10"/>
  <c r="R317" i="5"/>
  <c r="U325" i="5"/>
  <c r="P337" i="5"/>
  <c r="U357" i="5"/>
  <c r="J323" i="7"/>
  <c r="S340" i="7"/>
  <c r="J342" i="7"/>
  <c r="U310" i="5"/>
  <c r="U317" i="5"/>
  <c r="U347" i="5"/>
  <c r="S311" i="7"/>
  <c r="J340" i="7"/>
  <c r="K329" i="10"/>
  <c r="K340" i="10"/>
  <c r="P319" i="5"/>
  <c r="P349" i="5"/>
  <c r="J337" i="7"/>
  <c r="U311" i="5"/>
  <c r="U327" i="5"/>
  <c r="R331" i="5"/>
  <c r="P339" i="5"/>
  <c r="U359" i="5"/>
  <c r="S337" i="7"/>
  <c r="J357" i="7"/>
  <c r="J366" i="7"/>
  <c r="R319" i="5"/>
  <c r="U349" i="5"/>
  <c r="J319" i="7"/>
  <c r="J334" i="7"/>
  <c r="S345" i="7"/>
  <c r="U319" i="5"/>
  <c r="P320" i="5"/>
  <c r="R329" i="5"/>
  <c r="P351" i="5"/>
  <c r="J327" i="7"/>
  <c r="J345" i="7"/>
  <c r="K321" i="10"/>
  <c r="R315" i="5"/>
  <c r="R323" i="5"/>
  <c r="U329" i="5"/>
  <c r="P341" i="5"/>
  <c r="U361" i="5"/>
  <c r="S310" i="7"/>
  <c r="J328" i="7"/>
  <c r="S339" i="7"/>
  <c r="K319" i="10"/>
  <c r="S336" i="7"/>
  <c r="J339" i="7"/>
  <c r="S356" i="7"/>
  <c r="R321" i="5"/>
  <c r="U341" i="5"/>
  <c r="U321" i="5"/>
  <c r="R335" i="5"/>
  <c r="P343" i="5"/>
  <c r="J320" i="7"/>
  <c r="J332" i="7"/>
  <c r="J346" i="7"/>
  <c r="J353" i="7"/>
  <c r="U314" i="5"/>
  <c r="P323" i="5"/>
  <c r="P333" i="5"/>
  <c r="U353" i="5"/>
  <c r="J312" i="7"/>
  <c r="J315" i="7"/>
  <c r="J333" i="7"/>
  <c r="S353" i="7"/>
  <c r="S338" i="7"/>
  <c r="J341" i="7"/>
  <c r="J343" i="7"/>
  <c r="L9" i="10"/>
  <c r="P55" i="5"/>
  <c r="U54" i="5"/>
  <c r="P56" i="5"/>
  <c r="U55" i="5"/>
  <c r="K79" i="10"/>
  <c r="K94" i="10"/>
  <c r="K109" i="10"/>
  <c r="P118" i="5"/>
  <c r="U117" i="5"/>
  <c r="K15" i="10"/>
  <c r="L69" i="10"/>
  <c r="K90" i="10"/>
  <c r="P18" i="5"/>
  <c r="U17" i="5"/>
  <c r="K50" i="10"/>
  <c r="K114" i="10"/>
  <c r="K171" i="10"/>
  <c r="K30" i="10"/>
  <c r="K42" i="10"/>
  <c r="K46" i="10"/>
  <c r="K105" i="10"/>
  <c r="L159" i="10"/>
  <c r="K199" i="10"/>
  <c r="R73" i="5"/>
  <c r="K71" i="10"/>
  <c r="K167" i="10"/>
  <c r="K20" i="10"/>
  <c r="K22" i="10"/>
  <c r="K67" i="10"/>
  <c r="K80" i="10"/>
  <c r="K165" i="10"/>
  <c r="R68" i="5"/>
  <c r="R69" i="5"/>
  <c r="P70" i="5"/>
  <c r="U69" i="5"/>
  <c r="L49" i="10"/>
  <c r="R36" i="5"/>
  <c r="R37" i="5"/>
  <c r="K12" i="10"/>
  <c r="K14" i="10"/>
  <c r="R35" i="5"/>
  <c r="P38" i="5"/>
  <c r="U37" i="5"/>
  <c r="K10" i="10"/>
  <c r="K31" i="10"/>
  <c r="K89" i="10"/>
  <c r="K155" i="10"/>
  <c r="Q210" i="12"/>
  <c r="K27" i="10"/>
  <c r="K33" i="10"/>
  <c r="K49" i="10"/>
  <c r="K85" i="10"/>
  <c r="K151" i="10"/>
  <c r="P92" i="5"/>
  <c r="U91" i="5"/>
  <c r="K23" i="10"/>
  <c r="K35" i="10"/>
  <c r="L77" i="10"/>
  <c r="K245" i="10"/>
  <c r="R89" i="5"/>
  <c r="R151" i="5"/>
  <c r="U138" i="5"/>
  <c r="U149" i="5"/>
  <c r="U161" i="5"/>
  <c r="U217" i="5"/>
  <c r="U229" i="5"/>
  <c r="U241" i="5"/>
  <c r="U289" i="5"/>
  <c r="J40" i="7"/>
  <c r="J97" i="7"/>
  <c r="J129" i="7"/>
  <c r="J148" i="7"/>
  <c r="J169" i="7"/>
  <c r="S175" i="7"/>
  <c r="J203" i="7"/>
  <c r="J274" i="7"/>
  <c r="S294" i="7"/>
  <c r="S305" i="7"/>
  <c r="K125" i="10"/>
  <c r="K141" i="10"/>
  <c r="L144" i="10"/>
  <c r="L148" i="10"/>
  <c r="K157" i="10"/>
  <c r="K159" i="10"/>
  <c r="K169" i="10"/>
  <c r="L178" i="10"/>
  <c r="K201" i="10"/>
  <c r="K230" i="10"/>
  <c r="K247" i="10"/>
  <c r="K294" i="10"/>
  <c r="R39" i="5"/>
  <c r="U89" i="5"/>
  <c r="U115" i="5"/>
  <c r="P140" i="5"/>
  <c r="R162" i="5"/>
  <c r="R164" i="5"/>
  <c r="U175" i="5"/>
  <c r="P176" i="5"/>
  <c r="U189" i="5"/>
  <c r="U205" i="5"/>
  <c r="P206" i="5"/>
  <c r="R211" i="5"/>
  <c r="R220" i="5"/>
  <c r="R231" i="5"/>
  <c r="R243" i="5"/>
  <c r="U267" i="5"/>
  <c r="U275" i="5"/>
  <c r="U282" i="5"/>
  <c r="R289" i="5"/>
  <c r="R298" i="5"/>
  <c r="J71" i="7"/>
  <c r="J76" i="7"/>
  <c r="J91" i="7"/>
  <c r="J146" i="7"/>
  <c r="J149" i="7"/>
  <c r="S155" i="7"/>
  <c r="J213" i="7"/>
  <c r="J231" i="7"/>
  <c r="J233" i="7"/>
  <c r="S257" i="7"/>
  <c r="S288" i="7"/>
  <c r="K82" i="10"/>
  <c r="K86" i="10"/>
  <c r="K116" i="10"/>
  <c r="L119" i="10"/>
  <c r="K132" i="10"/>
  <c r="K249" i="10"/>
  <c r="R21" i="5"/>
  <c r="R95" i="5"/>
  <c r="R143" i="5"/>
  <c r="U150" i="5"/>
  <c r="U162" i="5"/>
  <c r="R188" i="5"/>
  <c r="R207" i="5"/>
  <c r="R219" i="5"/>
  <c r="R225" i="5"/>
  <c r="U259" i="5"/>
  <c r="R261" i="5"/>
  <c r="R275" i="5"/>
  <c r="U290" i="5"/>
  <c r="U297" i="5"/>
  <c r="R307" i="5"/>
  <c r="S77" i="7"/>
  <c r="J143" i="7"/>
  <c r="J163" i="7"/>
  <c r="J177" i="7"/>
  <c r="S186" i="7"/>
  <c r="S197" i="7"/>
  <c r="J214" i="7"/>
  <c r="J254" i="7"/>
  <c r="J265" i="7"/>
  <c r="K205" i="10"/>
  <c r="K211" i="10"/>
  <c r="K266" i="10"/>
  <c r="U3" i="5"/>
  <c r="U19" i="5"/>
  <c r="R59" i="5"/>
  <c r="U71" i="5"/>
  <c r="P73" i="5"/>
  <c r="U93" i="5"/>
  <c r="U119" i="5"/>
  <c r="R140" i="5"/>
  <c r="U151" i="5"/>
  <c r="U163" i="5"/>
  <c r="U191" i="5"/>
  <c r="R194" i="5"/>
  <c r="R230" i="5"/>
  <c r="R242" i="5"/>
  <c r="R245" i="5"/>
  <c r="U268" i="5"/>
  <c r="R270" i="5"/>
  <c r="U276" i="5"/>
  <c r="U283" i="5"/>
  <c r="P284" i="5"/>
  <c r="U305" i="5"/>
  <c r="J4" i="7"/>
  <c r="J25" i="7"/>
  <c r="J31" i="7"/>
  <c r="J50" i="7"/>
  <c r="J67" i="7"/>
  <c r="J81" i="7"/>
  <c r="J114" i="7"/>
  <c r="S117" i="7"/>
  <c r="J119" i="7"/>
  <c r="J134" i="7"/>
  <c r="S262" i="7"/>
  <c r="J282" i="7"/>
  <c r="J284" i="7"/>
  <c r="U39" i="5"/>
  <c r="U57" i="5"/>
  <c r="R74" i="5"/>
  <c r="U94" i="5"/>
  <c r="R121" i="5"/>
  <c r="U140" i="5"/>
  <c r="U177" i="5"/>
  <c r="R190" i="5"/>
  <c r="R193" i="5"/>
  <c r="U207" i="5"/>
  <c r="P208" i="5"/>
  <c r="R233" i="5"/>
  <c r="U245" i="5"/>
  <c r="U260" i="5"/>
  <c r="R279" i="5"/>
  <c r="J45" i="7"/>
  <c r="S51" i="7"/>
  <c r="S79" i="7"/>
  <c r="J174" i="7"/>
  <c r="J193" i="7"/>
  <c r="J205" i="7"/>
  <c r="J259" i="7"/>
  <c r="J276" i="7"/>
  <c r="J285" i="7"/>
  <c r="K66" i="10"/>
  <c r="K70" i="10"/>
  <c r="K121" i="10"/>
  <c r="K137" i="10"/>
  <c r="K180" i="10"/>
  <c r="K182" i="10"/>
  <c r="K215" i="10"/>
  <c r="K219" i="10"/>
  <c r="K238" i="10"/>
  <c r="K255" i="10"/>
  <c r="K270" i="10"/>
  <c r="K272" i="10"/>
  <c r="L293" i="10"/>
  <c r="L308" i="10"/>
  <c r="R3" i="5"/>
  <c r="U5" i="5"/>
  <c r="U73" i="5"/>
  <c r="U95" i="5"/>
  <c r="U121" i="5"/>
  <c r="R142" i="5"/>
  <c r="U152" i="5"/>
  <c r="R221" i="5"/>
  <c r="U233" i="5"/>
  <c r="R244" i="5"/>
  <c r="R247" i="5"/>
  <c r="R260" i="5"/>
  <c r="U277" i="5"/>
  <c r="P278" i="5"/>
  <c r="R291" i="5"/>
  <c r="J39" i="7"/>
  <c r="J42" i="7"/>
  <c r="J44" i="7"/>
  <c r="S45" i="7"/>
  <c r="J171" i="7"/>
  <c r="J202" i="7"/>
  <c r="J225" i="7"/>
  <c r="J238" i="7"/>
  <c r="J242" i="7"/>
  <c r="J272" i="7"/>
  <c r="L131" i="10"/>
  <c r="L204" i="10"/>
  <c r="R4" i="5"/>
  <c r="R20" i="5"/>
  <c r="R26" i="5"/>
  <c r="P26" i="5"/>
  <c r="U97" i="5"/>
  <c r="R127" i="5"/>
  <c r="R144" i="5"/>
  <c r="U165" i="5"/>
  <c r="U179" i="5"/>
  <c r="R187" i="5"/>
  <c r="U221" i="5"/>
  <c r="P262" i="5"/>
  <c r="R269" i="5"/>
  <c r="U299" i="5"/>
  <c r="S22" i="7"/>
  <c r="S56" i="7"/>
  <c r="S154" i="7"/>
  <c r="S171" i="7"/>
  <c r="J185" i="7"/>
  <c r="J188" i="7"/>
  <c r="S270" i="7"/>
  <c r="K62" i="10"/>
  <c r="K119" i="10"/>
  <c r="K135" i="10"/>
  <c r="K176" i="10"/>
  <c r="K259" i="10"/>
  <c r="U7" i="5"/>
  <c r="U60" i="5"/>
  <c r="R78" i="5"/>
  <c r="U125" i="5"/>
  <c r="U195" i="5"/>
  <c r="U209" i="5"/>
  <c r="R212" i="5"/>
  <c r="R223" i="5"/>
  <c r="R235" i="5"/>
  <c r="R249" i="5"/>
  <c r="U270" i="5"/>
  <c r="R308" i="5"/>
  <c r="J87" i="7"/>
  <c r="J138" i="7"/>
  <c r="J145" i="7"/>
  <c r="J165" i="7"/>
  <c r="J219" i="7"/>
  <c r="S250" i="7"/>
  <c r="J270" i="7"/>
  <c r="J290" i="7"/>
  <c r="J300" i="7"/>
  <c r="J301" i="7"/>
  <c r="L104" i="10"/>
  <c r="L145" i="10"/>
  <c r="L181" i="10"/>
  <c r="L193" i="10"/>
  <c r="U26" i="5"/>
  <c r="U42" i="5"/>
  <c r="U77" i="5"/>
  <c r="U126" i="5"/>
  <c r="U167" i="5"/>
  <c r="P168" i="5"/>
  <c r="R175" i="5"/>
  <c r="U181" i="5"/>
  <c r="R189" i="5"/>
  <c r="R215" i="5"/>
  <c r="R234" i="5"/>
  <c r="U235" i="5"/>
  <c r="U249" i="5"/>
  <c r="P263" i="5"/>
  <c r="U278" i="5"/>
  <c r="R293" i="5"/>
  <c r="U300" i="5"/>
  <c r="U307" i="5"/>
  <c r="S19" i="7"/>
  <c r="S70" i="7"/>
  <c r="J110" i="7"/>
  <c r="J162" i="7"/>
  <c r="J250" i="7"/>
  <c r="J260" i="7"/>
  <c r="J275" i="7"/>
  <c r="S298" i="7"/>
  <c r="S306" i="7"/>
  <c r="K200" i="10"/>
  <c r="K231" i="10"/>
  <c r="K246" i="10"/>
  <c r="U61" i="5"/>
  <c r="U79" i="5"/>
  <c r="U103" i="5"/>
  <c r="U155" i="5"/>
  <c r="R180" i="5"/>
  <c r="U197" i="5"/>
  <c r="R200" i="5"/>
  <c r="R222" i="5"/>
  <c r="R248" i="5"/>
  <c r="U271" i="5"/>
  <c r="R285" i="5"/>
  <c r="S93" i="7"/>
  <c r="J133" i="7"/>
  <c r="J159" i="7"/>
  <c r="J244" i="7"/>
  <c r="S275" i="7"/>
  <c r="J298" i="7"/>
  <c r="R8" i="5"/>
  <c r="R82" i="5"/>
  <c r="R105" i="5"/>
  <c r="U129" i="5"/>
  <c r="R157" i="5"/>
  <c r="R196" i="5"/>
  <c r="R213" i="5"/>
  <c r="U225" i="5"/>
  <c r="R237" i="5"/>
  <c r="U251" i="5"/>
  <c r="U263" i="5"/>
  <c r="R265" i="5"/>
  <c r="U279" i="5"/>
  <c r="U308" i="5"/>
  <c r="J41" i="7"/>
  <c r="J60" i="7"/>
  <c r="J126" i="7"/>
  <c r="J130" i="7"/>
  <c r="S159" i="7"/>
  <c r="J189" i="7"/>
  <c r="J204" i="7"/>
  <c r="J224" i="7"/>
  <c r="J258" i="7"/>
  <c r="K115" i="10"/>
  <c r="K131" i="10"/>
  <c r="K204" i="10"/>
  <c r="K206" i="10"/>
  <c r="K208" i="10"/>
  <c r="K210" i="10"/>
  <c r="U11" i="5"/>
  <c r="R30" i="5"/>
  <c r="R65" i="5"/>
  <c r="R85" i="5"/>
  <c r="U105" i="5"/>
  <c r="U131" i="5"/>
  <c r="R134" i="5"/>
  <c r="U156" i="5"/>
  <c r="U169" i="5"/>
  <c r="U199" i="5"/>
  <c r="U213" i="5"/>
  <c r="U237" i="5"/>
  <c r="R253" i="5"/>
  <c r="U272" i="5"/>
  <c r="R277" i="5"/>
  <c r="R290" i="5"/>
  <c r="U294" i="5"/>
  <c r="P295" i="5"/>
  <c r="R296" i="5"/>
  <c r="J21" i="7"/>
  <c r="J54" i="7"/>
  <c r="S95" i="7"/>
  <c r="J147" i="7"/>
  <c r="J150" i="7"/>
  <c r="S176" i="7"/>
  <c r="J186" i="7"/>
  <c r="J234" i="7"/>
  <c r="K138" i="10"/>
  <c r="R15" i="5"/>
  <c r="U30" i="5"/>
  <c r="R33" i="5"/>
  <c r="R52" i="5"/>
  <c r="U83" i="5"/>
  <c r="U107" i="5"/>
  <c r="R111" i="5"/>
  <c r="U147" i="5"/>
  <c r="U157" i="5"/>
  <c r="R185" i="5"/>
  <c r="R198" i="5"/>
  <c r="R201" i="5"/>
  <c r="R227" i="5"/>
  <c r="U253" i="5"/>
  <c r="R256" i="5"/>
  <c r="R266" i="5"/>
  <c r="R297" i="5"/>
  <c r="S18" i="7"/>
  <c r="S38" i="7"/>
  <c r="S52" i="7"/>
  <c r="J89" i="7"/>
  <c r="J161" i="7"/>
  <c r="J215" i="7"/>
  <c r="J221" i="7"/>
  <c r="J266" i="7"/>
  <c r="J268" i="7"/>
  <c r="K65" i="10"/>
  <c r="K69" i="10"/>
  <c r="K104" i="10"/>
  <c r="K113" i="10"/>
  <c r="K129" i="10"/>
  <c r="K179" i="10"/>
  <c r="K183" i="10"/>
  <c r="K214" i="10"/>
  <c r="K239" i="10"/>
  <c r="K254" i="10"/>
  <c r="K271" i="10"/>
  <c r="K273" i="10"/>
  <c r="K284" i="10"/>
  <c r="R24" i="5"/>
  <c r="R51" i="5"/>
  <c r="U64" i="5"/>
  <c r="R67" i="5"/>
  <c r="U84" i="5"/>
  <c r="U109" i="5"/>
  <c r="U133" i="5"/>
  <c r="R138" i="5"/>
  <c r="U171" i="5"/>
  <c r="U185" i="5"/>
  <c r="U201" i="5"/>
  <c r="U215" i="5"/>
  <c r="R226" i="5"/>
  <c r="U227" i="5"/>
  <c r="R239" i="5"/>
  <c r="U273" i="5"/>
  <c r="J2" i="7"/>
  <c r="J6" i="7"/>
  <c r="J14" i="7"/>
  <c r="J15" i="7"/>
  <c r="S26" i="7"/>
  <c r="J28" i="7"/>
  <c r="S32" i="7"/>
  <c r="J94" i="7"/>
  <c r="J102" i="7"/>
  <c r="J105" i="7"/>
  <c r="S106" i="7"/>
  <c r="J108" i="7"/>
  <c r="S112" i="7"/>
  <c r="S161" i="7"/>
  <c r="S178" i="7"/>
  <c r="J180" i="7"/>
  <c r="J183" i="7"/>
  <c r="J194" i="7"/>
  <c r="S249" i="7"/>
  <c r="S260" i="7"/>
  <c r="J269" i="7"/>
  <c r="L123" i="10"/>
  <c r="L139" i="10"/>
  <c r="K224" i="10"/>
  <c r="K226" i="10"/>
  <c r="U32" i="5"/>
  <c r="P33" i="5"/>
  <c r="R38" i="5"/>
  <c r="U65" i="5"/>
  <c r="U85" i="5"/>
  <c r="U110" i="5"/>
  <c r="P138" i="5"/>
  <c r="U148" i="5"/>
  <c r="U159" i="5"/>
  <c r="R203" i="5"/>
  <c r="R209" i="5"/>
  <c r="R217" i="5"/>
  <c r="R218" i="5"/>
  <c r="R238" i="5"/>
  <c r="U255" i="5"/>
  <c r="U265" i="5"/>
  <c r="U295" i="5"/>
  <c r="J103" i="7"/>
  <c r="S144" i="7"/>
  <c r="J191" i="7"/>
  <c r="S218" i="7"/>
  <c r="J237" i="7"/>
  <c r="S263" i="7"/>
  <c r="J279" i="7"/>
  <c r="J308" i="7"/>
  <c r="L326" i="10"/>
  <c r="L353" i="10"/>
  <c r="P291" i="12"/>
  <c r="P179" i="12"/>
  <c r="M170" i="12"/>
  <c r="M186" i="12"/>
  <c r="M202" i="12"/>
  <c r="M218" i="12"/>
  <c r="M234" i="12"/>
  <c r="M250" i="12"/>
  <c r="M266" i="12"/>
  <c r="M282" i="12"/>
  <c r="M298" i="12"/>
  <c r="M314" i="12"/>
  <c r="M330" i="12"/>
  <c r="M346" i="12"/>
  <c r="M362" i="12"/>
  <c r="N353" i="12"/>
  <c r="C9" i="4"/>
  <c r="M51" i="12"/>
  <c r="N322" i="12"/>
  <c r="P169" i="12"/>
  <c r="P185" i="12"/>
  <c r="P201" i="12"/>
  <c r="P217" i="12"/>
  <c r="P233" i="12"/>
  <c r="P249" i="12"/>
  <c r="P265" i="12"/>
  <c r="P281" i="12"/>
  <c r="P297" i="12"/>
  <c r="P313" i="12"/>
  <c r="P329" i="12"/>
  <c r="P345" i="12"/>
  <c r="M338" i="12"/>
  <c r="N112" i="12"/>
  <c r="P16" i="12"/>
  <c r="P32" i="12"/>
  <c r="P48" i="12"/>
  <c r="P64" i="12"/>
  <c r="P80" i="12"/>
  <c r="P96" i="12"/>
  <c r="P112" i="12"/>
  <c r="P128" i="12"/>
  <c r="P144" i="12"/>
  <c r="P160" i="12"/>
  <c r="P167" i="12"/>
  <c r="P183" i="12"/>
  <c r="P199" i="12"/>
  <c r="P215" i="12"/>
  <c r="P231" i="12"/>
  <c r="P247" i="12"/>
  <c r="P263" i="12"/>
  <c r="P279" i="12"/>
  <c r="P295" i="12"/>
  <c r="P311" i="12"/>
  <c r="P327" i="12"/>
  <c r="P343" i="12"/>
  <c r="P359" i="12"/>
  <c r="P307" i="12"/>
  <c r="M5" i="12"/>
  <c r="M21" i="12"/>
  <c r="M37" i="12"/>
  <c r="M53" i="12"/>
  <c r="M69" i="12"/>
  <c r="M85" i="12"/>
  <c r="M101" i="12"/>
  <c r="M117" i="12"/>
  <c r="M133" i="12"/>
  <c r="M149" i="12"/>
  <c r="M172" i="12"/>
  <c r="M188" i="12"/>
  <c r="M204" i="12"/>
  <c r="M220" i="12"/>
  <c r="M236" i="12"/>
  <c r="M252" i="12"/>
  <c r="M268" i="12"/>
  <c r="M284" i="12"/>
  <c r="M300" i="12"/>
  <c r="M316" i="12"/>
  <c r="M332" i="12"/>
  <c r="M348" i="12"/>
  <c r="M364" i="12"/>
  <c r="P243" i="12"/>
  <c r="P5" i="12"/>
  <c r="M12" i="12"/>
  <c r="P21" i="12"/>
  <c r="M28" i="12"/>
  <c r="P37" i="12"/>
  <c r="M44" i="12"/>
  <c r="P53" i="12"/>
  <c r="M60" i="12"/>
  <c r="P69" i="12"/>
  <c r="M76" i="12"/>
  <c r="P85" i="12"/>
  <c r="M92" i="12"/>
  <c r="P101" i="12"/>
  <c r="M108" i="12"/>
  <c r="P117" i="12"/>
  <c r="M124" i="12"/>
  <c r="P133" i="12"/>
  <c r="M140" i="12"/>
  <c r="P149" i="12"/>
  <c r="M156" i="12"/>
  <c r="P172" i="12"/>
  <c r="P188" i="12"/>
  <c r="P204" i="12"/>
  <c r="P220" i="12"/>
  <c r="P236" i="12"/>
  <c r="P252" i="12"/>
  <c r="P268" i="12"/>
  <c r="P284" i="12"/>
  <c r="P300" i="12"/>
  <c r="P316" i="12"/>
  <c r="P332" i="12"/>
  <c r="P348" i="12"/>
  <c r="P364" i="12"/>
  <c r="P195" i="12"/>
  <c r="P10" i="12"/>
  <c r="P26" i="12"/>
  <c r="P42" i="12"/>
  <c r="P58" i="12"/>
  <c r="P74" i="12"/>
  <c r="P90" i="12"/>
  <c r="P106" i="12"/>
  <c r="P122" i="12"/>
  <c r="P138" i="12"/>
  <c r="P154" i="12"/>
  <c r="P177" i="12"/>
  <c r="P193" i="12"/>
  <c r="P209" i="12"/>
  <c r="P225" i="12"/>
  <c r="P241" i="12"/>
  <c r="P257" i="12"/>
  <c r="P273" i="12"/>
  <c r="P289" i="12"/>
  <c r="P15" i="12"/>
  <c r="P31" i="12"/>
  <c r="P47" i="12"/>
  <c r="P63" i="12"/>
  <c r="P79" i="12"/>
  <c r="P95" i="12"/>
  <c r="P111" i="12"/>
  <c r="P127" i="12"/>
  <c r="P143" i="12"/>
  <c r="P159" i="12"/>
  <c r="P166" i="12"/>
  <c r="P182" i="12"/>
  <c r="P198" i="12"/>
  <c r="P214" i="12"/>
  <c r="P230" i="12"/>
  <c r="P246" i="12"/>
  <c r="P262" i="12"/>
  <c r="P278" i="12"/>
  <c r="P294" i="12"/>
  <c r="P310" i="12"/>
  <c r="P326" i="12"/>
  <c r="P342" i="12"/>
  <c r="P358" i="12"/>
  <c r="P6" i="12"/>
  <c r="P22" i="12"/>
  <c r="P38" i="12"/>
  <c r="P54" i="12"/>
  <c r="P70" i="12"/>
  <c r="P86" i="12"/>
  <c r="P102" i="12"/>
  <c r="P118" i="12"/>
  <c r="P134" i="12"/>
  <c r="P150" i="12"/>
  <c r="P173" i="12"/>
  <c r="P189" i="12"/>
  <c r="P205" i="12"/>
  <c r="P221" i="12"/>
  <c r="P237" i="12"/>
  <c r="P253" i="12"/>
  <c r="P269" i="12"/>
  <c r="P285" i="12"/>
  <c r="P301" i="12"/>
  <c r="P317" i="12"/>
  <c r="P333" i="12"/>
  <c r="P349" i="12"/>
  <c r="P365" i="12"/>
  <c r="P13" i="12"/>
  <c r="P29" i="12"/>
  <c r="P45" i="12"/>
  <c r="P77" i="12"/>
  <c r="P93" i="12"/>
  <c r="P109" i="12"/>
  <c r="P125" i="12"/>
  <c r="P141" i="12"/>
  <c r="P157" i="12"/>
  <c r="P164" i="12"/>
  <c r="P180" i="12"/>
  <c r="P196" i="12"/>
  <c r="P212" i="12"/>
  <c r="P228" i="12"/>
  <c r="P244" i="12"/>
  <c r="P260" i="12"/>
  <c r="P276" i="12"/>
  <c r="P292" i="12"/>
  <c r="P308" i="12"/>
  <c r="P324" i="12"/>
  <c r="P340" i="12"/>
  <c r="P356" i="12"/>
  <c r="P61" i="12"/>
  <c r="P4" i="12"/>
  <c r="P20" i="12"/>
  <c r="P36" i="12"/>
  <c r="P52" i="12"/>
  <c r="P68" i="12"/>
  <c r="P84" i="12"/>
  <c r="P100" i="12"/>
  <c r="P116" i="12"/>
  <c r="P132" i="12"/>
  <c r="P148" i="12"/>
  <c r="P171" i="12"/>
  <c r="P187" i="12"/>
  <c r="P203" i="12"/>
  <c r="P219" i="12"/>
  <c r="P235" i="12"/>
  <c r="P251" i="12"/>
  <c r="P267" i="12"/>
  <c r="P283" i="12"/>
  <c r="P299" i="12"/>
  <c r="P315" i="12"/>
  <c r="P331" i="12"/>
  <c r="P347" i="12"/>
  <c r="M33" i="12"/>
  <c r="M264" i="12"/>
  <c r="M280" i="12"/>
  <c r="M296" i="12"/>
  <c r="M328" i="12"/>
  <c r="M104" i="12"/>
  <c r="M191" i="12"/>
  <c r="M223" i="12"/>
  <c r="M287" i="12"/>
  <c r="M303" i="12"/>
  <c r="M319" i="12"/>
  <c r="M15" i="12"/>
  <c r="M31" i="12"/>
  <c r="M47" i="12"/>
  <c r="M63" i="12"/>
  <c r="M79" i="12"/>
  <c r="M95" i="12"/>
  <c r="M111" i="12"/>
  <c r="M127" i="12"/>
  <c r="M143" i="12"/>
  <c r="M159" i="12"/>
  <c r="M166" i="12"/>
  <c r="M182" i="12"/>
  <c r="M198" i="12"/>
  <c r="M214" i="12"/>
  <c r="M230" i="12"/>
  <c r="M246" i="12"/>
  <c r="M262" i="12"/>
  <c r="M278" i="12"/>
  <c r="M294" i="12"/>
  <c r="M310" i="12"/>
  <c r="M326" i="12"/>
  <c r="M342" i="12"/>
  <c r="M358" i="12"/>
  <c r="P115" i="12"/>
  <c r="M138" i="12"/>
  <c r="M97" i="12"/>
  <c r="M184" i="12"/>
  <c r="M200" i="12"/>
  <c r="M216" i="12"/>
  <c r="M232" i="12"/>
  <c r="M312" i="12"/>
  <c r="M344" i="12"/>
  <c r="M360" i="12"/>
  <c r="M40" i="12"/>
  <c r="M22" i="12"/>
  <c r="M38" i="12"/>
  <c r="M70" i="12"/>
  <c r="M102" i="12"/>
  <c r="M118" i="12"/>
  <c r="M150" i="12"/>
  <c r="M221" i="12"/>
  <c r="M253" i="12"/>
  <c r="M285" i="12"/>
  <c r="M317" i="12"/>
  <c r="M349" i="12"/>
  <c r="M13" i="12"/>
  <c r="M29" i="12"/>
  <c r="M93" i="12"/>
  <c r="M109" i="12"/>
  <c r="M196" i="12"/>
  <c r="M340" i="12"/>
  <c r="M356" i="12"/>
  <c r="M20" i="12"/>
  <c r="M36" i="12"/>
  <c r="M52" i="12"/>
  <c r="M68" i="12"/>
  <c r="M84" i="12"/>
  <c r="M100" i="12"/>
  <c r="M116" i="12"/>
  <c r="M132" i="12"/>
  <c r="M148" i="12"/>
  <c r="M171" i="12"/>
  <c r="M187" i="12"/>
  <c r="M203" i="12"/>
  <c r="M219" i="12"/>
  <c r="M235" i="12"/>
  <c r="M251" i="12"/>
  <c r="M267" i="12"/>
  <c r="M283" i="12"/>
  <c r="M299" i="12"/>
  <c r="M315" i="12"/>
  <c r="M331" i="12"/>
  <c r="M347" i="12"/>
  <c r="M363" i="12"/>
  <c r="M58" i="12"/>
  <c r="M90" i="12"/>
  <c r="M122" i="12"/>
  <c r="M177" i="12"/>
  <c r="M193" i="12"/>
  <c r="M225" i="12"/>
  <c r="M273" i="12"/>
  <c r="M289" i="12"/>
  <c r="M305" i="12"/>
  <c r="M65" i="12"/>
  <c r="M81" i="12"/>
  <c r="M161" i="12"/>
  <c r="M168" i="12"/>
  <c r="M8" i="12"/>
  <c r="M56" i="12"/>
  <c r="M120" i="12"/>
  <c r="M175" i="12"/>
  <c r="M207" i="12"/>
  <c r="M239" i="12"/>
  <c r="M255" i="12"/>
  <c r="M271" i="12"/>
  <c r="M335" i="12"/>
  <c r="M6" i="12"/>
  <c r="M54" i="12"/>
  <c r="M86" i="12"/>
  <c r="M134" i="12"/>
  <c r="M173" i="12"/>
  <c r="M189" i="12"/>
  <c r="M205" i="12"/>
  <c r="M269" i="12"/>
  <c r="M333" i="12"/>
  <c r="M45" i="12"/>
  <c r="M61" i="12"/>
  <c r="M180" i="12"/>
  <c r="M228" i="12"/>
  <c r="M4" i="12"/>
  <c r="M11" i="12"/>
  <c r="M27" i="12"/>
  <c r="M43" i="12"/>
  <c r="M59" i="12"/>
  <c r="M75" i="12"/>
  <c r="M91" i="12"/>
  <c r="M107" i="12"/>
  <c r="M123" i="12"/>
  <c r="M139" i="12"/>
  <c r="M155" i="12"/>
  <c r="M178" i="12"/>
  <c r="N194" i="12"/>
  <c r="M210" i="12"/>
  <c r="M226" i="12"/>
  <c r="M242" i="12"/>
  <c r="M258" i="12"/>
  <c r="M274" i="12"/>
  <c r="M290" i="12"/>
  <c r="M306" i="12"/>
  <c r="M322" i="12"/>
  <c r="N338" i="12"/>
  <c r="M354" i="12"/>
  <c r="P363" i="12"/>
  <c r="M292" i="12"/>
  <c r="N18" i="12"/>
  <c r="N34" i="12"/>
  <c r="N50" i="12"/>
  <c r="M66" i="12"/>
  <c r="M82" i="12"/>
  <c r="M98" i="12"/>
  <c r="N114" i="12"/>
  <c r="N130" i="12"/>
  <c r="M146" i="12"/>
  <c r="M162" i="12"/>
  <c r="M169" i="12"/>
  <c r="M185" i="12"/>
  <c r="M201" i="12"/>
  <c r="M217" i="12"/>
  <c r="M233" i="12"/>
  <c r="M249" i="12"/>
  <c r="M265" i="12"/>
  <c r="M281" i="12"/>
  <c r="M297" i="12"/>
  <c r="M313" i="12"/>
  <c r="M329" i="12"/>
  <c r="M345" i="12"/>
  <c r="M361" i="12"/>
  <c r="M237" i="12"/>
  <c r="M301" i="12"/>
  <c r="M365" i="12"/>
  <c r="M77" i="12"/>
  <c r="M125" i="12"/>
  <c r="M141" i="12"/>
  <c r="M157" i="12"/>
  <c r="M164" i="12"/>
  <c r="M212" i="12"/>
  <c r="M244" i="12"/>
  <c r="M260" i="12"/>
  <c r="M276" i="12"/>
  <c r="M308" i="12"/>
  <c r="M324" i="12"/>
  <c r="M89" i="12"/>
  <c r="M105" i="12"/>
  <c r="M121" i="12"/>
  <c r="M137" i="12"/>
  <c r="M153" i="12"/>
  <c r="M208" i="12"/>
  <c r="M224" i="12"/>
  <c r="M240" i="12"/>
  <c r="M256" i="12"/>
  <c r="M272" i="12"/>
  <c r="M288" i="12"/>
  <c r="M304" i="12"/>
  <c r="M320" i="12"/>
  <c r="M336" i="12"/>
  <c r="M352" i="12"/>
  <c r="P361" i="12"/>
  <c r="M10" i="12"/>
  <c r="M26" i="12"/>
  <c r="M42" i="12"/>
  <c r="M74" i="12"/>
  <c r="M106" i="12"/>
  <c r="M154" i="12"/>
  <c r="M209" i="12"/>
  <c r="M257" i="12"/>
  <c r="M248" i="12"/>
  <c r="M24" i="12"/>
  <c r="M72" i="12"/>
  <c r="M88" i="12"/>
  <c r="M136" i="12"/>
  <c r="M152" i="12"/>
  <c r="M351" i="12"/>
  <c r="M25" i="12"/>
  <c r="M41" i="12"/>
  <c r="M2" i="12"/>
  <c r="M32" i="12"/>
  <c r="M64" i="12"/>
  <c r="M80" i="12"/>
  <c r="M96" i="12"/>
  <c r="M112" i="12"/>
  <c r="N128" i="12"/>
  <c r="N144" i="12"/>
  <c r="N160" i="12"/>
  <c r="M167" i="12"/>
  <c r="M183" i="12"/>
  <c r="M199" i="12"/>
  <c r="M215" i="12"/>
  <c r="M231" i="12"/>
  <c r="M247" i="12"/>
  <c r="M263" i="12"/>
  <c r="M279" i="12"/>
  <c r="M295" i="12"/>
  <c r="M311" i="12"/>
  <c r="M327" i="12"/>
  <c r="M343" i="12"/>
  <c r="M359" i="12"/>
  <c r="L257" i="10"/>
  <c r="L276" i="10"/>
  <c r="L287" i="10"/>
  <c r="L289" i="10"/>
  <c r="L300" i="10"/>
  <c r="M9" i="12"/>
  <c r="M57" i="12"/>
  <c r="M73" i="12"/>
  <c r="M16" i="12"/>
  <c r="M48" i="12"/>
  <c r="M7" i="12"/>
  <c r="M23" i="12"/>
  <c r="M39" i="12"/>
  <c r="M55" i="12"/>
  <c r="M71" i="12"/>
  <c r="M87" i="12"/>
  <c r="M103" i="12"/>
  <c r="M119" i="12"/>
  <c r="M135" i="12"/>
  <c r="M151" i="12"/>
  <c r="M174" i="12"/>
  <c r="M190" i="12"/>
  <c r="M206" i="12"/>
  <c r="M222" i="12"/>
  <c r="M238" i="12"/>
  <c r="M254" i="12"/>
  <c r="M270" i="12"/>
  <c r="M286" i="12"/>
  <c r="M302" i="12"/>
  <c r="M318" i="12"/>
  <c r="M334" i="12"/>
  <c r="M350" i="12"/>
  <c r="M366" i="12"/>
  <c r="L269" i="10"/>
  <c r="L340" i="10"/>
  <c r="L206" i="10"/>
  <c r="L267" i="10"/>
  <c r="L157" i="10"/>
  <c r="L180" i="10"/>
  <c r="L329" i="10"/>
  <c r="L169" i="10"/>
  <c r="L101" i="10"/>
  <c r="L82" i="10"/>
  <c r="L349" i="10"/>
  <c r="L235" i="10"/>
  <c r="L282" i="10"/>
  <c r="L297" i="10"/>
  <c r="L173" i="10"/>
  <c r="L136" i="10"/>
  <c r="Q274" i="12"/>
  <c r="Q290" i="12"/>
  <c r="Q306" i="12"/>
  <c r="Q338" i="12"/>
  <c r="Q18" i="12"/>
  <c r="Q34" i="12"/>
  <c r="Q50" i="12"/>
  <c r="Q66" i="12"/>
  <c r="Q82" i="12"/>
  <c r="Q98" i="12"/>
  <c r="Q114" i="12"/>
  <c r="Q146" i="12"/>
  <c r="N176" i="12"/>
  <c r="N192" i="12"/>
  <c r="P227" i="12"/>
  <c r="Q242" i="12"/>
  <c r="R242" i="12" s="1"/>
  <c r="N163" i="12"/>
  <c r="N179" i="12"/>
  <c r="N195" i="12"/>
  <c r="N211" i="12"/>
  <c r="N227" i="12"/>
  <c r="N243" i="12"/>
  <c r="N259" i="12"/>
  <c r="N275" i="12"/>
  <c r="N291" i="12"/>
  <c r="N307" i="12"/>
  <c r="N323" i="12"/>
  <c r="N339" i="12"/>
  <c r="N355" i="12"/>
  <c r="Q226" i="12"/>
  <c r="N3" i="12"/>
  <c r="N19" i="12"/>
  <c r="N35" i="12"/>
  <c r="N51" i="12"/>
  <c r="O51" i="12" s="1"/>
  <c r="N67" i="12"/>
  <c r="N83" i="12"/>
  <c r="N99" i="12"/>
  <c r="N115" i="12"/>
  <c r="N131" i="12"/>
  <c r="N147" i="12"/>
  <c r="Q163" i="12"/>
  <c r="Q179" i="12"/>
  <c r="R179" i="12" s="1"/>
  <c r="Q195" i="12"/>
  <c r="Q211" i="12"/>
  <c r="Q227" i="12"/>
  <c r="Q243" i="12"/>
  <c r="Q259" i="12"/>
  <c r="Q275" i="12"/>
  <c r="Q291" i="12"/>
  <c r="Q307" i="12"/>
  <c r="Q323" i="12"/>
  <c r="Q339" i="12"/>
  <c r="Q355" i="12"/>
  <c r="Q99" i="12"/>
  <c r="Q131" i="12"/>
  <c r="N49" i="12"/>
  <c r="N113" i="12"/>
  <c r="N129" i="12"/>
  <c r="N145" i="12"/>
  <c r="M323" i="12"/>
  <c r="Q115" i="12"/>
  <c r="Q147" i="12"/>
  <c r="Q35" i="12"/>
  <c r="P35" i="12"/>
  <c r="Q67" i="12"/>
  <c r="P67" i="12"/>
  <c r="P305" i="12"/>
  <c r="Q305" i="12"/>
  <c r="M241" i="12"/>
  <c r="Q19" i="12"/>
  <c r="P19" i="12"/>
  <c r="Q3" i="12"/>
  <c r="P3" i="12"/>
  <c r="Q51" i="12"/>
  <c r="P51" i="12"/>
  <c r="Q83" i="12"/>
  <c r="P83" i="12"/>
  <c r="P99" i="12"/>
  <c r="M145" i="12"/>
  <c r="P290" i="12"/>
  <c r="P306" i="12"/>
  <c r="P275" i="12"/>
  <c r="P274" i="12"/>
  <c r="P259" i="12"/>
  <c r="Q258" i="12"/>
  <c r="M17" i="12"/>
  <c r="N17" i="12"/>
  <c r="P321" i="12"/>
  <c r="Q321" i="12"/>
  <c r="P337" i="12"/>
  <c r="Q337" i="12"/>
  <c r="P353" i="12"/>
  <c r="Q353" i="12"/>
  <c r="P2" i="12"/>
  <c r="Q2" i="12"/>
  <c r="P162" i="12"/>
  <c r="Q162" i="12"/>
  <c r="N226" i="12"/>
  <c r="Q194" i="12"/>
  <c r="R194" i="12" s="1"/>
  <c r="Q178" i="12"/>
  <c r="P211" i="12"/>
  <c r="Q354" i="12"/>
  <c r="R354" i="12" s="1"/>
  <c r="P339" i="12"/>
  <c r="P163" i="12"/>
  <c r="P338" i="12"/>
  <c r="Q322" i="12"/>
  <c r="R322" i="12" s="1"/>
  <c r="P323" i="12"/>
  <c r="P147" i="12"/>
  <c r="P131" i="12"/>
  <c r="Q130" i="12"/>
  <c r="R130" i="12" s="1"/>
  <c r="M227" i="12"/>
  <c r="M131" i="12"/>
  <c r="M50" i="12"/>
  <c r="N320" i="12"/>
  <c r="N225" i="12"/>
  <c r="N98" i="12"/>
  <c r="N16" i="12"/>
  <c r="P146" i="12"/>
  <c r="P114" i="12"/>
  <c r="P98" i="12"/>
  <c r="P82" i="12"/>
  <c r="P66" i="12"/>
  <c r="P50" i="12"/>
  <c r="P34" i="12"/>
  <c r="P18" i="12"/>
  <c r="Q289" i="12"/>
  <c r="R289" i="12" s="1"/>
  <c r="Q273" i="12"/>
  <c r="Q257" i="12"/>
  <c r="Q241" i="12"/>
  <c r="Q225" i="12"/>
  <c r="Q209" i="12"/>
  <c r="Q193" i="12"/>
  <c r="Q177" i="12"/>
  <c r="R177" i="12" s="1"/>
  <c r="Q161" i="12"/>
  <c r="R161" i="12" s="1"/>
  <c r="Q145" i="12"/>
  <c r="R145" i="12" s="1"/>
  <c r="Q129" i="12"/>
  <c r="Q113" i="12"/>
  <c r="Q97" i="12"/>
  <c r="Q81" i="12"/>
  <c r="R81" i="12" s="1"/>
  <c r="Q65" i="12"/>
  <c r="R65" i="12" s="1"/>
  <c r="Q49" i="12"/>
  <c r="Q33" i="12"/>
  <c r="R33" i="12" s="1"/>
  <c r="Q17" i="12"/>
  <c r="R17" i="12" s="1"/>
  <c r="M130" i="12"/>
  <c r="M49" i="12"/>
  <c r="N306" i="12"/>
  <c r="N224" i="12"/>
  <c r="N97" i="12"/>
  <c r="Q352" i="12"/>
  <c r="Q336" i="12"/>
  <c r="Q320" i="12"/>
  <c r="Q304" i="12"/>
  <c r="Q288" i="12"/>
  <c r="Q272" i="12"/>
  <c r="Q256" i="12"/>
  <c r="Q240" i="12"/>
  <c r="Q224" i="12"/>
  <c r="Q208" i="12"/>
  <c r="R208" i="12" s="1"/>
  <c r="Q192" i="12"/>
  <c r="R192" i="12" s="1"/>
  <c r="Q176" i="12"/>
  <c r="R176" i="12" s="1"/>
  <c r="Q160" i="12"/>
  <c r="Q144" i="12"/>
  <c r="R144" i="12" s="1"/>
  <c r="Q128" i="12"/>
  <c r="Q112" i="12"/>
  <c r="R112" i="12" s="1"/>
  <c r="Q96" i="12"/>
  <c r="R96" i="12" s="1"/>
  <c r="Q80" i="12"/>
  <c r="Q64" i="12"/>
  <c r="R64" i="12" s="1"/>
  <c r="Q48" i="12"/>
  <c r="Q32" i="12"/>
  <c r="Q16" i="12"/>
  <c r="M307" i="12"/>
  <c r="M129" i="12"/>
  <c r="M35" i="12"/>
  <c r="N304" i="12"/>
  <c r="N210" i="12"/>
  <c r="O210" i="12" s="1"/>
  <c r="N96" i="12"/>
  <c r="Q351" i="12"/>
  <c r="Q335" i="12"/>
  <c r="Q319" i="12"/>
  <c r="Q303" i="12"/>
  <c r="Q287" i="12"/>
  <c r="Q271" i="12"/>
  <c r="Q255" i="12"/>
  <c r="R255" i="12" s="1"/>
  <c r="Q239" i="12"/>
  <c r="Q223" i="12"/>
  <c r="R223" i="12" s="1"/>
  <c r="Q207" i="12"/>
  <c r="R207" i="12" s="1"/>
  <c r="Q191" i="12"/>
  <c r="Q175" i="12"/>
  <c r="Q159" i="12"/>
  <c r="Q143" i="12"/>
  <c r="Q127" i="12"/>
  <c r="R127" i="12" s="1"/>
  <c r="Q111" i="12"/>
  <c r="Q95" i="12"/>
  <c r="Q79" i="12"/>
  <c r="R79" i="12" s="1"/>
  <c r="Q63" i="12"/>
  <c r="R63" i="12" s="1"/>
  <c r="Q47" i="12"/>
  <c r="R47" i="12" s="1"/>
  <c r="Q31" i="12"/>
  <c r="R31" i="12" s="1"/>
  <c r="Q15" i="12"/>
  <c r="R15" i="12" s="1"/>
  <c r="M211" i="12"/>
  <c r="M115" i="12"/>
  <c r="M34" i="12"/>
  <c r="N290" i="12"/>
  <c r="N209" i="12"/>
  <c r="N82" i="12"/>
  <c r="Q366" i="12"/>
  <c r="Q350" i="12"/>
  <c r="Q334" i="12"/>
  <c r="Q318" i="12"/>
  <c r="R318" i="12" s="1"/>
  <c r="Q302" i="12"/>
  <c r="Q286" i="12"/>
  <c r="R286" i="12" s="1"/>
  <c r="Q270" i="12"/>
  <c r="Q254" i="12"/>
  <c r="Q238" i="12"/>
  <c r="R238" i="12" s="1"/>
  <c r="Q222" i="12"/>
  <c r="Q206" i="12"/>
  <c r="R206" i="12" s="1"/>
  <c r="Q190" i="12"/>
  <c r="Q174" i="12"/>
  <c r="Q158" i="12"/>
  <c r="R158" i="12" s="1"/>
  <c r="Q142" i="12"/>
  <c r="R142" i="12" s="1"/>
  <c r="Q126" i="12"/>
  <c r="R126" i="12" s="1"/>
  <c r="Q110" i="12"/>
  <c r="R110" i="12" s="1"/>
  <c r="Q94" i="12"/>
  <c r="Q78" i="12"/>
  <c r="Q62" i="12"/>
  <c r="R62" i="12" s="1"/>
  <c r="Q46" i="12"/>
  <c r="R46" i="12" s="1"/>
  <c r="Q30" i="12"/>
  <c r="Q14" i="12"/>
  <c r="R14" i="12" s="1"/>
  <c r="M291" i="12"/>
  <c r="M114" i="12"/>
  <c r="M19" i="12"/>
  <c r="N289" i="12"/>
  <c r="N208" i="12"/>
  <c r="N81" i="12"/>
  <c r="Q365" i="12"/>
  <c r="Q349" i="12"/>
  <c r="Q333" i="12"/>
  <c r="Q317" i="12"/>
  <c r="Q301" i="12"/>
  <c r="Q285" i="12"/>
  <c r="Q269" i="12"/>
  <c r="Q253" i="12"/>
  <c r="Q237" i="12"/>
  <c r="Q221" i="12"/>
  <c r="Q205" i="12"/>
  <c r="R205" i="12" s="1"/>
  <c r="Q189" i="12"/>
  <c r="R189" i="12" s="1"/>
  <c r="Q173" i="12"/>
  <c r="R173" i="12" s="1"/>
  <c r="Q157" i="12"/>
  <c r="Q141" i="12"/>
  <c r="Q125" i="12"/>
  <c r="Q109" i="12"/>
  <c r="Q93" i="12"/>
  <c r="Q77" i="12"/>
  <c r="R77" i="12" s="1"/>
  <c r="Q61" i="12"/>
  <c r="Q45" i="12"/>
  <c r="R45" i="12" s="1"/>
  <c r="Q29" i="12"/>
  <c r="Q13" i="12"/>
  <c r="M113" i="12"/>
  <c r="M18" i="12"/>
  <c r="N288" i="12"/>
  <c r="N193" i="12"/>
  <c r="N80" i="12"/>
  <c r="Q364" i="12"/>
  <c r="Q348" i="12"/>
  <c r="Q332" i="12"/>
  <c r="Q316" i="12"/>
  <c r="Q300" i="12"/>
  <c r="Q284" i="12"/>
  <c r="R284" i="12" s="1"/>
  <c r="Q268" i="12"/>
  <c r="Q252" i="12"/>
  <c r="Q236" i="12"/>
  <c r="Q220" i="12"/>
  <c r="R220" i="12" s="1"/>
  <c r="Q204" i="12"/>
  <c r="Q188" i="12"/>
  <c r="Q172" i="12"/>
  <c r="R172" i="12" s="1"/>
  <c r="Q156" i="12"/>
  <c r="R156" i="12" s="1"/>
  <c r="Q140" i="12"/>
  <c r="R140" i="12" s="1"/>
  <c r="Q124" i="12"/>
  <c r="R124" i="12" s="1"/>
  <c r="Q108" i="12"/>
  <c r="Q92" i="12"/>
  <c r="R92" i="12" s="1"/>
  <c r="Q76" i="12"/>
  <c r="R76" i="12" s="1"/>
  <c r="Q60" i="12"/>
  <c r="Q44" i="12"/>
  <c r="R44" i="12" s="1"/>
  <c r="Q28" i="12"/>
  <c r="R28" i="12" s="1"/>
  <c r="Q12" i="12"/>
  <c r="M195" i="12"/>
  <c r="M99" i="12"/>
  <c r="N274" i="12"/>
  <c r="N178" i="12"/>
  <c r="N66" i="12"/>
  <c r="Q363" i="12"/>
  <c r="Q347" i="12"/>
  <c r="Q331" i="12"/>
  <c r="Q315" i="12"/>
  <c r="Q299" i="12"/>
  <c r="Q283" i="12"/>
  <c r="R283" i="12" s="1"/>
  <c r="Q267" i="12"/>
  <c r="Q251" i="12"/>
  <c r="Q235" i="12"/>
  <c r="R235" i="12" s="1"/>
  <c r="Q219" i="12"/>
  <c r="R219" i="12" s="1"/>
  <c r="Q203" i="12"/>
  <c r="R203" i="12" s="1"/>
  <c r="Q187" i="12"/>
  <c r="Q171" i="12"/>
  <c r="Q155" i="12"/>
  <c r="Q139" i="12"/>
  <c r="R139" i="12" s="1"/>
  <c r="Q123" i="12"/>
  <c r="R123" i="12" s="1"/>
  <c r="Q107" i="12"/>
  <c r="Q91" i="12"/>
  <c r="Q75" i="12"/>
  <c r="Q59" i="12"/>
  <c r="R59" i="12" s="1"/>
  <c r="Q43" i="12"/>
  <c r="Q27" i="12"/>
  <c r="Q11" i="12"/>
  <c r="M275" i="12"/>
  <c r="M3" i="12"/>
  <c r="N273" i="12"/>
  <c r="N177" i="12"/>
  <c r="N65" i="12"/>
  <c r="Q362" i="12"/>
  <c r="Q346" i="12"/>
  <c r="Q330" i="12"/>
  <c r="Q314" i="12"/>
  <c r="Q298" i="12"/>
  <c r="Q282" i="12"/>
  <c r="R282" i="12" s="1"/>
  <c r="Q266" i="12"/>
  <c r="R266" i="12" s="1"/>
  <c r="Q250" i="12"/>
  <c r="Q234" i="12"/>
  <c r="Q218" i="12"/>
  <c r="R218" i="12" s="1"/>
  <c r="Q202" i="12"/>
  <c r="Q186" i="12"/>
  <c r="R186" i="12" s="1"/>
  <c r="Q170" i="12"/>
  <c r="Q154" i="12"/>
  <c r="Q138" i="12"/>
  <c r="Q122" i="12"/>
  <c r="Q106" i="12"/>
  <c r="Q90" i="12"/>
  <c r="R90" i="12" s="1"/>
  <c r="Q74" i="12"/>
  <c r="Q58" i="12"/>
  <c r="R58" i="12" s="1"/>
  <c r="Q42" i="12"/>
  <c r="Q26" i="12"/>
  <c r="R26" i="12" s="1"/>
  <c r="Q10" i="12"/>
  <c r="R10" i="12" s="1"/>
  <c r="M179" i="12"/>
  <c r="N2" i="12"/>
  <c r="N272" i="12"/>
  <c r="N161" i="12"/>
  <c r="N64" i="12"/>
  <c r="Q361" i="12"/>
  <c r="Q345" i="12"/>
  <c r="Q329" i="12"/>
  <c r="Q313" i="12"/>
  <c r="Q297" i="12"/>
  <c r="Q281" i="12"/>
  <c r="Q265" i="12"/>
  <c r="Q249" i="12"/>
  <c r="Q233" i="12"/>
  <c r="R233" i="12" s="1"/>
  <c r="Q217" i="12"/>
  <c r="R217" i="12" s="1"/>
  <c r="Q201" i="12"/>
  <c r="Q185" i="12"/>
  <c r="R185" i="12" s="1"/>
  <c r="Q169" i="12"/>
  <c r="Q153" i="12"/>
  <c r="Q137" i="12"/>
  <c r="Q121" i="12"/>
  <c r="R121" i="12" s="1"/>
  <c r="Q105" i="12"/>
  <c r="R105" i="12" s="1"/>
  <c r="Q89" i="12"/>
  <c r="Q73" i="12"/>
  <c r="Q57" i="12"/>
  <c r="R57" i="12" s="1"/>
  <c r="Q41" i="12"/>
  <c r="R41" i="12" s="1"/>
  <c r="Q25" i="12"/>
  <c r="R25" i="12" s="1"/>
  <c r="Q9" i="12"/>
  <c r="R9" i="12" s="1"/>
  <c r="M83" i="12"/>
  <c r="N258" i="12"/>
  <c r="N146" i="12"/>
  <c r="Q360" i="12"/>
  <c r="Q344" i="12"/>
  <c r="Q328" i="12"/>
  <c r="Q312" i="12"/>
  <c r="R312" i="12" s="1"/>
  <c r="Q296" i="12"/>
  <c r="Q280" i="12"/>
  <c r="Q264" i="12"/>
  <c r="Q248" i="12"/>
  <c r="Q232" i="12"/>
  <c r="Q216" i="12"/>
  <c r="R216" i="12" s="1"/>
  <c r="Q200" i="12"/>
  <c r="R200" i="12" s="1"/>
  <c r="Q184" i="12"/>
  <c r="R184" i="12" s="1"/>
  <c r="Q168" i="12"/>
  <c r="R168" i="12" s="1"/>
  <c r="Q152" i="12"/>
  <c r="R152" i="12" s="1"/>
  <c r="Q136" i="12"/>
  <c r="Q120" i="12"/>
  <c r="R120" i="12" s="1"/>
  <c r="Q104" i="12"/>
  <c r="Q88" i="12"/>
  <c r="Q72" i="12"/>
  <c r="R72" i="12" s="1"/>
  <c r="Q56" i="12"/>
  <c r="R56" i="12" s="1"/>
  <c r="Q40" i="12"/>
  <c r="R40" i="12" s="1"/>
  <c r="Q24" i="12"/>
  <c r="R24" i="12" s="1"/>
  <c r="Q8" i="12"/>
  <c r="M259" i="12"/>
  <c r="N257" i="12"/>
  <c r="Q359" i="12"/>
  <c r="Q343" i="12"/>
  <c r="Q327" i="12"/>
  <c r="Q311" i="12"/>
  <c r="Q295" i="12"/>
  <c r="Q279" i="12"/>
  <c r="Q263" i="12"/>
  <c r="Q247" i="12"/>
  <c r="Q231" i="12"/>
  <c r="Q215" i="12"/>
  <c r="Q199" i="12"/>
  <c r="Q183" i="12"/>
  <c r="Q167" i="12"/>
  <c r="R167" i="12" s="1"/>
  <c r="Q151" i="12"/>
  <c r="Q135" i="12"/>
  <c r="R135" i="12" s="1"/>
  <c r="Q119" i="12"/>
  <c r="R119" i="12" s="1"/>
  <c r="Q103" i="12"/>
  <c r="R103" i="12" s="1"/>
  <c r="Q87" i="12"/>
  <c r="R87" i="12" s="1"/>
  <c r="Q71" i="12"/>
  <c r="R71" i="12" s="1"/>
  <c r="Q55" i="12"/>
  <c r="R55" i="12" s="1"/>
  <c r="Q39" i="12"/>
  <c r="Q23" i="12"/>
  <c r="R23" i="12" s="1"/>
  <c r="Q7" i="12"/>
  <c r="R7" i="12" s="1"/>
  <c r="M163" i="12"/>
  <c r="N354" i="12"/>
  <c r="N256" i="12"/>
  <c r="N48" i="12"/>
  <c r="Q358" i="12"/>
  <c r="Q342" i="12"/>
  <c r="Q326" i="12"/>
  <c r="Q310" i="12"/>
  <c r="Q294" i="12"/>
  <c r="Q278" i="12"/>
  <c r="Q262" i="12"/>
  <c r="Q246" i="12"/>
  <c r="Q230" i="12"/>
  <c r="Q214" i="12"/>
  <c r="Q198" i="12"/>
  <c r="Q182" i="12"/>
  <c r="Q166" i="12"/>
  <c r="Q150" i="12"/>
  <c r="R150" i="12" s="1"/>
  <c r="Q134" i="12"/>
  <c r="R134" i="12" s="1"/>
  <c r="Q118" i="12"/>
  <c r="Q102" i="12"/>
  <c r="Q86" i="12"/>
  <c r="Q70" i="12"/>
  <c r="Q54" i="12"/>
  <c r="Q38" i="12"/>
  <c r="Q22" i="12"/>
  <c r="Q6" i="12"/>
  <c r="R6" i="12" s="1"/>
  <c r="M355" i="12"/>
  <c r="M67" i="12"/>
  <c r="N352" i="12"/>
  <c r="N242" i="12"/>
  <c r="Q357" i="12"/>
  <c r="Q341" i="12"/>
  <c r="Q325" i="12"/>
  <c r="Q309" i="12"/>
  <c r="R309" i="12" s="1"/>
  <c r="Q293" i="12"/>
  <c r="Q277" i="12"/>
  <c r="Q261" i="12"/>
  <c r="Q245" i="12"/>
  <c r="R245" i="12" s="1"/>
  <c r="Q229" i="12"/>
  <c r="Q213" i="12"/>
  <c r="Q197" i="12"/>
  <c r="Q181" i="12"/>
  <c r="Q165" i="12"/>
  <c r="R165" i="12" s="1"/>
  <c r="Q149" i="12"/>
  <c r="Q133" i="12"/>
  <c r="Q117" i="12"/>
  <c r="Q101" i="12"/>
  <c r="Q85" i="12"/>
  <c r="R85" i="12" s="1"/>
  <c r="Q69" i="12"/>
  <c r="R69" i="12" s="1"/>
  <c r="Q53" i="12"/>
  <c r="R53" i="12" s="1"/>
  <c r="Q37" i="12"/>
  <c r="Q21" i="12"/>
  <c r="Q5" i="12"/>
  <c r="M243" i="12"/>
  <c r="M147" i="12"/>
  <c r="N32" i="12"/>
  <c r="Q356" i="12"/>
  <c r="Q340" i="12"/>
  <c r="Q324" i="12"/>
  <c r="Q308" i="12"/>
  <c r="Q292" i="12"/>
  <c r="Q276" i="12"/>
  <c r="R276" i="12" s="1"/>
  <c r="Q260" i="12"/>
  <c r="Q244" i="12"/>
  <c r="Q228" i="12"/>
  <c r="Q212" i="12"/>
  <c r="Q196" i="12"/>
  <c r="R196" i="12" s="1"/>
  <c r="Q180" i="12"/>
  <c r="R180" i="12" s="1"/>
  <c r="Q164" i="12"/>
  <c r="Q148" i="12"/>
  <c r="R148" i="12" s="1"/>
  <c r="Q132" i="12"/>
  <c r="Q116" i="12"/>
  <c r="Q100" i="12"/>
  <c r="Q84" i="12"/>
  <c r="Q68" i="12"/>
  <c r="Q52" i="12"/>
  <c r="Q36" i="12"/>
  <c r="R36" i="12" s="1"/>
  <c r="Q20" i="12"/>
  <c r="Q4" i="12"/>
  <c r="M339" i="12"/>
  <c r="N336" i="12"/>
  <c r="N240" i="12"/>
  <c r="M192" i="12"/>
  <c r="M176" i="12"/>
  <c r="M160" i="12"/>
  <c r="M144" i="12"/>
  <c r="M128" i="12"/>
  <c r="N351" i="12"/>
  <c r="N335" i="12"/>
  <c r="N319" i="12"/>
  <c r="N303" i="12"/>
  <c r="N287" i="12"/>
  <c r="N271" i="12"/>
  <c r="N255" i="12"/>
  <c r="N239" i="12"/>
  <c r="N223" i="12"/>
  <c r="N207" i="12"/>
  <c r="N191" i="12"/>
  <c r="N175" i="12"/>
  <c r="N159" i="12"/>
  <c r="N143" i="12"/>
  <c r="N127" i="12"/>
  <c r="O127" i="12" s="1"/>
  <c r="N111" i="12"/>
  <c r="N95" i="12"/>
  <c r="N79" i="12"/>
  <c r="N63" i="12"/>
  <c r="N47" i="12"/>
  <c r="N31" i="12"/>
  <c r="N15" i="12"/>
  <c r="N366" i="12"/>
  <c r="N350" i="12"/>
  <c r="N334" i="12"/>
  <c r="N318" i="12"/>
  <c r="N302" i="12"/>
  <c r="N286" i="12"/>
  <c r="N270" i="12"/>
  <c r="N254" i="12"/>
  <c r="N238" i="12"/>
  <c r="N222" i="12"/>
  <c r="N206" i="12"/>
  <c r="N190" i="12"/>
  <c r="N174" i="12"/>
  <c r="N158" i="12"/>
  <c r="N142" i="12"/>
  <c r="N126" i="12"/>
  <c r="N110" i="12"/>
  <c r="N94" i="12"/>
  <c r="N78" i="12"/>
  <c r="N62" i="12"/>
  <c r="N46" i="12"/>
  <c r="N30" i="12"/>
  <c r="N14" i="12"/>
  <c r="N365" i="12"/>
  <c r="N349" i="12"/>
  <c r="N333" i="12"/>
  <c r="N317" i="12"/>
  <c r="N301" i="12"/>
  <c r="N285" i="12"/>
  <c r="N269" i="12"/>
  <c r="N253" i="12"/>
  <c r="N237" i="12"/>
  <c r="N221" i="12"/>
  <c r="N205" i="12"/>
  <c r="N189" i="12"/>
  <c r="N173" i="12"/>
  <c r="N157" i="12"/>
  <c r="N141" i="12"/>
  <c r="N125" i="12"/>
  <c r="N109" i="12"/>
  <c r="N93" i="12"/>
  <c r="N77" i="12"/>
  <c r="N61" i="12"/>
  <c r="N45" i="12"/>
  <c r="O45" i="12" s="1"/>
  <c r="N29" i="12"/>
  <c r="N13" i="12"/>
  <c r="M321" i="12"/>
  <c r="R292" i="12"/>
  <c r="N364" i="12"/>
  <c r="N348" i="12"/>
  <c r="N332" i="12"/>
  <c r="N316" i="12"/>
  <c r="N300" i="12"/>
  <c r="N284" i="12"/>
  <c r="O284" i="12" s="1"/>
  <c r="N268" i="12"/>
  <c r="N252" i="12"/>
  <c r="N236" i="12"/>
  <c r="N220" i="12"/>
  <c r="N204" i="12"/>
  <c r="N188" i="12"/>
  <c r="O188" i="12" s="1"/>
  <c r="N172" i="12"/>
  <c r="N156" i="12"/>
  <c r="N140" i="12"/>
  <c r="N124" i="12"/>
  <c r="N108" i="12"/>
  <c r="N92" i="12"/>
  <c r="N76" i="12"/>
  <c r="N60" i="12"/>
  <c r="N44" i="12"/>
  <c r="N28" i="12"/>
  <c r="O28" i="12" s="1"/>
  <c r="N12" i="12"/>
  <c r="M353" i="12"/>
  <c r="N363" i="12"/>
  <c r="O363" i="12" s="1"/>
  <c r="N347" i="12"/>
  <c r="O347" i="12" s="1"/>
  <c r="N331" i="12"/>
  <c r="N315" i="12"/>
  <c r="N299" i="12"/>
  <c r="N283" i="12"/>
  <c r="N267" i="12"/>
  <c r="N251" i="12"/>
  <c r="N235" i="12"/>
  <c r="N219" i="12"/>
  <c r="N203" i="12"/>
  <c r="N187" i="12"/>
  <c r="N171" i="12"/>
  <c r="N155" i="12"/>
  <c r="N139" i="12"/>
  <c r="N123" i="12"/>
  <c r="N107" i="12"/>
  <c r="N91" i="12"/>
  <c r="N75" i="12"/>
  <c r="N59" i="12"/>
  <c r="N43" i="12"/>
  <c r="N27" i="12"/>
  <c r="N11" i="12"/>
  <c r="N362" i="12"/>
  <c r="N346" i="12"/>
  <c r="N330" i="12"/>
  <c r="N314" i="12"/>
  <c r="N298" i="12"/>
  <c r="N282" i="12"/>
  <c r="N266" i="12"/>
  <c r="N250" i="12"/>
  <c r="N234" i="12"/>
  <c r="N218" i="12"/>
  <c r="N202" i="12"/>
  <c r="N186" i="12"/>
  <c r="N170" i="12"/>
  <c r="N154" i="12"/>
  <c r="N138" i="12"/>
  <c r="N122" i="12"/>
  <c r="N106" i="12"/>
  <c r="N90" i="12"/>
  <c r="N74" i="12"/>
  <c r="N58" i="12"/>
  <c r="N42" i="12"/>
  <c r="N26" i="12"/>
  <c r="N10" i="12"/>
  <c r="N162" i="12"/>
  <c r="N305" i="12"/>
  <c r="N33" i="12"/>
  <c r="M337" i="12"/>
  <c r="O337" i="12" s="1"/>
  <c r="N361" i="12"/>
  <c r="N345" i="12"/>
  <c r="N329" i="12"/>
  <c r="N313" i="12"/>
  <c r="N297" i="12"/>
  <c r="N281" i="12"/>
  <c r="N265" i="12"/>
  <c r="N249" i="12"/>
  <c r="N233" i="12"/>
  <c r="N217" i="12"/>
  <c r="N201" i="12"/>
  <c r="N185" i="12"/>
  <c r="N169" i="12"/>
  <c r="N153" i="12"/>
  <c r="N137" i="12"/>
  <c r="N121" i="12"/>
  <c r="N105" i="12"/>
  <c r="N89" i="12"/>
  <c r="N73" i="12"/>
  <c r="N57" i="12"/>
  <c r="N41" i="12"/>
  <c r="N25" i="12"/>
  <c r="N9" i="12"/>
  <c r="N360" i="12"/>
  <c r="N344" i="12"/>
  <c r="N328" i="12"/>
  <c r="N312" i="12"/>
  <c r="N296" i="12"/>
  <c r="N280" i="12"/>
  <c r="N264" i="12"/>
  <c r="O264" i="12" s="1"/>
  <c r="N248" i="12"/>
  <c r="N232" i="12"/>
  <c r="N216" i="12"/>
  <c r="N200" i="12"/>
  <c r="N184" i="12"/>
  <c r="N168" i="12"/>
  <c r="N152" i="12"/>
  <c r="N136" i="12"/>
  <c r="N120" i="12"/>
  <c r="N104" i="12"/>
  <c r="N88" i="12"/>
  <c r="N72" i="12"/>
  <c r="N56" i="12"/>
  <c r="N40" i="12"/>
  <c r="N24" i="12"/>
  <c r="N8" i="12"/>
  <c r="M194" i="12"/>
  <c r="N359" i="12"/>
  <c r="N343" i="12"/>
  <c r="N327" i="12"/>
  <c r="N311" i="12"/>
  <c r="N295" i="12"/>
  <c r="N279" i="12"/>
  <c r="N263" i="12"/>
  <c r="N247" i="12"/>
  <c r="N231" i="12"/>
  <c r="N215" i="12"/>
  <c r="N199" i="12"/>
  <c r="N183" i="12"/>
  <c r="N167" i="12"/>
  <c r="N151" i="12"/>
  <c r="N135" i="12"/>
  <c r="N119" i="12"/>
  <c r="N103" i="12"/>
  <c r="N87" i="12"/>
  <c r="N71" i="12"/>
  <c r="N55" i="12"/>
  <c r="N39" i="12"/>
  <c r="N23" i="12"/>
  <c r="N7" i="12"/>
  <c r="N358" i="12"/>
  <c r="N342" i="12"/>
  <c r="N326" i="12"/>
  <c r="N310" i="12"/>
  <c r="N294" i="12"/>
  <c r="O294" i="12" s="1"/>
  <c r="N278" i="12"/>
  <c r="N262" i="12"/>
  <c r="N246" i="12"/>
  <c r="N230" i="12"/>
  <c r="N214" i="12"/>
  <c r="N198" i="12"/>
  <c r="N182" i="12"/>
  <c r="N166" i="12"/>
  <c r="N150" i="12"/>
  <c r="N134" i="12"/>
  <c r="N118" i="12"/>
  <c r="N102" i="12"/>
  <c r="N86" i="12"/>
  <c r="N70" i="12"/>
  <c r="N54" i="12"/>
  <c r="N38" i="12"/>
  <c r="N22" i="12"/>
  <c r="N6" i="12"/>
  <c r="N357" i="12"/>
  <c r="N341" i="12"/>
  <c r="N325" i="12"/>
  <c r="N309" i="12"/>
  <c r="N293" i="12"/>
  <c r="N277" i="12"/>
  <c r="N261" i="12"/>
  <c r="N245" i="12"/>
  <c r="N229" i="12"/>
  <c r="N213" i="12"/>
  <c r="N197" i="12"/>
  <c r="N181" i="12"/>
  <c r="N165" i="12"/>
  <c r="O165" i="12" s="1"/>
  <c r="N149" i="12"/>
  <c r="N133" i="12"/>
  <c r="N117" i="12"/>
  <c r="N101" i="12"/>
  <c r="N85" i="12"/>
  <c r="N69" i="12"/>
  <c r="N53" i="12"/>
  <c r="N37" i="12"/>
  <c r="N21" i="12"/>
  <c r="N5" i="12"/>
  <c r="N356" i="12"/>
  <c r="N340" i="12"/>
  <c r="N324" i="12"/>
  <c r="N308" i="12"/>
  <c r="N292" i="12"/>
  <c r="N276" i="12"/>
  <c r="N260" i="12"/>
  <c r="N244" i="12"/>
  <c r="N228" i="12"/>
  <c r="N212" i="12"/>
  <c r="N196" i="12"/>
  <c r="N180" i="12"/>
  <c r="N164" i="12"/>
  <c r="N148" i="12"/>
  <c r="N132" i="12"/>
  <c r="N116" i="12"/>
  <c r="N100" i="12"/>
  <c r="N84" i="12"/>
  <c r="N68" i="12"/>
  <c r="N52" i="12"/>
  <c r="N36" i="12"/>
  <c r="N20" i="12"/>
  <c r="N4" i="12"/>
  <c r="T208" i="5"/>
  <c r="L128" i="10"/>
  <c r="L110" i="10"/>
  <c r="G48" i="4"/>
  <c r="O116" i="12"/>
  <c r="L223" i="10"/>
  <c r="L225" i="10"/>
  <c r="L227" i="10"/>
  <c r="L291" i="10"/>
  <c r="L302" i="10"/>
  <c r="L304" i="10"/>
  <c r="L306" i="10"/>
  <c r="L335" i="10"/>
  <c r="L346" i="10"/>
  <c r="F55" i="4"/>
  <c r="L37" i="10"/>
  <c r="L109" i="10"/>
  <c r="L261" i="10"/>
  <c r="L263" i="10"/>
  <c r="L278" i="10"/>
  <c r="L25" i="10"/>
  <c r="L116" i="10"/>
  <c r="L117" i="10"/>
  <c r="L224" i="10"/>
  <c r="L260" i="10"/>
  <c r="L277" i="10"/>
  <c r="L292" i="10"/>
  <c r="L303" i="10"/>
  <c r="L305" i="10"/>
  <c r="L262" i="10"/>
  <c r="L279" i="10"/>
  <c r="L307" i="10"/>
  <c r="L137" i="10"/>
  <c r="L201" i="10"/>
  <c r="L8" i="10"/>
  <c r="L73" i="10"/>
  <c r="L140" i="10"/>
  <c r="L113" i="10"/>
  <c r="L205" i="10"/>
  <c r="L207" i="10"/>
  <c r="L251" i="10"/>
  <c r="L266" i="10"/>
  <c r="L350" i="10"/>
  <c r="D62" i="4"/>
  <c r="L4" i="10"/>
  <c r="L209" i="10"/>
  <c r="L268" i="10"/>
  <c r="L283" i="10"/>
  <c r="L41" i="10"/>
  <c r="L45" i="10"/>
  <c r="L70" i="10"/>
  <c r="L141" i="10"/>
  <c r="L62" i="10"/>
  <c r="L72" i="10"/>
  <c r="L132" i="10"/>
  <c r="E8" i="4"/>
  <c r="F62" i="4"/>
  <c r="E59" i="4"/>
  <c r="D59" i="4"/>
  <c r="G38" i="4"/>
  <c r="F58" i="4"/>
  <c r="D55" i="4"/>
  <c r="L126" i="10"/>
  <c r="L135" i="10"/>
  <c r="L108" i="10"/>
  <c r="R210" i="12"/>
  <c r="L33" i="10"/>
  <c r="R104" i="12"/>
  <c r="L35" i="10"/>
  <c r="L86" i="10"/>
  <c r="L90" i="10"/>
  <c r="L98" i="10"/>
  <c r="L111" i="10"/>
  <c r="L120" i="10"/>
  <c r="L138" i="10"/>
  <c r="L182" i="10"/>
  <c r="L190" i="10"/>
  <c r="L214" i="10"/>
  <c r="L239" i="10"/>
  <c r="L256" i="10"/>
  <c r="L271" i="10"/>
  <c r="L273" i="10"/>
  <c r="L284" i="10"/>
  <c r="L299" i="10"/>
  <c r="L15" i="10"/>
  <c r="L76" i="10"/>
  <c r="L78" i="10"/>
  <c r="L129" i="10"/>
  <c r="L154" i="10"/>
  <c r="L192" i="10"/>
  <c r="L241" i="10"/>
  <c r="L275" i="10"/>
  <c r="L286" i="10"/>
  <c r="L288" i="10"/>
  <c r="L290" i="10"/>
  <c r="L301" i="10"/>
  <c r="L334" i="10"/>
  <c r="L345" i="10"/>
  <c r="L125" i="10"/>
  <c r="L203" i="10"/>
  <c r="L247" i="10"/>
  <c r="L264" i="10"/>
  <c r="L294" i="10"/>
  <c r="L309" i="10"/>
  <c r="L105" i="10"/>
  <c r="L249" i="10"/>
  <c r="L281" i="10"/>
  <c r="L296" i="10"/>
  <c r="L332" i="10"/>
  <c r="L22" i="10"/>
  <c r="L95" i="10"/>
  <c r="L112" i="10"/>
  <c r="L121" i="10"/>
  <c r="L298" i="10"/>
  <c r="L20" i="10"/>
  <c r="L79" i="10"/>
  <c r="L97" i="10"/>
  <c r="L130" i="10"/>
  <c r="L177" i="10"/>
  <c r="L189" i="10"/>
  <c r="L191" i="10"/>
  <c r="L215" i="10"/>
  <c r="L217" i="10"/>
  <c r="L238" i="10"/>
  <c r="L255" i="10"/>
  <c r="L270" i="10"/>
  <c r="L272" i="10"/>
  <c r="L274" i="10"/>
  <c r="L285" i="10"/>
  <c r="D35" i="4"/>
  <c r="L146" i="10"/>
  <c r="L195" i="10"/>
  <c r="L231" i="10"/>
  <c r="L246" i="10"/>
  <c r="L280" i="10"/>
  <c r="L295" i="10"/>
  <c r="L360" i="10"/>
  <c r="L106" i="10"/>
  <c r="L124" i="10"/>
  <c r="L133" i="10"/>
  <c r="L233" i="10"/>
  <c r="L265" i="10"/>
  <c r="L310" i="10"/>
  <c r="L342" i="10"/>
  <c r="O332" i="12"/>
  <c r="M357" i="7"/>
  <c r="M341" i="7"/>
  <c r="M325" i="7"/>
  <c r="M309" i="7"/>
  <c r="M293" i="7"/>
  <c r="M277" i="7"/>
  <c r="M261" i="7"/>
  <c r="M245" i="7"/>
  <c r="M229" i="7"/>
  <c r="M362" i="7"/>
  <c r="M346" i="7"/>
  <c r="M330" i="7"/>
  <c r="M314" i="7"/>
  <c r="M298" i="7"/>
  <c r="M282" i="7"/>
  <c r="M266" i="7"/>
  <c r="M250" i="7"/>
  <c r="M234" i="7"/>
  <c r="M351" i="7"/>
  <c r="M335" i="7"/>
  <c r="M319" i="7"/>
  <c r="M303" i="7"/>
  <c r="M287" i="7"/>
  <c r="M271" i="7"/>
  <c r="M255" i="7"/>
  <c r="M239" i="7"/>
  <c r="M356" i="7"/>
  <c r="M340" i="7"/>
  <c r="M324" i="7"/>
  <c r="M308" i="7"/>
  <c r="M292" i="7"/>
  <c r="M276" i="7"/>
  <c r="M260" i="7"/>
  <c r="M244" i="7"/>
  <c r="M358" i="7"/>
  <c r="M342" i="7"/>
  <c r="M363" i="7"/>
  <c r="M347" i="7"/>
  <c r="M331" i="7"/>
  <c r="M315" i="7"/>
  <c r="M299" i="7"/>
  <c r="M283" i="7"/>
  <c r="M267" i="7"/>
  <c r="M251" i="7"/>
  <c r="M352" i="7"/>
  <c r="M336" i="7"/>
  <c r="M320" i="7"/>
  <c r="M304" i="7"/>
  <c r="M288" i="7"/>
  <c r="M272" i="7"/>
  <c r="M256" i="7"/>
  <c r="M240" i="7"/>
  <c r="M224" i="7"/>
  <c r="M366" i="7"/>
  <c r="M365" i="7"/>
  <c r="M290" i="7"/>
  <c r="M284" i="7"/>
  <c r="M278" i="7"/>
  <c r="M249" i="7"/>
  <c r="M236" i="7"/>
  <c r="M211" i="7"/>
  <c r="M195" i="7"/>
  <c r="M348" i="7"/>
  <c r="M296" i="7"/>
  <c r="M254" i="7"/>
  <c r="M253" i="7"/>
  <c r="M247" i="7"/>
  <c r="M241" i="7"/>
  <c r="M233" i="7"/>
  <c r="M232" i="7"/>
  <c r="M222" i="7"/>
  <c r="M216" i="7"/>
  <c r="M200" i="7"/>
  <c r="M355" i="7"/>
  <c r="M332" i="7"/>
  <c r="M326" i="7"/>
  <c r="M297" i="7"/>
  <c r="M205" i="7"/>
  <c r="M189" i="7"/>
  <c r="M364" i="7"/>
  <c r="M354" i="7"/>
  <c r="M339" i="7"/>
  <c r="M302" i="7"/>
  <c r="M301" i="7"/>
  <c r="M295" i="7"/>
  <c r="M289" i="7"/>
  <c r="M259" i="7"/>
  <c r="M235" i="7"/>
  <c r="M338" i="7"/>
  <c r="M307" i="7"/>
  <c r="M353" i="7"/>
  <c r="M313" i="7"/>
  <c r="M360" i="7"/>
  <c r="M344" i="7"/>
  <c r="M361" i="7"/>
  <c r="M345" i="7"/>
  <c r="M359" i="7"/>
  <c r="M343" i="7"/>
  <c r="M323" i="7"/>
  <c r="M322" i="7"/>
  <c r="M316" i="7"/>
  <c r="M310" i="7"/>
  <c r="M281" i="7"/>
  <c r="M328" i="7"/>
  <c r="M286" i="7"/>
  <c r="M285" i="7"/>
  <c r="M279" i="7"/>
  <c r="M273" i="7"/>
  <c r="M243" i="7"/>
  <c r="M238" i="7"/>
  <c r="M237" i="7"/>
  <c r="M350" i="7"/>
  <c r="M349" i="7"/>
  <c r="M329" i="7"/>
  <c r="M334" i="7"/>
  <c r="M333" i="7"/>
  <c r="M327" i="7"/>
  <c r="M321" i="7"/>
  <c r="M337" i="7"/>
  <c r="M294" i="7"/>
  <c r="M269" i="7"/>
  <c r="M258" i="7"/>
  <c r="M218" i="7"/>
  <c r="M204" i="7"/>
  <c r="M192" i="7"/>
  <c r="M180" i="7"/>
  <c r="M164" i="7"/>
  <c r="M148" i="7"/>
  <c r="M132" i="7"/>
  <c r="M116" i="7"/>
  <c r="M270" i="7"/>
  <c r="M206" i="7"/>
  <c r="M203" i="7"/>
  <c r="M185" i="7"/>
  <c r="M169" i="7"/>
  <c r="M153" i="7"/>
  <c r="M137" i="7"/>
  <c r="M121" i="7"/>
  <c r="M268" i="7"/>
  <c r="M217" i="7"/>
  <c r="M215" i="7"/>
  <c r="M214" i="7"/>
  <c r="M174" i="7"/>
  <c r="M158" i="7"/>
  <c r="M142" i="7"/>
  <c r="M126" i="7"/>
  <c r="M110" i="7"/>
  <c r="M191" i="7"/>
  <c r="M179" i="7"/>
  <c r="M163" i="7"/>
  <c r="M147" i="7"/>
  <c r="M131" i="7"/>
  <c r="M202" i="7"/>
  <c r="M184" i="7"/>
  <c r="M168" i="7"/>
  <c r="M152" i="7"/>
  <c r="M136" i="7"/>
  <c r="M120" i="7"/>
  <c r="M280" i="7"/>
  <c r="M213" i="7"/>
  <c r="M173" i="7"/>
  <c r="M157" i="7"/>
  <c r="M141" i="7"/>
  <c r="M125" i="7"/>
  <c r="M305" i="7"/>
  <c r="M190" i="7"/>
  <c r="M178" i="7"/>
  <c r="M162" i="7"/>
  <c r="M146" i="7"/>
  <c r="M130" i="7"/>
  <c r="M114" i="7"/>
  <c r="M311" i="7"/>
  <c r="M246" i="7"/>
  <c r="M227" i="7"/>
  <c r="M201" i="7"/>
  <c r="M199" i="7"/>
  <c r="M198" i="7"/>
  <c r="M183" i="7"/>
  <c r="M167" i="7"/>
  <c r="M151" i="7"/>
  <c r="M135" i="7"/>
  <c r="M317" i="7"/>
  <c r="M306" i="7"/>
  <c r="M275" i="7"/>
  <c r="M274" i="7"/>
  <c r="M242" i="7"/>
  <c r="M228" i="7"/>
  <c r="M212" i="7"/>
  <c r="M188" i="7"/>
  <c r="M172" i="7"/>
  <c r="M156" i="7"/>
  <c r="M140" i="7"/>
  <c r="M312" i="7"/>
  <c r="M226" i="7"/>
  <c r="M210" i="7"/>
  <c r="M209" i="7"/>
  <c r="M177" i="7"/>
  <c r="M161" i="7"/>
  <c r="M145" i="7"/>
  <c r="M129" i="7"/>
  <c r="M263" i="7"/>
  <c r="M197" i="7"/>
  <c r="M182" i="7"/>
  <c r="M166" i="7"/>
  <c r="M264" i="7"/>
  <c r="M221" i="7"/>
  <c r="M220" i="7"/>
  <c r="M208" i="7"/>
  <c r="M187" i="7"/>
  <c r="M171" i="7"/>
  <c r="M318" i="7"/>
  <c r="M262" i="7"/>
  <c r="M252" i="7"/>
  <c r="M248" i="7"/>
  <c r="M225" i="7"/>
  <c r="M176" i="7"/>
  <c r="M265" i="7"/>
  <c r="M231" i="7"/>
  <c r="M230" i="7"/>
  <c r="M223" i="7"/>
  <c r="M196" i="7"/>
  <c r="M181" i="7"/>
  <c r="M165" i="7"/>
  <c r="M194" i="7"/>
  <c r="M98" i="7"/>
  <c r="M82" i="7"/>
  <c r="M66" i="7"/>
  <c r="M50" i="7"/>
  <c r="M34" i="7"/>
  <c r="M18" i="7"/>
  <c r="M2" i="7"/>
  <c r="M207" i="7"/>
  <c r="M111" i="7"/>
  <c r="M103" i="7"/>
  <c r="M87" i="7"/>
  <c r="M71" i="7"/>
  <c r="M55" i="7"/>
  <c r="M39" i="7"/>
  <c r="M23" i="7"/>
  <c r="M7" i="7"/>
  <c r="M159" i="7"/>
  <c r="M154" i="7"/>
  <c r="M109" i="7"/>
  <c r="M92" i="7"/>
  <c r="M76" i="7"/>
  <c r="M60" i="7"/>
  <c r="M44" i="7"/>
  <c r="M28" i="7"/>
  <c r="M12" i="7"/>
  <c r="M160" i="7"/>
  <c r="M155" i="7"/>
  <c r="M97" i="7"/>
  <c r="M81" i="7"/>
  <c r="M149" i="7"/>
  <c r="M123" i="7"/>
  <c r="M108" i="7"/>
  <c r="M102" i="7"/>
  <c r="M86" i="7"/>
  <c r="M70" i="7"/>
  <c r="M54" i="7"/>
  <c r="M38" i="7"/>
  <c r="M22" i="7"/>
  <c r="M6" i="7"/>
  <c r="M175" i="7"/>
  <c r="M143" i="7"/>
  <c r="M124" i="7"/>
  <c r="M96" i="7"/>
  <c r="M80" i="7"/>
  <c r="M64" i="7"/>
  <c r="M48" i="7"/>
  <c r="M32" i="7"/>
  <c r="M257" i="7"/>
  <c r="M107" i="7"/>
  <c r="M101" i="7"/>
  <c r="M85" i="7"/>
  <c r="M69" i="7"/>
  <c r="M53" i="7"/>
  <c r="M37" i="7"/>
  <c r="M139" i="7"/>
  <c r="M138" i="7"/>
  <c r="M90" i="7"/>
  <c r="M74" i="7"/>
  <c r="M58" i="7"/>
  <c r="M42" i="7"/>
  <c r="M26" i="7"/>
  <c r="M10" i="7"/>
  <c r="M291" i="7"/>
  <c r="M95" i="7"/>
  <c r="M79" i="7"/>
  <c r="M63" i="7"/>
  <c r="M47" i="7"/>
  <c r="M31" i="7"/>
  <c r="M15" i="7"/>
  <c r="M219" i="7"/>
  <c r="M186" i="7"/>
  <c r="M133" i="7"/>
  <c r="M106" i="7"/>
  <c r="M100" i="7"/>
  <c r="M84" i="7"/>
  <c r="M68" i="7"/>
  <c r="M134" i="7"/>
  <c r="M89" i="7"/>
  <c r="M300" i="7"/>
  <c r="M193" i="7"/>
  <c r="M118" i="7"/>
  <c r="M113" i="7"/>
  <c r="M105" i="7"/>
  <c r="M94" i="7"/>
  <c r="M78" i="7"/>
  <c r="M62" i="7"/>
  <c r="M128" i="7"/>
  <c r="M119" i="7"/>
  <c r="M99" i="7"/>
  <c r="M83" i="7"/>
  <c r="M67" i="7"/>
  <c r="M51" i="7"/>
  <c r="M88" i="7"/>
  <c r="M61" i="7"/>
  <c r="M30" i="7"/>
  <c r="M5" i="7"/>
  <c r="M170" i="7"/>
  <c r="M112" i="7"/>
  <c r="M41" i="7"/>
  <c r="M40" i="7"/>
  <c r="M29" i="7"/>
  <c r="M9" i="7"/>
  <c r="M104" i="7"/>
  <c r="M4" i="7"/>
  <c r="M93" i="7"/>
  <c r="M77" i="7"/>
  <c r="M49" i="7"/>
  <c r="M11" i="7"/>
  <c r="M8" i="7"/>
  <c r="M72" i="7"/>
  <c r="M14" i="7"/>
  <c r="M56" i="7"/>
  <c r="M21" i="7"/>
  <c r="M20" i="7"/>
  <c r="M16" i="7"/>
  <c r="M13" i="7"/>
  <c r="M3" i="7"/>
  <c r="M19" i="7"/>
  <c r="M17" i="7"/>
  <c r="M127" i="7"/>
  <c r="M73" i="7"/>
  <c r="M57" i="7"/>
  <c r="M43" i="7"/>
  <c r="M117" i="7"/>
  <c r="M35" i="7"/>
  <c r="M33" i="7"/>
  <c r="M36" i="7"/>
  <c r="M25" i="7"/>
  <c r="M24" i="7"/>
  <c r="M150" i="7"/>
  <c r="M52" i="7"/>
  <c r="M46" i="7"/>
  <c r="M45" i="7"/>
  <c r="M144" i="7"/>
  <c r="M122" i="7"/>
  <c r="M65" i="7"/>
  <c r="M59" i="7"/>
  <c r="M75" i="7"/>
  <c r="M27" i="7"/>
  <c r="M115" i="7"/>
  <c r="M91" i="7"/>
  <c r="D33" i="4"/>
  <c r="B5" i="10"/>
  <c r="L5" i="10" s="1"/>
  <c r="B47" i="10"/>
  <c r="L47" i="10" s="1"/>
  <c r="B64" i="10"/>
  <c r="L64" i="10" s="1"/>
  <c r="B12" i="10"/>
  <c r="L12" i="10" s="1"/>
  <c r="B17" i="10"/>
  <c r="L17" i="10" s="1"/>
  <c r="B59" i="10"/>
  <c r="L59" i="10" s="1"/>
  <c r="D32" i="4"/>
  <c r="K5" i="10"/>
  <c r="B24" i="10"/>
  <c r="L24" i="10" s="1"/>
  <c r="B27" i="10"/>
  <c r="L27" i="10" s="1"/>
  <c r="B55" i="10"/>
  <c r="L55" i="10" s="1"/>
  <c r="B39" i="10"/>
  <c r="L39" i="10" s="1"/>
  <c r="C62" i="4"/>
  <c r="C55" i="4"/>
  <c r="C8" i="4"/>
  <c r="L352" i="7"/>
  <c r="L336" i="7"/>
  <c r="L320" i="7"/>
  <c r="L304" i="7"/>
  <c r="L288" i="7"/>
  <c r="L272" i="7"/>
  <c r="L256" i="7"/>
  <c r="L240" i="7"/>
  <c r="L357" i="7"/>
  <c r="L341" i="7"/>
  <c r="L325" i="7"/>
  <c r="L309" i="7"/>
  <c r="L293" i="7"/>
  <c r="L277" i="7"/>
  <c r="L261" i="7"/>
  <c r="L245" i="7"/>
  <c r="L229" i="7"/>
  <c r="L362" i="7"/>
  <c r="L346" i="7"/>
  <c r="L330" i="7"/>
  <c r="L314" i="7"/>
  <c r="L298" i="7"/>
  <c r="L282" i="7"/>
  <c r="L266" i="7"/>
  <c r="L250" i="7"/>
  <c r="L351" i="7"/>
  <c r="L335" i="7"/>
  <c r="L319" i="7"/>
  <c r="L303" i="7"/>
  <c r="L287" i="7"/>
  <c r="L271" i="7"/>
  <c r="L255" i="7"/>
  <c r="L239" i="7"/>
  <c r="L364" i="7"/>
  <c r="L353" i="7"/>
  <c r="L337" i="7"/>
  <c r="L358" i="7"/>
  <c r="L342" i="7"/>
  <c r="L326" i="7"/>
  <c r="L310" i="7"/>
  <c r="L294" i="7"/>
  <c r="L278" i="7"/>
  <c r="L262" i="7"/>
  <c r="L246" i="7"/>
  <c r="L363" i="7"/>
  <c r="L347" i="7"/>
  <c r="L331" i="7"/>
  <c r="L315" i="7"/>
  <c r="L299" i="7"/>
  <c r="L283" i="7"/>
  <c r="L267" i="7"/>
  <c r="L251" i="7"/>
  <c r="L235" i="7"/>
  <c r="L219" i="7"/>
  <c r="L334" i="7"/>
  <c r="L333" i="7"/>
  <c r="L327" i="7"/>
  <c r="L321" i="7"/>
  <c r="L291" i="7"/>
  <c r="L248" i="7"/>
  <c r="L244" i="7"/>
  <c r="L223" i="7"/>
  <c r="L206" i="7"/>
  <c r="L190" i="7"/>
  <c r="L366" i="7"/>
  <c r="L365" i="7"/>
  <c r="L290" i="7"/>
  <c r="L284" i="7"/>
  <c r="L249" i="7"/>
  <c r="L236" i="7"/>
  <c r="L211" i="7"/>
  <c r="L195" i="7"/>
  <c r="L348" i="7"/>
  <c r="L296" i="7"/>
  <c r="L292" i="7"/>
  <c r="L254" i="7"/>
  <c r="L253" i="7"/>
  <c r="L247" i="7"/>
  <c r="L241" i="7"/>
  <c r="L233" i="7"/>
  <c r="L232" i="7"/>
  <c r="L222" i="7"/>
  <c r="L216" i="7"/>
  <c r="L200" i="7"/>
  <c r="L355" i="7"/>
  <c r="L332" i="7"/>
  <c r="L297" i="7"/>
  <c r="L234" i="7"/>
  <c r="L354" i="7"/>
  <c r="L339" i="7"/>
  <c r="L302" i="7"/>
  <c r="L301" i="7"/>
  <c r="L295" i="7"/>
  <c r="L289" i="7"/>
  <c r="L356" i="7"/>
  <c r="L338" i="7"/>
  <c r="L312" i="7"/>
  <c r="L308" i="7"/>
  <c r="L360" i="7"/>
  <c r="L344" i="7"/>
  <c r="L318" i="7"/>
  <c r="L361" i="7"/>
  <c r="L345" i="7"/>
  <c r="L359" i="7"/>
  <c r="L343" i="7"/>
  <c r="L323" i="7"/>
  <c r="L280" i="7"/>
  <c r="L276" i="7"/>
  <c r="L322" i="7"/>
  <c r="L316" i="7"/>
  <c r="L281" i="7"/>
  <c r="L225" i="7"/>
  <c r="L328" i="7"/>
  <c r="L324" i="7"/>
  <c r="L350" i="7"/>
  <c r="L349" i="7"/>
  <c r="L329" i="7"/>
  <c r="L300" i="7"/>
  <c r="L257" i="7"/>
  <c r="L175" i="7"/>
  <c r="L159" i="7"/>
  <c r="L143" i="7"/>
  <c r="L127" i="7"/>
  <c r="L111" i="7"/>
  <c r="L269" i="7"/>
  <c r="L258" i="7"/>
  <c r="L218" i="7"/>
  <c r="L205" i="7"/>
  <c r="L204" i="7"/>
  <c r="L192" i="7"/>
  <c r="L180" i="7"/>
  <c r="L164" i="7"/>
  <c r="L148" i="7"/>
  <c r="L132" i="7"/>
  <c r="L116" i="7"/>
  <c r="L270" i="7"/>
  <c r="L259" i="7"/>
  <c r="L203" i="7"/>
  <c r="L185" i="7"/>
  <c r="L169" i="7"/>
  <c r="L153" i="7"/>
  <c r="L137" i="7"/>
  <c r="L121" i="7"/>
  <c r="L105" i="7"/>
  <c r="L268" i="7"/>
  <c r="L217" i="7"/>
  <c r="L215" i="7"/>
  <c r="L214" i="7"/>
  <c r="L174" i="7"/>
  <c r="L158" i="7"/>
  <c r="L142" i="7"/>
  <c r="L126" i="7"/>
  <c r="L285" i="7"/>
  <c r="L191" i="7"/>
  <c r="L179" i="7"/>
  <c r="L163" i="7"/>
  <c r="L147" i="7"/>
  <c r="L131" i="7"/>
  <c r="L115" i="7"/>
  <c r="L279" i="7"/>
  <c r="L260" i="7"/>
  <c r="L202" i="7"/>
  <c r="L184" i="7"/>
  <c r="L168" i="7"/>
  <c r="L152" i="7"/>
  <c r="L136" i="7"/>
  <c r="L120" i="7"/>
  <c r="L286" i="7"/>
  <c r="L213" i="7"/>
  <c r="L189" i="7"/>
  <c r="L173" i="7"/>
  <c r="L157" i="7"/>
  <c r="L141" i="7"/>
  <c r="L125" i="7"/>
  <c r="L305" i="7"/>
  <c r="L178" i="7"/>
  <c r="L162" i="7"/>
  <c r="L146" i="7"/>
  <c r="L130" i="7"/>
  <c r="L311" i="7"/>
  <c r="L227" i="7"/>
  <c r="L201" i="7"/>
  <c r="L199" i="7"/>
  <c r="L198" i="7"/>
  <c r="L183" i="7"/>
  <c r="L167" i="7"/>
  <c r="L151" i="7"/>
  <c r="L135" i="7"/>
  <c r="L317" i="7"/>
  <c r="L306" i="7"/>
  <c r="L275" i="7"/>
  <c r="L274" i="7"/>
  <c r="L273" i="7"/>
  <c r="L243" i="7"/>
  <c r="L242" i="7"/>
  <c r="L228" i="7"/>
  <c r="L212" i="7"/>
  <c r="L188" i="7"/>
  <c r="L172" i="7"/>
  <c r="L156" i="7"/>
  <c r="L140" i="7"/>
  <c r="L124" i="7"/>
  <c r="L226" i="7"/>
  <c r="L210" i="7"/>
  <c r="L209" i="7"/>
  <c r="L177" i="7"/>
  <c r="L161" i="7"/>
  <c r="L263" i="7"/>
  <c r="L197" i="7"/>
  <c r="L182" i="7"/>
  <c r="L166" i="7"/>
  <c r="L313" i="7"/>
  <c r="L307" i="7"/>
  <c r="L264" i="7"/>
  <c r="L237" i="7"/>
  <c r="L221" i="7"/>
  <c r="L220" i="7"/>
  <c r="L208" i="7"/>
  <c r="L187" i="7"/>
  <c r="L171" i="7"/>
  <c r="L340" i="7"/>
  <c r="L252" i="7"/>
  <c r="L224" i="7"/>
  <c r="L176" i="7"/>
  <c r="L160" i="7"/>
  <c r="L238" i="7"/>
  <c r="L170" i="7"/>
  <c r="L93" i="7"/>
  <c r="L77" i="7"/>
  <c r="L61" i="7"/>
  <c r="L45" i="7"/>
  <c r="L29" i="7"/>
  <c r="L13" i="7"/>
  <c r="L194" i="7"/>
  <c r="L98" i="7"/>
  <c r="L82" i="7"/>
  <c r="L66" i="7"/>
  <c r="L50" i="7"/>
  <c r="L34" i="7"/>
  <c r="L18" i="7"/>
  <c r="L2" i="7"/>
  <c r="L207" i="7"/>
  <c r="L181" i="7"/>
  <c r="L110" i="7"/>
  <c r="L103" i="7"/>
  <c r="L87" i="7"/>
  <c r="L71" i="7"/>
  <c r="L55" i="7"/>
  <c r="L39" i="7"/>
  <c r="L23" i="7"/>
  <c r="L7" i="7"/>
  <c r="L265" i="7"/>
  <c r="L154" i="7"/>
  <c r="L109" i="7"/>
  <c r="L92" i="7"/>
  <c r="L76" i="7"/>
  <c r="L155" i="7"/>
  <c r="L97" i="7"/>
  <c r="L81" i="7"/>
  <c r="L65" i="7"/>
  <c r="L49" i="7"/>
  <c r="L33" i="7"/>
  <c r="L17" i="7"/>
  <c r="L150" i="7"/>
  <c r="L144" i="7"/>
  <c r="L122" i="7"/>
  <c r="L91" i="7"/>
  <c r="L75" i="7"/>
  <c r="L59" i="7"/>
  <c r="L43" i="7"/>
  <c r="L27" i="7"/>
  <c r="L230" i="7"/>
  <c r="L96" i="7"/>
  <c r="L80" i="7"/>
  <c r="L64" i="7"/>
  <c r="L48" i="7"/>
  <c r="L32" i="7"/>
  <c r="L196" i="7"/>
  <c r="L165" i="7"/>
  <c r="L145" i="7"/>
  <c r="L107" i="7"/>
  <c r="L101" i="7"/>
  <c r="L85" i="7"/>
  <c r="L69" i="7"/>
  <c r="L53" i="7"/>
  <c r="L37" i="7"/>
  <c r="L21" i="7"/>
  <c r="L139" i="7"/>
  <c r="L138" i="7"/>
  <c r="L90" i="7"/>
  <c r="L74" i="7"/>
  <c r="L58" i="7"/>
  <c r="L42" i="7"/>
  <c r="L26" i="7"/>
  <c r="L10" i="7"/>
  <c r="L95" i="7"/>
  <c r="L79" i="7"/>
  <c r="L63" i="7"/>
  <c r="L231" i="7"/>
  <c r="L186" i="7"/>
  <c r="L133" i="7"/>
  <c r="L106" i="7"/>
  <c r="L100" i="7"/>
  <c r="L84" i="7"/>
  <c r="L134" i="7"/>
  <c r="L114" i="7"/>
  <c r="L89" i="7"/>
  <c r="L73" i="7"/>
  <c r="L57" i="7"/>
  <c r="L193" i="7"/>
  <c r="L118" i="7"/>
  <c r="L113" i="7"/>
  <c r="L94" i="7"/>
  <c r="L78" i="7"/>
  <c r="L62" i="7"/>
  <c r="L46" i="7"/>
  <c r="L119" i="7"/>
  <c r="L38" i="7"/>
  <c r="L123" i="7"/>
  <c r="L88" i="7"/>
  <c r="L54" i="7"/>
  <c r="L30" i="7"/>
  <c r="L28" i="7"/>
  <c r="L5" i="7"/>
  <c r="L112" i="7"/>
  <c r="L67" i="7"/>
  <c r="L41" i="7"/>
  <c r="L40" i="7"/>
  <c r="L31" i="7"/>
  <c r="L9" i="7"/>
  <c r="L6" i="7"/>
  <c r="L104" i="7"/>
  <c r="L4" i="7"/>
  <c r="L15" i="7"/>
  <c r="L11" i="7"/>
  <c r="L8" i="7"/>
  <c r="L149" i="7"/>
  <c r="L108" i="7"/>
  <c r="L72" i="7"/>
  <c r="L14" i="7"/>
  <c r="L12" i="7"/>
  <c r="L56" i="7"/>
  <c r="L20" i="7"/>
  <c r="L16" i="7"/>
  <c r="L3" i="7"/>
  <c r="L68" i="7"/>
  <c r="L51" i="7"/>
  <c r="L19" i="7"/>
  <c r="L22" i="7"/>
  <c r="L117" i="7"/>
  <c r="L44" i="7"/>
  <c r="L35" i="7"/>
  <c r="L128" i="7"/>
  <c r="L86" i="7"/>
  <c r="L83" i="7"/>
  <c r="L36" i="7"/>
  <c r="L25" i="7"/>
  <c r="L24" i="7"/>
  <c r="L52" i="7"/>
  <c r="L102" i="7"/>
  <c r="L99" i="7"/>
  <c r="L47" i="7"/>
  <c r="L60" i="7"/>
  <c r="L129" i="7"/>
  <c r="L70" i="7"/>
  <c r="D34" i="4"/>
  <c r="B6" i="10"/>
  <c r="L6" i="10" s="1"/>
  <c r="C10" i="4"/>
  <c r="C84" i="10" s="1" a="1"/>
  <c r="C84" i="10" s="1"/>
  <c r="D84" i="10" s="1" a="1"/>
  <c r="D84" i="10" s="1"/>
  <c r="B11" i="10"/>
  <c r="L11" i="10" s="1"/>
  <c r="K17" i="10"/>
  <c r="L29" i="10"/>
  <c r="D38" i="4"/>
  <c r="D48" i="4"/>
  <c r="L14" i="10"/>
  <c r="C12" i="4" a="1"/>
  <c r="C12" i="4" s="1"/>
  <c r="B13" i="10"/>
  <c r="L13" i="10" s="1"/>
  <c r="B23" i="10"/>
  <c r="L23" i="10" s="1"/>
  <c r="B81" i="10"/>
  <c r="L81" i="10" s="1"/>
  <c r="B28" i="10"/>
  <c r="L36" i="10"/>
  <c r="T364" i="5"/>
  <c r="T362" i="5"/>
  <c r="T360" i="5"/>
  <c r="T358" i="5"/>
  <c r="T356" i="5"/>
  <c r="T354" i="5"/>
  <c r="T366" i="5"/>
  <c r="T363" i="5"/>
  <c r="T365" i="5"/>
  <c r="T343" i="5"/>
  <c r="T312" i="5"/>
  <c r="T295" i="5"/>
  <c r="T292" i="5"/>
  <c r="T280" i="5"/>
  <c r="T277" i="5"/>
  <c r="T264" i="5"/>
  <c r="T253" i="5"/>
  <c r="T251" i="5"/>
  <c r="T249" i="5"/>
  <c r="T247" i="5"/>
  <c r="T245" i="5"/>
  <c r="T243" i="5"/>
  <c r="T241" i="5"/>
  <c r="T239" i="5"/>
  <c r="T237" i="5"/>
  <c r="T235" i="5"/>
  <c r="T233" i="5"/>
  <c r="T231" i="5"/>
  <c r="T229" i="5"/>
  <c r="T227" i="5"/>
  <c r="T225" i="5"/>
  <c r="T223" i="5"/>
  <c r="T221" i="5"/>
  <c r="T219" i="5"/>
  <c r="T217" i="5"/>
  <c r="T215" i="5"/>
  <c r="T213" i="5"/>
  <c r="T211" i="5"/>
  <c r="T209" i="5"/>
  <c r="T207" i="5"/>
  <c r="T205" i="5"/>
  <c r="T203" i="5"/>
  <c r="T201" i="5"/>
  <c r="T199" i="5"/>
  <c r="T348" i="5"/>
  <c r="T328" i="5"/>
  <c r="T319" i="5"/>
  <c r="T274" i="5"/>
  <c r="T255" i="5"/>
  <c r="T353" i="5"/>
  <c r="T337" i="5"/>
  <c r="T323" i="5"/>
  <c r="T315" i="5"/>
  <c r="T308" i="5"/>
  <c r="T301" i="5"/>
  <c r="T298" i="5"/>
  <c r="T271" i="5"/>
  <c r="T266" i="5"/>
  <c r="T257" i="5"/>
  <c r="T359" i="5"/>
  <c r="T342" i="5"/>
  <c r="T332" i="5"/>
  <c r="T259" i="5"/>
  <c r="T347" i="5"/>
  <c r="T327" i="5"/>
  <c r="T311" i="5"/>
  <c r="T304" i="5"/>
  <c r="T291" i="5"/>
  <c r="T288" i="5"/>
  <c r="T285" i="5"/>
  <c r="T268" i="5"/>
  <c r="T352" i="5"/>
  <c r="T336" i="5"/>
  <c r="T318" i="5"/>
  <c r="T282" i="5"/>
  <c r="T279" i="5"/>
  <c r="T261" i="5"/>
  <c r="T341" i="5"/>
  <c r="T331" i="5"/>
  <c r="T322" i="5"/>
  <c r="T307" i="5"/>
  <c r="T297" i="5"/>
  <c r="T294" i="5"/>
  <c r="T276" i="5"/>
  <c r="T273" i="5"/>
  <c r="T346" i="5"/>
  <c r="T314" i="5"/>
  <c r="T263" i="5"/>
  <c r="T357" i="5"/>
  <c r="T351" i="5"/>
  <c r="T335" i="5"/>
  <c r="T326" i="5"/>
  <c r="T303" i="5"/>
  <c r="T300" i="5"/>
  <c r="T270" i="5"/>
  <c r="T254" i="5"/>
  <c r="T252" i="5"/>
  <c r="T250" i="5"/>
  <c r="T248" i="5"/>
  <c r="T246" i="5"/>
  <c r="T244" i="5"/>
  <c r="T242" i="5"/>
  <c r="T240" i="5"/>
  <c r="T238" i="5"/>
  <c r="T236" i="5"/>
  <c r="T234" i="5"/>
  <c r="T232" i="5"/>
  <c r="T230" i="5"/>
  <c r="T228" i="5"/>
  <c r="T226" i="5"/>
  <c r="T224" i="5"/>
  <c r="T222" i="5"/>
  <c r="T220" i="5"/>
  <c r="T218" i="5"/>
  <c r="T340" i="5"/>
  <c r="T321" i="5"/>
  <c r="T317" i="5"/>
  <c r="T310" i="5"/>
  <c r="T287" i="5"/>
  <c r="T265" i="5"/>
  <c r="T256" i="5"/>
  <c r="T345" i="5"/>
  <c r="T330" i="5"/>
  <c r="T293" i="5"/>
  <c r="T290" i="5"/>
  <c r="T284" i="5"/>
  <c r="T281" i="5"/>
  <c r="T258" i="5"/>
  <c r="T350" i="5"/>
  <c r="T325" i="5"/>
  <c r="T313" i="5"/>
  <c r="T306" i="5"/>
  <c r="T278" i="5"/>
  <c r="T275" i="5"/>
  <c r="T267" i="5"/>
  <c r="T339" i="5"/>
  <c r="T334" i="5"/>
  <c r="T299" i="5"/>
  <c r="T296" i="5"/>
  <c r="T272" i="5"/>
  <c r="T260" i="5"/>
  <c r="T355" i="5"/>
  <c r="T344" i="5"/>
  <c r="T329" i="5"/>
  <c r="T320" i="5"/>
  <c r="T309" i="5"/>
  <c r="T184" i="5"/>
  <c r="T181" i="5"/>
  <c r="T171" i="5"/>
  <c r="T164" i="5"/>
  <c r="T145" i="5"/>
  <c r="T138" i="5"/>
  <c r="T212" i="5"/>
  <c r="T198" i="5"/>
  <c r="T195" i="5"/>
  <c r="T158" i="5"/>
  <c r="T180" i="5"/>
  <c r="T177" i="5"/>
  <c r="T170" i="5"/>
  <c r="T152" i="5"/>
  <c r="T140" i="5"/>
  <c r="T286" i="5"/>
  <c r="T202" i="5"/>
  <c r="T194" i="5"/>
  <c r="T191" i="5"/>
  <c r="T161" i="5"/>
  <c r="T147" i="5"/>
  <c r="T305" i="5"/>
  <c r="T176" i="5"/>
  <c r="T167" i="5"/>
  <c r="T155" i="5"/>
  <c r="T142" i="5"/>
  <c r="T216" i="5"/>
  <c r="T206" i="5"/>
  <c r="T190" i="5"/>
  <c r="T187" i="5"/>
  <c r="T333" i="5"/>
  <c r="T210" i="5"/>
  <c r="T186" i="5"/>
  <c r="T183" i="5"/>
  <c r="T154" i="5"/>
  <c r="T135" i="5"/>
  <c r="T133" i="5"/>
  <c r="T131" i="5"/>
  <c r="T129" i="5"/>
  <c r="T127" i="5"/>
  <c r="T125" i="5"/>
  <c r="T123" i="5"/>
  <c r="T121" i="5"/>
  <c r="T119" i="5"/>
  <c r="T117" i="5"/>
  <c r="T115" i="5"/>
  <c r="T113" i="5"/>
  <c r="T111" i="5"/>
  <c r="T109" i="5"/>
  <c r="T107" i="5"/>
  <c r="T105" i="5"/>
  <c r="T103" i="5"/>
  <c r="T101" i="5"/>
  <c r="T99" i="5"/>
  <c r="T97" i="5"/>
  <c r="T95" i="5"/>
  <c r="T93" i="5"/>
  <c r="T91" i="5"/>
  <c r="T89" i="5"/>
  <c r="T87" i="5"/>
  <c r="T85" i="5"/>
  <c r="T361" i="5"/>
  <c r="T324" i="5"/>
  <c r="T316" i="5"/>
  <c r="T197" i="5"/>
  <c r="T172" i="5"/>
  <c r="T163" i="5"/>
  <c r="T146" i="5"/>
  <c r="T137" i="5"/>
  <c r="T182" i="5"/>
  <c r="T179" i="5"/>
  <c r="T157" i="5"/>
  <c r="T200" i="5"/>
  <c r="T196" i="5"/>
  <c r="T193" i="5"/>
  <c r="T169" i="5"/>
  <c r="T151" i="5"/>
  <c r="T139" i="5"/>
  <c r="T302" i="5"/>
  <c r="T289" i="5"/>
  <c r="T283" i="5"/>
  <c r="T214" i="5"/>
  <c r="T178" i="5"/>
  <c r="T162" i="5"/>
  <c r="T148" i="5"/>
  <c r="T349" i="5"/>
  <c r="T204" i="5"/>
  <c r="T192" i="5"/>
  <c r="T189" i="5"/>
  <c r="T175" i="5"/>
  <c r="T168" i="5"/>
  <c r="T156" i="5"/>
  <c r="T141" i="5"/>
  <c r="T338" i="5"/>
  <c r="T269" i="5"/>
  <c r="T262" i="5"/>
  <c r="T54" i="5"/>
  <c r="T51" i="5"/>
  <c r="T46" i="5"/>
  <c r="T39" i="5"/>
  <c r="T30" i="5"/>
  <c r="T19" i="5"/>
  <c r="T17" i="5"/>
  <c r="T15" i="5"/>
  <c r="T13" i="5"/>
  <c r="T11" i="5"/>
  <c r="T9" i="5"/>
  <c r="T7" i="5"/>
  <c r="T5" i="5"/>
  <c r="T3" i="5"/>
  <c r="T120" i="5"/>
  <c r="T104" i="5"/>
  <c r="T88" i="5"/>
  <c r="T72" i="5"/>
  <c r="T159" i="5"/>
  <c r="T41" i="5"/>
  <c r="T32" i="5"/>
  <c r="T23" i="5"/>
  <c r="T166" i="5"/>
  <c r="T144" i="5"/>
  <c r="T130" i="5"/>
  <c r="T114" i="5"/>
  <c r="T98" i="5"/>
  <c r="T83" i="5"/>
  <c r="T79" i="5"/>
  <c r="T75" i="5"/>
  <c r="T65" i="5"/>
  <c r="T59" i="5"/>
  <c r="T25" i="5"/>
  <c r="T150" i="5"/>
  <c r="T62" i="5"/>
  <c r="T53" i="5"/>
  <c r="T48" i="5"/>
  <c r="T43" i="5"/>
  <c r="T34" i="5"/>
  <c r="T27" i="5"/>
  <c r="T185" i="5"/>
  <c r="T174" i="5"/>
  <c r="T143" i="5"/>
  <c r="T124" i="5"/>
  <c r="T108" i="5"/>
  <c r="T92" i="5"/>
  <c r="T71" i="5"/>
  <c r="T68" i="5"/>
  <c r="T56" i="5"/>
  <c r="T165" i="5"/>
  <c r="T45" i="5"/>
  <c r="T36" i="5"/>
  <c r="T29" i="5"/>
  <c r="T136" i="5"/>
  <c r="T118" i="5"/>
  <c r="T102" i="5"/>
  <c r="T82" i="5"/>
  <c r="T78" i="5"/>
  <c r="T74" i="5"/>
  <c r="T149" i="5"/>
  <c r="T86" i="5"/>
  <c r="T61" i="5"/>
  <c r="T50" i="5"/>
  <c r="T47" i="5"/>
  <c r="T38" i="5"/>
  <c r="T31" i="5"/>
  <c r="T18" i="5"/>
  <c r="T16" i="5"/>
  <c r="T14" i="5"/>
  <c r="T173" i="5"/>
  <c r="T128" i="5"/>
  <c r="T112" i="5"/>
  <c r="T96" i="5"/>
  <c r="T67" i="5"/>
  <c r="T64" i="5"/>
  <c r="T55" i="5"/>
  <c r="T58" i="5"/>
  <c r="T40" i="5"/>
  <c r="T33" i="5"/>
  <c r="T22" i="5"/>
  <c r="T134" i="5"/>
  <c r="T122" i="5"/>
  <c r="T106" i="5"/>
  <c r="T90" i="5"/>
  <c r="T81" i="5"/>
  <c r="T77" i="5"/>
  <c r="T73" i="5"/>
  <c r="T70" i="5"/>
  <c r="T24" i="5"/>
  <c r="T52" i="5"/>
  <c r="T49" i="5"/>
  <c r="T42" i="5"/>
  <c r="T35" i="5"/>
  <c r="T26" i="5"/>
  <c r="T116" i="5"/>
  <c r="T100" i="5"/>
  <c r="T63" i="5"/>
  <c r="T12" i="5"/>
  <c r="T94" i="5"/>
  <c r="T132" i="5"/>
  <c r="T2" i="5"/>
  <c r="T76" i="5"/>
  <c r="T110" i="5"/>
  <c r="T6" i="5"/>
  <c r="T153" i="5"/>
  <c r="T188" i="5"/>
  <c r="T10" i="5"/>
  <c r="T126" i="5"/>
  <c r="T37" i="5"/>
  <c r="T60" i="5"/>
  <c r="T28" i="5"/>
  <c r="T160" i="5"/>
  <c r="T84" i="5"/>
  <c r="T69" i="5"/>
  <c r="T21" i="5"/>
  <c r="T4" i="5"/>
  <c r="T44" i="5"/>
  <c r="T20" i="5"/>
  <c r="T57" i="5"/>
  <c r="T8" i="5"/>
  <c r="T66" i="5"/>
  <c r="T80" i="5"/>
  <c r="D29" i="4"/>
  <c r="B21" i="10"/>
  <c r="L21" i="10" s="1"/>
  <c r="L28" i="10"/>
  <c r="B51" i="10"/>
  <c r="L51" i="10" s="1"/>
  <c r="B71" i="10"/>
  <c r="L71" i="10" s="1"/>
  <c r="B134" i="10"/>
  <c r="L134" i="10" s="1"/>
  <c r="B43" i="10"/>
  <c r="L43" i="10" s="1"/>
  <c r="B48" i="10"/>
  <c r="L48" i="10" s="1"/>
  <c r="B100" i="10"/>
  <c r="L100" i="10" s="1"/>
  <c r="K6" i="10"/>
  <c r="K16" i="10"/>
  <c r="L30" i="10"/>
  <c r="B40" i="10"/>
  <c r="L40" i="10" s="1"/>
  <c r="B75" i="10"/>
  <c r="L75" i="10" s="1"/>
  <c r="B84" i="10"/>
  <c r="L84" i="10" s="1"/>
  <c r="B115" i="10"/>
  <c r="L115" i="10" s="1"/>
  <c r="L32" i="10"/>
  <c r="K38" i="10"/>
  <c r="L68" i="10"/>
  <c r="B52" i="10"/>
  <c r="L52" i="10" s="1"/>
  <c r="B107" i="10"/>
  <c r="L107" i="10" s="1"/>
  <c r="C24" i="4"/>
  <c r="B44" i="10"/>
  <c r="L44" i="10" s="1"/>
  <c r="B83" i="10"/>
  <c r="L83" i="10" s="1"/>
  <c r="B156" i="10"/>
  <c r="L156" i="10" s="1"/>
  <c r="K100" i="10"/>
  <c r="K122" i="10"/>
  <c r="B187" i="10"/>
  <c r="D8" i="4"/>
  <c r="E55" i="4"/>
  <c r="F59" i="4"/>
  <c r="B87" i="10"/>
  <c r="L87" i="10" s="1"/>
  <c r="B96" i="10"/>
  <c r="L96" i="10" s="1"/>
  <c r="L102" i="10"/>
  <c r="K130" i="10"/>
  <c r="L142" i="10"/>
  <c r="L63" i="10"/>
  <c r="F8" i="4"/>
  <c r="B3" i="10"/>
  <c r="L3" i="10" s="1"/>
  <c r="B19" i="10"/>
  <c r="L19" i="10" s="1"/>
  <c r="B38" i="10"/>
  <c r="L38" i="10" s="1"/>
  <c r="B42" i="10"/>
  <c r="L42" i="10" s="1"/>
  <c r="B46" i="10"/>
  <c r="L46" i="10" s="1"/>
  <c r="B50" i="10"/>
  <c r="L50" i="10" s="1"/>
  <c r="B54" i="10"/>
  <c r="L54" i="10" s="1"/>
  <c r="B58" i="10"/>
  <c r="L58" i="10" s="1"/>
  <c r="L74" i="10"/>
  <c r="B80" i="10"/>
  <c r="L80" i="10" s="1"/>
  <c r="L99" i="10"/>
  <c r="C313" i="10" a="1"/>
  <c r="C313" i="10" s="1"/>
  <c r="C339" i="10" a="1"/>
  <c r="C339" i="10" s="1"/>
  <c r="D339" i="10" s="1" a="1"/>
  <c r="D339" i="10" s="1"/>
  <c r="C256" i="10" a="1"/>
  <c r="C256" i="10" s="1"/>
  <c r="D256" i="10" s="1" a="1"/>
  <c r="D256" i="10" s="1"/>
  <c r="C169" i="10" a="1"/>
  <c r="C169" i="10" s="1"/>
  <c r="D169" i="10" s="1" a="1"/>
  <c r="D169" i="10" s="1"/>
  <c r="C152" i="10" a="1"/>
  <c r="C152" i="10" s="1"/>
  <c r="D152" i="10" s="1" a="1"/>
  <c r="D152" i="10" s="1"/>
  <c r="C147" i="10" a="1"/>
  <c r="C147" i="10" s="1"/>
  <c r="D147" i="10" s="1" a="1"/>
  <c r="D147" i="10" s="1"/>
  <c r="C292" i="10" a="1"/>
  <c r="C292" i="10" s="1"/>
  <c r="D292" i="10" s="1" a="1"/>
  <c r="D292" i="10" s="1"/>
  <c r="C276" i="10" a="1"/>
  <c r="C276" i="10" s="1"/>
  <c r="D276" i="10" s="1" a="1"/>
  <c r="D276" i="10" s="1"/>
  <c r="C260" i="10" a="1"/>
  <c r="C260" i="10" s="1"/>
  <c r="D260" i="10" s="1" a="1"/>
  <c r="D260" i="10" s="1"/>
  <c r="C227" i="10" a="1"/>
  <c r="C227" i="10" s="1"/>
  <c r="D227" i="10" s="1" a="1"/>
  <c r="D227" i="10" s="1"/>
  <c r="C211" i="10" a="1"/>
  <c r="C211" i="10" s="1"/>
  <c r="D211" i="10" s="1" a="1"/>
  <c r="D211" i="10" s="1"/>
  <c r="C249" i="10" a="1"/>
  <c r="C249" i="10" s="1"/>
  <c r="D249" i="10" s="1" a="1"/>
  <c r="D249" i="10" s="1"/>
  <c r="C257" i="10" a="1"/>
  <c r="C257" i="10" s="1"/>
  <c r="D257" i="10" s="1" a="1"/>
  <c r="D257" i="10" s="1"/>
  <c r="C346" i="10" a="1"/>
  <c r="C346" i="10" s="1"/>
  <c r="C228" i="10" a="1"/>
  <c r="C228" i="10" s="1"/>
  <c r="D228" i="10" s="1" a="1"/>
  <c r="D228" i="10" s="1"/>
  <c r="C186" i="10" a="1"/>
  <c r="C186" i="10" s="1"/>
  <c r="D186" i="10" s="1" a="1"/>
  <c r="D186" i="10" s="1"/>
  <c r="C170" i="10" a="1"/>
  <c r="C170" i="10" s="1"/>
  <c r="D170" i="10" s="1" a="1"/>
  <c r="D170" i="10" s="1"/>
  <c r="C140" i="10" a="1"/>
  <c r="C140" i="10" s="1"/>
  <c r="D140" i="10" s="1" a="1"/>
  <c r="D140" i="10" s="1"/>
  <c r="C137" i="10" a="1"/>
  <c r="C137" i="10" s="1"/>
  <c r="D137" i="10" s="1" a="1"/>
  <c r="D137" i="10" s="1"/>
  <c r="C135" i="10" a="1"/>
  <c r="C135" i="10" s="1"/>
  <c r="D135" i="10" s="1" a="1"/>
  <c r="D135" i="10" s="1"/>
  <c r="C134" i="10" a="1"/>
  <c r="C134" i="10" s="1"/>
  <c r="D134" i="10" s="1" a="1"/>
  <c r="D134" i="10" s="1"/>
  <c r="C132" i="10" a="1"/>
  <c r="C132" i="10" s="1"/>
  <c r="D132" i="10" s="1" a="1"/>
  <c r="D132" i="10" s="1"/>
  <c r="C129" i="10" a="1"/>
  <c r="C129" i="10" s="1"/>
  <c r="D129" i="10" s="1" a="1"/>
  <c r="D129" i="10" s="1"/>
  <c r="C128" i="10" a="1"/>
  <c r="C128" i="10" s="1"/>
  <c r="D128" i="10" s="1" a="1"/>
  <c r="D128" i="10" s="1"/>
  <c r="C124" i="10" a="1"/>
  <c r="C124" i="10" s="1"/>
  <c r="D124" i="10" s="1" a="1"/>
  <c r="D124" i="10" s="1"/>
  <c r="C121" i="10" a="1"/>
  <c r="C121" i="10" s="1"/>
  <c r="D121" i="10" s="1" a="1"/>
  <c r="D121" i="10" s="1"/>
  <c r="C120" i="10" a="1"/>
  <c r="C120" i="10" s="1"/>
  <c r="D120" i="10" s="1" a="1"/>
  <c r="D120" i="10" s="1"/>
  <c r="C119" i="10" a="1"/>
  <c r="C119" i="10" s="1"/>
  <c r="D119" i="10" s="1" a="1"/>
  <c r="D119" i="10" s="1"/>
  <c r="C118" i="10" a="1"/>
  <c r="C118" i="10" s="1"/>
  <c r="D118" i="10" s="1" a="1"/>
  <c r="D118" i="10" s="1"/>
  <c r="C116" i="10" a="1"/>
  <c r="C116" i="10" s="1"/>
  <c r="D116" i="10" s="1" a="1"/>
  <c r="D116" i="10" s="1"/>
  <c r="C115" i="10" a="1"/>
  <c r="C115" i="10" s="1"/>
  <c r="D115" i="10" s="1" a="1"/>
  <c r="D115" i="10" s="1"/>
  <c r="C114" i="10" a="1"/>
  <c r="C114" i="10" s="1"/>
  <c r="D114" i="10" s="1" a="1"/>
  <c r="D114" i="10" s="1"/>
  <c r="C113" i="10" a="1"/>
  <c r="C113" i="10" s="1"/>
  <c r="D113" i="10" s="1" a="1"/>
  <c r="D113" i="10" s="1"/>
  <c r="C112" i="10" a="1"/>
  <c r="C112" i="10" s="1"/>
  <c r="D112" i="10" s="1" a="1"/>
  <c r="D112" i="10" s="1"/>
  <c r="C111" i="10" a="1"/>
  <c r="C111" i="10" s="1"/>
  <c r="D111" i="10" s="1" a="1"/>
  <c r="D111" i="10" s="1"/>
  <c r="C109" i="10" a="1"/>
  <c r="C109" i="10" s="1"/>
  <c r="D109" i="10" s="1" a="1"/>
  <c r="D109" i="10" s="1"/>
  <c r="C108" i="10" a="1"/>
  <c r="C108" i="10" s="1"/>
  <c r="D108" i="10" s="1" a="1"/>
  <c r="D108" i="10" s="1"/>
  <c r="C105" i="10" a="1"/>
  <c r="C105" i="10" s="1"/>
  <c r="D105" i="10" s="1" a="1"/>
  <c r="D105" i="10" s="1"/>
  <c r="C104" i="10" a="1"/>
  <c r="C104" i="10" s="1"/>
  <c r="D104" i="10" s="1" a="1"/>
  <c r="D104" i="10" s="1"/>
  <c r="C103" i="10" a="1"/>
  <c r="C103" i="10" s="1"/>
  <c r="D103" i="10" s="1" a="1"/>
  <c r="D103" i="10" s="1"/>
  <c r="C102" i="10" a="1"/>
  <c r="C102" i="10" s="1"/>
  <c r="D102" i="10" s="1" a="1"/>
  <c r="D102" i="10" s="1"/>
  <c r="C101" i="10" a="1"/>
  <c r="C101" i="10" s="1"/>
  <c r="D101" i="10" s="1" a="1"/>
  <c r="D101" i="10" s="1"/>
  <c r="C100" i="10" a="1"/>
  <c r="C100" i="10" s="1"/>
  <c r="D100" i="10" s="1" a="1"/>
  <c r="D100" i="10" s="1"/>
  <c r="C99" i="10" a="1"/>
  <c r="C99" i="10" s="1"/>
  <c r="D99" i="10" s="1" a="1"/>
  <c r="D99" i="10" s="1"/>
  <c r="C98" i="10" a="1"/>
  <c r="C98" i="10" s="1"/>
  <c r="D98" i="10" s="1" a="1"/>
  <c r="D98" i="10" s="1"/>
  <c r="C97" i="10" a="1"/>
  <c r="C97" i="10" s="1"/>
  <c r="D97" i="10" s="1" a="1"/>
  <c r="D97" i="10" s="1"/>
  <c r="C247" i="10" a="1"/>
  <c r="C247" i="10" s="1"/>
  <c r="D247" i="10" s="1" a="1"/>
  <c r="D247" i="10" s="1"/>
  <c r="C238" i="10" a="1"/>
  <c r="C238" i="10" s="1"/>
  <c r="D238" i="10" s="1" a="1"/>
  <c r="D238" i="10" s="1"/>
  <c r="C206" i="10" a="1"/>
  <c r="C206" i="10" s="1"/>
  <c r="D206" i="10" s="1" a="1"/>
  <c r="D206" i="10" s="1"/>
  <c r="C194" i="10" a="1"/>
  <c r="C194" i="10" s="1"/>
  <c r="C241" i="10" a="1"/>
  <c r="C241" i="10" s="1"/>
  <c r="D241" i="10" s="1" a="1"/>
  <c r="D241" i="10" s="1"/>
  <c r="C229" i="10" a="1"/>
  <c r="C229" i="10" s="1"/>
  <c r="D229" i="10" s="1" a="1"/>
  <c r="D229" i="10" s="1"/>
  <c r="C212" i="10" a="1"/>
  <c r="C212" i="10" s="1"/>
  <c r="D212" i="10" s="1" a="1"/>
  <c r="D212" i="10" s="1"/>
  <c r="C209" i="10" a="1"/>
  <c r="C209" i="10" s="1"/>
  <c r="D209" i="10" s="1" a="1"/>
  <c r="D209" i="10" s="1"/>
  <c r="C182" i="10" a="1"/>
  <c r="C182" i="10" s="1"/>
  <c r="D182" i="10" s="1" a="1"/>
  <c r="D182" i="10" s="1"/>
  <c r="C171" i="10" a="1"/>
  <c r="C171" i="10" s="1"/>
  <c r="D171" i="10" s="1" a="1"/>
  <c r="D171" i="10" s="1"/>
  <c r="C219" i="10" a="1"/>
  <c r="C219" i="10" s="1"/>
  <c r="D219" i="10" s="1" a="1"/>
  <c r="D219" i="10" s="1"/>
  <c r="C198" i="10" a="1"/>
  <c r="C198" i="10" s="1"/>
  <c r="D198" i="10" s="1" a="1"/>
  <c r="D198" i="10" s="1"/>
  <c r="C187" i="10" a="1"/>
  <c r="C187" i="10" s="1"/>
  <c r="D187" i="10" s="1" a="1"/>
  <c r="D187" i="10" s="1"/>
  <c r="C203" i="10" a="1"/>
  <c r="C203" i="10" s="1"/>
  <c r="D203" i="10" s="1" a="1"/>
  <c r="D203" i="10" s="1"/>
  <c r="C253" i="10" a="1"/>
  <c r="C253" i="10" s="1"/>
  <c r="D253" i="10" s="1" a="1"/>
  <c r="D253" i="10" s="1"/>
  <c r="C213" i="10" a="1"/>
  <c r="C213" i="10" s="1"/>
  <c r="D213" i="10" s="1" a="1"/>
  <c r="D213" i="10" s="1"/>
  <c r="C245" i="10" a="1"/>
  <c r="C245" i="10" s="1"/>
  <c r="D245" i="10" s="1" a="1"/>
  <c r="D245" i="10" s="1"/>
  <c r="C230" i="10" a="1"/>
  <c r="C230" i="10" s="1"/>
  <c r="C271" i="10" a="1"/>
  <c r="C271" i="10" s="1"/>
  <c r="D271" i="10" s="1" a="1"/>
  <c r="D271" i="10" s="1"/>
  <c r="C96" i="10" a="1"/>
  <c r="C96" i="10" s="1"/>
  <c r="D96" i="10" s="1" a="1"/>
  <c r="D96" i="10" s="1"/>
  <c r="C80" i="10" a="1"/>
  <c r="C80" i="10" s="1"/>
  <c r="D80" i="10" s="1" a="1"/>
  <c r="D80" i="10" s="1"/>
  <c r="C64" i="10" a="1"/>
  <c r="C64" i="10" s="1"/>
  <c r="D64" i="10" s="1" a="1"/>
  <c r="D64" i="10" s="1"/>
  <c r="C220" i="10" a="1"/>
  <c r="C220" i="10" s="1"/>
  <c r="D220" i="10" s="1" a="1"/>
  <c r="D220" i="10" s="1"/>
  <c r="C190" i="10" a="1"/>
  <c r="C190" i="10" s="1"/>
  <c r="D190" i="10" s="1" a="1"/>
  <c r="D190" i="10" s="1"/>
  <c r="C81" i="10" a="1"/>
  <c r="C81" i="10" s="1"/>
  <c r="D81" i="10" s="1" a="1"/>
  <c r="D81" i="10" s="1"/>
  <c r="C239" i="10" a="1"/>
  <c r="C239" i="10" s="1"/>
  <c r="D239" i="10" s="1" a="1"/>
  <c r="D239" i="10" s="1"/>
  <c r="C82" i="10" a="1"/>
  <c r="C82" i="10" s="1"/>
  <c r="D82" i="10" s="1" a="1"/>
  <c r="D82" i="10" s="1"/>
  <c r="C85" i="10" a="1"/>
  <c r="C85" i="10" s="1"/>
  <c r="D85" i="10" s="1" a="1"/>
  <c r="D85" i="10" s="1"/>
  <c r="C69" i="10" a="1"/>
  <c r="C69" i="10" s="1"/>
  <c r="D69" i="10" s="1" a="1"/>
  <c r="D69" i="10" s="1"/>
  <c r="C287" i="10" a="1"/>
  <c r="C287" i="10" s="1"/>
  <c r="D287" i="10" s="1" a="1"/>
  <c r="D287" i="10" s="1"/>
  <c r="C173" i="10" a="1"/>
  <c r="C173" i="10" s="1"/>
  <c r="D173" i="10" s="1" a="1"/>
  <c r="D173" i="10" s="1"/>
  <c r="C86" i="10" a="1"/>
  <c r="C86" i="10" s="1"/>
  <c r="D86" i="10" s="1" a="1"/>
  <c r="D86" i="10" s="1"/>
  <c r="C188" i="10" a="1"/>
  <c r="C188" i="10" s="1"/>
  <c r="D188" i="10" s="1" a="1"/>
  <c r="D188" i="10" s="1"/>
  <c r="C202" i="10" a="1"/>
  <c r="C202" i="10" s="1"/>
  <c r="D202" i="10" s="1" a="1"/>
  <c r="D202" i="10" s="1"/>
  <c r="C199" i="10" a="1"/>
  <c r="C199" i="10" s="1"/>
  <c r="D199" i="10" s="1" a="1"/>
  <c r="D199" i="10" s="1"/>
  <c r="C88" i="10" a="1"/>
  <c r="C88" i="10" s="1"/>
  <c r="D88" i="10" s="1" a="1"/>
  <c r="D88" i="10" s="1"/>
  <c r="C72" i="10" a="1"/>
  <c r="C72" i="10" s="1"/>
  <c r="D72" i="10" s="1" a="1"/>
  <c r="D72" i="10" s="1"/>
  <c r="C183" i="10" a="1"/>
  <c r="C183" i="10" s="1"/>
  <c r="D183" i="10" s="1" a="1"/>
  <c r="D183" i="10" s="1"/>
  <c r="C89" i="10" a="1"/>
  <c r="C89" i="10" s="1"/>
  <c r="D89" i="10" s="1" a="1"/>
  <c r="D89" i="10" s="1"/>
  <c r="C73" i="10" a="1"/>
  <c r="C73" i="10" s="1"/>
  <c r="D73" i="10" s="1" a="1"/>
  <c r="D73" i="10" s="1"/>
  <c r="C176" i="10" a="1"/>
  <c r="C176" i="10" s="1"/>
  <c r="D176" i="10" s="1" a="1"/>
  <c r="D176" i="10" s="1"/>
  <c r="C215" i="10" a="1"/>
  <c r="C215" i="10" s="1"/>
  <c r="D215" i="10" s="1" a="1"/>
  <c r="D215" i="10" s="1"/>
  <c r="C200" i="10" a="1"/>
  <c r="C200" i="10" s="1"/>
  <c r="D200" i="10" s="1" a="1"/>
  <c r="D200" i="10" s="1"/>
  <c r="C92" i="10" a="1"/>
  <c r="C92" i="10" s="1"/>
  <c r="D92" i="10" s="1" a="1"/>
  <c r="D92" i="10" s="1"/>
  <c r="C76" i="10" a="1"/>
  <c r="C76" i="10" s="1"/>
  <c r="D76" i="10" s="1" a="1"/>
  <c r="D76" i="10" s="1"/>
  <c r="C60" i="10" a="1"/>
  <c r="C60" i="10" s="1"/>
  <c r="D60" i="10" s="1" a="1"/>
  <c r="D60" i="10" s="1"/>
  <c r="C59" i="10" a="1"/>
  <c r="C59" i="10" s="1"/>
  <c r="D59" i="10" s="1" a="1"/>
  <c r="D59" i="10" s="1"/>
  <c r="C58" i="10" a="1"/>
  <c r="C58" i="10" s="1"/>
  <c r="D58" i="10" s="1" a="1"/>
  <c r="D58" i="10" s="1"/>
  <c r="C57" i="10" a="1"/>
  <c r="C57" i="10" s="1"/>
  <c r="D57" i="10" s="1" a="1"/>
  <c r="D57" i="10" s="1"/>
  <c r="C56" i="10" a="1"/>
  <c r="C56" i="10" s="1"/>
  <c r="D56" i="10" s="1" a="1"/>
  <c r="D56" i="10" s="1"/>
  <c r="C55" i="10" a="1"/>
  <c r="C55" i="10" s="1"/>
  <c r="D55" i="10" s="1" a="1"/>
  <c r="D55" i="10" s="1"/>
  <c r="C54" i="10" a="1"/>
  <c r="C54" i="10" s="1"/>
  <c r="D54" i="10" s="1" a="1"/>
  <c r="D54" i="10" s="1"/>
  <c r="C53" i="10" a="1"/>
  <c r="C53" i="10" s="1"/>
  <c r="D53" i="10" s="1" a="1"/>
  <c r="D53" i="10" s="1"/>
  <c r="C52" i="10" a="1"/>
  <c r="C52" i="10" s="1"/>
  <c r="D52" i="10" s="1" a="1"/>
  <c r="D52" i="10" s="1"/>
  <c r="C51" i="10" a="1"/>
  <c r="C51" i="10" s="1"/>
  <c r="D51" i="10" s="1" a="1"/>
  <c r="D51" i="10" s="1"/>
  <c r="C50" i="10" a="1"/>
  <c r="C50" i="10" s="1"/>
  <c r="D50" i="10" s="1" a="1"/>
  <c r="D50" i="10" s="1"/>
  <c r="C49" i="10" a="1"/>
  <c r="C49" i="10" s="1"/>
  <c r="D49" i="10" s="1" a="1"/>
  <c r="D49" i="10" s="1"/>
  <c r="C48" i="10" a="1"/>
  <c r="C48" i="10" s="1"/>
  <c r="D48" i="10" s="1" a="1"/>
  <c r="D48" i="10" s="1"/>
  <c r="C47" i="10" a="1"/>
  <c r="C47" i="10" s="1"/>
  <c r="D47" i="10" s="1" a="1"/>
  <c r="D47" i="10" s="1"/>
  <c r="C46" i="10" a="1"/>
  <c r="C46" i="10" s="1"/>
  <c r="D46" i="10" s="1" a="1"/>
  <c r="D46" i="10" s="1"/>
  <c r="C45" i="10" a="1"/>
  <c r="C45" i="10" s="1"/>
  <c r="D45" i="10" s="1" a="1"/>
  <c r="D45" i="10" s="1"/>
  <c r="C44" i="10" a="1"/>
  <c r="C44" i="10" s="1"/>
  <c r="D44" i="10" s="1" a="1"/>
  <c r="D44" i="10" s="1"/>
  <c r="C43" i="10" a="1"/>
  <c r="C43" i="10" s="1"/>
  <c r="D43" i="10" s="1" a="1"/>
  <c r="D43" i="10" s="1"/>
  <c r="C42" i="10" a="1"/>
  <c r="C42" i="10" s="1"/>
  <c r="D42" i="10" s="1" a="1"/>
  <c r="D42" i="10" s="1"/>
  <c r="C41" i="10" a="1"/>
  <c r="C41" i="10" s="1"/>
  <c r="D41" i="10" s="1" a="1"/>
  <c r="D41" i="10" s="1"/>
  <c r="C40" i="10" a="1"/>
  <c r="C40" i="10" s="1"/>
  <c r="D40" i="10" s="1" a="1"/>
  <c r="D40" i="10" s="1"/>
  <c r="C39" i="10" a="1"/>
  <c r="C39" i="10" s="1"/>
  <c r="D39" i="10" s="1" a="1"/>
  <c r="D39" i="10" s="1"/>
  <c r="C38" i="10" a="1"/>
  <c r="C38" i="10" s="1"/>
  <c r="D38" i="10" s="1" a="1"/>
  <c r="D38" i="10" s="1"/>
  <c r="C37" i="10" a="1"/>
  <c r="C37" i="10" s="1"/>
  <c r="D37" i="10" s="1" a="1"/>
  <c r="D37" i="10" s="1"/>
  <c r="C36" i="10" a="1"/>
  <c r="C36" i="10" s="1"/>
  <c r="D36" i="10" s="1" a="1"/>
  <c r="D36" i="10" s="1"/>
  <c r="C35" i="10" a="1"/>
  <c r="C35" i="10" s="1"/>
  <c r="D35" i="10" s="1" a="1"/>
  <c r="D35" i="10" s="1"/>
  <c r="C34" i="10" a="1"/>
  <c r="C34" i="10" s="1"/>
  <c r="D34" i="10" s="1" a="1"/>
  <c r="D34" i="10" s="1"/>
  <c r="C93" i="10" a="1"/>
  <c r="C93" i="10" s="1"/>
  <c r="D93" i="10" s="1" a="1"/>
  <c r="D93" i="10" s="1"/>
  <c r="C77" i="10" a="1"/>
  <c r="C77" i="10" s="1"/>
  <c r="D77" i="10" s="1" a="1"/>
  <c r="D77" i="10" s="1"/>
  <c r="C61" i="10" a="1"/>
  <c r="C61" i="10" s="1"/>
  <c r="D61" i="10" s="1" a="1"/>
  <c r="D61" i="10" s="1"/>
  <c r="S366" i="5"/>
  <c r="S364" i="5"/>
  <c r="S362" i="5"/>
  <c r="S360" i="5"/>
  <c r="S358" i="5"/>
  <c r="S356" i="5"/>
  <c r="S354" i="5"/>
  <c r="S352" i="5"/>
  <c r="S350" i="5"/>
  <c r="S348" i="5"/>
  <c r="S346" i="5"/>
  <c r="S344" i="5"/>
  <c r="S342" i="5"/>
  <c r="S340" i="5"/>
  <c r="S338" i="5"/>
  <c r="S336" i="5"/>
  <c r="S334" i="5"/>
  <c r="S332" i="5"/>
  <c r="S330" i="5"/>
  <c r="S328" i="5"/>
  <c r="S326" i="5"/>
  <c r="S324" i="5"/>
  <c r="S322" i="5"/>
  <c r="S320" i="5"/>
  <c r="S318" i="5"/>
  <c r="S316" i="5"/>
  <c r="S314" i="5"/>
  <c r="S312" i="5"/>
  <c r="S310" i="5"/>
  <c r="S308" i="5"/>
  <c r="S306" i="5"/>
  <c r="S304" i="5"/>
  <c r="S302" i="5"/>
  <c r="S300" i="5"/>
  <c r="S298" i="5"/>
  <c r="S296" i="5"/>
  <c r="S294" i="5"/>
  <c r="S292" i="5"/>
  <c r="S290" i="5"/>
  <c r="S288" i="5"/>
  <c r="S286" i="5"/>
  <c r="S284" i="5"/>
  <c r="S282" i="5"/>
  <c r="S280" i="5"/>
  <c r="S278" i="5"/>
  <c r="S276" i="5"/>
  <c r="S274" i="5"/>
  <c r="S272" i="5"/>
  <c r="S270" i="5"/>
  <c r="S268" i="5"/>
  <c r="S266" i="5"/>
  <c r="S264" i="5"/>
  <c r="S262" i="5"/>
  <c r="S260" i="5"/>
  <c r="S363" i="5"/>
  <c r="S361" i="5"/>
  <c r="S359" i="5"/>
  <c r="S357" i="5"/>
  <c r="S355" i="5"/>
  <c r="S353" i="5"/>
  <c r="S351" i="5"/>
  <c r="S349" i="5"/>
  <c r="S347" i="5"/>
  <c r="S345" i="5"/>
  <c r="S343" i="5"/>
  <c r="S341" i="5"/>
  <c r="S339" i="5"/>
  <c r="S337" i="5"/>
  <c r="S335" i="5"/>
  <c r="S333" i="5"/>
  <c r="S331" i="5"/>
  <c r="S329" i="5"/>
  <c r="S327" i="5"/>
  <c r="S325" i="5"/>
  <c r="S323" i="5"/>
  <c r="S321" i="5"/>
  <c r="S319" i="5"/>
  <c r="S317" i="5"/>
  <c r="S315" i="5"/>
  <c r="S313" i="5"/>
  <c r="S311" i="5"/>
  <c r="S309" i="5"/>
  <c r="S307" i="5"/>
  <c r="S305" i="5"/>
  <c r="S283" i="5"/>
  <c r="S295" i="5"/>
  <c r="S277" i="5"/>
  <c r="S253" i="5"/>
  <c r="S251" i="5"/>
  <c r="S249" i="5"/>
  <c r="S247" i="5"/>
  <c r="S245" i="5"/>
  <c r="S243" i="5"/>
  <c r="S241" i="5"/>
  <c r="S239" i="5"/>
  <c r="S237" i="5"/>
  <c r="S235" i="5"/>
  <c r="S233" i="5"/>
  <c r="S231" i="5"/>
  <c r="S229" i="5"/>
  <c r="S227" i="5"/>
  <c r="S225" i="5"/>
  <c r="S223" i="5"/>
  <c r="S221" i="5"/>
  <c r="S219" i="5"/>
  <c r="S217" i="5"/>
  <c r="S215" i="5"/>
  <c r="S213" i="5"/>
  <c r="S211" i="5"/>
  <c r="S209" i="5"/>
  <c r="S207" i="5"/>
  <c r="S205" i="5"/>
  <c r="S203" i="5"/>
  <c r="S201" i="5"/>
  <c r="S199" i="5"/>
  <c r="S197" i="5"/>
  <c r="S195" i="5"/>
  <c r="S193" i="5"/>
  <c r="S191" i="5"/>
  <c r="S189" i="5"/>
  <c r="S187" i="5"/>
  <c r="S185" i="5"/>
  <c r="S183" i="5"/>
  <c r="S181" i="5"/>
  <c r="S179" i="5"/>
  <c r="S177" i="5"/>
  <c r="S175" i="5"/>
  <c r="S173" i="5"/>
  <c r="S171" i="5"/>
  <c r="S169" i="5"/>
  <c r="S167" i="5"/>
  <c r="S165" i="5"/>
  <c r="S163" i="5"/>
  <c r="S161" i="5"/>
  <c r="S159" i="5"/>
  <c r="S157" i="5"/>
  <c r="S155" i="5"/>
  <c r="S153" i="5"/>
  <c r="S151" i="5"/>
  <c r="S149" i="5"/>
  <c r="S147" i="5"/>
  <c r="S145" i="5"/>
  <c r="S143" i="5"/>
  <c r="S141" i="5"/>
  <c r="S139" i="5"/>
  <c r="S255" i="5"/>
  <c r="S301" i="5"/>
  <c r="S271" i="5"/>
  <c r="S257" i="5"/>
  <c r="S259" i="5"/>
  <c r="S291" i="5"/>
  <c r="S285" i="5"/>
  <c r="S365" i="5"/>
  <c r="S279" i="5"/>
  <c r="S261" i="5"/>
  <c r="S297" i="5"/>
  <c r="S273" i="5"/>
  <c r="S263" i="5"/>
  <c r="S303" i="5"/>
  <c r="S254" i="5"/>
  <c r="S252" i="5"/>
  <c r="S250" i="5"/>
  <c r="S248" i="5"/>
  <c r="S246" i="5"/>
  <c r="S244" i="5"/>
  <c r="S242" i="5"/>
  <c r="S240" i="5"/>
  <c r="S238" i="5"/>
  <c r="S236" i="5"/>
  <c r="S234" i="5"/>
  <c r="S232" i="5"/>
  <c r="S230" i="5"/>
  <c r="S228" i="5"/>
  <c r="S226" i="5"/>
  <c r="S224" i="5"/>
  <c r="S222" i="5"/>
  <c r="S220" i="5"/>
  <c r="S218" i="5"/>
  <c r="S216" i="5"/>
  <c r="S214" i="5"/>
  <c r="S212" i="5"/>
  <c r="S210" i="5"/>
  <c r="S208" i="5"/>
  <c r="S206" i="5"/>
  <c r="S204" i="5"/>
  <c r="S202" i="5"/>
  <c r="S200" i="5"/>
  <c r="S287" i="5"/>
  <c r="S265" i="5"/>
  <c r="S256" i="5"/>
  <c r="S293" i="5"/>
  <c r="S281" i="5"/>
  <c r="S258" i="5"/>
  <c r="S275" i="5"/>
  <c r="S267" i="5"/>
  <c r="S299" i="5"/>
  <c r="S136" i="5"/>
  <c r="S134" i="5"/>
  <c r="S132" i="5"/>
  <c r="S130" i="5"/>
  <c r="S128" i="5"/>
  <c r="S126" i="5"/>
  <c r="S124" i="5"/>
  <c r="S122" i="5"/>
  <c r="S120" i="5"/>
  <c r="S118" i="5"/>
  <c r="S116" i="5"/>
  <c r="S114" i="5"/>
  <c r="S112" i="5"/>
  <c r="S110" i="5"/>
  <c r="S108" i="5"/>
  <c r="S106" i="5"/>
  <c r="S104" i="5"/>
  <c r="S102" i="5"/>
  <c r="S100" i="5"/>
  <c r="S98" i="5"/>
  <c r="S96" i="5"/>
  <c r="S94" i="5"/>
  <c r="S92" i="5"/>
  <c r="S90" i="5"/>
  <c r="S88" i="5"/>
  <c r="S86" i="5"/>
  <c r="S84" i="5"/>
  <c r="S82" i="5"/>
  <c r="S80" i="5"/>
  <c r="S78" i="5"/>
  <c r="S76" i="5"/>
  <c r="S74" i="5"/>
  <c r="S72" i="5"/>
  <c r="S70" i="5"/>
  <c r="S68" i="5"/>
  <c r="S66" i="5"/>
  <c r="S64" i="5"/>
  <c r="S62" i="5"/>
  <c r="S60" i="5"/>
  <c r="S58" i="5"/>
  <c r="S56" i="5"/>
  <c r="S54" i="5"/>
  <c r="S52" i="5"/>
  <c r="S50" i="5"/>
  <c r="S48" i="5"/>
  <c r="S46" i="5"/>
  <c r="S44" i="5"/>
  <c r="S42" i="5"/>
  <c r="S40" i="5"/>
  <c r="S38" i="5"/>
  <c r="S36" i="5"/>
  <c r="S34" i="5"/>
  <c r="S32" i="5"/>
  <c r="S30" i="5"/>
  <c r="S28" i="5"/>
  <c r="S26" i="5"/>
  <c r="S24" i="5"/>
  <c r="S22" i="5"/>
  <c r="S20" i="5"/>
  <c r="S184" i="5"/>
  <c r="S164" i="5"/>
  <c r="S138" i="5"/>
  <c r="S198" i="5"/>
  <c r="S158" i="5"/>
  <c r="S180" i="5"/>
  <c r="S170" i="5"/>
  <c r="S152" i="5"/>
  <c r="S140" i="5"/>
  <c r="S194" i="5"/>
  <c r="S176" i="5"/>
  <c r="S142" i="5"/>
  <c r="S166" i="5"/>
  <c r="S160" i="5"/>
  <c r="S144" i="5"/>
  <c r="S186" i="5"/>
  <c r="S154" i="5"/>
  <c r="S135" i="5"/>
  <c r="S133" i="5"/>
  <c r="S131" i="5"/>
  <c r="S129" i="5"/>
  <c r="S127" i="5"/>
  <c r="S125" i="5"/>
  <c r="S123" i="5"/>
  <c r="S121" i="5"/>
  <c r="S119" i="5"/>
  <c r="S117" i="5"/>
  <c r="S115" i="5"/>
  <c r="S113" i="5"/>
  <c r="S111" i="5"/>
  <c r="S109" i="5"/>
  <c r="S107" i="5"/>
  <c r="S105" i="5"/>
  <c r="S103" i="5"/>
  <c r="S101" i="5"/>
  <c r="S99" i="5"/>
  <c r="S97" i="5"/>
  <c r="S95" i="5"/>
  <c r="S93" i="5"/>
  <c r="S91" i="5"/>
  <c r="S89" i="5"/>
  <c r="S87" i="5"/>
  <c r="S85" i="5"/>
  <c r="S83" i="5"/>
  <c r="S81" i="5"/>
  <c r="S79" i="5"/>
  <c r="S77" i="5"/>
  <c r="S75" i="5"/>
  <c r="S73" i="5"/>
  <c r="S71" i="5"/>
  <c r="S69" i="5"/>
  <c r="S67" i="5"/>
  <c r="S65" i="5"/>
  <c r="S172" i="5"/>
  <c r="S146" i="5"/>
  <c r="S137" i="5"/>
  <c r="S182" i="5"/>
  <c r="S196" i="5"/>
  <c r="S289" i="5"/>
  <c r="S178" i="5"/>
  <c r="S162" i="5"/>
  <c r="S148" i="5"/>
  <c r="S192" i="5"/>
  <c r="S168" i="5"/>
  <c r="S156" i="5"/>
  <c r="S269" i="5"/>
  <c r="S51" i="5"/>
  <c r="S39" i="5"/>
  <c r="S21" i="5"/>
  <c r="S41" i="5"/>
  <c r="S23" i="5"/>
  <c r="S59" i="5"/>
  <c r="S25" i="5"/>
  <c r="S150" i="5"/>
  <c r="S53" i="5"/>
  <c r="S43" i="5"/>
  <c r="S27" i="5"/>
  <c r="S174" i="5"/>
  <c r="S45" i="5"/>
  <c r="S29" i="5"/>
  <c r="S61" i="5"/>
  <c r="S47" i="5"/>
  <c r="S55" i="5"/>
  <c r="S190" i="5"/>
  <c r="S33" i="5"/>
  <c r="S49" i="5"/>
  <c r="S35" i="5"/>
  <c r="S19" i="5"/>
  <c r="S3" i="5"/>
  <c r="S18" i="5"/>
  <c r="S12" i="5"/>
  <c r="S31" i="5"/>
  <c r="S7" i="5"/>
  <c r="S63" i="5"/>
  <c r="S2" i="5"/>
  <c r="S17" i="5"/>
  <c r="S11" i="5"/>
  <c r="S6" i="5"/>
  <c r="S16" i="5"/>
  <c r="S188" i="5"/>
  <c r="S10" i="5"/>
  <c r="S37" i="5"/>
  <c r="S5" i="5"/>
  <c r="S15" i="5"/>
  <c r="S14" i="5"/>
  <c r="S9" i="5"/>
  <c r="S4" i="5"/>
  <c r="S57" i="5"/>
  <c r="S8" i="5"/>
  <c r="S13" i="5"/>
  <c r="E38" i="4"/>
  <c r="E48" i="4"/>
  <c r="C3" i="10" a="1"/>
  <c r="C3" i="10" s="1"/>
  <c r="D3" i="10" s="1" a="1"/>
  <c r="D3" i="10" s="1"/>
  <c r="C19" i="10" a="1"/>
  <c r="C19" i="10" s="1"/>
  <c r="D19" i="10" s="1" a="1"/>
  <c r="D19" i="10" s="1"/>
  <c r="C32" i="10" a="1"/>
  <c r="C32" i="10" s="1"/>
  <c r="D32" i="10" s="1" a="1"/>
  <c r="D32" i="10" s="1"/>
  <c r="C62" i="10" a="1"/>
  <c r="C62" i="10" s="1"/>
  <c r="D62" i="10" s="1" a="1"/>
  <c r="D62" i="10" s="1"/>
  <c r="B92" i="10"/>
  <c r="L92" i="10" s="1"/>
  <c r="D30" i="4"/>
  <c r="F38" i="4"/>
  <c r="F48" i="4"/>
  <c r="C2" i="10" a="1"/>
  <c r="C2" i="10" s="1"/>
  <c r="B16" i="10"/>
  <c r="L16" i="10" s="1"/>
  <c r="C18" i="10" a="1"/>
  <c r="C18" i="10" s="1"/>
  <c r="D18" i="10" s="1" a="1"/>
  <c r="D18" i="10" s="1"/>
  <c r="B31" i="10"/>
  <c r="L31" i="10" s="1"/>
  <c r="L66" i="10"/>
  <c r="K74" i="10"/>
  <c r="K81" i="10"/>
  <c r="C83" i="10" a="1"/>
  <c r="C83" i="10" s="1"/>
  <c r="D83" i="10" s="1" a="1"/>
  <c r="D83" i="10" s="1"/>
  <c r="L153" i="10"/>
  <c r="C17" i="10" a="1"/>
  <c r="C17" i="10" s="1"/>
  <c r="D17" i="10" s="1" a="1"/>
  <c r="D17" i="10" s="1"/>
  <c r="C31" i="10" a="1"/>
  <c r="C31" i="10" s="1"/>
  <c r="D31" i="10" s="1" a="1"/>
  <c r="D31" i="10" s="1"/>
  <c r="C95" i="10" a="1"/>
  <c r="C95" i="10" s="1"/>
  <c r="D95" i="10" s="1" a="1"/>
  <c r="D95" i="10" s="1"/>
  <c r="C184" i="10" a="1"/>
  <c r="C184" i="10" s="1"/>
  <c r="D184" i="10" s="1" a="1"/>
  <c r="D184" i="10" s="1"/>
  <c r="C75" i="10" a="1"/>
  <c r="C75" i="10" s="1"/>
  <c r="D75" i="10" s="1" a="1"/>
  <c r="D75" i="10" s="1"/>
  <c r="L103" i="10"/>
  <c r="L114" i="10"/>
  <c r="C172" i="10" a="1"/>
  <c r="C172" i="10" s="1"/>
  <c r="D172" i="10" s="1" a="1"/>
  <c r="D172" i="10" s="1"/>
  <c r="D58" i="4"/>
  <c r="C13" i="10" a="1"/>
  <c r="C13" i="10" s="1"/>
  <c r="D13" i="10" s="1" a="1"/>
  <c r="D13" i="10" s="1"/>
  <c r="C29" i="10" a="1"/>
  <c r="C29" i="10" s="1"/>
  <c r="D29" i="10" s="1" a="1"/>
  <c r="D29" i="10" s="1"/>
  <c r="B56" i="10"/>
  <c r="L56" i="10" s="1"/>
  <c r="B60" i="10"/>
  <c r="L60" i="10" s="1"/>
  <c r="K73" i="10"/>
  <c r="B88" i="10"/>
  <c r="L88" i="10" s="1"/>
  <c r="B91" i="10"/>
  <c r="L91" i="10" s="1"/>
  <c r="L118" i="10"/>
  <c r="L150" i="10"/>
  <c r="E58" i="4"/>
  <c r="B10" i="10"/>
  <c r="L10" i="10" s="1"/>
  <c r="C12" i="10" a="1"/>
  <c r="C12" i="10" s="1"/>
  <c r="D12" i="10" s="1" a="1"/>
  <c r="D12" i="10" s="1"/>
  <c r="B26" i="10"/>
  <c r="L26" i="10" s="1"/>
  <c r="C28" i="10" a="1"/>
  <c r="C28" i="10" s="1"/>
  <c r="D28" i="10" s="1" a="1"/>
  <c r="D28" i="10" s="1"/>
  <c r="B67" i="10"/>
  <c r="L67" i="10" s="1"/>
  <c r="C91" i="10" a="1"/>
  <c r="C91" i="10" s="1"/>
  <c r="D91" i="10" s="1" a="1"/>
  <c r="D91" i="10" s="1"/>
  <c r="L122" i="10"/>
  <c r="B165" i="10"/>
  <c r="L165" i="10" s="1"/>
  <c r="B158" i="10"/>
  <c r="L158" i="10" s="1"/>
  <c r="L172" i="10"/>
  <c r="B183" i="10"/>
  <c r="L183" i="10" s="1"/>
  <c r="L174" i="10"/>
  <c r="D230" i="10" a="1"/>
  <c r="D230" i="10" s="1"/>
  <c r="L151" i="10"/>
  <c r="L155" i="10"/>
  <c r="K174" i="10"/>
  <c r="L221" i="10"/>
  <c r="B185" i="10"/>
  <c r="L185" i="10" s="1"/>
  <c r="K228" i="10"/>
  <c r="B179" i="10"/>
  <c r="L179" i="10" s="1"/>
  <c r="L187" i="10"/>
  <c r="L248" i="10"/>
  <c r="B175" i="10"/>
  <c r="L175" i="10" s="1"/>
  <c r="K217" i="10"/>
  <c r="L230" i="10"/>
  <c r="K173" i="10"/>
  <c r="K184" i="10"/>
  <c r="L213" i="10"/>
  <c r="L216" i="10"/>
  <c r="B170" i="10"/>
  <c r="L170" i="10" s="1"/>
  <c r="B186" i="10"/>
  <c r="L186" i="10" s="1"/>
  <c r="L219" i="10"/>
  <c r="L171" i="10"/>
  <c r="K223" i="10"/>
  <c r="L229" i="10"/>
  <c r="L232" i="10"/>
  <c r="L202" i="10"/>
  <c r="K209" i="10"/>
  <c r="L222" i="10"/>
  <c r="D194" i="10" a="1"/>
  <c r="D194" i="10" s="1"/>
  <c r="K194" i="10"/>
  <c r="L208" i="10"/>
  <c r="L243" i="10"/>
  <c r="L211" i="10"/>
  <c r="K222" i="10"/>
  <c r="L240" i="10"/>
  <c r="B344" i="10"/>
  <c r="L344" i="10" s="1"/>
  <c r="B331" i="10"/>
  <c r="L331" i="10" s="1"/>
  <c r="K336" i="10"/>
  <c r="B355" i="10"/>
  <c r="L355" i="10" s="1"/>
  <c r="L254" i="10"/>
  <c r="L320" i="10"/>
  <c r="D313" i="10" a="1"/>
  <c r="D313" i="10" s="1"/>
  <c r="K348" i="10"/>
  <c r="B362" i="10"/>
  <c r="L362" i="10" s="1"/>
  <c r="L237" i="10"/>
  <c r="L245" i="10"/>
  <c r="L253" i="10"/>
  <c r="L312" i="10"/>
  <c r="B324" i="10"/>
  <c r="L324" i="10" s="1"/>
  <c r="R5" i="5"/>
  <c r="B341" i="10"/>
  <c r="L341" i="10" s="1"/>
  <c r="B347" i="10"/>
  <c r="L347" i="10" s="1"/>
  <c r="L212" i="10"/>
  <c r="L220" i="10"/>
  <c r="L228" i="10"/>
  <c r="L236" i="10"/>
  <c r="L244" i="10"/>
  <c r="L252" i="10"/>
  <c r="L259" i="10"/>
  <c r="K322" i="10"/>
  <c r="R58" i="5"/>
  <c r="B328" i="10"/>
  <c r="L328" i="10" s="1"/>
  <c r="K54" i="7"/>
  <c r="R54" i="5"/>
  <c r="L258" i="10"/>
  <c r="K314" i="10"/>
  <c r="K324" i="10"/>
  <c r="L210" i="10"/>
  <c r="L218" i="10"/>
  <c r="L226" i="10"/>
  <c r="L234" i="10"/>
  <c r="L242" i="10"/>
  <c r="L250" i="10"/>
  <c r="B318" i="10"/>
  <c r="L318" i="10" s="1"/>
  <c r="U27" i="5"/>
  <c r="R28" i="5"/>
  <c r="P28" i="5"/>
  <c r="L321" i="10"/>
  <c r="K326" i="10"/>
  <c r="B336" i="10"/>
  <c r="L336" i="10" s="1"/>
  <c r="L313" i="10"/>
  <c r="K365" i="10"/>
  <c r="K358" i="10"/>
  <c r="P101" i="5"/>
  <c r="R101" i="5"/>
  <c r="U100" i="5"/>
  <c r="K345" i="10"/>
  <c r="D346" i="10" a="1"/>
  <c r="D346" i="10" s="1"/>
  <c r="K353" i="10"/>
  <c r="L325" i="10"/>
  <c r="L338" i="10"/>
  <c r="R71" i="5"/>
  <c r="P71" i="5"/>
  <c r="U70" i="5"/>
  <c r="L319" i="10"/>
  <c r="L364" i="10"/>
  <c r="R11" i="5"/>
  <c r="R14" i="5"/>
  <c r="R23" i="5"/>
  <c r="P23" i="5"/>
  <c r="K197" i="7"/>
  <c r="R197" i="5"/>
  <c r="L352" i="10"/>
  <c r="L357" i="10"/>
  <c r="K362" i="10"/>
  <c r="R17" i="5"/>
  <c r="K120" i="7"/>
  <c r="R120" i="5"/>
  <c r="K355" i="10"/>
  <c r="L366" i="10"/>
  <c r="R7" i="5"/>
  <c r="U22" i="5"/>
  <c r="L359" i="10"/>
  <c r="R50" i="5"/>
  <c r="R62" i="5"/>
  <c r="L317" i="10"/>
  <c r="L337" i="10"/>
  <c r="K344" i="10"/>
  <c r="K352" i="10"/>
  <c r="K357" i="10"/>
  <c r="R10" i="5"/>
  <c r="R25" i="5"/>
  <c r="P25" i="5"/>
  <c r="U24" i="5"/>
  <c r="K46" i="7"/>
  <c r="R46" i="5"/>
  <c r="R49" i="5"/>
  <c r="K104" i="7"/>
  <c r="R104" i="5"/>
  <c r="L354" i="10"/>
  <c r="L361" i="10"/>
  <c r="R16" i="5"/>
  <c r="R32" i="5"/>
  <c r="R41" i="5"/>
  <c r="P41" i="5"/>
  <c r="U40" i="5"/>
  <c r="R47" i="5"/>
  <c r="R53" i="5"/>
  <c r="P53" i="5"/>
  <c r="U52" i="5"/>
  <c r="R61" i="5"/>
  <c r="K72" i="7"/>
  <c r="R72" i="5"/>
  <c r="L316" i="10"/>
  <c r="L327" i="10"/>
  <c r="L343" i="10"/>
  <c r="K349" i="10"/>
  <c r="K359" i="10"/>
  <c r="R6" i="5"/>
  <c r="R13" i="5"/>
  <c r="R19" i="5"/>
  <c r="L323" i="10"/>
  <c r="L330" i="10"/>
  <c r="L351" i="10"/>
  <c r="L363" i="10"/>
  <c r="K88" i="7"/>
  <c r="R88" i="5"/>
  <c r="R179" i="5"/>
  <c r="R178" i="5"/>
  <c r="L315" i="10"/>
  <c r="L333" i="10"/>
  <c r="L356" i="10"/>
  <c r="R45" i="5"/>
  <c r="L348" i="10"/>
  <c r="L365" i="10"/>
  <c r="R9" i="5"/>
  <c r="R31" i="5"/>
  <c r="L314" i="10"/>
  <c r="L322" i="10"/>
  <c r="L339" i="10"/>
  <c r="L358" i="10"/>
  <c r="R12" i="5"/>
  <c r="R18" i="5"/>
  <c r="R27" i="5"/>
  <c r="R34" i="5"/>
  <c r="P34" i="5"/>
  <c r="R43" i="5"/>
  <c r="R56" i="5"/>
  <c r="R57" i="5"/>
  <c r="P117" i="5"/>
  <c r="R117" i="5"/>
  <c r="U116" i="5"/>
  <c r="P22" i="5"/>
  <c r="R135" i="5"/>
  <c r="P135" i="5"/>
  <c r="K160" i="7"/>
  <c r="R160" i="5"/>
  <c r="R70" i="5"/>
  <c r="R77" i="5"/>
  <c r="R81" i="5"/>
  <c r="K94" i="7"/>
  <c r="R94" i="5"/>
  <c r="K110" i="7"/>
  <c r="R110" i="5"/>
  <c r="K126" i="7"/>
  <c r="R126" i="5"/>
  <c r="K132" i="7"/>
  <c r="R132" i="5"/>
  <c r="R22" i="5"/>
  <c r="U35" i="5"/>
  <c r="R40" i="5"/>
  <c r="U49" i="5"/>
  <c r="R55" i="5"/>
  <c r="R136" i="5"/>
  <c r="R64" i="5"/>
  <c r="U90" i="5"/>
  <c r="K100" i="7"/>
  <c r="R100" i="5"/>
  <c r="U106" i="5"/>
  <c r="K116" i="7"/>
  <c r="R116" i="5"/>
  <c r="U122" i="5"/>
  <c r="U134" i="5"/>
  <c r="R137" i="5"/>
  <c r="P137" i="5"/>
  <c r="K171" i="7"/>
  <c r="R171" i="5"/>
  <c r="U20" i="5"/>
  <c r="R29" i="5"/>
  <c r="K90" i="7"/>
  <c r="R90" i="5"/>
  <c r="R91" i="5"/>
  <c r="U96" i="5"/>
  <c r="K106" i="7"/>
  <c r="R106" i="5"/>
  <c r="R107" i="5"/>
  <c r="U112" i="5"/>
  <c r="K122" i="7"/>
  <c r="R122" i="5"/>
  <c r="R123" i="5"/>
  <c r="U128" i="5"/>
  <c r="R172" i="5"/>
  <c r="K181" i="7"/>
  <c r="R181" i="5"/>
  <c r="R192" i="5"/>
  <c r="U2" i="5"/>
  <c r="U4" i="5"/>
  <c r="U6" i="5"/>
  <c r="U8" i="5"/>
  <c r="U10" i="5"/>
  <c r="U12" i="5"/>
  <c r="U14" i="5"/>
  <c r="U16" i="5"/>
  <c r="U18" i="5"/>
  <c r="U31" i="5"/>
  <c r="U38" i="5"/>
  <c r="U47" i="5"/>
  <c r="U50" i="5"/>
  <c r="P59" i="5"/>
  <c r="U86" i="5"/>
  <c r="K163" i="7"/>
  <c r="R163" i="5"/>
  <c r="R182" i="5"/>
  <c r="P65" i="5"/>
  <c r="U74" i="5"/>
  <c r="U78" i="5"/>
  <c r="U82" i="5"/>
  <c r="K96" i="7"/>
  <c r="R96" i="5"/>
  <c r="R97" i="5"/>
  <c r="U102" i="5"/>
  <c r="K112" i="7"/>
  <c r="R112" i="5"/>
  <c r="R113" i="5"/>
  <c r="U118" i="5"/>
  <c r="K128" i="7"/>
  <c r="R128" i="5"/>
  <c r="R129" i="5"/>
  <c r="U136" i="5"/>
  <c r="P159" i="5"/>
  <c r="U158" i="5"/>
  <c r="R186" i="5"/>
  <c r="R205" i="5"/>
  <c r="R204" i="5"/>
  <c r="P21" i="5"/>
  <c r="U29" i="5"/>
  <c r="P32" i="5"/>
  <c r="U36" i="5"/>
  <c r="U45" i="5"/>
  <c r="R48" i="5"/>
  <c r="R87" i="5"/>
  <c r="R131" i="5"/>
  <c r="P131" i="5"/>
  <c r="R145" i="5"/>
  <c r="R174" i="5"/>
  <c r="R184" i="5"/>
  <c r="P5" i="5"/>
  <c r="P7" i="5"/>
  <c r="P9" i="5"/>
  <c r="P11" i="5"/>
  <c r="P13" i="5"/>
  <c r="P15" i="5"/>
  <c r="P17" i="5"/>
  <c r="P19" i="5"/>
  <c r="P39" i="5"/>
  <c r="P51" i="5"/>
  <c r="U56" i="5"/>
  <c r="U68" i="5"/>
  <c r="R75" i="5"/>
  <c r="R79" i="5"/>
  <c r="R83" i="5"/>
  <c r="U92" i="5"/>
  <c r="K102" i="7"/>
  <c r="R102" i="5"/>
  <c r="R103" i="5"/>
  <c r="U108" i="5"/>
  <c r="K118" i="7"/>
  <c r="R118" i="5"/>
  <c r="R119" i="5"/>
  <c r="U124" i="5"/>
  <c r="R150" i="5"/>
  <c r="U34" i="5"/>
  <c r="U43" i="5"/>
  <c r="U48" i="5"/>
  <c r="R148" i="5"/>
  <c r="R159" i="5"/>
  <c r="P37" i="5"/>
  <c r="P57" i="5"/>
  <c r="P69" i="5"/>
  <c r="K92" i="7"/>
  <c r="R92" i="5"/>
  <c r="R93" i="5"/>
  <c r="U98" i="5"/>
  <c r="K108" i="7"/>
  <c r="D368" i="5"/>
  <c r="D369" i="5" s="1"/>
  <c r="R108" i="5"/>
  <c r="R109" i="5"/>
  <c r="U114" i="5"/>
  <c r="K124" i="7"/>
  <c r="R124" i="5"/>
  <c r="R125" i="5"/>
  <c r="U130" i="5"/>
  <c r="R141" i="5"/>
  <c r="R147" i="5"/>
  <c r="R158" i="5"/>
  <c r="K195" i="7"/>
  <c r="R195" i="5"/>
  <c r="R133" i="5"/>
  <c r="P133" i="5"/>
  <c r="R154" i="5"/>
  <c r="K166" i="7"/>
  <c r="R166" i="5"/>
  <c r="R60" i="5"/>
  <c r="R66" i="5"/>
  <c r="R76" i="5"/>
  <c r="R80" i="5"/>
  <c r="R84" i="5"/>
  <c r="U88" i="5"/>
  <c r="K98" i="7"/>
  <c r="R98" i="5"/>
  <c r="R99" i="5"/>
  <c r="U104" i="5"/>
  <c r="K114" i="7"/>
  <c r="R114" i="5"/>
  <c r="R115" i="5"/>
  <c r="U120" i="5"/>
  <c r="K130" i="7"/>
  <c r="R130" i="5"/>
  <c r="P173" i="5"/>
  <c r="U172" i="5"/>
  <c r="R257" i="5"/>
  <c r="P257" i="5"/>
  <c r="U256" i="5"/>
  <c r="K328" i="7"/>
  <c r="R328" i="5"/>
  <c r="R214" i="5"/>
  <c r="R139" i="5"/>
  <c r="P167" i="5"/>
  <c r="U166" i="5"/>
  <c r="R310" i="5"/>
  <c r="K348" i="7"/>
  <c r="R348" i="5"/>
  <c r="P144" i="5"/>
  <c r="R228" i="5"/>
  <c r="R236" i="5"/>
  <c r="R309" i="5"/>
  <c r="P177" i="5"/>
  <c r="U176" i="5"/>
  <c r="R246" i="5"/>
  <c r="R259" i="5"/>
  <c r="P259" i="5"/>
  <c r="U258" i="5"/>
  <c r="K283" i="7"/>
  <c r="R283" i="5"/>
  <c r="R304" i="5"/>
  <c r="R183" i="5"/>
  <c r="R210" i="5"/>
  <c r="K264" i="7"/>
  <c r="R264" i="5"/>
  <c r="U137" i="5"/>
  <c r="U146" i="5"/>
  <c r="R149" i="5"/>
  <c r="P171" i="5"/>
  <c r="U170" i="5"/>
  <c r="R173" i="5"/>
  <c r="U144" i="5"/>
  <c r="R155" i="5"/>
  <c r="U160" i="5"/>
  <c r="P165" i="5"/>
  <c r="U164" i="5"/>
  <c r="R167" i="5"/>
  <c r="R258" i="5"/>
  <c r="R268" i="5"/>
  <c r="K333" i="7"/>
  <c r="R333" i="5"/>
  <c r="R152" i="5"/>
  <c r="R161" i="5"/>
  <c r="R170" i="5"/>
  <c r="R191" i="5"/>
  <c r="R202" i="5"/>
  <c r="R300" i="5"/>
  <c r="P134" i="5"/>
  <c r="P136" i="5"/>
  <c r="U142" i="5"/>
  <c r="P145" i="5"/>
  <c r="P175" i="5"/>
  <c r="U174" i="5"/>
  <c r="R177" i="5"/>
  <c r="R250" i="5"/>
  <c r="R273" i="5"/>
  <c r="R299" i="5"/>
  <c r="K343" i="7"/>
  <c r="R343" i="5"/>
  <c r="R224" i="5"/>
  <c r="R232" i="5"/>
  <c r="R240" i="5"/>
  <c r="R267" i="5"/>
  <c r="K292" i="7"/>
  <c r="R292" i="5"/>
  <c r="R294" i="5"/>
  <c r="K305" i="7"/>
  <c r="R305" i="5"/>
  <c r="P169" i="5"/>
  <c r="U168" i="5"/>
  <c r="K280" i="7"/>
  <c r="R280" i="5"/>
  <c r="K286" i="7"/>
  <c r="R286" i="5"/>
  <c r="R288" i="5"/>
  <c r="K312" i="7"/>
  <c r="R312" i="5"/>
  <c r="R314" i="5"/>
  <c r="R153" i="5"/>
  <c r="R199" i="5"/>
  <c r="R252" i="5"/>
  <c r="R276" i="5"/>
  <c r="U262" i="5"/>
  <c r="R272" i="5"/>
  <c r="K324" i="7"/>
  <c r="R324" i="5"/>
  <c r="K338" i="7"/>
  <c r="R338" i="5"/>
  <c r="K349" i="7"/>
  <c r="R349" i="5"/>
  <c r="K361" i="7"/>
  <c r="R361" i="5"/>
  <c r="J37" i="7"/>
  <c r="R287" i="5"/>
  <c r="K344" i="7"/>
  <c r="R344" i="5"/>
  <c r="K355" i="7"/>
  <c r="R355" i="5"/>
  <c r="R303" i="5"/>
  <c r="K334" i="7"/>
  <c r="R334" i="5"/>
  <c r="K339" i="7"/>
  <c r="R339" i="5"/>
  <c r="K350" i="7"/>
  <c r="R350" i="5"/>
  <c r="K330" i="7"/>
  <c r="R330" i="5"/>
  <c r="K345" i="7"/>
  <c r="R345" i="5"/>
  <c r="U178" i="5"/>
  <c r="U180" i="5"/>
  <c r="U182" i="5"/>
  <c r="U184" i="5"/>
  <c r="U186" i="5"/>
  <c r="U188" i="5"/>
  <c r="U190" i="5"/>
  <c r="U192" i="5"/>
  <c r="U194" i="5"/>
  <c r="U196" i="5"/>
  <c r="U198" i="5"/>
  <c r="U200" i="5"/>
  <c r="U202" i="5"/>
  <c r="U204" i="5"/>
  <c r="U206" i="5"/>
  <c r="U208" i="5"/>
  <c r="U210" i="5"/>
  <c r="U212" i="5"/>
  <c r="U214" i="5"/>
  <c r="U216" i="5"/>
  <c r="U218" i="5"/>
  <c r="U220" i="5"/>
  <c r="U222" i="5"/>
  <c r="U224" i="5"/>
  <c r="U226" i="5"/>
  <c r="U228" i="5"/>
  <c r="U230" i="5"/>
  <c r="U232" i="5"/>
  <c r="U234" i="5"/>
  <c r="U236" i="5"/>
  <c r="U238" i="5"/>
  <c r="U240" i="5"/>
  <c r="U242" i="5"/>
  <c r="U244" i="5"/>
  <c r="U246" i="5"/>
  <c r="U248" i="5"/>
  <c r="U250" i="5"/>
  <c r="U252" i="5"/>
  <c r="U254" i="5"/>
  <c r="K340" i="7"/>
  <c r="R340" i="5"/>
  <c r="R366" i="5"/>
  <c r="R282" i="5"/>
  <c r="R318" i="5"/>
  <c r="K326" i="7"/>
  <c r="R326" i="5"/>
  <c r="K351" i="7"/>
  <c r="R351" i="5"/>
  <c r="K357" i="7"/>
  <c r="R357" i="5"/>
  <c r="J36" i="7"/>
  <c r="P255" i="5"/>
  <c r="K346" i="7"/>
  <c r="R346" i="5"/>
  <c r="R271" i="5"/>
  <c r="R301" i="5"/>
  <c r="K322" i="7"/>
  <c r="R322" i="5"/>
  <c r="K341" i="7"/>
  <c r="R341" i="5"/>
  <c r="J57" i="7"/>
  <c r="K336" i="7"/>
  <c r="R336" i="5"/>
  <c r="K352" i="7"/>
  <c r="R352" i="5"/>
  <c r="J26" i="7"/>
  <c r="J74" i="7"/>
  <c r="K347" i="7"/>
  <c r="R347" i="5"/>
  <c r="K332" i="7"/>
  <c r="R332" i="5"/>
  <c r="K342" i="7"/>
  <c r="R342" i="5"/>
  <c r="K359" i="7"/>
  <c r="R359" i="5"/>
  <c r="J20" i="7"/>
  <c r="K337" i="7"/>
  <c r="R337" i="5"/>
  <c r="K353" i="7"/>
  <c r="R353" i="5"/>
  <c r="J17" i="7"/>
  <c r="J59" i="7"/>
  <c r="R363" i="5"/>
  <c r="J11" i="7"/>
  <c r="J52" i="7"/>
  <c r="J166" i="7"/>
  <c r="J24" i="7"/>
  <c r="J64" i="7"/>
  <c r="J69" i="7"/>
  <c r="J19" i="7"/>
  <c r="J34" i="7"/>
  <c r="J51" i="7"/>
  <c r="J98" i="7"/>
  <c r="S98" i="7"/>
  <c r="J140" i="7"/>
  <c r="J3" i="7"/>
  <c r="J43" i="7"/>
  <c r="J68" i="7"/>
  <c r="J197" i="7"/>
  <c r="J16" i="7"/>
  <c r="J38" i="7"/>
  <c r="J56" i="7"/>
  <c r="J82" i="7"/>
  <c r="S82" i="7"/>
  <c r="J101" i="7"/>
  <c r="J13" i="7"/>
  <c r="J32" i="7"/>
  <c r="J70" i="7"/>
  <c r="J72" i="7"/>
  <c r="R354" i="5"/>
  <c r="R356" i="5"/>
  <c r="R358" i="5"/>
  <c r="R360" i="5"/>
  <c r="R362" i="5"/>
  <c r="R364" i="5"/>
  <c r="S5" i="7"/>
  <c r="J7" i="7"/>
  <c r="J8" i="7"/>
  <c r="J55" i="7"/>
  <c r="J65" i="7"/>
  <c r="J85" i="7"/>
  <c r="J77" i="7"/>
  <c r="J93" i="7"/>
  <c r="J104" i="7"/>
  <c r="U364" i="5"/>
  <c r="J88" i="7"/>
  <c r="J95" i="7"/>
  <c r="J100" i="7"/>
  <c r="J35" i="7"/>
  <c r="J48" i="7"/>
  <c r="J61" i="7"/>
  <c r="S66" i="7"/>
  <c r="J79" i="7"/>
  <c r="J96" i="7"/>
  <c r="J106" i="7"/>
  <c r="J22" i="7"/>
  <c r="J27" i="7"/>
  <c r="J33" i="7"/>
  <c r="J75" i="7"/>
  <c r="S80" i="7"/>
  <c r="J84" i="7"/>
  <c r="J107" i="7"/>
  <c r="J115" i="7"/>
  <c r="J125" i="7"/>
  <c r="J135" i="7"/>
  <c r="J151" i="7"/>
  <c r="J121" i="7"/>
  <c r="J201" i="7"/>
  <c r="J209" i="7"/>
  <c r="J211" i="7"/>
  <c r="J228" i="7"/>
  <c r="J132" i="7"/>
  <c r="J172" i="7"/>
  <c r="J222" i="7"/>
  <c r="S108" i="7"/>
  <c r="J131" i="7"/>
  <c r="J137" i="7"/>
  <c r="J168" i="7"/>
  <c r="J141" i="7"/>
  <c r="J182" i="7"/>
  <c r="J302" i="7"/>
  <c r="J167" i="7"/>
  <c r="C368" i="7"/>
  <c r="C369" i="7" s="1"/>
  <c r="C371" i="7"/>
  <c r="C372" i="7" s="1"/>
  <c r="J116" i="7"/>
  <c r="J136" i="7"/>
  <c r="J142" i="7"/>
  <c r="J173" i="7"/>
  <c r="J178" i="7"/>
  <c r="E371" i="7"/>
  <c r="E372" i="7" s="1"/>
  <c r="E368" i="7"/>
  <c r="E369" i="7" s="1"/>
  <c r="J184" i="7"/>
  <c r="J307" i="7"/>
  <c r="J111" i="7"/>
  <c r="J120" i="7"/>
  <c r="S129" i="7"/>
  <c r="J157" i="7"/>
  <c r="G371" i="7"/>
  <c r="G372" i="7" s="1"/>
  <c r="G368" i="7"/>
  <c r="G369" i="7" s="1"/>
  <c r="S128" i="7"/>
  <c r="J210" i="7"/>
  <c r="J229" i="7"/>
  <c r="H371" i="7"/>
  <c r="H372" i="7" s="1"/>
  <c r="H368" i="7"/>
  <c r="H369" i="7" s="1"/>
  <c r="J117" i="7"/>
  <c r="S118" i="7"/>
  <c r="J158" i="7"/>
  <c r="S226" i="7"/>
  <c r="J226" i="7"/>
  <c r="I371" i="7"/>
  <c r="I372" i="7" s="1"/>
  <c r="I368" i="7"/>
  <c r="I369" i="7" s="1"/>
  <c r="S114" i="7"/>
  <c r="J127" i="7"/>
  <c r="J152" i="7"/>
  <c r="J200" i="7"/>
  <c r="J223" i="7"/>
  <c r="J248" i="7"/>
  <c r="J240" i="7"/>
  <c r="J287" i="7"/>
  <c r="J243" i="7"/>
  <c r="J261" i="7"/>
  <c r="J293" i="7"/>
  <c r="J235" i="7"/>
  <c r="J251" i="7"/>
  <c r="J273" i="7"/>
  <c r="J296" i="7"/>
  <c r="J324" i="7"/>
  <c r="J326" i="7"/>
  <c r="J330" i="7"/>
  <c r="J286" i="7"/>
  <c r="J288" i="7"/>
  <c r="J190" i="7"/>
  <c r="J289" i="7"/>
  <c r="S269" i="7"/>
  <c r="J292" i="7"/>
  <c r="J335" i="7"/>
  <c r="J217" i="7"/>
  <c r="J245" i="7"/>
  <c r="J267" i="7"/>
  <c r="J351" i="7"/>
  <c r="S193" i="7"/>
  <c r="J239" i="7"/>
  <c r="J256" i="7"/>
  <c r="J329" i="7"/>
  <c r="D368" i="7"/>
  <c r="D369" i="7" s="1"/>
  <c r="D371" i="7"/>
  <c r="D372" i="7" s="1"/>
  <c r="J206" i="7"/>
  <c r="J236" i="7"/>
  <c r="J212" i="7"/>
  <c r="J249" i="7"/>
  <c r="J257" i="7"/>
  <c r="F371" i="7"/>
  <c r="F372" i="7" s="1"/>
  <c r="F368" i="7"/>
  <c r="F369" i="7" s="1"/>
  <c r="J196" i="7"/>
  <c r="S220" i="7"/>
  <c r="S230" i="7"/>
  <c r="S264" i="7"/>
  <c r="J291" i="7"/>
  <c r="J297" i="7"/>
  <c r="S317" i="7"/>
  <c r="S318" i="7"/>
  <c r="S344" i="7"/>
  <c r="S360" i="7"/>
  <c r="J252" i="7"/>
  <c r="J294" i="7"/>
  <c r="J336" i="7"/>
  <c r="J309" i="7"/>
  <c r="S312" i="7"/>
  <c r="J317" i="7"/>
  <c r="J344" i="7"/>
  <c r="J352" i="7"/>
  <c r="J364" i="7"/>
  <c r="J363" i="7"/>
  <c r="J299" i="7"/>
  <c r="S365" i="7"/>
  <c r="S366" i="7"/>
  <c r="S291" i="7"/>
  <c r="J331" i="7"/>
  <c r="J241" i="7"/>
  <c r="S349" i="7"/>
  <c r="S350" i="7"/>
  <c r="S237" i="7"/>
  <c r="S238" i="7"/>
  <c r="S243" i="7"/>
  <c r="J283" i="7"/>
  <c r="S285" i="7"/>
  <c r="S286" i="7"/>
  <c r="J325" i="7"/>
  <c r="S328" i="7"/>
  <c r="J347" i="7"/>
  <c r="J358" i="7"/>
  <c r="J262" i="7"/>
  <c r="J321" i="7"/>
  <c r="S322" i="7"/>
  <c r="J277" i="7"/>
  <c r="S280" i="7"/>
  <c r="J304" i="7"/>
  <c r="S323" i="7"/>
  <c r="R67" i="12" l="1"/>
  <c r="R51" i="12"/>
  <c r="R149" i="12"/>
  <c r="R74" i="12"/>
  <c r="R204" i="12"/>
  <c r="R13" i="12"/>
  <c r="R86" i="12"/>
  <c r="O283" i="12"/>
  <c r="C320" i="10" a="1"/>
  <c r="C320" i="10" s="1"/>
  <c r="D320" i="10" s="1" a="1"/>
  <c r="D320" i="10" s="1"/>
  <c r="C153" i="10" a="1"/>
  <c r="C153" i="10" s="1"/>
  <c r="D153" i="10" s="1" a="1"/>
  <c r="D153" i="10" s="1"/>
  <c r="C154" i="10" a="1"/>
  <c r="C154" i="10" s="1"/>
  <c r="D154" i="10" s="1" a="1"/>
  <c r="D154" i="10" s="1"/>
  <c r="C155" i="10" a="1"/>
  <c r="C155" i="10" s="1"/>
  <c r="D155" i="10" s="1" a="1"/>
  <c r="D155" i="10" s="1"/>
  <c r="C201" i="10" a="1"/>
  <c r="C201" i="10" s="1"/>
  <c r="D201" i="10" s="1" a="1"/>
  <c r="D201" i="10" s="1"/>
  <c r="C286" i="10" a="1"/>
  <c r="C286" i="10" s="1"/>
  <c r="D286" i="10" s="1" a="1"/>
  <c r="D286" i="10" s="1"/>
  <c r="C302" i="10" a="1"/>
  <c r="C302" i="10" s="1"/>
  <c r="D302" i="10" s="1" a="1"/>
  <c r="D302" i="10" s="1"/>
  <c r="C167" i="10" a="1"/>
  <c r="C167" i="10" s="1"/>
  <c r="D167" i="10" s="1" a="1"/>
  <c r="D167" i="10" s="1"/>
  <c r="C168" i="10" a="1"/>
  <c r="C168" i="10" s="1"/>
  <c r="D168" i="10" s="1" a="1"/>
  <c r="D168" i="10" s="1"/>
  <c r="C185" i="10" a="1"/>
  <c r="C185" i="10" s="1"/>
  <c r="D185" i="10" s="1" a="1"/>
  <c r="D185" i="10" s="1"/>
  <c r="C235" i="10" a="1"/>
  <c r="C235" i="10" s="1"/>
  <c r="D235" i="10" s="1" a="1"/>
  <c r="D235" i="10" s="1"/>
  <c r="C251" i="10" a="1"/>
  <c r="C251" i="10" s="1"/>
  <c r="D251" i="10" s="1" a="1"/>
  <c r="D251" i="10" s="1"/>
  <c r="C226" i="10" a="1"/>
  <c r="C226" i="10" s="1"/>
  <c r="D226" i="10" s="1" a="1"/>
  <c r="D226" i="10" s="1"/>
  <c r="C281" i="10" a="1"/>
  <c r="C281" i="10" s="1"/>
  <c r="D281" i="10" s="1" a="1"/>
  <c r="D281" i="10" s="1"/>
  <c r="C234" i="10" a="1"/>
  <c r="C234" i="10" s="1"/>
  <c r="D234" i="10" s="1" a="1"/>
  <c r="D234" i="10" s="1"/>
  <c r="C291" i="10" a="1"/>
  <c r="C291" i="10" s="1"/>
  <c r="D291" i="10" s="1" a="1"/>
  <c r="D291" i="10" s="1"/>
  <c r="C285" i="10" a="1"/>
  <c r="C285" i="10" s="1"/>
  <c r="D285" i="10" s="1" a="1"/>
  <c r="D285" i="10" s="1"/>
  <c r="C210" i="10" a="1"/>
  <c r="C210" i="10" s="1"/>
  <c r="D210" i="10" s="1" a="1"/>
  <c r="D210" i="10" s="1"/>
  <c r="C242" i="10" a="1"/>
  <c r="C242" i="10" s="1"/>
  <c r="D242" i="10" s="1" a="1"/>
  <c r="D242" i="10" s="1"/>
  <c r="C263" i="10" a="1"/>
  <c r="C263" i="10" s="1"/>
  <c r="D263" i="10" s="1" a="1"/>
  <c r="D263" i="10" s="1"/>
  <c r="C347" i="10" a="1"/>
  <c r="C347" i="10" s="1"/>
  <c r="D347" i="10" s="1" a="1"/>
  <c r="D347" i="10" s="1"/>
  <c r="C366" i="10" a="1"/>
  <c r="C366" i="10" s="1"/>
  <c r="D366" i="10" s="1" a="1"/>
  <c r="D366" i="10" s="1"/>
  <c r="C279" i="10" a="1"/>
  <c r="C279" i="10" s="1"/>
  <c r="D279" i="10" s="1" a="1"/>
  <c r="D279" i="10" s="1"/>
  <c r="C273" i="10" a="1"/>
  <c r="C273" i="10" s="1"/>
  <c r="D273" i="10" s="1" a="1"/>
  <c r="D273" i="10" s="1"/>
  <c r="C289" i="10" a="1"/>
  <c r="C289" i="10" s="1"/>
  <c r="D289" i="10" s="1" a="1"/>
  <c r="D289" i="10" s="1"/>
  <c r="C305" i="10" a="1"/>
  <c r="C305" i="10" s="1"/>
  <c r="D305" i="10" s="1" a="1"/>
  <c r="D305" i="10" s="1"/>
  <c r="C330" i="10" a="1"/>
  <c r="C330" i="10" s="1"/>
  <c r="D330" i="10" s="1" a="1"/>
  <c r="D330" i="10" s="1"/>
  <c r="C299" i="10" a="1"/>
  <c r="C299" i="10" s="1"/>
  <c r="D299" i="10" s="1" a="1"/>
  <c r="D299" i="10" s="1"/>
  <c r="C175" i="10" a="1"/>
  <c r="C175" i="10" s="1"/>
  <c r="D175" i="10" s="1" a="1"/>
  <c r="D175" i="10" s="1"/>
  <c r="C293" i="10" a="1"/>
  <c r="C293" i="10" s="1"/>
  <c r="D293" i="10" s="1" a="1"/>
  <c r="D293" i="10" s="1"/>
  <c r="C309" i="10" a="1"/>
  <c r="C309" i="10" s="1"/>
  <c r="D309" i="10" s="1" a="1"/>
  <c r="D309" i="10" s="1"/>
  <c r="C218" i="10" a="1"/>
  <c r="C218" i="10" s="1"/>
  <c r="D218" i="10" s="1" a="1"/>
  <c r="D218" i="10" s="1"/>
  <c r="C315" i="10" a="1"/>
  <c r="C315" i="10" s="1"/>
  <c r="D315" i="10" s="1" a="1"/>
  <c r="D315" i="10" s="1"/>
  <c r="C338" i="10" a="1"/>
  <c r="C338" i="10" s="1"/>
  <c r="D338" i="10" s="1" a="1"/>
  <c r="D338" i="10" s="1"/>
  <c r="C205" i="10" a="1"/>
  <c r="C205" i="10" s="1"/>
  <c r="D205" i="10" s="1" a="1"/>
  <c r="D205" i="10" s="1"/>
  <c r="C21" i="10" a="1"/>
  <c r="C21" i="10" s="1"/>
  <c r="D21" i="10" s="1" a="1"/>
  <c r="D21" i="10" s="1"/>
  <c r="C352" i="10" a="1"/>
  <c r="C352" i="10" s="1"/>
  <c r="D352" i="10" s="1" a="1"/>
  <c r="D352" i="10" s="1"/>
  <c r="C348" i="10" a="1"/>
  <c r="C348" i="10" s="1"/>
  <c r="D348" i="10" s="1" a="1"/>
  <c r="D348" i="10" s="1"/>
  <c r="C326" i="10" a="1"/>
  <c r="C326" i="10" s="1"/>
  <c r="D326" i="10" s="1" a="1"/>
  <c r="D326" i="10" s="1"/>
  <c r="O323" i="12"/>
  <c r="O37" i="12"/>
  <c r="O101" i="12"/>
  <c r="O72" i="12"/>
  <c r="R231" i="12"/>
  <c r="O141" i="12"/>
  <c r="R244" i="12"/>
  <c r="R166" i="12"/>
  <c r="R247" i="12"/>
  <c r="O199" i="12"/>
  <c r="R228" i="12"/>
  <c r="O22" i="12"/>
  <c r="R101" i="12"/>
  <c r="R182" i="12"/>
  <c r="R221" i="12"/>
  <c r="R279" i="12"/>
  <c r="R52" i="12"/>
  <c r="R32" i="12"/>
  <c r="R68" i="12"/>
  <c r="R98" i="12"/>
  <c r="R95" i="12"/>
  <c r="R236" i="12"/>
  <c r="O304" i="12"/>
  <c r="O108" i="12"/>
  <c r="R100" i="12"/>
  <c r="R252" i="12"/>
  <c r="R159" i="12"/>
  <c r="R18" i="12"/>
  <c r="O149" i="12"/>
  <c r="R160" i="12"/>
  <c r="O95" i="12"/>
  <c r="R38" i="12"/>
  <c r="O143" i="12"/>
  <c r="O98" i="12"/>
  <c r="R146" i="12"/>
  <c r="O327" i="12"/>
  <c r="O59" i="12"/>
  <c r="O79" i="12"/>
  <c r="O35" i="12"/>
  <c r="R19" i="12"/>
  <c r="O248" i="12"/>
  <c r="O93" i="12"/>
  <c r="O11" i="12"/>
  <c r="O246" i="12"/>
  <c r="R82" i="12"/>
  <c r="O3" i="12"/>
  <c r="R66" i="12"/>
  <c r="O275" i="12"/>
  <c r="V208" i="5"/>
  <c r="X208" i="5" s="1"/>
  <c r="Y208" i="5" s="1"/>
  <c r="R162" i="12"/>
  <c r="R303" i="12"/>
  <c r="R83" i="12"/>
  <c r="R11" i="12"/>
  <c r="R80" i="12"/>
  <c r="R114" i="12"/>
  <c r="R30" i="12"/>
  <c r="R116" i="12"/>
  <c r="R111" i="12"/>
  <c r="R91" i="12"/>
  <c r="R16" i="12"/>
  <c r="R60" i="12"/>
  <c r="R49" i="12"/>
  <c r="O62" i="12"/>
  <c r="R39" i="12"/>
  <c r="R34" i="12"/>
  <c r="O29" i="12"/>
  <c r="R239" i="12"/>
  <c r="R132" i="12"/>
  <c r="R73" i="12"/>
  <c r="O314" i="12"/>
  <c r="R234" i="12"/>
  <c r="O297" i="12"/>
  <c r="O191" i="12"/>
  <c r="O12" i="12"/>
  <c r="O10" i="12"/>
  <c r="O162" i="12"/>
  <c r="R195" i="12"/>
  <c r="O355" i="12"/>
  <c r="O60" i="12"/>
  <c r="O157" i="12"/>
  <c r="R99" i="12"/>
  <c r="O20" i="12"/>
  <c r="R246" i="12"/>
  <c r="R138" i="12"/>
  <c r="R306" i="12"/>
  <c r="O350" i="12"/>
  <c r="O111" i="12"/>
  <c r="R137" i="12"/>
  <c r="O345" i="12"/>
  <c r="R339" i="12"/>
  <c r="O247" i="12"/>
  <c r="O237" i="12"/>
  <c r="O122" i="12"/>
  <c r="O80" i="12"/>
  <c r="R212" i="12"/>
  <c r="R12" i="12"/>
  <c r="R70" i="12"/>
  <c r="R113" i="12"/>
  <c r="R48" i="12"/>
  <c r="R75" i="12"/>
  <c r="R61" i="12"/>
  <c r="O313" i="12"/>
  <c r="O198" i="12"/>
  <c r="O235" i="12"/>
  <c r="R117" i="12"/>
  <c r="O53" i="12"/>
  <c r="O16" i="12"/>
  <c r="R317" i="12"/>
  <c r="R178" i="12"/>
  <c r="R147" i="12"/>
  <c r="O147" i="12"/>
  <c r="O7" i="12"/>
  <c r="R115" i="12"/>
  <c r="O202" i="12"/>
  <c r="R22" i="12"/>
  <c r="O249" i="12"/>
  <c r="O39" i="12"/>
  <c r="O298" i="12"/>
  <c r="R171" i="12"/>
  <c r="O300" i="12"/>
  <c r="O217" i="12"/>
  <c r="R141" i="12"/>
  <c r="O207" i="12"/>
  <c r="R54" i="12"/>
  <c r="O301" i="12"/>
  <c r="R94" i="12"/>
  <c r="R4" i="12"/>
  <c r="R136" i="12"/>
  <c r="O87" i="12"/>
  <c r="O64" i="12"/>
  <c r="O82" i="12"/>
  <c r="R169" i="12"/>
  <c r="R8" i="12"/>
  <c r="R106" i="12"/>
  <c r="R143" i="12"/>
  <c r="R163" i="12"/>
  <c r="O194" i="12"/>
  <c r="R108" i="12"/>
  <c r="R42" i="12"/>
  <c r="O36" i="12"/>
  <c r="O70" i="12"/>
  <c r="O58" i="12"/>
  <c r="R129" i="12"/>
  <c r="O295" i="12"/>
  <c r="O158" i="12"/>
  <c r="R89" i="12"/>
  <c r="R3" i="12"/>
  <c r="O183" i="12"/>
  <c r="O271" i="12"/>
  <c r="O214" i="12"/>
  <c r="O119" i="12"/>
  <c r="O285" i="12"/>
  <c r="R326" i="12"/>
  <c r="O156" i="12"/>
  <c r="O330" i="12"/>
  <c r="O106" i="12"/>
  <c r="O309" i="12"/>
  <c r="O311" i="12"/>
  <c r="R285" i="12"/>
  <c r="R153" i="12"/>
  <c r="O206" i="12"/>
  <c r="O46" i="12"/>
  <c r="O139" i="12"/>
  <c r="R265" i="12"/>
  <c r="O74" i="12"/>
  <c r="O267" i="12"/>
  <c r="R109" i="12"/>
  <c r="O85" i="12"/>
  <c r="R343" i="12"/>
  <c r="O155" i="12"/>
  <c r="O362" i="12"/>
  <c r="O14" i="12"/>
  <c r="O86" i="12"/>
  <c r="O135" i="12"/>
  <c r="O77" i="12"/>
  <c r="O211" i="12"/>
  <c r="O40" i="12"/>
  <c r="R2" i="12"/>
  <c r="O243" i="12"/>
  <c r="O216" i="12"/>
  <c r="R43" i="12"/>
  <c r="R226" i="12"/>
  <c r="O229" i="12"/>
  <c r="R35" i="12"/>
  <c r="R27" i="12"/>
  <c r="R198" i="12"/>
  <c r="R29" i="12"/>
  <c r="O320" i="12"/>
  <c r="R330" i="12"/>
  <c r="R193" i="12"/>
  <c r="R346" i="12"/>
  <c r="R190" i="12"/>
  <c r="R20" i="12"/>
  <c r="R260" i="12"/>
  <c r="R174" i="12"/>
  <c r="R281" i="12"/>
  <c r="R125" i="12"/>
  <c r="R84" i="12"/>
  <c r="O277" i="12"/>
  <c r="O238" i="12"/>
  <c r="O353" i="12"/>
  <c r="O213" i="12"/>
  <c r="O44" i="12"/>
  <c r="R157" i="12"/>
  <c r="O190" i="12"/>
  <c r="O171" i="12"/>
  <c r="O266" i="12"/>
  <c r="O259" i="12"/>
  <c r="R21" i="12"/>
  <c r="R154" i="12"/>
  <c r="R78" i="12"/>
  <c r="O272" i="12"/>
  <c r="R102" i="12"/>
  <c r="R164" i="12"/>
  <c r="O221" i="12"/>
  <c r="R133" i="12"/>
  <c r="R122" i="12"/>
  <c r="R222" i="12"/>
  <c r="O250" i="12"/>
  <c r="O189" i="12"/>
  <c r="R151" i="12"/>
  <c r="R175" i="12"/>
  <c r="R188" i="12"/>
  <c r="R213" i="12"/>
  <c r="R5" i="12"/>
  <c r="R299" i="12"/>
  <c r="O203" i="12"/>
  <c r="O38" i="12"/>
  <c r="R170" i="12"/>
  <c r="O84" i="12"/>
  <c r="O305" i="12"/>
  <c r="O325" i="12"/>
  <c r="O146" i="12"/>
  <c r="R118" i="12"/>
  <c r="R50" i="12"/>
  <c r="R37" i="12"/>
  <c r="R197" i="12"/>
  <c r="O114" i="12"/>
  <c r="O172" i="12"/>
  <c r="O349" i="12"/>
  <c r="R336" i="12"/>
  <c r="O15" i="12"/>
  <c r="O56" i="12"/>
  <c r="O75" i="12"/>
  <c r="O8" i="12"/>
  <c r="O159" i="12"/>
  <c r="O324" i="12"/>
  <c r="O61" i="12"/>
  <c r="O124" i="12"/>
  <c r="O48" i="12"/>
  <c r="O261" i="12"/>
  <c r="O13" i="12"/>
  <c r="O148" i="12"/>
  <c r="O102" i="12"/>
  <c r="O276" i="12"/>
  <c r="O230" i="12"/>
  <c r="O103" i="12"/>
  <c r="O224" i="12"/>
  <c r="O34" i="12"/>
  <c r="O163" i="12"/>
  <c r="O254" i="12"/>
  <c r="O310" i="12"/>
  <c r="O195" i="12"/>
  <c r="O69" i="12"/>
  <c r="O94" i="12"/>
  <c r="O43" i="12"/>
  <c r="O288" i="12"/>
  <c r="O107" i="12"/>
  <c r="O133" i="12"/>
  <c r="O63" i="12"/>
  <c r="O26" i="12"/>
  <c r="R227" i="12"/>
  <c r="R251" i="12"/>
  <c r="O315" i="12"/>
  <c r="R287" i="12"/>
  <c r="O154" i="12"/>
  <c r="O242" i="12"/>
  <c r="R97" i="12"/>
  <c r="O232" i="12"/>
  <c r="R201" i="12"/>
  <c r="O286" i="12"/>
  <c r="O27" i="12"/>
  <c r="O181" i="12"/>
  <c r="R211" i="12"/>
  <c r="O174" i="12"/>
  <c r="O290" i="12"/>
  <c r="R199" i="12"/>
  <c r="O5" i="12"/>
  <c r="O19" i="12"/>
  <c r="R88" i="12"/>
  <c r="O140" i="12"/>
  <c r="O287" i="12"/>
  <c r="O78" i="12"/>
  <c r="R209" i="12"/>
  <c r="O42" i="12"/>
  <c r="R338" i="12"/>
  <c r="R363" i="12"/>
  <c r="R128" i="12"/>
  <c r="R191" i="12"/>
  <c r="O100" i="12"/>
  <c r="O175" i="12"/>
  <c r="O2" i="12"/>
  <c r="O150" i="12"/>
  <c r="O50" i="12"/>
  <c r="R268" i="12"/>
  <c r="O130" i="12"/>
  <c r="O197" i="12"/>
  <c r="O92" i="12"/>
  <c r="O222" i="12"/>
  <c r="O278" i="12"/>
  <c r="O67" i="12"/>
  <c r="O173" i="12"/>
  <c r="O251" i="12"/>
  <c r="O208" i="12"/>
  <c r="O109" i="12"/>
  <c r="O6" i="12"/>
  <c r="R183" i="12"/>
  <c r="O21" i="12"/>
  <c r="O90" i="12"/>
  <c r="O234" i="12"/>
  <c r="O179" i="12"/>
  <c r="O291" i="12"/>
  <c r="O205" i="12"/>
  <c r="O358" i="12"/>
  <c r="O180" i="12"/>
  <c r="O196" i="12"/>
  <c r="R254" i="12"/>
  <c r="O68" i="12"/>
  <c r="O164" i="12"/>
  <c r="O4" i="12"/>
  <c r="O187" i="12"/>
  <c r="C136" i="10" a="1"/>
  <c r="C136" i="10" s="1"/>
  <c r="D136" i="10" s="1" a="1"/>
  <c r="D136" i="10" s="1"/>
  <c r="C297" i="10" a="1"/>
  <c r="C297" i="10" s="1"/>
  <c r="D297" i="10" s="1" a="1"/>
  <c r="D297" i="10" s="1"/>
  <c r="C243" i="10" a="1"/>
  <c r="C243" i="10" s="1"/>
  <c r="D243" i="10" s="1" a="1"/>
  <c r="D243" i="10" s="1"/>
  <c r="C248" i="10" a="1"/>
  <c r="C248" i="10" s="1"/>
  <c r="D248" i="10" s="1" a="1"/>
  <c r="D248" i="10" s="1"/>
  <c r="C321" i="10" a="1"/>
  <c r="C321" i="10" s="1"/>
  <c r="D321" i="10" s="1" a="1"/>
  <c r="D321" i="10" s="1"/>
  <c r="O55" i="12"/>
  <c r="C363" i="10" a="1"/>
  <c r="C363" i="10" s="1"/>
  <c r="D363" i="10" s="1" a="1"/>
  <c r="D363" i="10" s="1"/>
  <c r="O334" i="12"/>
  <c r="O280" i="12"/>
  <c r="O132" i="12"/>
  <c r="O186" i="12"/>
  <c r="C151" i="10" a="1"/>
  <c r="C151" i="10" s="1"/>
  <c r="D151" i="10" s="1" a="1"/>
  <c r="D151" i="10" s="1"/>
  <c r="C269" i="10" a="1"/>
  <c r="C269" i="10" s="1"/>
  <c r="D269" i="10" s="1" a="1"/>
  <c r="D269" i="10" s="1"/>
  <c r="C267" i="10" a="1"/>
  <c r="C267" i="10" s="1"/>
  <c r="D267" i="10" s="1" a="1"/>
  <c r="D267" i="10" s="1"/>
  <c r="C365" i="10" a="1"/>
  <c r="C365" i="10" s="1"/>
  <c r="D365" i="10" s="1" a="1"/>
  <c r="D365" i="10" s="1"/>
  <c r="R355" i="12"/>
  <c r="O178" i="12"/>
  <c r="R93" i="12"/>
  <c r="O219" i="12"/>
  <c r="O66" i="12"/>
  <c r="O346" i="12"/>
  <c r="O125" i="12"/>
  <c r="C63" i="10" a="1"/>
  <c r="C63" i="10" s="1"/>
  <c r="D63" i="10" s="1" a="1"/>
  <c r="D63" i="10" s="1"/>
  <c r="R131" i="12"/>
  <c r="R350" i="12"/>
  <c r="O110" i="12"/>
  <c r="O269" i="12"/>
  <c r="O329" i="12"/>
  <c r="O54" i="12"/>
  <c r="O117" i="12"/>
  <c r="R250" i="12"/>
  <c r="O23" i="12"/>
  <c r="O170" i="12"/>
  <c r="R257" i="12"/>
  <c r="R274" i="12"/>
  <c r="O227" i="12"/>
  <c r="C266" i="10" a="1"/>
  <c r="C266" i="10" s="1"/>
  <c r="D266" i="10" s="1" a="1"/>
  <c r="D266" i="10" s="1"/>
  <c r="R263" i="12"/>
  <c r="O52" i="12"/>
  <c r="O151" i="12"/>
  <c r="C33" i="10" a="1"/>
  <c r="C33" i="10" s="1"/>
  <c r="D33" i="10" s="1" a="1"/>
  <c r="D33" i="10" s="1"/>
  <c r="R181" i="12"/>
  <c r="C71" i="10" a="1"/>
  <c r="C71" i="10" s="1"/>
  <c r="D71" i="10" s="1" a="1"/>
  <c r="D71" i="10" s="1"/>
  <c r="O240" i="12"/>
  <c r="O256" i="12"/>
  <c r="C13" i="4" a="1"/>
  <c r="C13" i="4" s="1"/>
  <c r="R155" i="12"/>
  <c r="R295" i="12"/>
  <c r="R273" i="12"/>
  <c r="R290" i="12"/>
  <c r="O241" i="12"/>
  <c r="R357" i="12"/>
  <c r="O25" i="12"/>
  <c r="O18" i="12"/>
  <c r="O24" i="12"/>
  <c r="R296" i="12"/>
  <c r="C193" i="10" a="1"/>
  <c r="C193" i="10" s="1"/>
  <c r="D193" i="10" s="1" a="1"/>
  <c r="D193" i="10" s="1"/>
  <c r="C324" i="10" a="1"/>
  <c r="C324" i="10" s="1"/>
  <c r="D324" i="10" s="1" a="1"/>
  <c r="D324" i="10" s="1"/>
  <c r="R240" i="12"/>
  <c r="O253" i="12"/>
  <c r="O138" i="12"/>
  <c r="O316" i="12"/>
  <c r="C221" i="10" a="1"/>
  <c r="C221" i="10" s="1"/>
  <c r="D221" i="10" s="1" a="1"/>
  <c r="D221" i="10" s="1"/>
  <c r="C157" i="10" a="1"/>
  <c r="C157" i="10" s="1"/>
  <c r="D157" i="10" s="1" a="1"/>
  <c r="D157" i="10" s="1"/>
  <c r="C335" i="10" a="1"/>
  <c r="C335" i="10" s="1"/>
  <c r="D335" i="10" s="1" a="1"/>
  <c r="D335" i="10" s="1"/>
  <c r="C262" i="10" a="1"/>
  <c r="C262" i="10" s="1"/>
  <c r="D262" i="10" s="1" a="1"/>
  <c r="D262" i="10" s="1"/>
  <c r="C331" i="10" a="1"/>
  <c r="C331" i="10" s="1"/>
  <c r="D331" i="10" s="1" a="1"/>
  <c r="D331" i="10" s="1"/>
  <c r="R262" i="12"/>
  <c r="C130" i="10" a="1"/>
  <c r="C130" i="10" s="1"/>
  <c r="D130" i="10" s="1" a="1"/>
  <c r="D130" i="10" s="1"/>
  <c r="C303" i="10" a="1"/>
  <c r="C303" i="10" s="1"/>
  <c r="D303" i="10" s="1" a="1"/>
  <c r="D303" i="10" s="1"/>
  <c r="C158" i="10" a="1"/>
  <c r="C158" i="10" s="1"/>
  <c r="D158" i="10" s="1" a="1"/>
  <c r="D158" i="10" s="1"/>
  <c r="C181" i="10" a="1"/>
  <c r="C181" i="10" s="1"/>
  <c r="D181" i="10" s="1" a="1"/>
  <c r="D181" i="10" s="1"/>
  <c r="C232" i="10" a="1"/>
  <c r="C232" i="10" s="1"/>
  <c r="D232" i="10" s="1" a="1"/>
  <c r="D232" i="10" s="1"/>
  <c r="C317" i="10" a="1"/>
  <c r="C317" i="10" s="1"/>
  <c r="D317" i="10" s="1" a="1"/>
  <c r="D317" i="10" s="1"/>
  <c r="R321" i="12"/>
  <c r="O339" i="12"/>
  <c r="O167" i="12"/>
  <c r="C131" i="10" a="1"/>
  <c r="C131" i="10" s="1"/>
  <c r="D131" i="10" s="1" a="1"/>
  <c r="D131" i="10" s="1"/>
  <c r="C214" i="10" a="1"/>
  <c r="C214" i="10" s="1"/>
  <c r="D214" i="10" s="1" a="1"/>
  <c r="D214" i="10" s="1"/>
  <c r="C163" i="10" a="1"/>
  <c r="C163" i="10" s="1"/>
  <c r="D163" i="10" s="1" a="1"/>
  <c r="D163" i="10" s="1"/>
  <c r="C306" i="10" a="1"/>
  <c r="C306" i="10" s="1"/>
  <c r="D306" i="10" s="1" a="1"/>
  <c r="D306" i="10" s="1"/>
  <c r="C240" i="10" a="1"/>
  <c r="C240" i="10" s="1"/>
  <c r="D240" i="10" s="1" a="1"/>
  <c r="D240" i="10" s="1"/>
  <c r="C334" i="10" a="1"/>
  <c r="C334" i="10" s="1"/>
  <c r="D334" i="10" s="1" a="1"/>
  <c r="D334" i="10" s="1"/>
  <c r="O245" i="12"/>
  <c r="C364" i="10" a="1"/>
  <c r="C364" i="10" s="1"/>
  <c r="D364" i="10" s="1" a="1"/>
  <c r="D364" i="10" s="1"/>
  <c r="R214" i="12"/>
  <c r="R301" i="12"/>
  <c r="C16" i="10" a="1"/>
  <c r="C16" i="10" s="1"/>
  <c r="D16" i="10" s="1" a="1"/>
  <c r="D16" i="10" s="1"/>
  <c r="C90" i="10" a="1"/>
  <c r="C90" i="10" s="1"/>
  <c r="D90" i="10" s="1" a="1"/>
  <c r="D90" i="10" s="1"/>
  <c r="C117" i="10" a="1"/>
  <c r="C117" i="10" s="1"/>
  <c r="D117" i="10" s="1" a="1"/>
  <c r="D117" i="10" s="1"/>
  <c r="C133" i="10" a="1"/>
  <c r="C133" i="10" s="1"/>
  <c r="D133" i="10" s="1" a="1"/>
  <c r="D133" i="10" s="1"/>
  <c r="C174" i="10" a="1"/>
  <c r="C174" i="10" s="1"/>
  <c r="D174" i="10" s="1" a="1"/>
  <c r="D174" i="10" s="1"/>
  <c r="C308" i="10" a="1"/>
  <c r="C308" i="10" s="1"/>
  <c r="D308" i="10" s="1" a="1"/>
  <c r="D308" i="10" s="1"/>
  <c r="C156" i="10" a="1"/>
  <c r="C156" i="10" s="1"/>
  <c r="D156" i="10" s="1" a="1"/>
  <c r="D156" i="10" s="1"/>
  <c r="C270" i="10" a="1"/>
  <c r="C270" i="10" s="1"/>
  <c r="D270" i="10" s="1" a="1"/>
  <c r="D270" i="10" s="1"/>
  <c r="C301" i="10" a="1"/>
  <c r="C301" i="10" s="1"/>
  <c r="D301" i="10" s="1" a="1"/>
  <c r="D301" i="10" s="1"/>
  <c r="C250" i="10" a="1"/>
  <c r="C250" i="10" s="1"/>
  <c r="D250" i="10" s="1" a="1"/>
  <c r="D250" i="10" s="1"/>
  <c r="C177" i="10" a="1"/>
  <c r="C177" i="10" s="1"/>
  <c r="D177" i="10" s="1" a="1"/>
  <c r="D177" i="10" s="1"/>
  <c r="C283" i="10" a="1"/>
  <c r="C283" i="10" s="1"/>
  <c r="D283" i="10" s="1" a="1"/>
  <c r="D283" i="10" s="1"/>
  <c r="C282" i="10" a="1"/>
  <c r="C282" i="10" s="1"/>
  <c r="D282" i="10" s="1" a="1"/>
  <c r="D282" i="10" s="1"/>
  <c r="C349" i="10" a="1"/>
  <c r="C349" i="10" s="1"/>
  <c r="D349" i="10" s="1" a="1"/>
  <c r="D349" i="10" s="1"/>
  <c r="C342" i="10" a="1"/>
  <c r="C342" i="10" s="1"/>
  <c r="D342" i="10" s="1" a="1"/>
  <c r="D342" i="10" s="1"/>
  <c r="C5" i="10" a="1"/>
  <c r="C5" i="10" s="1"/>
  <c r="D5" i="10" s="1" a="1"/>
  <c r="D5" i="10" s="1"/>
  <c r="C74" i="10" a="1"/>
  <c r="C74" i="10" s="1"/>
  <c r="D74" i="10" s="1" a="1"/>
  <c r="D74" i="10" s="1"/>
  <c r="C25" i="10" a="1"/>
  <c r="C25" i="10" s="1"/>
  <c r="D25" i="10" s="1" a="1"/>
  <c r="D25" i="10" s="1"/>
  <c r="C70" i="10" a="1"/>
  <c r="C70" i="10" s="1"/>
  <c r="D70" i="10" s="1" a="1"/>
  <c r="D70" i="10" s="1"/>
  <c r="C298" i="10" a="1"/>
  <c r="C298" i="10" s="1"/>
  <c r="D298" i="10" s="1" a="1"/>
  <c r="D298" i="10" s="1"/>
  <c r="C337" i="10" a="1"/>
  <c r="C337" i="10" s="1"/>
  <c r="D337" i="10" s="1" a="1"/>
  <c r="D337" i="10" s="1"/>
  <c r="C345" i="10" a="1"/>
  <c r="C345" i="10" s="1"/>
  <c r="D345" i="10" s="1" a="1"/>
  <c r="D345" i="10" s="1"/>
  <c r="C11" i="10" a="1"/>
  <c r="C11" i="10" s="1"/>
  <c r="D11" i="10" s="1" a="1"/>
  <c r="D11" i="10" s="1"/>
  <c r="O274" i="12"/>
  <c r="C354" i="10" a="1"/>
  <c r="C354" i="10" s="1"/>
  <c r="D354" i="10" s="1" a="1"/>
  <c r="D354" i="10" s="1"/>
  <c r="C353" i="10" a="1"/>
  <c r="C353" i="10" s="1"/>
  <c r="D353" i="10" s="1" a="1"/>
  <c r="D353" i="10" s="1"/>
  <c r="C23" i="10" a="1"/>
  <c r="C23" i="10" s="1"/>
  <c r="D23" i="10" s="1" a="1"/>
  <c r="D23" i="10" s="1"/>
  <c r="C9" i="10" a="1"/>
  <c r="C9" i="10" s="1"/>
  <c r="D9" i="10" s="1" a="1"/>
  <c r="D9" i="10" s="1"/>
  <c r="C26" i="10" a="1"/>
  <c r="C26" i="10" s="1"/>
  <c r="D26" i="10" s="1" a="1"/>
  <c r="D26" i="10" s="1"/>
  <c r="R351" i="12"/>
  <c r="C159" i="10" a="1"/>
  <c r="C159" i="10" s="1"/>
  <c r="D159" i="10" s="1" a="1"/>
  <c r="D159" i="10" s="1"/>
  <c r="C312" i="10" a="1"/>
  <c r="C312" i="10" s="1"/>
  <c r="D312" i="10" s="1" a="1"/>
  <c r="D312" i="10" s="1"/>
  <c r="C197" i="10" a="1"/>
  <c r="C197" i="10" s="1"/>
  <c r="D197" i="10" s="1" a="1"/>
  <c r="D197" i="10" s="1"/>
  <c r="C295" i="10" a="1"/>
  <c r="C295" i="10" s="1"/>
  <c r="D295" i="10" s="1" a="1"/>
  <c r="D295" i="10" s="1"/>
  <c r="C278" i="10" a="1"/>
  <c r="C278" i="10" s="1"/>
  <c r="D278" i="10" s="1" a="1"/>
  <c r="D278" i="10" s="1"/>
  <c r="C191" i="10" a="1"/>
  <c r="C191" i="10" s="1"/>
  <c r="D191" i="10" s="1" a="1"/>
  <c r="D191" i="10" s="1"/>
  <c r="C325" i="10" a="1"/>
  <c r="C325" i="10" s="1"/>
  <c r="D325" i="10" s="1" a="1"/>
  <c r="D325" i="10" s="1"/>
  <c r="C323" i="10" a="1"/>
  <c r="C323" i="10" s="1"/>
  <c r="D323" i="10" s="1" a="1"/>
  <c r="D323" i="10" s="1"/>
  <c r="C329" i="10" a="1"/>
  <c r="C329" i="10" s="1"/>
  <c r="D329" i="10" s="1" a="1"/>
  <c r="D329" i="10" s="1"/>
  <c r="C22" i="10" a="1"/>
  <c r="C22" i="10" s="1"/>
  <c r="D22" i="10" s="1" a="1"/>
  <c r="D22" i="10" s="1"/>
  <c r="R328" i="12"/>
  <c r="O218" i="12"/>
  <c r="C237" i="10" a="1"/>
  <c r="C237" i="10" s="1"/>
  <c r="D237" i="10" s="1" a="1"/>
  <c r="D237" i="10" s="1"/>
  <c r="C144" i="10" a="1"/>
  <c r="C144" i="10" s="1"/>
  <c r="D144" i="10" s="1" a="1"/>
  <c r="D144" i="10" s="1"/>
  <c r="C160" i="10" a="1"/>
  <c r="C160" i="10" s="1"/>
  <c r="D160" i="10" s="1" a="1"/>
  <c r="D160" i="10" s="1"/>
  <c r="C252" i="10" a="1"/>
  <c r="C252" i="10" s="1"/>
  <c r="D252" i="10" s="1" a="1"/>
  <c r="D252" i="10" s="1"/>
  <c r="C258" i="10" a="1"/>
  <c r="C258" i="10" s="1"/>
  <c r="D258" i="10" s="1" a="1"/>
  <c r="D258" i="10" s="1"/>
  <c r="C311" i="10" a="1"/>
  <c r="C311" i="10" s="1"/>
  <c r="D311" i="10" s="1" a="1"/>
  <c r="D311" i="10" s="1"/>
  <c r="C294" i="10" a="1"/>
  <c r="C294" i="10" s="1"/>
  <c r="D294" i="10" s="1" a="1"/>
  <c r="D294" i="10" s="1"/>
  <c r="C207" i="10" a="1"/>
  <c r="C207" i="10" s="1"/>
  <c r="D207" i="10" s="1" a="1"/>
  <c r="D207" i="10" s="1"/>
  <c r="C340" i="10" a="1"/>
  <c r="C340" i="10" s="1"/>
  <c r="D340" i="10" s="1" a="1"/>
  <c r="D340" i="10" s="1"/>
  <c r="C327" i="10" a="1"/>
  <c r="C327" i="10" s="1"/>
  <c r="D327" i="10" s="1" a="1"/>
  <c r="D327" i="10" s="1"/>
  <c r="C356" i="10" a="1"/>
  <c r="C356" i="10" s="1"/>
  <c r="D356" i="10" s="1" a="1"/>
  <c r="D356" i="10" s="1"/>
  <c r="C7" i="10" a="1"/>
  <c r="C7" i="10" s="1"/>
  <c r="D7" i="10" s="1" a="1"/>
  <c r="D7" i="10" s="1"/>
  <c r="C11" i="4" a="1"/>
  <c r="M47" i="10" s="1" a="1"/>
  <c r="M47" i="10" s="1"/>
  <c r="R271" i="12"/>
  <c r="R331" i="12"/>
  <c r="R187" i="12"/>
  <c r="O257" i="12"/>
  <c r="C217" i="10" a="1"/>
  <c r="C217" i="10" s="1"/>
  <c r="D217" i="10" s="1" a="1"/>
  <c r="D217" i="10" s="1"/>
  <c r="C204" i="10" a="1"/>
  <c r="C204" i="10" s="1"/>
  <c r="D204" i="10" s="1" a="1"/>
  <c r="D204" i="10" s="1"/>
  <c r="C233" i="10" a="1"/>
  <c r="C233" i="10" s="1"/>
  <c r="D233" i="10" s="1" a="1"/>
  <c r="D233" i="10" s="1"/>
  <c r="C244" i="10" a="1"/>
  <c r="C244" i="10" s="1"/>
  <c r="D244" i="10" s="1" a="1"/>
  <c r="D244" i="10" s="1"/>
  <c r="C106" i="10" a="1"/>
  <c r="C106" i="10" s="1"/>
  <c r="D106" i="10" s="1" a="1"/>
  <c r="D106" i="10" s="1"/>
  <c r="C122" i="10" a="1"/>
  <c r="C122" i="10" s="1"/>
  <c r="D122" i="10" s="1" a="1"/>
  <c r="D122" i="10" s="1"/>
  <c r="C138" i="10" a="1"/>
  <c r="C138" i="10" s="1"/>
  <c r="D138" i="10" s="1" a="1"/>
  <c r="D138" i="10" s="1"/>
  <c r="C246" i="10" a="1"/>
  <c r="C246" i="10" s="1"/>
  <c r="D246" i="10" s="1" a="1"/>
  <c r="D246" i="10" s="1"/>
  <c r="C145" i="10" a="1"/>
  <c r="C145" i="10" s="1"/>
  <c r="D145" i="10" s="1" a="1"/>
  <c r="D145" i="10" s="1"/>
  <c r="C161" i="10" a="1"/>
  <c r="C161" i="10" s="1"/>
  <c r="D161" i="10" s="1" a="1"/>
  <c r="D161" i="10" s="1"/>
  <c r="C259" i="10" a="1"/>
  <c r="C259" i="10" s="1"/>
  <c r="D259" i="10" s="1" a="1"/>
  <c r="D259" i="10" s="1"/>
  <c r="C274" i="10" a="1"/>
  <c r="C274" i="10" s="1"/>
  <c r="D274" i="10" s="1" a="1"/>
  <c r="D274" i="10" s="1"/>
  <c r="C179" i="10" a="1"/>
  <c r="C179" i="10" s="1"/>
  <c r="D179" i="10" s="1" a="1"/>
  <c r="D179" i="10" s="1"/>
  <c r="C310" i="10" a="1"/>
  <c r="C310" i="10" s="1"/>
  <c r="D310" i="10" s="1" a="1"/>
  <c r="D310" i="10" s="1"/>
  <c r="C272" i="10" a="1"/>
  <c r="C272" i="10" s="1"/>
  <c r="D272" i="10" s="1" a="1"/>
  <c r="D272" i="10" s="1"/>
  <c r="C350" i="10" a="1"/>
  <c r="C350" i="10" s="1"/>
  <c r="D350" i="10" s="1" a="1"/>
  <c r="D350" i="10" s="1"/>
  <c r="C343" i="10" a="1"/>
  <c r="C343" i="10" s="1"/>
  <c r="D343" i="10" s="1" a="1"/>
  <c r="D343" i="10" s="1"/>
  <c r="C357" i="10" a="1"/>
  <c r="C357" i="10" s="1"/>
  <c r="D357" i="10" s="1" a="1"/>
  <c r="D357" i="10" s="1"/>
  <c r="C6" i="10" a="1"/>
  <c r="C6" i="10" s="1"/>
  <c r="D6" i="10" s="1" a="1"/>
  <c r="D6" i="10" s="1"/>
  <c r="R293" i="12"/>
  <c r="R215" i="12"/>
  <c r="C225" i="10" a="1"/>
  <c r="C225" i="10" s="1"/>
  <c r="D225" i="10" s="1" a="1"/>
  <c r="D225" i="10" s="1"/>
  <c r="C236" i="10" a="1"/>
  <c r="C236" i="10" s="1"/>
  <c r="D236" i="10" s="1" a="1"/>
  <c r="D236" i="10" s="1"/>
  <c r="C265" i="10" a="1"/>
  <c r="C265" i="10" s="1"/>
  <c r="D265" i="10" s="1" a="1"/>
  <c r="D265" i="10" s="1"/>
  <c r="C107" i="10" a="1"/>
  <c r="C107" i="10" s="1"/>
  <c r="D107" i="10" s="1" a="1"/>
  <c r="D107" i="10" s="1"/>
  <c r="C123" i="10" a="1"/>
  <c r="C123" i="10" s="1"/>
  <c r="D123" i="10" s="1" a="1"/>
  <c r="D123" i="10" s="1"/>
  <c r="C139" i="10" a="1"/>
  <c r="C139" i="10" s="1"/>
  <c r="D139" i="10" s="1" a="1"/>
  <c r="D139" i="10" s="1"/>
  <c r="C264" i="10" a="1"/>
  <c r="C264" i="10" s="1"/>
  <c r="D264" i="10" s="1" a="1"/>
  <c r="D264" i="10" s="1"/>
  <c r="C146" i="10" a="1"/>
  <c r="C146" i="10" s="1"/>
  <c r="D146" i="10" s="1" a="1"/>
  <c r="D146" i="10" s="1"/>
  <c r="C162" i="10" a="1"/>
  <c r="C162" i="10" s="1"/>
  <c r="D162" i="10" s="1" a="1"/>
  <c r="D162" i="10" s="1"/>
  <c r="C275" i="10" a="1"/>
  <c r="C275" i="10" s="1"/>
  <c r="D275" i="10" s="1" a="1"/>
  <c r="D275" i="10" s="1"/>
  <c r="C290" i="10" a="1"/>
  <c r="C290" i="10" s="1"/>
  <c r="D290" i="10" s="1" a="1"/>
  <c r="D290" i="10" s="1"/>
  <c r="C195" i="10" a="1"/>
  <c r="C195" i="10" s="1"/>
  <c r="D195" i="10" s="1" a="1"/>
  <c r="D195" i="10" s="1"/>
  <c r="C332" i="10" a="1"/>
  <c r="C332" i="10" s="1"/>
  <c r="D332" i="10" s="1" a="1"/>
  <c r="D332" i="10" s="1"/>
  <c r="C288" i="10" a="1"/>
  <c r="C288" i="10" s="1"/>
  <c r="D288" i="10" s="1" a="1"/>
  <c r="D288" i="10" s="1"/>
  <c r="C355" i="10" a="1"/>
  <c r="C355" i="10" s="1"/>
  <c r="D355" i="10" s="1" a="1"/>
  <c r="D355" i="10" s="1"/>
  <c r="C351" i="10" a="1"/>
  <c r="C351" i="10" s="1"/>
  <c r="D351" i="10" s="1" a="1"/>
  <c r="D351" i="10" s="1"/>
  <c r="C358" i="10" a="1"/>
  <c r="C358" i="10" s="1"/>
  <c r="D358" i="10" s="1" a="1"/>
  <c r="D358" i="10" s="1"/>
  <c r="R267" i="12"/>
  <c r="R270" i="12"/>
  <c r="O279" i="12"/>
  <c r="O83" i="12"/>
  <c r="C268" i="10" a="1"/>
  <c r="C268" i="10" s="1"/>
  <c r="D268" i="10" s="1" a="1"/>
  <c r="D268" i="10" s="1"/>
  <c r="C192" i="10" a="1"/>
  <c r="C192" i="10" s="1"/>
  <c r="D192" i="10" s="1" a="1"/>
  <c r="D192" i="10" s="1"/>
  <c r="C304" i="10" a="1"/>
  <c r="C304" i="10" s="1"/>
  <c r="D304" i="10" s="1" a="1"/>
  <c r="D304" i="10" s="1"/>
  <c r="C341" i="10" a="1"/>
  <c r="C341" i="10" s="1"/>
  <c r="D341" i="10" s="1" a="1"/>
  <c r="D341" i="10" s="1"/>
  <c r="C333" i="10" a="1"/>
  <c r="C333" i="10" s="1"/>
  <c r="D333" i="10" s="1" a="1"/>
  <c r="D333" i="10" s="1"/>
  <c r="C359" i="10" a="1"/>
  <c r="C359" i="10" s="1"/>
  <c r="D359" i="10" s="1" a="1"/>
  <c r="D359" i="10" s="1"/>
  <c r="R308" i="12"/>
  <c r="R361" i="12"/>
  <c r="R229" i="12"/>
  <c r="C125" i="10" a="1"/>
  <c r="C125" i="10" s="1"/>
  <c r="D125" i="10" s="1" a="1"/>
  <c r="D125" i="10" s="1"/>
  <c r="C141" i="10" a="1"/>
  <c r="C141" i="10" s="1"/>
  <c r="D141" i="10" s="1" a="1"/>
  <c r="D141" i="10" s="1"/>
  <c r="C231" i="10" a="1"/>
  <c r="C231" i="10" s="1"/>
  <c r="D231" i="10" s="1" a="1"/>
  <c r="D231" i="10" s="1"/>
  <c r="C148" i="10" a="1"/>
  <c r="C148" i="10" s="1"/>
  <c r="D148" i="10" s="1" a="1"/>
  <c r="D148" i="10" s="1"/>
  <c r="C164" i="10" a="1"/>
  <c r="C164" i="10" s="1"/>
  <c r="D164" i="10" s="1" a="1"/>
  <c r="D164" i="10" s="1"/>
  <c r="C307" i="10" a="1"/>
  <c r="C307" i="10" s="1"/>
  <c r="D307" i="10" s="1" a="1"/>
  <c r="D307" i="10" s="1"/>
  <c r="C319" i="10" a="1"/>
  <c r="C319" i="10" s="1"/>
  <c r="D319" i="10" s="1" a="1"/>
  <c r="D319" i="10" s="1"/>
  <c r="C284" i="10" a="1"/>
  <c r="C284" i="10" s="1"/>
  <c r="D284" i="10" s="1" a="1"/>
  <c r="D284" i="10" s="1"/>
  <c r="C208" i="10" a="1"/>
  <c r="C208" i="10" s="1"/>
  <c r="D208" i="10" s="1" a="1"/>
  <c r="D208" i="10" s="1"/>
  <c r="C255" i="10" a="1"/>
  <c r="C255" i="10" s="1"/>
  <c r="D255" i="10" s="1" a="1"/>
  <c r="D255" i="10" s="1"/>
  <c r="C318" i="10" a="1"/>
  <c r="C318" i="10" s="1"/>
  <c r="D318" i="10" s="1" a="1"/>
  <c r="D318" i="10" s="1"/>
  <c r="C314" i="10" a="1"/>
  <c r="C314" i="10" s="1"/>
  <c r="D314" i="10" s="1" a="1"/>
  <c r="D314" i="10" s="1"/>
  <c r="C360" i="10" a="1"/>
  <c r="C360" i="10" s="1"/>
  <c r="D360" i="10" s="1" a="1"/>
  <c r="D360" i="10" s="1"/>
  <c r="C14" i="10" a="1"/>
  <c r="C14" i="10" s="1"/>
  <c r="D14" i="10" s="1" a="1"/>
  <c r="D14" i="10" s="1"/>
  <c r="R304" i="12"/>
  <c r="R253" i="12"/>
  <c r="C178" i="10" a="1"/>
  <c r="C178" i="10" s="1"/>
  <c r="D178" i="10" s="1" a="1"/>
  <c r="D178" i="10" s="1"/>
  <c r="C65" i="10" a="1"/>
  <c r="C65" i="10" s="1"/>
  <c r="D65" i="10" s="1" a="1"/>
  <c r="D65" i="10" s="1"/>
  <c r="C223" i="10" a="1"/>
  <c r="C223" i="10" s="1"/>
  <c r="D223" i="10" s="1" a="1"/>
  <c r="D223" i="10" s="1"/>
  <c r="C222" i="10" a="1"/>
  <c r="C222" i="10" s="1"/>
  <c r="D222" i="10" s="1" a="1"/>
  <c r="D222" i="10" s="1"/>
  <c r="C110" i="10" a="1"/>
  <c r="C110" i="10" s="1"/>
  <c r="D110" i="10" s="1" a="1"/>
  <c r="D110" i="10" s="1"/>
  <c r="C126" i="10" a="1"/>
  <c r="C126" i="10" s="1"/>
  <c r="D126" i="10" s="1" a="1"/>
  <c r="D126" i="10" s="1"/>
  <c r="C142" i="10" a="1"/>
  <c r="C142" i="10" s="1"/>
  <c r="D142" i="10" s="1" a="1"/>
  <c r="D142" i="10" s="1"/>
  <c r="C254" i="10" a="1"/>
  <c r="C254" i="10" s="1"/>
  <c r="D254" i="10" s="1" a="1"/>
  <c r="D254" i="10" s="1"/>
  <c r="C149" i="10" a="1"/>
  <c r="C149" i="10" s="1"/>
  <c r="D149" i="10" s="1" a="1"/>
  <c r="D149" i="10" s="1"/>
  <c r="C165" i="10" a="1"/>
  <c r="C165" i="10" s="1"/>
  <c r="D165" i="10" s="1" a="1"/>
  <c r="D165" i="10" s="1"/>
  <c r="C280" i="10" a="1"/>
  <c r="C280" i="10" s="1"/>
  <c r="D280" i="10" s="1" a="1"/>
  <c r="D280" i="10" s="1"/>
  <c r="C180" i="10" a="1"/>
  <c r="C180" i="10" s="1"/>
  <c r="D180" i="10" s="1" a="1"/>
  <c r="D180" i="10" s="1"/>
  <c r="C300" i="10" a="1"/>
  <c r="C300" i="10" s="1"/>
  <c r="D300" i="10" s="1" a="1"/>
  <c r="D300" i="10" s="1"/>
  <c r="C216" i="10" a="1"/>
  <c r="C216" i="10" s="1"/>
  <c r="D216" i="10" s="1" a="1"/>
  <c r="D216" i="10" s="1"/>
  <c r="C261" i="10" a="1"/>
  <c r="C261" i="10" s="1"/>
  <c r="D261" i="10" s="1" a="1"/>
  <c r="D261" i="10" s="1"/>
  <c r="C328" i="10" a="1"/>
  <c r="C328" i="10" s="1"/>
  <c r="D328" i="10" s="1" a="1"/>
  <c r="D328" i="10" s="1"/>
  <c r="C322" i="10" a="1"/>
  <c r="C322" i="10" s="1"/>
  <c r="D322" i="10" s="1" a="1"/>
  <c r="D322" i="10" s="1"/>
  <c r="C361" i="10" a="1"/>
  <c r="C361" i="10" s="1"/>
  <c r="D361" i="10" s="1" a="1"/>
  <c r="D361" i="10" s="1"/>
  <c r="C79" i="10" a="1"/>
  <c r="C79" i="10" s="1"/>
  <c r="D79" i="10" s="1" a="1"/>
  <c r="D79" i="10" s="1"/>
  <c r="C27" i="10" a="1"/>
  <c r="C27" i="10" s="1"/>
  <c r="D27" i="10" s="1" a="1"/>
  <c r="D27" i="10" s="1"/>
  <c r="R232" i="12"/>
  <c r="R258" i="12"/>
  <c r="O263" i="12"/>
  <c r="O307" i="12"/>
  <c r="C127" i="10" a="1"/>
  <c r="C127" i="10" s="1"/>
  <c r="D127" i="10" s="1" a="1"/>
  <c r="D127" i="10" s="1"/>
  <c r="C143" i="10" a="1"/>
  <c r="C143" i="10" s="1"/>
  <c r="D143" i="10" s="1" a="1"/>
  <c r="D143" i="10" s="1"/>
  <c r="C189" i="10" a="1"/>
  <c r="C189" i="10" s="1"/>
  <c r="D189" i="10" s="1" a="1"/>
  <c r="D189" i="10" s="1"/>
  <c r="C150" i="10" a="1"/>
  <c r="C150" i="10" s="1"/>
  <c r="D150" i="10" s="1" a="1"/>
  <c r="D150" i="10" s="1"/>
  <c r="C166" i="10" a="1"/>
  <c r="C166" i="10" s="1"/>
  <c r="D166" i="10" s="1" a="1"/>
  <c r="D166" i="10" s="1"/>
  <c r="C296" i="10" a="1"/>
  <c r="C296" i="10" s="1"/>
  <c r="D296" i="10" s="1" a="1"/>
  <c r="D296" i="10" s="1"/>
  <c r="C196" i="10" a="1"/>
  <c r="C196" i="10" s="1"/>
  <c r="D196" i="10" s="1" a="1"/>
  <c r="D196" i="10" s="1"/>
  <c r="C316" i="10" a="1"/>
  <c r="C316" i="10" s="1"/>
  <c r="D316" i="10" s="1" a="1"/>
  <c r="D316" i="10" s="1"/>
  <c r="C224" i="10" a="1"/>
  <c r="C224" i="10" s="1"/>
  <c r="D224" i="10" s="1" a="1"/>
  <c r="D224" i="10" s="1"/>
  <c r="C277" i="10" a="1"/>
  <c r="C277" i="10" s="1"/>
  <c r="D277" i="10" s="1" a="1"/>
  <c r="D277" i="10" s="1"/>
  <c r="C344" i="10" a="1"/>
  <c r="C344" i="10" s="1"/>
  <c r="D344" i="10" s="1" a="1"/>
  <c r="D344" i="10" s="1"/>
  <c r="C336" i="10" a="1"/>
  <c r="C336" i="10" s="1"/>
  <c r="D336" i="10" s="1" a="1"/>
  <c r="D336" i="10" s="1"/>
  <c r="C362" i="10" a="1"/>
  <c r="C362" i="10" s="1"/>
  <c r="D362" i="10" s="1" a="1"/>
  <c r="D362" i="10" s="1"/>
  <c r="C87" i="10" a="1"/>
  <c r="C87" i="10" s="1"/>
  <c r="D87" i="10" s="1" a="1"/>
  <c r="D87" i="10" s="1"/>
  <c r="C30" i="10" a="1"/>
  <c r="C30" i="10" s="1"/>
  <c r="D30" i="10" s="1" a="1"/>
  <c r="D30" i="10" s="1"/>
  <c r="R323" i="12"/>
  <c r="R202" i="12"/>
  <c r="V20" i="5"/>
  <c r="X20" i="5" s="1"/>
  <c r="Y20" i="5" s="1"/>
  <c r="V76" i="5"/>
  <c r="X76" i="5" s="1"/>
  <c r="Y76" i="5" s="1"/>
  <c r="V77" i="5"/>
  <c r="X77" i="5" s="1"/>
  <c r="Y77" i="5" s="1"/>
  <c r="V173" i="5"/>
  <c r="X173" i="5" s="1"/>
  <c r="Y173" i="5" s="1"/>
  <c r="V136" i="5"/>
  <c r="X136" i="5" s="1"/>
  <c r="Y136" i="5" s="1"/>
  <c r="V43" i="5"/>
  <c r="X43" i="5" s="1"/>
  <c r="Y43" i="5" s="1"/>
  <c r="V23" i="5"/>
  <c r="X23" i="5" s="1"/>
  <c r="Y23" i="5" s="1"/>
  <c r="V19" i="5"/>
  <c r="X19" i="5" s="1"/>
  <c r="Y19" i="5" s="1"/>
  <c r="V349" i="5"/>
  <c r="X349" i="5" s="1"/>
  <c r="Y349" i="5" s="1"/>
  <c r="V182" i="5"/>
  <c r="X182" i="5" s="1"/>
  <c r="Y182" i="5" s="1"/>
  <c r="V99" i="5"/>
  <c r="X99" i="5" s="1"/>
  <c r="Y99" i="5" s="1"/>
  <c r="V131" i="5"/>
  <c r="X131" i="5" s="1"/>
  <c r="Y131" i="5" s="1"/>
  <c r="V305" i="5"/>
  <c r="X305" i="5" s="1"/>
  <c r="Y305" i="5" s="1"/>
  <c r="V138" i="5"/>
  <c r="X138" i="5" s="1"/>
  <c r="Y138" i="5" s="1"/>
  <c r="V339" i="5"/>
  <c r="X339" i="5" s="1"/>
  <c r="Y339" i="5" s="1"/>
  <c r="V265" i="5"/>
  <c r="X265" i="5" s="1"/>
  <c r="Y265" i="5" s="1"/>
  <c r="V238" i="5"/>
  <c r="X238" i="5" s="1"/>
  <c r="Y238" i="5" s="1"/>
  <c r="V263" i="5"/>
  <c r="X263" i="5" s="1"/>
  <c r="Y263" i="5" s="1"/>
  <c r="V352" i="5"/>
  <c r="X352" i="5" s="1"/>
  <c r="Y352" i="5" s="1"/>
  <c r="V298" i="5"/>
  <c r="X298" i="5" s="1"/>
  <c r="Y298" i="5" s="1"/>
  <c r="V207" i="5"/>
  <c r="X207" i="5" s="1"/>
  <c r="Y207" i="5" s="1"/>
  <c r="V239" i="5"/>
  <c r="X239" i="5" s="1"/>
  <c r="Y239" i="5" s="1"/>
  <c r="V363" i="5"/>
  <c r="X363" i="5" s="1"/>
  <c r="Y363" i="5" s="1"/>
  <c r="O318" i="12"/>
  <c r="O292" i="12"/>
  <c r="O282" i="12"/>
  <c r="R315" i="12"/>
  <c r="R359" i="12"/>
  <c r="P36" i="7"/>
  <c r="Q36" i="7" s="1"/>
  <c r="R36" i="7" s="1"/>
  <c r="T36" i="7" s="1"/>
  <c r="P14" i="7"/>
  <c r="Q14" i="7" s="1"/>
  <c r="R14" i="7" s="1"/>
  <c r="T14" i="7" s="1"/>
  <c r="P30" i="7"/>
  <c r="Q30" i="7" s="1"/>
  <c r="R30" i="7" s="1"/>
  <c r="T30" i="7" s="1"/>
  <c r="P300" i="7"/>
  <c r="Q300" i="7" s="1"/>
  <c r="R300" i="7" s="1"/>
  <c r="T300" i="7" s="1"/>
  <c r="P291" i="7"/>
  <c r="Q291" i="7" s="1"/>
  <c r="R291" i="7" s="1"/>
  <c r="T291" i="7" s="1"/>
  <c r="P32" i="7"/>
  <c r="Q32" i="7" s="1"/>
  <c r="R32" i="7" s="1"/>
  <c r="T32" i="7" s="1"/>
  <c r="P123" i="7"/>
  <c r="Q123" i="7" s="1"/>
  <c r="R123" i="7" s="1"/>
  <c r="T123" i="7" s="1"/>
  <c r="P23" i="7"/>
  <c r="Q23" i="7" s="1"/>
  <c r="R23" i="7" s="1"/>
  <c r="T23" i="7" s="1"/>
  <c r="P165" i="7"/>
  <c r="Q165" i="7" s="1"/>
  <c r="R165" i="7" s="1"/>
  <c r="T165" i="7" s="1"/>
  <c r="P220" i="7"/>
  <c r="Q220" i="7" s="1"/>
  <c r="R220" i="7" s="1"/>
  <c r="T220" i="7" s="1"/>
  <c r="P156" i="7"/>
  <c r="Q156" i="7" s="1"/>
  <c r="R156" i="7" s="1"/>
  <c r="T156" i="7" s="1"/>
  <c r="P201" i="7"/>
  <c r="Q201" i="7" s="1"/>
  <c r="R201" i="7" s="1"/>
  <c r="T201" i="7" s="1"/>
  <c r="P280" i="7"/>
  <c r="Q280" i="7" s="1"/>
  <c r="R280" i="7" s="1"/>
  <c r="T280" i="7" s="1"/>
  <c r="P174" i="7"/>
  <c r="Q174" i="7" s="1"/>
  <c r="R174" i="7" s="1"/>
  <c r="T174" i="7" s="1"/>
  <c r="P164" i="7"/>
  <c r="Q164" i="7" s="1"/>
  <c r="R164" i="7" s="1"/>
  <c r="T164" i="7" s="1"/>
  <c r="P237" i="7"/>
  <c r="Q237" i="7" s="1"/>
  <c r="R237" i="7" s="1"/>
  <c r="T237" i="7" s="1"/>
  <c r="P361" i="7"/>
  <c r="Q361" i="7" s="1"/>
  <c r="R361" i="7" s="1"/>
  <c r="T361" i="7" s="1"/>
  <c r="P189" i="7"/>
  <c r="Q189" i="7" s="1"/>
  <c r="R189" i="7" s="1"/>
  <c r="T189" i="7" s="1"/>
  <c r="P348" i="7"/>
  <c r="Q348" i="7" s="1"/>
  <c r="R348" i="7" s="1"/>
  <c r="T348" i="7" s="1"/>
  <c r="P320" i="7"/>
  <c r="Q320" i="7" s="1"/>
  <c r="R320" i="7" s="1"/>
  <c r="T320" i="7" s="1"/>
  <c r="P292" i="7"/>
  <c r="Q292" i="7" s="1"/>
  <c r="R292" i="7" s="1"/>
  <c r="T292" i="7" s="1"/>
  <c r="P282" i="7"/>
  <c r="Q282" i="7" s="1"/>
  <c r="R282" i="7" s="1"/>
  <c r="T282" i="7" s="1"/>
  <c r="O233" i="12"/>
  <c r="O137" i="12"/>
  <c r="O88" i="12"/>
  <c r="O33" i="12"/>
  <c r="O73" i="12"/>
  <c r="O168" i="12"/>
  <c r="V44" i="5"/>
  <c r="X44" i="5" s="1"/>
  <c r="Y44" i="5" s="1"/>
  <c r="V2" i="5"/>
  <c r="X2" i="5" s="1"/>
  <c r="Y2" i="5" s="1"/>
  <c r="V81" i="5"/>
  <c r="X81" i="5" s="1"/>
  <c r="Y81" i="5" s="1"/>
  <c r="V14" i="5"/>
  <c r="X14" i="5" s="1"/>
  <c r="Y14" i="5" s="1"/>
  <c r="V29" i="5"/>
  <c r="X29" i="5" s="1"/>
  <c r="Y29" i="5" s="1"/>
  <c r="V48" i="5"/>
  <c r="X48" i="5" s="1"/>
  <c r="Y48" i="5" s="1"/>
  <c r="V32" i="5"/>
  <c r="X32" i="5" s="1"/>
  <c r="Y32" i="5" s="1"/>
  <c r="V30" i="5"/>
  <c r="X30" i="5" s="1"/>
  <c r="Y30" i="5" s="1"/>
  <c r="V148" i="5"/>
  <c r="X148" i="5" s="1"/>
  <c r="Y148" i="5" s="1"/>
  <c r="V137" i="5"/>
  <c r="X137" i="5" s="1"/>
  <c r="Y137" i="5" s="1"/>
  <c r="V101" i="5"/>
  <c r="X101" i="5" s="1"/>
  <c r="Y101" i="5" s="1"/>
  <c r="V133" i="5"/>
  <c r="X133" i="5" s="1"/>
  <c r="Y133" i="5" s="1"/>
  <c r="V147" i="5"/>
  <c r="X147" i="5" s="1"/>
  <c r="Y147" i="5" s="1"/>
  <c r="V145" i="5"/>
  <c r="X145" i="5" s="1"/>
  <c r="Y145" i="5" s="1"/>
  <c r="V267" i="5"/>
  <c r="X267" i="5" s="1"/>
  <c r="Y267" i="5" s="1"/>
  <c r="V287" i="5"/>
  <c r="X287" i="5" s="1"/>
  <c r="Y287" i="5" s="1"/>
  <c r="V240" i="5"/>
  <c r="X240" i="5" s="1"/>
  <c r="Y240" i="5" s="1"/>
  <c r="V314" i="5"/>
  <c r="X314" i="5" s="1"/>
  <c r="Y314" i="5" s="1"/>
  <c r="V268" i="5"/>
  <c r="X268" i="5" s="1"/>
  <c r="Y268" i="5" s="1"/>
  <c r="V301" i="5"/>
  <c r="X301" i="5" s="1"/>
  <c r="Y301" i="5" s="1"/>
  <c r="V209" i="5"/>
  <c r="X209" i="5" s="1"/>
  <c r="Y209" i="5" s="1"/>
  <c r="V241" i="5"/>
  <c r="X241" i="5" s="1"/>
  <c r="Y241" i="5" s="1"/>
  <c r="V366" i="5"/>
  <c r="X366" i="5" s="1"/>
  <c r="Y366" i="5" s="1"/>
  <c r="O293" i="12"/>
  <c r="O289" i="12"/>
  <c r="O306" i="12"/>
  <c r="O326" i="12"/>
  <c r="R333" i="12"/>
  <c r="R360" i="12"/>
  <c r="P33" i="7"/>
  <c r="Q33" i="7" s="1"/>
  <c r="R33" i="7" s="1"/>
  <c r="T33" i="7" s="1"/>
  <c r="P72" i="7"/>
  <c r="Q72" i="7" s="1"/>
  <c r="R72" i="7" s="1"/>
  <c r="T72" i="7" s="1"/>
  <c r="P61" i="7"/>
  <c r="Q61" i="7" s="1"/>
  <c r="R61" i="7" s="1"/>
  <c r="T61" i="7" s="1"/>
  <c r="P89" i="7"/>
  <c r="Q89" i="7" s="1"/>
  <c r="R89" i="7" s="1"/>
  <c r="T89" i="7" s="1"/>
  <c r="P10" i="7"/>
  <c r="Q10" i="7" s="1"/>
  <c r="R10" i="7" s="1"/>
  <c r="T10" i="7" s="1"/>
  <c r="P48" i="7"/>
  <c r="Q48" i="7" s="1"/>
  <c r="R48" i="7" s="1"/>
  <c r="T48" i="7" s="1"/>
  <c r="P149" i="7"/>
  <c r="Q149" i="7" s="1"/>
  <c r="R149" i="7" s="1"/>
  <c r="T149" i="7" s="1"/>
  <c r="P39" i="7"/>
  <c r="Q39" i="7" s="1"/>
  <c r="R39" i="7" s="1"/>
  <c r="T39" i="7" s="1"/>
  <c r="P181" i="7"/>
  <c r="Q181" i="7" s="1"/>
  <c r="R181" i="7" s="1"/>
  <c r="T181" i="7" s="1"/>
  <c r="P221" i="7"/>
  <c r="Q221" i="7" s="1"/>
  <c r="R221" i="7" s="1"/>
  <c r="T221" i="7" s="1"/>
  <c r="P172" i="7"/>
  <c r="Q172" i="7" s="1"/>
  <c r="R172" i="7" s="1"/>
  <c r="T172" i="7" s="1"/>
  <c r="P227" i="7"/>
  <c r="Q227" i="7" s="1"/>
  <c r="R227" i="7" s="1"/>
  <c r="T227" i="7" s="1"/>
  <c r="P120" i="7"/>
  <c r="Q120" i="7" s="1"/>
  <c r="R120" i="7" s="1"/>
  <c r="T120" i="7" s="1"/>
  <c r="P214" i="7"/>
  <c r="Q214" i="7" s="1"/>
  <c r="R214" i="7" s="1"/>
  <c r="T214" i="7" s="1"/>
  <c r="P180" i="7"/>
  <c r="Q180" i="7" s="1"/>
  <c r="R180" i="7" s="1"/>
  <c r="T180" i="7" s="1"/>
  <c r="P238" i="7"/>
  <c r="Q238" i="7" s="1"/>
  <c r="R238" i="7" s="1"/>
  <c r="T238" i="7" s="1"/>
  <c r="P344" i="7"/>
  <c r="Q344" i="7" s="1"/>
  <c r="R344" i="7" s="1"/>
  <c r="T344" i="7" s="1"/>
  <c r="P205" i="7"/>
  <c r="Q205" i="7" s="1"/>
  <c r="R205" i="7" s="1"/>
  <c r="T205" i="7" s="1"/>
  <c r="P195" i="7"/>
  <c r="Q195" i="7" s="1"/>
  <c r="R195" i="7" s="1"/>
  <c r="T195" i="7" s="1"/>
  <c r="P336" i="7"/>
  <c r="Q336" i="7" s="1"/>
  <c r="R336" i="7" s="1"/>
  <c r="T336" i="7" s="1"/>
  <c r="P308" i="7"/>
  <c r="Q308" i="7" s="1"/>
  <c r="R308" i="7" s="1"/>
  <c r="T308" i="7" s="1"/>
  <c r="P298" i="7"/>
  <c r="Q298" i="7" s="1"/>
  <c r="R298" i="7" s="1"/>
  <c r="T298" i="7" s="1"/>
  <c r="O352" i="12"/>
  <c r="O252" i="12"/>
  <c r="O118" i="12"/>
  <c r="O160" i="12"/>
  <c r="O228" i="12"/>
  <c r="O153" i="12"/>
  <c r="O193" i="12"/>
  <c r="V4" i="5"/>
  <c r="X4" i="5" s="1"/>
  <c r="Y4" i="5" s="1"/>
  <c r="V132" i="5"/>
  <c r="X132" i="5" s="1"/>
  <c r="Y132" i="5" s="1"/>
  <c r="V90" i="5"/>
  <c r="X90" i="5" s="1"/>
  <c r="Y90" i="5" s="1"/>
  <c r="V16" i="5"/>
  <c r="X16" i="5" s="1"/>
  <c r="Y16" i="5" s="1"/>
  <c r="V36" i="5"/>
  <c r="X36" i="5" s="1"/>
  <c r="Y36" i="5" s="1"/>
  <c r="V53" i="5"/>
  <c r="X53" i="5" s="1"/>
  <c r="Y53" i="5" s="1"/>
  <c r="V41" i="5"/>
  <c r="X41" i="5" s="1"/>
  <c r="Y41" i="5" s="1"/>
  <c r="V39" i="5"/>
  <c r="X39" i="5" s="1"/>
  <c r="Y39" i="5" s="1"/>
  <c r="V162" i="5"/>
  <c r="X162" i="5" s="1"/>
  <c r="Y162" i="5" s="1"/>
  <c r="V146" i="5"/>
  <c r="X146" i="5" s="1"/>
  <c r="Y146" i="5" s="1"/>
  <c r="V103" i="5"/>
  <c r="X103" i="5" s="1"/>
  <c r="Y103" i="5" s="1"/>
  <c r="V135" i="5"/>
  <c r="X135" i="5" s="1"/>
  <c r="Y135" i="5" s="1"/>
  <c r="V161" i="5"/>
  <c r="X161" i="5" s="1"/>
  <c r="Y161" i="5" s="1"/>
  <c r="V164" i="5"/>
  <c r="X164" i="5" s="1"/>
  <c r="Y164" i="5" s="1"/>
  <c r="V275" i="5"/>
  <c r="X275" i="5" s="1"/>
  <c r="Y275" i="5" s="1"/>
  <c r="V310" i="5"/>
  <c r="X310" i="5" s="1"/>
  <c r="Y310" i="5" s="1"/>
  <c r="V242" i="5"/>
  <c r="X242" i="5" s="1"/>
  <c r="Y242" i="5" s="1"/>
  <c r="V346" i="5"/>
  <c r="X346" i="5" s="1"/>
  <c r="Y346" i="5" s="1"/>
  <c r="V285" i="5"/>
  <c r="X285" i="5" s="1"/>
  <c r="Y285" i="5" s="1"/>
  <c r="V308" i="5"/>
  <c r="X308" i="5" s="1"/>
  <c r="Y308" i="5" s="1"/>
  <c r="V211" i="5"/>
  <c r="X211" i="5" s="1"/>
  <c r="Y211" i="5" s="1"/>
  <c r="V243" i="5"/>
  <c r="X243" i="5" s="1"/>
  <c r="Y243" i="5" s="1"/>
  <c r="V354" i="5"/>
  <c r="X354" i="5" s="1"/>
  <c r="Y354" i="5" s="1"/>
  <c r="O273" i="12"/>
  <c r="R340" i="12"/>
  <c r="P91" i="7"/>
  <c r="Q91" i="7" s="1"/>
  <c r="R91" i="7" s="1"/>
  <c r="T91" i="7" s="1"/>
  <c r="P35" i="7"/>
  <c r="Q35" i="7" s="1"/>
  <c r="R35" i="7" s="1"/>
  <c r="T35" i="7" s="1"/>
  <c r="P8" i="7"/>
  <c r="Q8" i="7" s="1"/>
  <c r="R8" i="7" s="1"/>
  <c r="T8" i="7" s="1"/>
  <c r="P88" i="7"/>
  <c r="Q88" i="7" s="1"/>
  <c r="R88" i="7" s="1"/>
  <c r="T88" i="7" s="1"/>
  <c r="P134" i="7"/>
  <c r="Q134" i="7" s="1"/>
  <c r="R134" i="7" s="1"/>
  <c r="T134" i="7" s="1"/>
  <c r="P26" i="7"/>
  <c r="Q26" i="7" s="1"/>
  <c r="R26" i="7" s="1"/>
  <c r="T26" i="7" s="1"/>
  <c r="P64" i="7"/>
  <c r="Q64" i="7" s="1"/>
  <c r="R64" i="7" s="1"/>
  <c r="T64" i="7" s="1"/>
  <c r="P81" i="7"/>
  <c r="Q81" i="7" s="1"/>
  <c r="R81" i="7" s="1"/>
  <c r="T81" i="7" s="1"/>
  <c r="P55" i="7"/>
  <c r="Q55" i="7" s="1"/>
  <c r="R55" i="7" s="1"/>
  <c r="T55" i="7" s="1"/>
  <c r="P196" i="7"/>
  <c r="Q196" i="7" s="1"/>
  <c r="R196" i="7" s="1"/>
  <c r="T196" i="7" s="1"/>
  <c r="P264" i="7"/>
  <c r="Q264" i="7" s="1"/>
  <c r="R264" i="7" s="1"/>
  <c r="T264" i="7" s="1"/>
  <c r="P188" i="7"/>
  <c r="Q188" i="7" s="1"/>
  <c r="R188" i="7" s="1"/>
  <c r="T188" i="7" s="1"/>
  <c r="P246" i="7"/>
  <c r="Q246" i="7" s="1"/>
  <c r="R246" i="7" s="1"/>
  <c r="T246" i="7" s="1"/>
  <c r="P136" i="7"/>
  <c r="Q136" i="7" s="1"/>
  <c r="R136" i="7" s="1"/>
  <c r="T136" i="7" s="1"/>
  <c r="P215" i="7"/>
  <c r="Q215" i="7" s="1"/>
  <c r="R215" i="7" s="1"/>
  <c r="T215" i="7" s="1"/>
  <c r="P192" i="7"/>
  <c r="Q192" i="7" s="1"/>
  <c r="R192" i="7" s="1"/>
  <c r="T192" i="7" s="1"/>
  <c r="P243" i="7"/>
  <c r="Q243" i="7" s="1"/>
  <c r="R243" i="7" s="1"/>
  <c r="T243" i="7" s="1"/>
  <c r="P360" i="7"/>
  <c r="Q360" i="7" s="1"/>
  <c r="R360" i="7" s="1"/>
  <c r="T360" i="7" s="1"/>
  <c r="P297" i="7"/>
  <c r="Q297" i="7" s="1"/>
  <c r="R297" i="7" s="1"/>
  <c r="T297" i="7" s="1"/>
  <c r="P211" i="7"/>
  <c r="Q211" i="7" s="1"/>
  <c r="R211" i="7" s="1"/>
  <c r="T211" i="7" s="1"/>
  <c r="P352" i="7"/>
  <c r="Q352" i="7" s="1"/>
  <c r="R352" i="7" s="1"/>
  <c r="T352" i="7" s="1"/>
  <c r="P324" i="7"/>
  <c r="Q324" i="7" s="1"/>
  <c r="R324" i="7" s="1"/>
  <c r="T324" i="7" s="1"/>
  <c r="P314" i="7"/>
  <c r="Q314" i="7" s="1"/>
  <c r="R314" i="7" s="1"/>
  <c r="T314" i="7" s="1"/>
  <c r="C67" i="10" a="1"/>
  <c r="C67" i="10" s="1"/>
  <c r="D67" i="10" s="1" a="1"/>
  <c r="D67" i="10" s="1"/>
  <c r="O89" i="12"/>
  <c r="O201" i="12"/>
  <c r="O134" i="12"/>
  <c r="O182" i="12"/>
  <c r="O120" i="12"/>
  <c r="O81" i="12"/>
  <c r="V21" i="5"/>
  <c r="X21" i="5" s="1"/>
  <c r="Y21" i="5" s="1"/>
  <c r="V94" i="5"/>
  <c r="X94" i="5" s="1"/>
  <c r="Y94" i="5" s="1"/>
  <c r="V106" i="5"/>
  <c r="X106" i="5" s="1"/>
  <c r="Y106" i="5" s="1"/>
  <c r="V18" i="5"/>
  <c r="X18" i="5" s="1"/>
  <c r="Y18" i="5" s="1"/>
  <c r="V45" i="5"/>
  <c r="X45" i="5" s="1"/>
  <c r="Y45" i="5" s="1"/>
  <c r="V62" i="5"/>
  <c r="X62" i="5" s="1"/>
  <c r="Y62" i="5" s="1"/>
  <c r="V159" i="5"/>
  <c r="X159" i="5" s="1"/>
  <c r="Y159" i="5" s="1"/>
  <c r="V46" i="5"/>
  <c r="X46" i="5" s="1"/>
  <c r="Y46" i="5" s="1"/>
  <c r="V178" i="5"/>
  <c r="X178" i="5" s="1"/>
  <c r="Y178" i="5" s="1"/>
  <c r="V163" i="5"/>
  <c r="X163" i="5" s="1"/>
  <c r="Y163" i="5" s="1"/>
  <c r="V105" i="5"/>
  <c r="X105" i="5" s="1"/>
  <c r="Y105" i="5" s="1"/>
  <c r="V154" i="5"/>
  <c r="X154" i="5" s="1"/>
  <c r="Y154" i="5" s="1"/>
  <c r="V191" i="5"/>
  <c r="X191" i="5" s="1"/>
  <c r="Y191" i="5" s="1"/>
  <c r="V171" i="5"/>
  <c r="X171" i="5" s="1"/>
  <c r="Y171" i="5" s="1"/>
  <c r="V278" i="5"/>
  <c r="X278" i="5" s="1"/>
  <c r="Y278" i="5" s="1"/>
  <c r="V317" i="5"/>
  <c r="X317" i="5" s="1"/>
  <c r="Y317" i="5" s="1"/>
  <c r="V244" i="5"/>
  <c r="X244" i="5" s="1"/>
  <c r="Y244" i="5" s="1"/>
  <c r="V273" i="5"/>
  <c r="X273" i="5" s="1"/>
  <c r="Y273" i="5" s="1"/>
  <c r="V288" i="5"/>
  <c r="X288" i="5" s="1"/>
  <c r="Y288" i="5" s="1"/>
  <c r="V315" i="5"/>
  <c r="X315" i="5" s="1"/>
  <c r="Y315" i="5" s="1"/>
  <c r="V213" i="5"/>
  <c r="X213" i="5" s="1"/>
  <c r="Y213" i="5" s="1"/>
  <c r="V245" i="5"/>
  <c r="X245" i="5" s="1"/>
  <c r="Y245" i="5" s="1"/>
  <c r="V356" i="5"/>
  <c r="X356" i="5" s="1"/>
  <c r="Y356" i="5" s="1"/>
  <c r="O215" i="12"/>
  <c r="R302" i="12"/>
  <c r="R310" i="12"/>
  <c r="P115" i="7"/>
  <c r="Q115" i="7" s="1"/>
  <c r="R115" i="7" s="1"/>
  <c r="T115" i="7" s="1"/>
  <c r="P117" i="7"/>
  <c r="Q117" i="7" s="1"/>
  <c r="R117" i="7" s="1"/>
  <c r="T117" i="7" s="1"/>
  <c r="P11" i="7"/>
  <c r="Q11" i="7" s="1"/>
  <c r="R11" i="7" s="1"/>
  <c r="T11" i="7" s="1"/>
  <c r="P51" i="7"/>
  <c r="Q51" i="7" s="1"/>
  <c r="R51" i="7" s="1"/>
  <c r="T51" i="7" s="1"/>
  <c r="P68" i="7"/>
  <c r="Q68" i="7" s="1"/>
  <c r="R68" i="7" s="1"/>
  <c r="T68" i="7" s="1"/>
  <c r="P42" i="7"/>
  <c r="Q42" i="7" s="1"/>
  <c r="R42" i="7" s="1"/>
  <c r="T42" i="7" s="1"/>
  <c r="P80" i="7"/>
  <c r="Q80" i="7" s="1"/>
  <c r="R80" i="7" s="1"/>
  <c r="T80" i="7" s="1"/>
  <c r="P97" i="7"/>
  <c r="Q97" i="7" s="1"/>
  <c r="R97" i="7" s="1"/>
  <c r="T97" i="7" s="1"/>
  <c r="P71" i="7"/>
  <c r="Q71" i="7" s="1"/>
  <c r="R71" i="7" s="1"/>
  <c r="T71" i="7" s="1"/>
  <c r="P223" i="7"/>
  <c r="Q223" i="7" s="1"/>
  <c r="R223" i="7" s="1"/>
  <c r="T223" i="7" s="1"/>
  <c r="P166" i="7"/>
  <c r="Q166" i="7" s="1"/>
  <c r="R166" i="7" s="1"/>
  <c r="T166" i="7" s="1"/>
  <c r="P212" i="7"/>
  <c r="Q212" i="7" s="1"/>
  <c r="R212" i="7" s="1"/>
  <c r="T212" i="7" s="1"/>
  <c r="P311" i="7"/>
  <c r="Q311" i="7" s="1"/>
  <c r="R311" i="7" s="1"/>
  <c r="T311" i="7" s="1"/>
  <c r="P152" i="7"/>
  <c r="Q152" i="7" s="1"/>
  <c r="R152" i="7" s="1"/>
  <c r="T152" i="7" s="1"/>
  <c r="P217" i="7"/>
  <c r="Q217" i="7" s="1"/>
  <c r="R217" i="7" s="1"/>
  <c r="T217" i="7" s="1"/>
  <c r="P204" i="7"/>
  <c r="Q204" i="7" s="1"/>
  <c r="R204" i="7" s="1"/>
  <c r="T204" i="7" s="1"/>
  <c r="P273" i="7"/>
  <c r="Q273" i="7" s="1"/>
  <c r="R273" i="7" s="1"/>
  <c r="T273" i="7" s="1"/>
  <c r="P313" i="7"/>
  <c r="Q313" i="7" s="1"/>
  <c r="R313" i="7" s="1"/>
  <c r="T313" i="7" s="1"/>
  <c r="P326" i="7"/>
  <c r="Q326" i="7" s="1"/>
  <c r="R326" i="7" s="1"/>
  <c r="T326" i="7" s="1"/>
  <c r="P236" i="7"/>
  <c r="Q236" i="7" s="1"/>
  <c r="R236" i="7" s="1"/>
  <c r="T236" i="7" s="1"/>
  <c r="P251" i="7"/>
  <c r="Q251" i="7" s="1"/>
  <c r="R251" i="7" s="1"/>
  <c r="T251" i="7" s="1"/>
  <c r="P340" i="7"/>
  <c r="Q340" i="7" s="1"/>
  <c r="R340" i="7" s="1"/>
  <c r="T340" i="7" s="1"/>
  <c r="P330" i="7"/>
  <c r="Q330" i="7" s="1"/>
  <c r="R330" i="7" s="1"/>
  <c r="T330" i="7" s="1"/>
  <c r="O184" i="12"/>
  <c r="O99" i="12"/>
  <c r="O97" i="12"/>
  <c r="V69" i="5"/>
  <c r="X69" i="5" s="1"/>
  <c r="Y69" i="5" s="1"/>
  <c r="V12" i="5"/>
  <c r="X12" i="5" s="1"/>
  <c r="Y12" i="5" s="1"/>
  <c r="V122" i="5"/>
  <c r="X122" i="5" s="1"/>
  <c r="Y122" i="5" s="1"/>
  <c r="V31" i="5"/>
  <c r="X31" i="5" s="1"/>
  <c r="Y31" i="5" s="1"/>
  <c r="V165" i="5"/>
  <c r="X165" i="5" s="1"/>
  <c r="Y165" i="5" s="1"/>
  <c r="V150" i="5"/>
  <c r="X150" i="5" s="1"/>
  <c r="Y150" i="5" s="1"/>
  <c r="V72" i="5"/>
  <c r="X72" i="5" s="1"/>
  <c r="Y72" i="5" s="1"/>
  <c r="V51" i="5"/>
  <c r="X51" i="5" s="1"/>
  <c r="Y51" i="5" s="1"/>
  <c r="V214" i="5"/>
  <c r="X214" i="5" s="1"/>
  <c r="Y214" i="5" s="1"/>
  <c r="V172" i="5"/>
  <c r="X172" i="5" s="1"/>
  <c r="Y172" i="5" s="1"/>
  <c r="V107" i="5"/>
  <c r="X107" i="5" s="1"/>
  <c r="Y107" i="5" s="1"/>
  <c r="V183" i="5"/>
  <c r="X183" i="5" s="1"/>
  <c r="Y183" i="5" s="1"/>
  <c r="V194" i="5"/>
  <c r="X194" i="5" s="1"/>
  <c r="Y194" i="5" s="1"/>
  <c r="V181" i="5"/>
  <c r="X181" i="5" s="1"/>
  <c r="Y181" i="5" s="1"/>
  <c r="V306" i="5"/>
  <c r="X306" i="5" s="1"/>
  <c r="Y306" i="5" s="1"/>
  <c r="V321" i="5"/>
  <c r="X321" i="5" s="1"/>
  <c r="Y321" i="5" s="1"/>
  <c r="V246" i="5"/>
  <c r="X246" i="5" s="1"/>
  <c r="Y246" i="5" s="1"/>
  <c r="V276" i="5"/>
  <c r="X276" i="5" s="1"/>
  <c r="Y276" i="5" s="1"/>
  <c r="V291" i="5"/>
  <c r="X291" i="5" s="1"/>
  <c r="Y291" i="5" s="1"/>
  <c r="V323" i="5"/>
  <c r="X323" i="5" s="1"/>
  <c r="Y323" i="5" s="1"/>
  <c r="V215" i="5"/>
  <c r="X215" i="5" s="1"/>
  <c r="Y215" i="5" s="1"/>
  <c r="V247" i="5"/>
  <c r="X247" i="5" s="1"/>
  <c r="Y247" i="5" s="1"/>
  <c r="V358" i="5"/>
  <c r="X358" i="5" s="1"/>
  <c r="Y358" i="5" s="1"/>
  <c r="O341" i="12"/>
  <c r="O296" i="12"/>
  <c r="O344" i="12"/>
  <c r="O268" i="12"/>
  <c r="O212" i="12"/>
  <c r="R313" i="12"/>
  <c r="P27" i="7"/>
  <c r="Q27" i="7" s="1"/>
  <c r="R27" i="7" s="1"/>
  <c r="T27" i="7" s="1"/>
  <c r="P43" i="7"/>
  <c r="Q43" i="7" s="1"/>
  <c r="R43" i="7" s="1"/>
  <c r="T43" i="7" s="1"/>
  <c r="P49" i="7"/>
  <c r="Q49" i="7" s="1"/>
  <c r="R49" i="7" s="1"/>
  <c r="T49" i="7" s="1"/>
  <c r="P67" i="7"/>
  <c r="Q67" i="7" s="1"/>
  <c r="R67" i="7" s="1"/>
  <c r="T67" i="7" s="1"/>
  <c r="P84" i="7"/>
  <c r="Q84" i="7" s="1"/>
  <c r="R84" i="7" s="1"/>
  <c r="T84" i="7" s="1"/>
  <c r="P58" i="7"/>
  <c r="Q58" i="7" s="1"/>
  <c r="R58" i="7" s="1"/>
  <c r="T58" i="7" s="1"/>
  <c r="P96" i="7"/>
  <c r="Q96" i="7" s="1"/>
  <c r="R96" i="7" s="1"/>
  <c r="T96" i="7" s="1"/>
  <c r="P155" i="7"/>
  <c r="Q155" i="7" s="1"/>
  <c r="R155" i="7" s="1"/>
  <c r="T155" i="7" s="1"/>
  <c r="P87" i="7"/>
  <c r="Q87" i="7" s="1"/>
  <c r="R87" i="7" s="1"/>
  <c r="T87" i="7" s="1"/>
  <c r="P230" i="7"/>
  <c r="Q230" i="7" s="1"/>
  <c r="R230" i="7" s="1"/>
  <c r="T230" i="7" s="1"/>
  <c r="P182" i="7"/>
  <c r="Q182" i="7" s="1"/>
  <c r="R182" i="7" s="1"/>
  <c r="T182" i="7" s="1"/>
  <c r="P228" i="7"/>
  <c r="Q228" i="7" s="1"/>
  <c r="R228" i="7" s="1"/>
  <c r="T228" i="7" s="1"/>
  <c r="P114" i="7"/>
  <c r="Q114" i="7" s="1"/>
  <c r="R114" i="7" s="1"/>
  <c r="T114" i="7" s="1"/>
  <c r="P168" i="7"/>
  <c r="Q168" i="7" s="1"/>
  <c r="R168" i="7" s="1"/>
  <c r="T168" i="7" s="1"/>
  <c r="P268" i="7"/>
  <c r="Q268" i="7" s="1"/>
  <c r="R268" i="7" s="1"/>
  <c r="T268" i="7" s="1"/>
  <c r="P218" i="7"/>
  <c r="Q218" i="7" s="1"/>
  <c r="R218" i="7" s="1"/>
  <c r="T218" i="7" s="1"/>
  <c r="P279" i="7"/>
  <c r="Q279" i="7" s="1"/>
  <c r="R279" i="7" s="1"/>
  <c r="T279" i="7" s="1"/>
  <c r="P353" i="7"/>
  <c r="Q353" i="7" s="1"/>
  <c r="R353" i="7" s="1"/>
  <c r="T353" i="7" s="1"/>
  <c r="P332" i="7"/>
  <c r="Q332" i="7" s="1"/>
  <c r="R332" i="7" s="1"/>
  <c r="T332" i="7" s="1"/>
  <c r="P249" i="7"/>
  <c r="Q249" i="7" s="1"/>
  <c r="R249" i="7" s="1"/>
  <c r="T249" i="7" s="1"/>
  <c r="P267" i="7"/>
  <c r="Q267" i="7" s="1"/>
  <c r="R267" i="7" s="1"/>
  <c r="T267" i="7" s="1"/>
  <c r="P356" i="7"/>
  <c r="Q356" i="7" s="1"/>
  <c r="R356" i="7" s="1"/>
  <c r="T356" i="7" s="1"/>
  <c r="P346" i="7"/>
  <c r="Q346" i="7" s="1"/>
  <c r="R346" i="7" s="1"/>
  <c r="T346" i="7" s="1"/>
  <c r="O317" i="12"/>
  <c r="O121" i="12"/>
  <c r="R243" i="12"/>
  <c r="O161" i="12"/>
  <c r="V84" i="5"/>
  <c r="X84" i="5" s="1"/>
  <c r="Y84" i="5" s="1"/>
  <c r="V63" i="5"/>
  <c r="X63" i="5" s="1"/>
  <c r="Y63" i="5" s="1"/>
  <c r="V134" i="5"/>
  <c r="X134" i="5" s="1"/>
  <c r="Y134" i="5" s="1"/>
  <c r="V38" i="5"/>
  <c r="X38" i="5" s="1"/>
  <c r="Y38" i="5" s="1"/>
  <c r="V56" i="5"/>
  <c r="X56" i="5" s="1"/>
  <c r="Y56" i="5" s="1"/>
  <c r="V25" i="5"/>
  <c r="X25" i="5" s="1"/>
  <c r="Y25" i="5" s="1"/>
  <c r="V88" i="5"/>
  <c r="X88" i="5" s="1"/>
  <c r="Y88" i="5" s="1"/>
  <c r="V54" i="5"/>
  <c r="X54" i="5" s="1"/>
  <c r="Y54" i="5" s="1"/>
  <c r="V283" i="5"/>
  <c r="X283" i="5" s="1"/>
  <c r="Y283" i="5" s="1"/>
  <c r="V197" i="5"/>
  <c r="X197" i="5" s="1"/>
  <c r="Y197" i="5" s="1"/>
  <c r="V109" i="5"/>
  <c r="X109" i="5" s="1"/>
  <c r="Y109" i="5" s="1"/>
  <c r="V186" i="5"/>
  <c r="X186" i="5" s="1"/>
  <c r="Y186" i="5" s="1"/>
  <c r="V202" i="5"/>
  <c r="X202" i="5" s="1"/>
  <c r="Y202" i="5" s="1"/>
  <c r="V184" i="5"/>
  <c r="X184" i="5" s="1"/>
  <c r="Y184" i="5" s="1"/>
  <c r="V313" i="5"/>
  <c r="X313" i="5" s="1"/>
  <c r="Y313" i="5" s="1"/>
  <c r="V340" i="5"/>
  <c r="X340" i="5" s="1"/>
  <c r="Y340" i="5" s="1"/>
  <c r="V248" i="5"/>
  <c r="X248" i="5" s="1"/>
  <c r="Y248" i="5" s="1"/>
  <c r="V294" i="5"/>
  <c r="X294" i="5" s="1"/>
  <c r="Y294" i="5" s="1"/>
  <c r="V304" i="5"/>
  <c r="X304" i="5" s="1"/>
  <c r="Y304" i="5" s="1"/>
  <c r="V337" i="5"/>
  <c r="X337" i="5" s="1"/>
  <c r="Y337" i="5" s="1"/>
  <c r="V217" i="5"/>
  <c r="X217" i="5" s="1"/>
  <c r="Y217" i="5" s="1"/>
  <c r="V249" i="5"/>
  <c r="X249" i="5" s="1"/>
  <c r="Y249" i="5" s="1"/>
  <c r="V360" i="5"/>
  <c r="X360" i="5" s="1"/>
  <c r="Y360" i="5" s="1"/>
  <c r="O338" i="12"/>
  <c r="C4" i="10" a="1"/>
  <c r="C4" i="10" s="1"/>
  <c r="D4" i="10" s="1" a="1"/>
  <c r="D4" i="10" s="1"/>
  <c r="M59" i="10" a="1"/>
  <c r="M59" i="10" s="1"/>
  <c r="M7" i="10" a="1"/>
  <c r="M7" i="10" s="1"/>
  <c r="P75" i="7"/>
  <c r="Q75" i="7" s="1"/>
  <c r="R75" i="7" s="1"/>
  <c r="T75" i="7" s="1"/>
  <c r="P57" i="7"/>
  <c r="Q57" i="7" s="1"/>
  <c r="R57" i="7" s="1"/>
  <c r="T57" i="7" s="1"/>
  <c r="P77" i="7"/>
  <c r="Q77" i="7" s="1"/>
  <c r="R77" i="7" s="1"/>
  <c r="T77" i="7" s="1"/>
  <c r="P83" i="7"/>
  <c r="Q83" i="7" s="1"/>
  <c r="R83" i="7" s="1"/>
  <c r="T83" i="7" s="1"/>
  <c r="P100" i="7"/>
  <c r="Q100" i="7" s="1"/>
  <c r="R100" i="7" s="1"/>
  <c r="T100" i="7" s="1"/>
  <c r="P74" i="7"/>
  <c r="Q74" i="7" s="1"/>
  <c r="R74" i="7" s="1"/>
  <c r="T74" i="7" s="1"/>
  <c r="P124" i="7"/>
  <c r="Q124" i="7" s="1"/>
  <c r="R124" i="7" s="1"/>
  <c r="T124" i="7" s="1"/>
  <c r="P160" i="7"/>
  <c r="Q160" i="7" s="1"/>
  <c r="R160" i="7" s="1"/>
  <c r="T160" i="7" s="1"/>
  <c r="P103" i="7"/>
  <c r="Q103" i="7" s="1"/>
  <c r="R103" i="7" s="1"/>
  <c r="T103" i="7" s="1"/>
  <c r="P231" i="7"/>
  <c r="Q231" i="7" s="1"/>
  <c r="R231" i="7" s="1"/>
  <c r="T231" i="7" s="1"/>
  <c r="P197" i="7"/>
  <c r="Q197" i="7" s="1"/>
  <c r="R197" i="7" s="1"/>
  <c r="T197" i="7" s="1"/>
  <c r="P242" i="7"/>
  <c r="Q242" i="7" s="1"/>
  <c r="R242" i="7" s="1"/>
  <c r="T242" i="7" s="1"/>
  <c r="P130" i="7"/>
  <c r="Q130" i="7" s="1"/>
  <c r="R130" i="7" s="1"/>
  <c r="T130" i="7" s="1"/>
  <c r="P184" i="7"/>
  <c r="Q184" i="7" s="1"/>
  <c r="R184" i="7" s="1"/>
  <c r="T184" i="7" s="1"/>
  <c r="P121" i="7"/>
  <c r="Q121" i="7" s="1"/>
  <c r="R121" i="7" s="1"/>
  <c r="T121" i="7" s="1"/>
  <c r="P258" i="7"/>
  <c r="Q258" i="7" s="1"/>
  <c r="R258" i="7" s="1"/>
  <c r="T258" i="7" s="1"/>
  <c r="P285" i="7"/>
  <c r="Q285" i="7" s="1"/>
  <c r="R285" i="7" s="1"/>
  <c r="T285" i="7" s="1"/>
  <c r="P307" i="7"/>
  <c r="Q307" i="7" s="1"/>
  <c r="R307" i="7" s="1"/>
  <c r="T307" i="7" s="1"/>
  <c r="P355" i="7"/>
  <c r="Q355" i="7" s="1"/>
  <c r="R355" i="7" s="1"/>
  <c r="T355" i="7" s="1"/>
  <c r="P278" i="7"/>
  <c r="Q278" i="7" s="1"/>
  <c r="R278" i="7" s="1"/>
  <c r="T278" i="7" s="1"/>
  <c r="P283" i="7"/>
  <c r="Q283" i="7" s="1"/>
  <c r="R283" i="7" s="1"/>
  <c r="T283" i="7" s="1"/>
  <c r="P239" i="7"/>
  <c r="Q239" i="7" s="1"/>
  <c r="R239" i="7" s="1"/>
  <c r="T239" i="7" s="1"/>
  <c r="P362" i="7"/>
  <c r="Q362" i="7" s="1"/>
  <c r="R362" i="7" s="1"/>
  <c r="T362" i="7" s="1"/>
  <c r="O258" i="12"/>
  <c r="O136" i="12"/>
  <c r="O71" i="12"/>
  <c r="O96" i="12"/>
  <c r="O144" i="12"/>
  <c r="J369" i="7"/>
  <c r="D2" i="10" a="1"/>
  <c r="D2" i="10" s="1"/>
  <c r="V160" i="5"/>
  <c r="X160" i="5" s="1"/>
  <c r="Y160" i="5" s="1"/>
  <c r="V100" i="5"/>
  <c r="X100" i="5" s="1"/>
  <c r="Y100" i="5" s="1"/>
  <c r="V22" i="5"/>
  <c r="X22" i="5" s="1"/>
  <c r="Y22" i="5" s="1"/>
  <c r="V47" i="5"/>
  <c r="X47" i="5" s="1"/>
  <c r="Y47" i="5" s="1"/>
  <c r="V68" i="5"/>
  <c r="X68" i="5" s="1"/>
  <c r="Y68" i="5" s="1"/>
  <c r="V59" i="5"/>
  <c r="X59" i="5" s="1"/>
  <c r="Y59" i="5" s="1"/>
  <c r="V104" i="5"/>
  <c r="X104" i="5" s="1"/>
  <c r="Y104" i="5" s="1"/>
  <c r="V262" i="5"/>
  <c r="X262" i="5" s="1"/>
  <c r="Y262" i="5" s="1"/>
  <c r="V289" i="5"/>
  <c r="X289" i="5" s="1"/>
  <c r="Y289" i="5" s="1"/>
  <c r="V316" i="5"/>
  <c r="X316" i="5" s="1"/>
  <c r="Y316" i="5" s="1"/>
  <c r="V111" i="5"/>
  <c r="X111" i="5" s="1"/>
  <c r="Y111" i="5" s="1"/>
  <c r="V210" i="5"/>
  <c r="X210" i="5" s="1"/>
  <c r="Y210" i="5" s="1"/>
  <c r="V286" i="5"/>
  <c r="X286" i="5" s="1"/>
  <c r="Y286" i="5" s="1"/>
  <c r="V309" i="5"/>
  <c r="X309" i="5" s="1"/>
  <c r="Y309" i="5" s="1"/>
  <c r="V325" i="5"/>
  <c r="X325" i="5" s="1"/>
  <c r="Y325" i="5" s="1"/>
  <c r="V218" i="5"/>
  <c r="X218" i="5" s="1"/>
  <c r="Y218" i="5" s="1"/>
  <c r="V250" i="5"/>
  <c r="X250" i="5" s="1"/>
  <c r="Y250" i="5" s="1"/>
  <c r="V297" i="5"/>
  <c r="X297" i="5" s="1"/>
  <c r="Y297" i="5" s="1"/>
  <c r="V311" i="5"/>
  <c r="X311" i="5" s="1"/>
  <c r="Y311" i="5" s="1"/>
  <c r="V353" i="5"/>
  <c r="X353" i="5" s="1"/>
  <c r="Y353" i="5" s="1"/>
  <c r="V219" i="5"/>
  <c r="X219" i="5" s="1"/>
  <c r="Y219" i="5" s="1"/>
  <c r="V251" i="5"/>
  <c r="X251" i="5" s="1"/>
  <c r="Y251" i="5" s="1"/>
  <c r="V362" i="5"/>
  <c r="X362" i="5" s="1"/>
  <c r="Y362" i="5" s="1"/>
  <c r="O342" i="12"/>
  <c r="M24" i="10" a="1"/>
  <c r="M24" i="10" s="1"/>
  <c r="O225" i="12"/>
  <c r="O265" i="12"/>
  <c r="R314" i="12"/>
  <c r="P59" i="7"/>
  <c r="Q59" i="7" s="1"/>
  <c r="R59" i="7" s="1"/>
  <c r="T59" i="7" s="1"/>
  <c r="P73" i="7"/>
  <c r="Q73" i="7" s="1"/>
  <c r="R73" i="7" s="1"/>
  <c r="T73" i="7" s="1"/>
  <c r="P93" i="7"/>
  <c r="Q93" i="7" s="1"/>
  <c r="R93" i="7" s="1"/>
  <c r="T93" i="7" s="1"/>
  <c r="P99" i="7"/>
  <c r="Q99" i="7" s="1"/>
  <c r="R99" i="7" s="1"/>
  <c r="T99" i="7" s="1"/>
  <c r="P106" i="7"/>
  <c r="Q106" i="7" s="1"/>
  <c r="R106" i="7" s="1"/>
  <c r="T106" i="7" s="1"/>
  <c r="P90" i="7"/>
  <c r="Q90" i="7" s="1"/>
  <c r="R90" i="7" s="1"/>
  <c r="T90" i="7" s="1"/>
  <c r="P143" i="7"/>
  <c r="Q143" i="7" s="1"/>
  <c r="R143" i="7" s="1"/>
  <c r="T143" i="7" s="1"/>
  <c r="P12" i="7"/>
  <c r="Q12" i="7" s="1"/>
  <c r="R12" i="7" s="1"/>
  <c r="T12" i="7" s="1"/>
  <c r="P111" i="7"/>
  <c r="Q111" i="7" s="1"/>
  <c r="R111" i="7" s="1"/>
  <c r="T111" i="7" s="1"/>
  <c r="P265" i="7"/>
  <c r="Q265" i="7" s="1"/>
  <c r="R265" i="7" s="1"/>
  <c r="T265" i="7" s="1"/>
  <c r="P263" i="7"/>
  <c r="Q263" i="7" s="1"/>
  <c r="R263" i="7" s="1"/>
  <c r="T263" i="7" s="1"/>
  <c r="P274" i="7"/>
  <c r="Q274" i="7" s="1"/>
  <c r="R274" i="7" s="1"/>
  <c r="T274" i="7" s="1"/>
  <c r="P146" i="7"/>
  <c r="Q146" i="7" s="1"/>
  <c r="R146" i="7" s="1"/>
  <c r="T146" i="7" s="1"/>
  <c r="P202" i="7"/>
  <c r="Q202" i="7" s="1"/>
  <c r="R202" i="7" s="1"/>
  <c r="T202" i="7" s="1"/>
  <c r="P137" i="7"/>
  <c r="Q137" i="7" s="1"/>
  <c r="R137" i="7" s="1"/>
  <c r="T137" i="7" s="1"/>
  <c r="P269" i="7"/>
  <c r="Q269" i="7" s="1"/>
  <c r="R269" i="7" s="1"/>
  <c r="T269" i="7" s="1"/>
  <c r="P286" i="7"/>
  <c r="Q286" i="7" s="1"/>
  <c r="R286" i="7" s="1"/>
  <c r="T286" i="7" s="1"/>
  <c r="P338" i="7"/>
  <c r="Q338" i="7" s="1"/>
  <c r="R338" i="7" s="1"/>
  <c r="T338" i="7" s="1"/>
  <c r="P200" i="7"/>
  <c r="Q200" i="7" s="1"/>
  <c r="R200" i="7" s="1"/>
  <c r="T200" i="7" s="1"/>
  <c r="P284" i="7"/>
  <c r="Q284" i="7" s="1"/>
  <c r="R284" i="7" s="1"/>
  <c r="T284" i="7" s="1"/>
  <c r="P299" i="7"/>
  <c r="Q299" i="7" s="1"/>
  <c r="R299" i="7" s="1"/>
  <c r="T299" i="7" s="1"/>
  <c r="P255" i="7"/>
  <c r="Q255" i="7" s="1"/>
  <c r="R255" i="7" s="1"/>
  <c r="T255" i="7" s="1"/>
  <c r="P229" i="7"/>
  <c r="Q229" i="7" s="1"/>
  <c r="R229" i="7" s="1"/>
  <c r="T229" i="7" s="1"/>
  <c r="O220" i="12"/>
  <c r="O17" i="12"/>
  <c r="O112" i="12"/>
  <c r="O105" i="12"/>
  <c r="J372" i="7"/>
  <c r="M4" i="10" a="1"/>
  <c r="M4" i="10" s="1"/>
  <c r="M44" i="10" a="1"/>
  <c r="M44" i="10" s="1"/>
  <c r="M40" i="10" a="1"/>
  <c r="M40" i="10" s="1"/>
  <c r="V28" i="5"/>
  <c r="X28" i="5" s="1"/>
  <c r="Y28" i="5" s="1"/>
  <c r="V116" i="5"/>
  <c r="X116" i="5" s="1"/>
  <c r="Y116" i="5" s="1"/>
  <c r="V33" i="5"/>
  <c r="X33" i="5" s="1"/>
  <c r="Y33" i="5" s="1"/>
  <c r="V50" i="5"/>
  <c r="X50" i="5" s="1"/>
  <c r="Y50" i="5" s="1"/>
  <c r="V71" i="5"/>
  <c r="X71" i="5" s="1"/>
  <c r="Y71" i="5" s="1"/>
  <c r="V65" i="5"/>
  <c r="X65" i="5" s="1"/>
  <c r="Y65" i="5" s="1"/>
  <c r="V120" i="5"/>
  <c r="X120" i="5" s="1"/>
  <c r="Y120" i="5" s="1"/>
  <c r="V269" i="5"/>
  <c r="X269" i="5" s="1"/>
  <c r="Y269" i="5" s="1"/>
  <c r="V302" i="5"/>
  <c r="X302" i="5" s="1"/>
  <c r="Y302" i="5" s="1"/>
  <c r="V324" i="5"/>
  <c r="X324" i="5" s="1"/>
  <c r="Y324" i="5" s="1"/>
  <c r="V113" i="5"/>
  <c r="X113" i="5" s="1"/>
  <c r="Y113" i="5" s="1"/>
  <c r="V333" i="5"/>
  <c r="X333" i="5" s="1"/>
  <c r="Y333" i="5" s="1"/>
  <c r="V140" i="5"/>
  <c r="X140" i="5" s="1"/>
  <c r="Y140" i="5" s="1"/>
  <c r="V320" i="5"/>
  <c r="X320" i="5" s="1"/>
  <c r="Y320" i="5" s="1"/>
  <c r="V350" i="5"/>
  <c r="X350" i="5" s="1"/>
  <c r="Y350" i="5" s="1"/>
  <c r="V220" i="5"/>
  <c r="X220" i="5" s="1"/>
  <c r="Y220" i="5" s="1"/>
  <c r="V252" i="5"/>
  <c r="X252" i="5" s="1"/>
  <c r="Y252" i="5" s="1"/>
  <c r="V307" i="5"/>
  <c r="X307" i="5" s="1"/>
  <c r="Y307" i="5" s="1"/>
  <c r="V327" i="5"/>
  <c r="X327" i="5" s="1"/>
  <c r="Y327" i="5" s="1"/>
  <c r="V255" i="5"/>
  <c r="X255" i="5" s="1"/>
  <c r="Y255" i="5" s="1"/>
  <c r="V221" i="5"/>
  <c r="X221" i="5" s="1"/>
  <c r="Y221" i="5" s="1"/>
  <c r="V253" i="5"/>
  <c r="X253" i="5" s="1"/>
  <c r="Y253" i="5" s="1"/>
  <c r="V364" i="5"/>
  <c r="X364" i="5" s="1"/>
  <c r="Y364" i="5" s="1"/>
  <c r="O321" i="12"/>
  <c r="C94" i="10" a="1"/>
  <c r="C94" i="10" s="1"/>
  <c r="D94" i="10" s="1" a="1"/>
  <c r="D94" i="10" s="1"/>
  <c r="O244" i="12"/>
  <c r="O223" i="12"/>
  <c r="O255" i="12"/>
  <c r="R342" i="12"/>
  <c r="R344" i="12"/>
  <c r="P65" i="7"/>
  <c r="Q65" i="7" s="1"/>
  <c r="R65" i="7" s="1"/>
  <c r="T65" i="7" s="1"/>
  <c r="P127" i="7"/>
  <c r="Q127" i="7" s="1"/>
  <c r="R127" i="7" s="1"/>
  <c r="T127" i="7" s="1"/>
  <c r="P4" i="7"/>
  <c r="Q4" i="7" s="1"/>
  <c r="R4" i="7" s="1"/>
  <c r="T4" i="7" s="1"/>
  <c r="P119" i="7"/>
  <c r="Q119" i="7" s="1"/>
  <c r="R119" i="7" s="1"/>
  <c r="T119" i="7" s="1"/>
  <c r="P133" i="7"/>
  <c r="Q133" i="7" s="1"/>
  <c r="R133" i="7" s="1"/>
  <c r="T133" i="7" s="1"/>
  <c r="P138" i="7"/>
  <c r="Q138" i="7" s="1"/>
  <c r="R138" i="7" s="1"/>
  <c r="T138" i="7" s="1"/>
  <c r="P175" i="7"/>
  <c r="Q175" i="7" s="1"/>
  <c r="R175" i="7" s="1"/>
  <c r="T175" i="7" s="1"/>
  <c r="P28" i="7"/>
  <c r="Q28" i="7" s="1"/>
  <c r="R28" i="7" s="1"/>
  <c r="T28" i="7" s="1"/>
  <c r="P207" i="7"/>
  <c r="Q207" i="7" s="1"/>
  <c r="R207" i="7" s="1"/>
  <c r="T207" i="7" s="1"/>
  <c r="P176" i="7"/>
  <c r="Q176" i="7" s="1"/>
  <c r="R176" i="7" s="1"/>
  <c r="T176" i="7" s="1"/>
  <c r="P129" i="7"/>
  <c r="Q129" i="7" s="1"/>
  <c r="R129" i="7" s="1"/>
  <c r="T129" i="7" s="1"/>
  <c r="P275" i="7"/>
  <c r="Q275" i="7" s="1"/>
  <c r="R275" i="7" s="1"/>
  <c r="T275" i="7" s="1"/>
  <c r="P162" i="7"/>
  <c r="Q162" i="7" s="1"/>
  <c r="R162" i="7" s="1"/>
  <c r="T162" i="7" s="1"/>
  <c r="P131" i="7"/>
  <c r="Q131" i="7" s="1"/>
  <c r="R131" i="7" s="1"/>
  <c r="T131" i="7" s="1"/>
  <c r="P153" i="7"/>
  <c r="Q153" i="7" s="1"/>
  <c r="R153" i="7" s="1"/>
  <c r="T153" i="7" s="1"/>
  <c r="P294" i="7"/>
  <c r="Q294" i="7" s="1"/>
  <c r="R294" i="7" s="1"/>
  <c r="T294" i="7" s="1"/>
  <c r="P328" i="7"/>
  <c r="Q328" i="7" s="1"/>
  <c r="R328" i="7" s="1"/>
  <c r="T328" i="7" s="1"/>
  <c r="P235" i="7"/>
  <c r="Q235" i="7" s="1"/>
  <c r="R235" i="7" s="1"/>
  <c r="T235" i="7" s="1"/>
  <c r="P216" i="7"/>
  <c r="Q216" i="7" s="1"/>
  <c r="R216" i="7" s="1"/>
  <c r="T216" i="7" s="1"/>
  <c r="P290" i="7"/>
  <c r="Q290" i="7" s="1"/>
  <c r="R290" i="7" s="1"/>
  <c r="T290" i="7" s="1"/>
  <c r="P315" i="7"/>
  <c r="Q315" i="7" s="1"/>
  <c r="R315" i="7" s="1"/>
  <c r="T315" i="7" s="1"/>
  <c r="P271" i="7"/>
  <c r="Q271" i="7" s="1"/>
  <c r="R271" i="7" s="1"/>
  <c r="T271" i="7" s="1"/>
  <c r="P245" i="7"/>
  <c r="Q245" i="7" s="1"/>
  <c r="R245" i="7" s="1"/>
  <c r="T245" i="7" s="1"/>
  <c r="O65" i="12"/>
  <c r="O145" i="12"/>
  <c r="V60" i="5"/>
  <c r="X60" i="5" s="1"/>
  <c r="Y60" i="5" s="1"/>
  <c r="V26" i="5"/>
  <c r="X26" i="5" s="1"/>
  <c r="Y26" i="5" s="1"/>
  <c r="V40" i="5"/>
  <c r="X40" i="5" s="1"/>
  <c r="Y40" i="5" s="1"/>
  <c r="V61" i="5"/>
  <c r="X61" i="5" s="1"/>
  <c r="Y61" i="5" s="1"/>
  <c r="V92" i="5"/>
  <c r="X92" i="5" s="1"/>
  <c r="Y92" i="5" s="1"/>
  <c r="V75" i="5"/>
  <c r="X75" i="5" s="1"/>
  <c r="Y75" i="5" s="1"/>
  <c r="V3" i="5"/>
  <c r="X3" i="5" s="1"/>
  <c r="Y3" i="5" s="1"/>
  <c r="V338" i="5"/>
  <c r="X338" i="5" s="1"/>
  <c r="Y338" i="5" s="1"/>
  <c r="V139" i="5"/>
  <c r="X139" i="5" s="1"/>
  <c r="Y139" i="5" s="1"/>
  <c r="V361" i="5"/>
  <c r="X361" i="5" s="1"/>
  <c r="Y361" i="5" s="1"/>
  <c r="V115" i="5"/>
  <c r="X115" i="5" s="1"/>
  <c r="Y115" i="5" s="1"/>
  <c r="V187" i="5"/>
  <c r="X187" i="5" s="1"/>
  <c r="Y187" i="5" s="1"/>
  <c r="V152" i="5"/>
  <c r="X152" i="5" s="1"/>
  <c r="Y152" i="5" s="1"/>
  <c r="V329" i="5"/>
  <c r="X329" i="5" s="1"/>
  <c r="Y329" i="5" s="1"/>
  <c r="V258" i="5"/>
  <c r="X258" i="5" s="1"/>
  <c r="Y258" i="5" s="1"/>
  <c r="V222" i="5"/>
  <c r="X222" i="5" s="1"/>
  <c r="Y222" i="5" s="1"/>
  <c r="V254" i="5"/>
  <c r="X254" i="5" s="1"/>
  <c r="Y254" i="5" s="1"/>
  <c r="V322" i="5"/>
  <c r="X322" i="5" s="1"/>
  <c r="Y322" i="5" s="1"/>
  <c r="V347" i="5"/>
  <c r="X347" i="5" s="1"/>
  <c r="Y347" i="5" s="1"/>
  <c r="V274" i="5"/>
  <c r="X274" i="5" s="1"/>
  <c r="Y274" i="5" s="1"/>
  <c r="V223" i="5"/>
  <c r="X223" i="5" s="1"/>
  <c r="Y223" i="5" s="1"/>
  <c r="V264" i="5"/>
  <c r="X264" i="5" s="1"/>
  <c r="Y264" i="5" s="1"/>
  <c r="C78" i="10" a="1"/>
  <c r="C78" i="10" s="1"/>
  <c r="D78" i="10" s="1" a="1"/>
  <c r="D78" i="10" s="1"/>
  <c r="M55" i="10" a="1"/>
  <c r="M55" i="10" s="1"/>
  <c r="M17" i="10" a="1"/>
  <c r="M17" i="10" s="1"/>
  <c r="R365" i="12"/>
  <c r="P122" i="7"/>
  <c r="Q122" i="7" s="1"/>
  <c r="R122" i="7" s="1"/>
  <c r="T122" i="7" s="1"/>
  <c r="P17" i="7"/>
  <c r="Q17" i="7" s="1"/>
  <c r="R17" i="7" s="1"/>
  <c r="T17" i="7" s="1"/>
  <c r="P104" i="7"/>
  <c r="Q104" i="7" s="1"/>
  <c r="R104" i="7" s="1"/>
  <c r="T104" i="7" s="1"/>
  <c r="P128" i="7"/>
  <c r="Q128" i="7" s="1"/>
  <c r="R128" i="7" s="1"/>
  <c r="T128" i="7" s="1"/>
  <c r="P186" i="7"/>
  <c r="Q186" i="7" s="1"/>
  <c r="R186" i="7" s="1"/>
  <c r="T186" i="7" s="1"/>
  <c r="P139" i="7"/>
  <c r="Q139" i="7" s="1"/>
  <c r="R139" i="7" s="1"/>
  <c r="T139" i="7" s="1"/>
  <c r="P6" i="7"/>
  <c r="Q6" i="7" s="1"/>
  <c r="R6" i="7" s="1"/>
  <c r="T6" i="7" s="1"/>
  <c r="P44" i="7"/>
  <c r="Q44" i="7" s="1"/>
  <c r="R44" i="7" s="1"/>
  <c r="T44" i="7" s="1"/>
  <c r="P2" i="7"/>
  <c r="Q2" i="7" s="1"/>
  <c r="R2" i="7" s="1"/>
  <c r="T2" i="7" s="1"/>
  <c r="P225" i="7"/>
  <c r="Q225" i="7" s="1"/>
  <c r="R225" i="7" s="1"/>
  <c r="T225" i="7" s="1"/>
  <c r="P145" i="7"/>
  <c r="Q145" i="7" s="1"/>
  <c r="R145" i="7" s="1"/>
  <c r="T145" i="7" s="1"/>
  <c r="P306" i="7"/>
  <c r="Q306" i="7" s="1"/>
  <c r="R306" i="7" s="1"/>
  <c r="T306" i="7" s="1"/>
  <c r="P178" i="7"/>
  <c r="Q178" i="7" s="1"/>
  <c r="R178" i="7" s="1"/>
  <c r="T178" i="7" s="1"/>
  <c r="P147" i="7"/>
  <c r="Q147" i="7" s="1"/>
  <c r="R147" i="7" s="1"/>
  <c r="T147" i="7" s="1"/>
  <c r="P169" i="7"/>
  <c r="Q169" i="7" s="1"/>
  <c r="R169" i="7" s="1"/>
  <c r="T169" i="7" s="1"/>
  <c r="P337" i="7"/>
  <c r="Q337" i="7" s="1"/>
  <c r="R337" i="7" s="1"/>
  <c r="T337" i="7" s="1"/>
  <c r="P281" i="7"/>
  <c r="Q281" i="7" s="1"/>
  <c r="R281" i="7" s="1"/>
  <c r="T281" i="7" s="1"/>
  <c r="P259" i="7"/>
  <c r="Q259" i="7" s="1"/>
  <c r="R259" i="7" s="1"/>
  <c r="T259" i="7" s="1"/>
  <c r="P222" i="7"/>
  <c r="Q222" i="7" s="1"/>
  <c r="R222" i="7" s="1"/>
  <c r="T222" i="7" s="1"/>
  <c r="P365" i="7"/>
  <c r="Q365" i="7" s="1"/>
  <c r="R365" i="7" s="1"/>
  <c r="T365" i="7" s="1"/>
  <c r="P331" i="7"/>
  <c r="Q331" i="7" s="1"/>
  <c r="R331" i="7" s="1"/>
  <c r="T331" i="7" s="1"/>
  <c r="P287" i="7"/>
  <c r="Q287" i="7" s="1"/>
  <c r="R287" i="7" s="1"/>
  <c r="T287" i="7" s="1"/>
  <c r="P261" i="7"/>
  <c r="Q261" i="7" s="1"/>
  <c r="R261" i="7" s="1"/>
  <c r="T261" i="7" s="1"/>
  <c r="O281" i="12"/>
  <c r="O177" i="12"/>
  <c r="O113" i="12"/>
  <c r="O104" i="12"/>
  <c r="V37" i="5"/>
  <c r="X37" i="5" s="1"/>
  <c r="Y37" i="5" s="1"/>
  <c r="V35" i="5"/>
  <c r="X35" i="5" s="1"/>
  <c r="Y35" i="5" s="1"/>
  <c r="V58" i="5"/>
  <c r="X58" i="5" s="1"/>
  <c r="Y58" i="5" s="1"/>
  <c r="V86" i="5"/>
  <c r="X86" i="5" s="1"/>
  <c r="Y86" i="5" s="1"/>
  <c r="V108" i="5"/>
  <c r="X108" i="5" s="1"/>
  <c r="Y108" i="5" s="1"/>
  <c r="V79" i="5"/>
  <c r="X79" i="5" s="1"/>
  <c r="Y79" i="5" s="1"/>
  <c r="V5" i="5"/>
  <c r="X5" i="5" s="1"/>
  <c r="Y5" i="5" s="1"/>
  <c r="V141" i="5"/>
  <c r="X141" i="5" s="1"/>
  <c r="Y141" i="5" s="1"/>
  <c r="V151" i="5"/>
  <c r="X151" i="5" s="1"/>
  <c r="Y151" i="5" s="1"/>
  <c r="V85" i="5"/>
  <c r="X85" i="5" s="1"/>
  <c r="Y85" i="5" s="1"/>
  <c r="V117" i="5"/>
  <c r="X117" i="5" s="1"/>
  <c r="Y117" i="5" s="1"/>
  <c r="V190" i="5"/>
  <c r="X190" i="5" s="1"/>
  <c r="Y190" i="5" s="1"/>
  <c r="V170" i="5"/>
  <c r="X170" i="5" s="1"/>
  <c r="Y170" i="5" s="1"/>
  <c r="V344" i="5"/>
  <c r="X344" i="5" s="1"/>
  <c r="Y344" i="5" s="1"/>
  <c r="V281" i="5"/>
  <c r="X281" i="5" s="1"/>
  <c r="Y281" i="5" s="1"/>
  <c r="V224" i="5"/>
  <c r="X224" i="5" s="1"/>
  <c r="Y224" i="5" s="1"/>
  <c r="V270" i="5"/>
  <c r="X270" i="5" s="1"/>
  <c r="Y270" i="5" s="1"/>
  <c r="V331" i="5"/>
  <c r="X331" i="5" s="1"/>
  <c r="Y331" i="5" s="1"/>
  <c r="V259" i="5"/>
  <c r="X259" i="5" s="1"/>
  <c r="Y259" i="5" s="1"/>
  <c r="V319" i="5"/>
  <c r="X319" i="5" s="1"/>
  <c r="Y319" i="5" s="1"/>
  <c r="V225" i="5"/>
  <c r="X225" i="5" s="1"/>
  <c r="Y225" i="5" s="1"/>
  <c r="V277" i="5"/>
  <c r="X277" i="5" s="1"/>
  <c r="Y277" i="5" s="1"/>
  <c r="O357" i="12"/>
  <c r="C15" i="10" a="1"/>
  <c r="C15" i="10" s="1"/>
  <c r="D15" i="10" s="1" a="1"/>
  <c r="D15" i="10" s="1"/>
  <c r="O308" i="12"/>
  <c r="O239" i="12"/>
  <c r="O260" i="12"/>
  <c r="R337" i="12"/>
  <c r="P144" i="7"/>
  <c r="Q144" i="7" s="1"/>
  <c r="R144" i="7" s="1"/>
  <c r="T144" i="7" s="1"/>
  <c r="P19" i="7"/>
  <c r="Q19" i="7" s="1"/>
  <c r="R19" i="7" s="1"/>
  <c r="T19" i="7" s="1"/>
  <c r="P9" i="7"/>
  <c r="Q9" i="7" s="1"/>
  <c r="R9" i="7" s="1"/>
  <c r="T9" i="7" s="1"/>
  <c r="P62" i="7"/>
  <c r="Q62" i="7" s="1"/>
  <c r="R62" i="7" s="1"/>
  <c r="T62" i="7" s="1"/>
  <c r="P219" i="7"/>
  <c r="Q219" i="7" s="1"/>
  <c r="R219" i="7" s="1"/>
  <c r="T219" i="7" s="1"/>
  <c r="P37" i="7"/>
  <c r="Q37" i="7" s="1"/>
  <c r="R37" i="7" s="1"/>
  <c r="T37" i="7" s="1"/>
  <c r="P22" i="7"/>
  <c r="Q22" i="7" s="1"/>
  <c r="R22" i="7" s="1"/>
  <c r="T22" i="7" s="1"/>
  <c r="P60" i="7"/>
  <c r="Q60" i="7" s="1"/>
  <c r="R60" i="7" s="1"/>
  <c r="T60" i="7" s="1"/>
  <c r="P18" i="7"/>
  <c r="Q18" i="7" s="1"/>
  <c r="R18" i="7" s="1"/>
  <c r="T18" i="7" s="1"/>
  <c r="P248" i="7"/>
  <c r="Q248" i="7" s="1"/>
  <c r="R248" i="7" s="1"/>
  <c r="T248" i="7" s="1"/>
  <c r="P161" i="7"/>
  <c r="Q161" i="7" s="1"/>
  <c r="R161" i="7" s="1"/>
  <c r="T161" i="7" s="1"/>
  <c r="P317" i="7"/>
  <c r="Q317" i="7" s="1"/>
  <c r="R317" i="7" s="1"/>
  <c r="T317" i="7" s="1"/>
  <c r="P190" i="7"/>
  <c r="Q190" i="7" s="1"/>
  <c r="R190" i="7" s="1"/>
  <c r="T190" i="7" s="1"/>
  <c r="P163" i="7"/>
  <c r="Q163" i="7" s="1"/>
  <c r="R163" i="7" s="1"/>
  <c r="T163" i="7" s="1"/>
  <c r="P185" i="7"/>
  <c r="Q185" i="7" s="1"/>
  <c r="R185" i="7" s="1"/>
  <c r="T185" i="7" s="1"/>
  <c r="P321" i="7"/>
  <c r="Q321" i="7" s="1"/>
  <c r="R321" i="7" s="1"/>
  <c r="T321" i="7" s="1"/>
  <c r="P310" i="7"/>
  <c r="Q310" i="7" s="1"/>
  <c r="R310" i="7" s="1"/>
  <c r="T310" i="7" s="1"/>
  <c r="P289" i="7"/>
  <c r="Q289" i="7" s="1"/>
  <c r="R289" i="7" s="1"/>
  <c r="T289" i="7" s="1"/>
  <c r="P232" i="7"/>
  <c r="Q232" i="7" s="1"/>
  <c r="R232" i="7" s="1"/>
  <c r="T232" i="7" s="1"/>
  <c r="P366" i="7"/>
  <c r="Q366" i="7" s="1"/>
  <c r="R366" i="7" s="1"/>
  <c r="T366" i="7" s="1"/>
  <c r="P347" i="7"/>
  <c r="Q347" i="7" s="1"/>
  <c r="R347" i="7" s="1"/>
  <c r="T347" i="7" s="1"/>
  <c r="P303" i="7"/>
  <c r="Q303" i="7" s="1"/>
  <c r="R303" i="7" s="1"/>
  <c r="T303" i="7" s="1"/>
  <c r="P277" i="7"/>
  <c r="Q277" i="7" s="1"/>
  <c r="R277" i="7" s="1"/>
  <c r="T277" i="7" s="1"/>
  <c r="O328" i="12"/>
  <c r="O9" i="12"/>
  <c r="O129" i="12"/>
  <c r="O192" i="12"/>
  <c r="O126" i="12"/>
  <c r="O166" i="12"/>
  <c r="O142" i="12"/>
  <c r="V126" i="5"/>
  <c r="X126" i="5" s="1"/>
  <c r="Y126" i="5" s="1"/>
  <c r="V42" i="5"/>
  <c r="X42" i="5" s="1"/>
  <c r="Y42" i="5" s="1"/>
  <c r="V55" i="5"/>
  <c r="X55" i="5" s="1"/>
  <c r="Y55" i="5" s="1"/>
  <c r="V149" i="5"/>
  <c r="X149" i="5" s="1"/>
  <c r="Y149" i="5" s="1"/>
  <c r="V124" i="5"/>
  <c r="X124" i="5" s="1"/>
  <c r="Y124" i="5" s="1"/>
  <c r="V83" i="5"/>
  <c r="X83" i="5" s="1"/>
  <c r="Y83" i="5" s="1"/>
  <c r="V7" i="5"/>
  <c r="X7" i="5" s="1"/>
  <c r="Y7" i="5" s="1"/>
  <c r="V156" i="5"/>
  <c r="X156" i="5" s="1"/>
  <c r="Y156" i="5" s="1"/>
  <c r="V169" i="5"/>
  <c r="X169" i="5" s="1"/>
  <c r="Y169" i="5" s="1"/>
  <c r="V87" i="5"/>
  <c r="X87" i="5" s="1"/>
  <c r="Y87" i="5" s="1"/>
  <c r="V119" i="5"/>
  <c r="X119" i="5" s="1"/>
  <c r="Y119" i="5" s="1"/>
  <c r="V206" i="5"/>
  <c r="X206" i="5" s="1"/>
  <c r="Y206" i="5" s="1"/>
  <c r="V177" i="5"/>
  <c r="X177" i="5" s="1"/>
  <c r="Y177" i="5" s="1"/>
  <c r="V355" i="5"/>
  <c r="X355" i="5" s="1"/>
  <c r="Y355" i="5" s="1"/>
  <c r="V284" i="5"/>
  <c r="X284" i="5" s="1"/>
  <c r="Y284" i="5" s="1"/>
  <c r="V226" i="5"/>
  <c r="X226" i="5" s="1"/>
  <c r="Y226" i="5" s="1"/>
  <c r="V300" i="5"/>
  <c r="X300" i="5" s="1"/>
  <c r="Y300" i="5" s="1"/>
  <c r="V341" i="5"/>
  <c r="X341" i="5" s="1"/>
  <c r="Y341" i="5" s="1"/>
  <c r="V332" i="5"/>
  <c r="X332" i="5" s="1"/>
  <c r="Y332" i="5" s="1"/>
  <c r="V328" i="5"/>
  <c r="X328" i="5" s="1"/>
  <c r="Y328" i="5" s="1"/>
  <c r="V227" i="5"/>
  <c r="X227" i="5" s="1"/>
  <c r="Y227" i="5" s="1"/>
  <c r="V280" i="5"/>
  <c r="X280" i="5" s="1"/>
  <c r="Y280" i="5" s="1"/>
  <c r="O365" i="12"/>
  <c r="M27" i="10" a="1"/>
  <c r="M27" i="10" s="1"/>
  <c r="O319" i="12"/>
  <c r="O303" i="12"/>
  <c r="R324" i="12"/>
  <c r="P45" i="7"/>
  <c r="Q45" i="7" s="1"/>
  <c r="R45" i="7" s="1"/>
  <c r="T45" i="7" s="1"/>
  <c r="P3" i="7"/>
  <c r="Q3" i="7" s="1"/>
  <c r="R3" i="7" s="1"/>
  <c r="T3" i="7" s="1"/>
  <c r="P29" i="7"/>
  <c r="Q29" i="7" s="1"/>
  <c r="R29" i="7" s="1"/>
  <c r="T29" i="7" s="1"/>
  <c r="P78" i="7"/>
  <c r="Q78" i="7" s="1"/>
  <c r="R78" i="7" s="1"/>
  <c r="T78" i="7" s="1"/>
  <c r="P15" i="7"/>
  <c r="Q15" i="7" s="1"/>
  <c r="R15" i="7" s="1"/>
  <c r="T15" i="7" s="1"/>
  <c r="P53" i="7"/>
  <c r="Q53" i="7" s="1"/>
  <c r="R53" i="7" s="1"/>
  <c r="T53" i="7" s="1"/>
  <c r="P38" i="7"/>
  <c r="Q38" i="7" s="1"/>
  <c r="R38" i="7" s="1"/>
  <c r="T38" i="7" s="1"/>
  <c r="P76" i="7"/>
  <c r="Q76" i="7" s="1"/>
  <c r="R76" i="7" s="1"/>
  <c r="T76" i="7" s="1"/>
  <c r="P34" i="7"/>
  <c r="Q34" i="7" s="1"/>
  <c r="R34" i="7" s="1"/>
  <c r="T34" i="7" s="1"/>
  <c r="P252" i="7"/>
  <c r="Q252" i="7" s="1"/>
  <c r="R252" i="7" s="1"/>
  <c r="T252" i="7" s="1"/>
  <c r="P177" i="7"/>
  <c r="Q177" i="7" s="1"/>
  <c r="R177" i="7" s="1"/>
  <c r="T177" i="7" s="1"/>
  <c r="P135" i="7"/>
  <c r="Q135" i="7" s="1"/>
  <c r="R135" i="7" s="1"/>
  <c r="T135" i="7" s="1"/>
  <c r="P305" i="7"/>
  <c r="Q305" i="7" s="1"/>
  <c r="R305" i="7" s="1"/>
  <c r="T305" i="7" s="1"/>
  <c r="P179" i="7"/>
  <c r="Q179" i="7" s="1"/>
  <c r="R179" i="7" s="1"/>
  <c r="T179" i="7" s="1"/>
  <c r="P203" i="7"/>
  <c r="Q203" i="7" s="1"/>
  <c r="R203" i="7" s="1"/>
  <c r="T203" i="7" s="1"/>
  <c r="P327" i="7"/>
  <c r="Q327" i="7" s="1"/>
  <c r="R327" i="7" s="1"/>
  <c r="T327" i="7" s="1"/>
  <c r="P316" i="7"/>
  <c r="Q316" i="7" s="1"/>
  <c r="R316" i="7" s="1"/>
  <c r="T316" i="7" s="1"/>
  <c r="P295" i="7"/>
  <c r="Q295" i="7" s="1"/>
  <c r="R295" i="7" s="1"/>
  <c r="T295" i="7" s="1"/>
  <c r="P233" i="7"/>
  <c r="Q233" i="7" s="1"/>
  <c r="R233" i="7" s="1"/>
  <c r="T233" i="7" s="1"/>
  <c r="P224" i="7"/>
  <c r="Q224" i="7" s="1"/>
  <c r="R224" i="7" s="1"/>
  <c r="T224" i="7" s="1"/>
  <c r="P363" i="7"/>
  <c r="Q363" i="7" s="1"/>
  <c r="R363" i="7" s="1"/>
  <c r="T363" i="7" s="1"/>
  <c r="P319" i="7"/>
  <c r="Q319" i="7" s="1"/>
  <c r="R319" i="7" s="1"/>
  <c r="T319" i="7" s="1"/>
  <c r="P293" i="7"/>
  <c r="Q293" i="7" s="1"/>
  <c r="R293" i="7" s="1"/>
  <c r="T293" i="7" s="1"/>
  <c r="O209" i="12"/>
  <c r="O176" i="12"/>
  <c r="O57" i="12"/>
  <c r="O152" i="12"/>
  <c r="G29" i="4"/>
  <c r="V10" i="5"/>
  <c r="X10" i="5" s="1"/>
  <c r="Y10" i="5" s="1"/>
  <c r="V49" i="5"/>
  <c r="X49" i="5" s="1"/>
  <c r="Y49" i="5" s="1"/>
  <c r="V64" i="5"/>
  <c r="X64" i="5" s="1"/>
  <c r="Y64" i="5" s="1"/>
  <c r="V74" i="5"/>
  <c r="X74" i="5" s="1"/>
  <c r="Y74" i="5" s="1"/>
  <c r="V143" i="5"/>
  <c r="X143" i="5" s="1"/>
  <c r="Y143" i="5" s="1"/>
  <c r="V98" i="5"/>
  <c r="X98" i="5" s="1"/>
  <c r="Y98" i="5" s="1"/>
  <c r="V9" i="5"/>
  <c r="X9" i="5" s="1"/>
  <c r="Y9" i="5" s="1"/>
  <c r="V168" i="5"/>
  <c r="X168" i="5" s="1"/>
  <c r="Y168" i="5" s="1"/>
  <c r="V193" i="5"/>
  <c r="X193" i="5" s="1"/>
  <c r="Y193" i="5" s="1"/>
  <c r="V89" i="5"/>
  <c r="X89" i="5" s="1"/>
  <c r="Y89" i="5" s="1"/>
  <c r="V121" i="5"/>
  <c r="X121" i="5" s="1"/>
  <c r="Y121" i="5" s="1"/>
  <c r="V216" i="5"/>
  <c r="X216" i="5" s="1"/>
  <c r="Y216" i="5" s="1"/>
  <c r="V180" i="5"/>
  <c r="X180" i="5" s="1"/>
  <c r="Y180" i="5" s="1"/>
  <c r="V260" i="5"/>
  <c r="X260" i="5" s="1"/>
  <c r="Y260" i="5" s="1"/>
  <c r="V290" i="5"/>
  <c r="X290" i="5" s="1"/>
  <c r="Y290" i="5" s="1"/>
  <c r="V228" i="5"/>
  <c r="X228" i="5" s="1"/>
  <c r="Y228" i="5" s="1"/>
  <c r="V303" i="5"/>
  <c r="X303" i="5" s="1"/>
  <c r="Y303" i="5" s="1"/>
  <c r="V261" i="5"/>
  <c r="X261" i="5" s="1"/>
  <c r="Y261" i="5" s="1"/>
  <c r="V342" i="5"/>
  <c r="X342" i="5" s="1"/>
  <c r="Y342" i="5" s="1"/>
  <c r="V348" i="5"/>
  <c r="X348" i="5" s="1"/>
  <c r="Y348" i="5" s="1"/>
  <c r="V229" i="5"/>
  <c r="X229" i="5" s="1"/>
  <c r="Y229" i="5" s="1"/>
  <c r="V292" i="5"/>
  <c r="X292" i="5" s="1"/>
  <c r="Y292" i="5" s="1"/>
  <c r="C66" i="10" a="1"/>
  <c r="C66" i="10" s="1"/>
  <c r="D66" i="10" s="1" a="1"/>
  <c r="D66" i="10" s="1"/>
  <c r="O361" i="12"/>
  <c r="M12" i="10" a="1"/>
  <c r="M12" i="10" s="1"/>
  <c r="M64" i="10" a="1"/>
  <c r="M64" i="10" s="1"/>
  <c r="R341" i="12"/>
  <c r="R225" i="12"/>
  <c r="R352" i="12"/>
  <c r="R347" i="12"/>
  <c r="R319" i="12"/>
  <c r="P46" i="7"/>
  <c r="Q46" i="7" s="1"/>
  <c r="R46" i="7" s="1"/>
  <c r="T46" i="7" s="1"/>
  <c r="P13" i="7"/>
  <c r="Q13" i="7" s="1"/>
  <c r="R13" i="7" s="1"/>
  <c r="T13" i="7" s="1"/>
  <c r="P40" i="7"/>
  <c r="Q40" i="7" s="1"/>
  <c r="R40" i="7" s="1"/>
  <c r="T40" i="7" s="1"/>
  <c r="P94" i="7"/>
  <c r="Q94" i="7" s="1"/>
  <c r="R94" i="7" s="1"/>
  <c r="T94" i="7" s="1"/>
  <c r="P31" i="7"/>
  <c r="Q31" i="7" s="1"/>
  <c r="R31" i="7" s="1"/>
  <c r="T31" i="7" s="1"/>
  <c r="P69" i="7"/>
  <c r="Q69" i="7" s="1"/>
  <c r="R69" i="7" s="1"/>
  <c r="T69" i="7" s="1"/>
  <c r="P54" i="7"/>
  <c r="Q54" i="7" s="1"/>
  <c r="R54" i="7" s="1"/>
  <c r="T54" i="7" s="1"/>
  <c r="P92" i="7"/>
  <c r="Q92" i="7" s="1"/>
  <c r="R92" i="7" s="1"/>
  <c r="T92" i="7" s="1"/>
  <c r="P50" i="7"/>
  <c r="Q50" i="7" s="1"/>
  <c r="R50" i="7" s="1"/>
  <c r="T50" i="7" s="1"/>
  <c r="P262" i="7"/>
  <c r="Q262" i="7" s="1"/>
  <c r="R262" i="7" s="1"/>
  <c r="T262" i="7" s="1"/>
  <c r="P209" i="7"/>
  <c r="Q209" i="7" s="1"/>
  <c r="R209" i="7" s="1"/>
  <c r="T209" i="7" s="1"/>
  <c r="P151" i="7"/>
  <c r="Q151" i="7" s="1"/>
  <c r="R151" i="7" s="1"/>
  <c r="T151" i="7" s="1"/>
  <c r="P125" i="7"/>
  <c r="Q125" i="7" s="1"/>
  <c r="R125" i="7" s="1"/>
  <c r="T125" i="7" s="1"/>
  <c r="P191" i="7"/>
  <c r="Q191" i="7" s="1"/>
  <c r="R191" i="7" s="1"/>
  <c r="T191" i="7" s="1"/>
  <c r="P206" i="7"/>
  <c r="Q206" i="7" s="1"/>
  <c r="R206" i="7" s="1"/>
  <c r="T206" i="7" s="1"/>
  <c r="P333" i="7"/>
  <c r="Q333" i="7" s="1"/>
  <c r="R333" i="7" s="1"/>
  <c r="T333" i="7" s="1"/>
  <c r="P322" i="7"/>
  <c r="Q322" i="7" s="1"/>
  <c r="R322" i="7" s="1"/>
  <c r="T322" i="7" s="1"/>
  <c r="P301" i="7"/>
  <c r="Q301" i="7" s="1"/>
  <c r="R301" i="7" s="1"/>
  <c r="T301" i="7" s="1"/>
  <c r="P241" i="7"/>
  <c r="Q241" i="7" s="1"/>
  <c r="R241" i="7" s="1"/>
  <c r="T241" i="7" s="1"/>
  <c r="P240" i="7"/>
  <c r="Q240" i="7" s="1"/>
  <c r="R240" i="7" s="1"/>
  <c r="T240" i="7" s="1"/>
  <c r="P342" i="7"/>
  <c r="Q342" i="7" s="1"/>
  <c r="R342" i="7" s="1"/>
  <c r="T342" i="7" s="1"/>
  <c r="P335" i="7"/>
  <c r="Q335" i="7" s="1"/>
  <c r="R335" i="7" s="1"/>
  <c r="T335" i="7" s="1"/>
  <c r="P309" i="7"/>
  <c r="Q309" i="7" s="1"/>
  <c r="R309" i="7" s="1"/>
  <c r="T309" i="7" s="1"/>
  <c r="O302" i="12"/>
  <c r="O322" i="12"/>
  <c r="O312" i="12"/>
  <c r="O91" i="12"/>
  <c r="O131" i="12"/>
  <c r="O128" i="12"/>
  <c r="R230" i="12"/>
  <c r="O200" i="12"/>
  <c r="V80" i="5"/>
  <c r="X80" i="5" s="1"/>
  <c r="Y80" i="5" s="1"/>
  <c r="V188" i="5"/>
  <c r="X188" i="5" s="1"/>
  <c r="Y188" i="5" s="1"/>
  <c r="V52" i="5"/>
  <c r="X52" i="5" s="1"/>
  <c r="Y52" i="5" s="1"/>
  <c r="V67" i="5"/>
  <c r="X67" i="5" s="1"/>
  <c r="Y67" i="5" s="1"/>
  <c r="V78" i="5"/>
  <c r="X78" i="5" s="1"/>
  <c r="Y78" i="5" s="1"/>
  <c r="V174" i="5"/>
  <c r="X174" i="5" s="1"/>
  <c r="Y174" i="5" s="1"/>
  <c r="V114" i="5"/>
  <c r="X114" i="5" s="1"/>
  <c r="Y114" i="5" s="1"/>
  <c r="V11" i="5"/>
  <c r="X11" i="5" s="1"/>
  <c r="Y11" i="5" s="1"/>
  <c r="V175" i="5"/>
  <c r="X175" i="5" s="1"/>
  <c r="Y175" i="5" s="1"/>
  <c r="V196" i="5"/>
  <c r="X196" i="5" s="1"/>
  <c r="Y196" i="5" s="1"/>
  <c r="V91" i="5"/>
  <c r="X91" i="5" s="1"/>
  <c r="Y91" i="5" s="1"/>
  <c r="V123" i="5"/>
  <c r="X123" i="5" s="1"/>
  <c r="Y123" i="5" s="1"/>
  <c r="V142" i="5"/>
  <c r="X142" i="5" s="1"/>
  <c r="Y142" i="5" s="1"/>
  <c r="V158" i="5"/>
  <c r="X158" i="5" s="1"/>
  <c r="Y158" i="5" s="1"/>
  <c r="V272" i="5"/>
  <c r="X272" i="5" s="1"/>
  <c r="Y272" i="5" s="1"/>
  <c r="V293" i="5"/>
  <c r="X293" i="5" s="1"/>
  <c r="Y293" i="5" s="1"/>
  <c r="V230" i="5"/>
  <c r="X230" i="5" s="1"/>
  <c r="Y230" i="5" s="1"/>
  <c r="V326" i="5"/>
  <c r="X326" i="5" s="1"/>
  <c r="Y326" i="5" s="1"/>
  <c r="V279" i="5"/>
  <c r="X279" i="5" s="1"/>
  <c r="Y279" i="5" s="1"/>
  <c r="V359" i="5"/>
  <c r="X359" i="5" s="1"/>
  <c r="Y359" i="5" s="1"/>
  <c r="V199" i="5"/>
  <c r="X199" i="5" s="1"/>
  <c r="Y199" i="5" s="1"/>
  <c r="V231" i="5"/>
  <c r="X231" i="5" s="1"/>
  <c r="Y231" i="5" s="1"/>
  <c r="V295" i="5"/>
  <c r="X295" i="5" s="1"/>
  <c r="Y295" i="5" s="1"/>
  <c r="C8" i="10" a="1"/>
  <c r="C8" i="10" s="1"/>
  <c r="D8" i="10" s="1" a="1"/>
  <c r="D8" i="10" s="1"/>
  <c r="O333" i="12"/>
  <c r="O270" i="12"/>
  <c r="O299" i="12"/>
  <c r="R353" i="12"/>
  <c r="R356" i="12"/>
  <c r="R348" i="12"/>
  <c r="P52" i="7"/>
  <c r="Q52" i="7" s="1"/>
  <c r="R52" i="7" s="1"/>
  <c r="T52" i="7" s="1"/>
  <c r="P16" i="7"/>
  <c r="Q16" i="7" s="1"/>
  <c r="R16" i="7" s="1"/>
  <c r="T16" i="7" s="1"/>
  <c r="P41" i="7"/>
  <c r="Q41" i="7" s="1"/>
  <c r="R41" i="7" s="1"/>
  <c r="T41" i="7" s="1"/>
  <c r="P105" i="7"/>
  <c r="Q105" i="7" s="1"/>
  <c r="R105" i="7" s="1"/>
  <c r="T105" i="7" s="1"/>
  <c r="P47" i="7"/>
  <c r="Q47" i="7" s="1"/>
  <c r="R47" i="7" s="1"/>
  <c r="T47" i="7" s="1"/>
  <c r="P85" i="7"/>
  <c r="Q85" i="7" s="1"/>
  <c r="R85" i="7" s="1"/>
  <c r="T85" i="7" s="1"/>
  <c r="P70" i="7"/>
  <c r="Q70" i="7" s="1"/>
  <c r="R70" i="7" s="1"/>
  <c r="T70" i="7" s="1"/>
  <c r="P109" i="7"/>
  <c r="Q109" i="7" s="1"/>
  <c r="R109" i="7" s="1"/>
  <c r="T109" i="7" s="1"/>
  <c r="P66" i="7"/>
  <c r="Q66" i="7" s="1"/>
  <c r="R66" i="7" s="1"/>
  <c r="T66" i="7" s="1"/>
  <c r="P318" i="7"/>
  <c r="Q318" i="7" s="1"/>
  <c r="R318" i="7" s="1"/>
  <c r="T318" i="7" s="1"/>
  <c r="P210" i="7"/>
  <c r="Q210" i="7" s="1"/>
  <c r="R210" i="7" s="1"/>
  <c r="T210" i="7" s="1"/>
  <c r="P167" i="7"/>
  <c r="Q167" i="7" s="1"/>
  <c r="R167" i="7" s="1"/>
  <c r="T167" i="7" s="1"/>
  <c r="P141" i="7"/>
  <c r="Q141" i="7" s="1"/>
  <c r="R141" i="7" s="1"/>
  <c r="T141" i="7" s="1"/>
  <c r="P110" i="7"/>
  <c r="Q110" i="7" s="1"/>
  <c r="R110" i="7" s="1"/>
  <c r="T110" i="7" s="1"/>
  <c r="P270" i="7"/>
  <c r="Q270" i="7" s="1"/>
  <c r="R270" i="7" s="1"/>
  <c r="T270" i="7" s="1"/>
  <c r="P334" i="7"/>
  <c r="Q334" i="7" s="1"/>
  <c r="R334" i="7" s="1"/>
  <c r="T334" i="7" s="1"/>
  <c r="P323" i="7"/>
  <c r="Q323" i="7" s="1"/>
  <c r="R323" i="7" s="1"/>
  <c r="T323" i="7" s="1"/>
  <c r="P302" i="7"/>
  <c r="Q302" i="7" s="1"/>
  <c r="R302" i="7" s="1"/>
  <c r="T302" i="7" s="1"/>
  <c r="P247" i="7"/>
  <c r="Q247" i="7" s="1"/>
  <c r="R247" i="7" s="1"/>
  <c r="T247" i="7" s="1"/>
  <c r="P256" i="7"/>
  <c r="Q256" i="7" s="1"/>
  <c r="R256" i="7" s="1"/>
  <c r="T256" i="7" s="1"/>
  <c r="P358" i="7"/>
  <c r="Q358" i="7" s="1"/>
  <c r="R358" i="7" s="1"/>
  <c r="T358" i="7" s="1"/>
  <c r="P351" i="7"/>
  <c r="Q351" i="7" s="1"/>
  <c r="R351" i="7" s="1"/>
  <c r="T351" i="7" s="1"/>
  <c r="P325" i="7"/>
  <c r="Q325" i="7" s="1"/>
  <c r="R325" i="7" s="1"/>
  <c r="T325" i="7" s="1"/>
  <c r="O49" i="12"/>
  <c r="O76" i="12"/>
  <c r="R237" i="12"/>
  <c r="O123" i="12"/>
  <c r="V66" i="5"/>
  <c r="X66" i="5" s="1"/>
  <c r="Y66" i="5" s="1"/>
  <c r="V153" i="5"/>
  <c r="X153" i="5" s="1"/>
  <c r="Y153" i="5" s="1"/>
  <c r="V24" i="5"/>
  <c r="X24" i="5" s="1"/>
  <c r="Y24" i="5" s="1"/>
  <c r="V96" i="5"/>
  <c r="X96" i="5" s="1"/>
  <c r="Y96" i="5" s="1"/>
  <c r="V82" i="5"/>
  <c r="X82" i="5" s="1"/>
  <c r="Y82" i="5" s="1"/>
  <c r="V185" i="5"/>
  <c r="X185" i="5" s="1"/>
  <c r="Y185" i="5" s="1"/>
  <c r="V130" i="5"/>
  <c r="X130" i="5" s="1"/>
  <c r="Y130" i="5" s="1"/>
  <c r="V13" i="5"/>
  <c r="X13" i="5" s="1"/>
  <c r="Y13" i="5" s="1"/>
  <c r="V189" i="5"/>
  <c r="X189" i="5" s="1"/>
  <c r="Y189" i="5" s="1"/>
  <c r="V200" i="5"/>
  <c r="X200" i="5" s="1"/>
  <c r="Y200" i="5" s="1"/>
  <c r="V93" i="5"/>
  <c r="X93" i="5" s="1"/>
  <c r="Y93" i="5" s="1"/>
  <c r="V125" i="5"/>
  <c r="X125" i="5" s="1"/>
  <c r="Y125" i="5" s="1"/>
  <c r="V155" i="5"/>
  <c r="X155" i="5" s="1"/>
  <c r="Y155" i="5" s="1"/>
  <c r="V195" i="5"/>
  <c r="X195" i="5" s="1"/>
  <c r="Y195" i="5" s="1"/>
  <c r="V296" i="5"/>
  <c r="X296" i="5" s="1"/>
  <c r="Y296" i="5" s="1"/>
  <c r="V330" i="5"/>
  <c r="X330" i="5" s="1"/>
  <c r="Y330" i="5" s="1"/>
  <c r="V232" i="5"/>
  <c r="X232" i="5" s="1"/>
  <c r="Y232" i="5" s="1"/>
  <c r="V335" i="5"/>
  <c r="X335" i="5" s="1"/>
  <c r="Y335" i="5" s="1"/>
  <c r="V282" i="5"/>
  <c r="X282" i="5" s="1"/>
  <c r="Y282" i="5" s="1"/>
  <c r="V257" i="5"/>
  <c r="X257" i="5" s="1"/>
  <c r="Y257" i="5" s="1"/>
  <c r="V201" i="5"/>
  <c r="X201" i="5" s="1"/>
  <c r="Y201" i="5" s="1"/>
  <c r="V233" i="5"/>
  <c r="X233" i="5" s="1"/>
  <c r="Y233" i="5" s="1"/>
  <c r="V312" i="5"/>
  <c r="X312" i="5" s="1"/>
  <c r="Y312" i="5"/>
  <c r="C68" i="10" a="1"/>
  <c r="C68" i="10" s="1"/>
  <c r="D68" i="10" s="1" a="1"/>
  <c r="D68" i="10" s="1"/>
  <c r="O336" i="12"/>
  <c r="R241" i="12"/>
  <c r="R332" i="12"/>
  <c r="R335" i="12"/>
  <c r="P150" i="7"/>
  <c r="Q150" i="7" s="1"/>
  <c r="R150" i="7" s="1"/>
  <c r="T150" i="7" s="1"/>
  <c r="P20" i="7"/>
  <c r="Q20" i="7" s="1"/>
  <c r="R20" i="7" s="1"/>
  <c r="T20" i="7" s="1"/>
  <c r="P112" i="7"/>
  <c r="Q112" i="7" s="1"/>
  <c r="R112" i="7" s="1"/>
  <c r="T112" i="7" s="1"/>
  <c r="P113" i="7"/>
  <c r="Q113" i="7" s="1"/>
  <c r="R113" i="7" s="1"/>
  <c r="T113" i="7" s="1"/>
  <c r="P63" i="7"/>
  <c r="Q63" i="7" s="1"/>
  <c r="R63" i="7" s="1"/>
  <c r="T63" i="7" s="1"/>
  <c r="P101" i="7"/>
  <c r="Q101" i="7" s="1"/>
  <c r="R101" i="7" s="1"/>
  <c r="T101" i="7" s="1"/>
  <c r="P86" i="7"/>
  <c r="Q86" i="7" s="1"/>
  <c r="R86" i="7" s="1"/>
  <c r="T86" i="7" s="1"/>
  <c r="P154" i="7"/>
  <c r="Q154" i="7" s="1"/>
  <c r="R154" i="7" s="1"/>
  <c r="T154" i="7" s="1"/>
  <c r="P82" i="7"/>
  <c r="Q82" i="7" s="1"/>
  <c r="R82" i="7" s="1"/>
  <c r="T82" i="7" s="1"/>
  <c r="P171" i="7"/>
  <c r="Q171" i="7" s="1"/>
  <c r="R171" i="7" s="1"/>
  <c r="T171" i="7" s="1"/>
  <c r="P226" i="7"/>
  <c r="Q226" i="7" s="1"/>
  <c r="R226" i="7" s="1"/>
  <c r="T226" i="7" s="1"/>
  <c r="P183" i="7"/>
  <c r="Q183" i="7" s="1"/>
  <c r="R183" i="7" s="1"/>
  <c r="T183" i="7" s="1"/>
  <c r="P157" i="7"/>
  <c r="Q157" i="7" s="1"/>
  <c r="R157" i="7" s="1"/>
  <c r="T157" i="7" s="1"/>
  <c r="P126" i="7"/>
  <c r="Q126" i="7" s="1"/>
  <c r="R126" i="7" s="1"/>
  <c r="T126" i="7" s="1"/>
  <c r="P116" i="7"/>
  <c r="Q116" i="7" s="1"/>
  <c r="R116" i="7" s="1"/>
  <c r="T116" i="7" s="1"/>
  <c r="P329" i="7"/>
  <c r="Q329" i="7" s="1"/>
  <c r="R329" i="7" s="1"/>
  <c r="T329" i="7" s="1"/>
  <c r="P343" i="7"/>
  <c r="Q343" i="7" s="1"/>
  <c r="R343" i="7" s="1"/>
  <c r="T343" i="7" s="1"/>
  <c r="P339" i="7"/>
  <c r="Q339" i="7" s="1"/>
  <c r="R339" i="7" s="1"/>
  <c r="T339" i="7" s="1"/>
  <c r="P253" i="7"/>
  <c r="Q253" i="7" s="1"/>
  <c r="R253" i="7" s="1"/>
  <c r="T253" i="7" s="1"/>
  <c r="P272" i="7"/>
  <c r="Q272" i="7" s="1"/>
  <c r="R272" i="7" s="1"/>
  <c r="T272" i="7" s="1"/>
  <c r="P244" i="7"/>
  <c r="Q244" i="7" s="1"/>
  <c r="R244" i="7" s="1"/>
  <c r="T244" i="7" s="1"/>
  <c r="P234" i="7"/>
  <c r="Q234" i="7" s="1"/>
  <c r="R234" i="7" s="1"/>
  <c r="T234" i="7" s="1"/>
  <c r="P341" i="7"/>
  <c r="Q341" i="7" s="1"/>
  <c r="R341" i="7" s="1"/>
  <c r="T341" i="7" s="1"/>
  <c r="O204" i="12"/>
  <c r="M51" i="10" a="1"/>
  <c r="M51" i="10" s="1"/>
  <c r="V8" i="5"/>
  <c r="X8" i="5" s="1"/>
  <c r="Y8" i="5" s="1"/>
  <c r="V6" i="5"/>
  <c r="X6" i="5" s="1"/>
  <c r="Y6" i="5" s="1"/>
  <c r="V70" i="5"/>
  <c r="X70" i="5" s="1"/>
  <c r="Y70" i="5" s="1"/>
  <c r="V112" i="5"/>
  <c r="X112" i="5" s="1"/>
  <c r="Y112" i="5" s="1"/>
  <c r="V102" i="5"/>
  <c r="X102" i="5" s="1"/>
  <c r="Y102" i="5" s="1"/>
  <c r="V27" i="5"/>
  <c r="X27" i="5" s="1"/>
  <c r="Y27" i="5" s="1"/>
  <c r="V144" i="5"/>
  <c r="X144" i="5" s="1"/>
  <c r="Y144" i="5" s="1"/>
  <c r="V15" i="5"/>
  <c r="X15" i="5" s="1"/>
  <c r="Y15" i="5" s="1"/>
  <c r="V192" i="5"/>
  <c r="X192" i="5" s="1"/>
  <c r="Y192" i="5" s="1"/>
  <c r="V157" i="5"/>
  <c r="X157" i="5" s="1"/>
  <c r="Y157" i="5" s="1"/>
  <c r="V95" i="5"/>
  <c r="X95" i="5" s="1"/>
  <c r="Y95" i="5" s="1"/>
  <c r="V127" i="5"/>
  <c r="X127" i="5" s="1"/>
  <c r="Y127" i="5" s="1"/>
  <c r="V167" i="5"/>
  <c r="X167" i="5" s="1"/>
  <c r="Y167" i="5" s="1"/>
  <c r="V198" i="5"/>
  <c r="X198" i="5" s="1"/>
  <c r="Y198" i="5" s="1"/>
  <c r="V299" i="5"/>
  <c r="X299" i="5" s="1"/>
  <c r="Y299" i="5" s="1"/>
  <c r="V345" i="5"/>
  <c r="X345" i="5" s="1"/>
  <c r="Y345" i="5" s="1"/>
  <c r="V234" i="5"/>
  <c r="X234" i="5" s="1"/>
  <c r="Y234" i="5" s="1"/>
  <c r="V351" i="5"/>
  <c r="X351" i="5" s="1"/>
  <c r="Y351" i="5" s="1"/>
  <c r="V318" i="5"/>
  <c r="X318" i="5" s="1"/>
  <c r="Y318" i="5" s="1"/>
  <c r="V266" i="5"/>
  <c r="X266" i="5" s="1"/>
  <c r="Y266" i="5" s="1"/>
  <c r="V203" i="5"/>
  <c r="X203" i="5" s="1"/>
  <c r="Y203" i="5" s="1"/>
  <c r="V235" i="5"/>
  <c r="X235" i="5" s="1"/>
  <c r="Y235" i="5" s="1"/>
  <c r="V343" i="5"/>
  <c r="X343" i="5" s="1"/>
  <c r="Y343" i="5" s="1"/>
  <c r="D36" i="4"/>
  <c r="G30" i="4"/>
  <c r="R364" i="12"/>
  <c r="P24" i="7"/>
  <c r="Q24" i="7" s="1"/>
  <c r="R24" i="7" s="1"/>
  <c r="T24" i="7" s="1"/>
  <c r="P21" i="7"/>
  <c r="Q21" i="7" s="1"/>
  <c r="R21" i="7" s="1"/>
  <c r="T21" i="7" s="1"/>
  <c r="P170" i="7"/>
  <c r="Q170" i="7" s="1"/>
  <c r="R170" i="7" s="1"/>
  <c r="T170" i="7" s="1"/>
  <c r="P118" i="7"/>
  <c r="Q118" i="7" s="1"/>
  <c r="R118" i="7" s="1"/>
  <c r="T118" i="7" s="1"/>
  <c r="P79" i="7"/>
  <c r="Q79" i="7" s="1"/>
  <c r="R79" i="7" s="1"/>
  <c r="T79" i="7" s="1"/>
  <c r="P107" i="7"/>
  <c r="Q107" i="7" s="1"/>
  <c r="R107" i="7" s="1"/>
  <c r="T107" i="7" s="1"/>
  <c r="P102" i="7"/>
  <c r="Q102" i="7" s="1"/>
  <c r="R102" i="7" s="1"/>
  <c r="T102" i="7" s="1"/>
  <c r="P159" i="7"/>
  <c r="Q159" i="7" s="1"/>
  <c r="R159" i="7" s="1"/>
  <c r="T159" i="7" s="1"/>
  <c r="P98" i="7"/>
  <c r="Q98" i="7" s="1"/>
  <c r="R98" i="7" s="1"/>
  <c r="T98" i="7" s="1"/>
  <c r="P187" i="7"/>
  <c r="Q187" i="7" s="1"/>
  <c r="R187" i="7" s="1"/>
  <c r="T187" i="7" s="1"/>
  <c r="P312" i="7"/>
  <c r="Q312" i="7" s="1"/>
  <c r="R312" i="7" s="1"/>
  <c r="T312" i="7" s="1"/>
  <c r="P198" i="7"/>
  <c r="Q198" i="7" s="1"/>
  <c r="R198" i="7" s="1"/>
  <c r="T198" i="7" s="1"/>
  <c r="P173" i="7"/>
  <c r="Q173" i="7" s="1"/>
  <c r="R173" i="7" s="1"/>
  <c r="T173" i="7" s="1"/>
  <c r="P142" i="7"/>
  <c r="Q142" i="7" s="1"/>
  <c r="R142" i="7" s="1"/>
  <c r="T142" i="7" s="1"/>
  <c r="P132" i="7"/>
  <c r="Q132" i="7" s="1"/>
  <c r="R132" i="7" s="1"/>
  <c r="T132" i="7" s="1"/>
  <c r="P349" i="7"/>
  <c r="Q349" i="7" s="1"/>
  <c r="R349" i="7" s="1"/>
  <c r="T349" i="7" s="1"/>
  <c r="P359" i="7"/>
  <c r="Q359" i="7" s="1"/>
  <c r="R359" i="7" s="1"/>
  <c r="T359" i="7" s="1"/>
  <c r="P354" i="7"/>
  <c r="Q354" i="7" s="1"/>
  <c r="R354" i="7" s="1"/>
  <c r="T354" i="7" s="1"/>
  <c r="P254" i="7"/>
  <c r="Q254" i="7" s="1"/>
  <c r="R254" i="7" s="1"/>
  <c r="T254" i="7" s="1"/>
  <c r="P288" i="7"/>
  <c r="Q288" i="7" s="1"/>
  <c r="R288" i="7" s="1"/>
  <c r="T288" i="7" s="1"/>
  <c r="P260" i="7"/>
  <c r="Q260" i="7" s="1"/>
  <c r="R260" i="7" s="1"/>
  <c r="T260" i="7" s="1"/>
  <c r="P250" i="7"/>
  <c r="Q250" i="7" s="1"/>
  <c r="R250" i="7" s="1"/>
  <c r="T250" i="7" s="1"/>
  <c r="P357" i="7"/>
  <c r="Q357" i="7" s="1"/>
  <c r="R357" i="7"/>
  <c r="T357" i="7" s="1"/>
  <c r="R298" i="12"/>
  <c r="R107" i="12"/>
  <c r="O41" i="12"/>
  <c r="O185" i="12"/>
  <c r="O231" i="12"/>
  <c r="V57" i="5"/>
  <c r="X57" i="5" s="1"/>
  <c r="Y57" i="5" s="1"/>
  <c r="V110" i="5"/>
  <c r="X110" i="5" s="1"/>
  <c r="Y110" i="5" s="1"/>
  <c r="V73" i="5"/>
  <c r="X73" i="5" s="1"/>
  <c r="Y73" i="5" s="1"/>
  <c r="V128" i="5"/>
  <c r="X128" i="5" s="1"/>
  <c r="Y128" i="5" s="1"/>
  <c r="V118" i="5"/>
  <c r="X118" i="5" s="1"/>
  <c r="Y118" i="5" s="1"/>
  <c r="V34" i="5"/>
  <c r="X34" i="5" s="1"/>
  <c r="Y34" i="5" s="1"/>
  <c r="V166" i="5"/>
  <c r="X166" i="5" s="1"/>
  <c r="Y166" i="5" s="1"/>
  <c r="V17" i="5"/>
  <c r="X17" i="5" s="1"/>
  <c r="Y17" i="5" s="1"/>
  <c r="V204" i="5"/>
  <c r="X204" i="5" s="1"/>
  <c r="Y204" i="5" s="1"/>
  <c r="V179" i="5"/>
  <c r="X179" i="5" s="1"/>
  <c r="Y179" i="5" s="1"/>
  <c r="V97" i="5"/>
  <c r="X97" i="5" s="1"/>
  <c r="Y97" i="5" s="1"/>
  <c r="V129" i="5"/>
  <c r="X129" i="5" s="1"/>
  <c r="Y129" i="5" s="1"/>
  <c r="V176" i="5"/>
  <c r="X176" i="5" s="1"/>
  <c r="Y176" i="5" s="1"/>
  <c r="V212" i="5"/>
  <c r="X212" i="5" s="1"/>
  <c r="Y212" i="5" s="1"/>
  <c r="V334" i="5"/>
  <c r="X334" i="5" s="1"/>
  <c r="Y334" i="5" s="1"/>
  <c r="V256" i="5"/>
  <c r="X256" i="5" s="1"/>
  <c r="Y256" i="5" s="1"/>
  <c r="V236" i="5"/>
  <c r="X236" i="5" s="1"/>
  <c r="Y236" i="5" s="1"/>
  <c r="V357" i="5"/>
  <c r="X357" i="5" s="1"/>
  <c r="Y357" i="5" s="1"/>
  <c r="V336" i="5"/>
  <c r="X336" i="5" s="1"/>
  <c r="Y336" i="5" s="1"/>
  <c r="V271" i="5"/>
  <c r="X271" i="5" s="1"/>
  <c r="Y271" i="5" s="1"/>
  <c r="V205" i="5"/>
  <c r="X205" i="5" s="1"/>
  <c r="Y205" i="5" s="1"/>
  <c r="V237" i="5"/>
  <c r="X237" i="5" s="1"/>
  <c r="Y237" i="5" s="1"/>
  <c r="V365" i="5"/>
  <c r="X365" i="5" s="1"/>
  <c r="Y365" i="5" s="1"/>
  <c r="M309" i="10" a="1"/>
  <c r="M309" i="10" s="1"/>
  <c r="M308" i="10" a="1"/>
  <c r="M308" i="10" s="1"/>
  <c r="M307" i="10" a="1"/>
  <c r="M307" i="10" s="1"/>
  <c r="M306" i="10" a="1"/>
  <c r="M306" i="10" s="1"/>
  <c r="M305" i="10" a="1"/>
  <c r="M305" i="10" s="1"/>
  <c r="M304" i="10" a="1"/>
  <c r="M304" i="10" s="1"/>
  <c r="M303" i="10" a="1"/>
  <c r="M303" i="10" s="1"/>
  <c r="M302" i="10" a="1"/>
  <c r="M302" i="10" s="1"/>
  <c r="M301" i="10" a="1"/>
  <c r="M301" i="10" s="1"/>
  <c r="M300" i="10" a="1"/>
  <c r="M300" i="10" s="1"/>
  <c r="M299" i="10" a="1"/>
  <c r="M299" i="10" s="1"/>
  <c r="M298" i="10" a="1"/>
  <c r="M298" i="10" s="1"/>
  <c r="M297" i="10" a="1"/>
  <c r="M297" i="10" s="1"/>
  <c r="M296" i="10" a="1"/>
  <c r="M296" i="10" s="1"/>
  <c r="M295" i="10" a="1"/>
  <c r="M295" i="10" s="1"/>
  <c r="M293" i="10" a="1"/>
  <c r="M293" i="10" s="1"/>
  <c r="M292" i="10" a="1"/>
  <c r="M292" i="10" s="1"/>
  <c r="M291" i="10" a="1"/>
  <c r="M291" i="10" s="1"/>
  <c r="M290" i="10" a="1"/>
  <c r="M290" i="10" s="1"/>
  <c r="M289" i="10" a="1"/>
  <c r="M289" i="10" s="1"/>
  <c r="M288" i="10" a="1"/>
  <c r="M288" i="10" s="1"/>
  <c r="M287" i="10" a="1"/>
  <c r="M287" i="10" s="1"/>
  <c r="M286" i="10" a="1"/>
  <c r="M286" i="10" s="1"/>
  <c r="M285" i="10" a="1"/>
  <c r="M285" i="10" s="1"/>
  <c r="M284" i="10" a="1"/>
  <c r="M284" i="10" s="1"/>
  <c r="M283" i="10" a="1"/>
  <c r="M283" i="10" s="1"/>
  <c r="M282" i="10" a="1"/>
  <c r="M282" i="10" s="1"/>
  <c r="M281" i="10" a="1"/>
  <c r="M281" i="10" s="1"/>
  <c r="M280" i="10" a="1"/>
  <c r="M280" i="10" s="1"/>
  <c r="M279" i="10" a="1"/>
  <c r="M279" i="10" s="1"/>
  <c r="M277" i="10" a="1"/>
  <c r="M277" i="10" s="1"/>
  <c r="M276" i="10" a="1"/>
  <c r="M276" i="10" s="1"/>
  <c r="M275" i="10" a="1"/>
  <c r="M275" i="10" s="1"/>
  <c r="M274" i="10" a="1"/>
  <c r="M274" i="10" s="1"/>
  <c r="M273" i="10" a="1"/>
  <c r="M273" i="10" s="1"/>
  <c r="M272" i="10" a="1"/>
  <c r="M272" i="10" s="1"/>
  <c r="M271" i="10" a="1"/>
  <c r="M271" i="10" s="1"/>
  <c r="M270" i="10" a="1"/>
  <c r="M270" i="10" s="1"/>
  <c r="M269" i="10" a="1"/>
  <c r="M269" i="10" s="1"/>
  <c r="M268" i="10" a="1"/>
  <c r="M268" i="10" s="1"/>
  <c r="M267" i="10" a="1"/>
  <c r="M267" i="10" s="1"/>
  <c r="M266" i="10" a="1"/>
  <c r="M266" i="10" s="1"/>
  <c r="M265" i="10" a="1"/>
  <c r="M265" i="10" s="1"/>
  <c r="M264" i="10" a="1"/>
  <c r="M264" i="10" s="1"/>
  <c r="M263" i="10" a="1"/>
  <c r="M263" i="10" s="1"/>
  <c r="M261" i="10" a="1"/>
  <c r="M261" i="10" s="1"/>
  <c r="M260" i="10" a="1"/>
  <c r="M260" i="10" s="1"/>
  <c r="M259" i="10" a="1"/>
  <c r="M259" i="10" s="1"/>
  <c r="M258" i="10" a="1"/>
  <c r="M258" i="10" s="1"/>
  <c r="M257" i="10" a="1"/>
  <c r="M257" i="10" s="1"/>
  <c r="M319" i="10" a="1"/>
  <c r="M319" i="10" s="1"/>
  <c r="M311" i="10" a="1"/>
  <c r="M311" i="10" s="1"/>
  <c r="M335" i="10" a="1"/>
  <c r="M335" i="10" s="1"/>
  <c r="M350" i="10" a="1"/>
  <c r="M350" i="10" s="1"/>
  <c r="M329" i="10" a="1"/>
  <c r="M329" i="10" s="1"/>
  <c r="M360" i="10" a="1"/>
  <c r="M360" i="10" s="1"/>
  <c r="M342" i="10" a="1"/>
  <c r="M342" i="10" s="1"/>
  <c r="M353" i="10" a="1"/>
  <c r="M353" i="10" s="1"/>
  <c r="M345" i="10" a="1"/>
  <c r="M345" i="10" s="1"/>
  <c r="M339" i="10" a="1"/>
  <c r="M339" i="10" s="1"/>
  <c r="M315" i="10" a="1"/>
  <c r="M315" i="10" s="1"/>
  <c r="M365" i="10" a="1"/>
  <c r="M365" i="10" s="1"/>
  <c r="M348" i="10" a="1"/>
  <c r="M348" i="10" s="1"/>
  <c r="M356" i="10" a="1"/>
  <c r="M356" i="10" s="1"/>
  <c r="M363" i="10" a="1"/>
  <c r="M363" i="10" s="1"/>
  <c r="M252" i="10" a="1"/>
  <c r="M252" i="10" s="1"/>
  <c r="M351" i="10" a="1"/>
  <c r="M351" i="10" s="1"/>
  <c r="M333" i="10" a="1"/>
  <c r="M333" i="10" s="1"/>
  <c r="M312" i="10" a="1"/>
  <c r="M312" i="10" s="1"/>
  <c r="M253" i="10" a="1"/>
  <c r="M253" i="10" s="1"/>
  <c r="M245" i="10" a="1"/>
  <c r="M245" i="10" s="1"/>
  <c r="M237" i="10" a="1"/>
  <c r="M237" i="10" s="1"/>
  <c r="M320" i="10" a="1"/>
  <c r="M320" i="10" s="1"/>
  <c r="M317" i="10" a="1"/>
  <c r="M317" i="10" s="1"/>
  <c r="M325" i="10" a="1"/>
  <c r="M325" i="10" s="1"/>
  <c r="M255" i="10" a="1"/>
  <c r="M255" i="10" s="1"/>
  <c r="M247" i="10" a="1"/>
  <c r="M247" i="10" s="1"/>
  <c r="M239" i="10" a="1"/>
  <c r="M239" i="10" s="1"/>
  <c r="M340" i="10" a="1"/>
  <c r="M340" i="10" s="1"/>
  <c r="M338" i="10" a="1"/>
  <c r="M338" i="10" s="1"/>
  <c r="M256" i="10" a="1"/>
  <c r="M256" i="10" s="1"/>
  <c r="M248" i="10" a="1"/>
  <c r="M248" i="10" s="1"/>
  <c r="M240" i="10" a="1"/>
  <c r="M240" i="10" s="1"/>
  <c r="M323" i="10" a="1"/>
  <c r="M323" i="10" s="1"/>
  <c r="M313" i="10" a="1"/>
  <c r="M313" i="10" s="1"/>
  <c r="M249" i="10" a="1"/>
  <c r="M249" i="10" s="1"/>
  <c r="M332" i="10" a="1"/>
  <c r="M332" i="10" s="1"/>
  <c r="M321" i="10" a="1"/>
  <c r="M321" i="10" s="1"/>
  <c r="M316" i="10" a="1"/>
  <c r="M316" i="10" s="1"/>
  <c r="M244" i="10" a="1"/>
  <c r="M244" i="10" s="1"/>
  <c r="M241" i="10" a="1"/>
  <c r="M241" i="10" s="1"/>
  <c r="M250" i="10" a="1"/>
  <c r="M250" i="10" s="1"/>
  <c r="M343" i="10" a="1"/>
  <c r="M343" i="10" s="1"/>
  <c r="M242" i="10" a="1"/>
  <c r="M242" i="10" s="1"/>
  <c r="M251" i="10" a="1"/>
  <c r="M251" i="10" s="1"/>
  <c r="M254" i="10" a="1"/>
  <c r="M254" i="10" s="1"/>
  <c r="M246" i="10" a="1"/>
  <c r="M246" i="10" s="1"/>
  <c r="M243" i="10" a="1"/>
  <c r="M243" i="10" s="1"/>
  <c r="M238" i="10" a="1"/>
  <c r="M238" i="10" s="1"/>
  <c r="M70" i="10" a="1"/>
  <c r="M70" i="10" s="1"/>
  <c r="M77" i="10" a="1"/>
  <c r="M77" i="10" s="1"/>
  <c r="M66" i="10" a="1"/>
  <c r="M66" i="10" s="1"/>
  <c r="M90" i="10" a="1"/>
  <c r="M90" i="10" s="1"/>
  <c r="M78" i="10" a="1"/>
  <c r="M78" i="10" s="1"/>
  <c r="M85" i="10" a="1"/>
  <c r="M85" i="10" s="1"/>
  <c r="M82" i="10" a="1"/>
  <c r="M82" i="10" s="1"/>
  <c r="M61" i="10" a="1"/>
  <c r="M61" i="10" s="1"/>
  <c r="M69" i="10" a="1"/>
  <c r="M69" i="10" s="1"/>
  <c r="M74" i="10" a="1"/>
  <c r="M74" i="10" s="1"/>
  <c r="M62" i="10" a="1"/>
  <c r="M62" i="10" s="1"/>
  <c r="M86" i="10" a="1"/>
  <c r="M86" i="10" s="1"/>
  <c r="M65" i="10" a="1"/>
  <c r="M65" i="10" s="1"/>
  <c r="C11" i="4"/>
  <c r="M223" i="10" s="1" a="1"/>
  <c r="M223" i="10" s="1"/>
  <c r="M89" i="10" a="1"/>
  <c r="M89" i="10" s="1"/>
  <c r="M73" i="10" a="1"/>
  <c r="M73" i="10" s="1"/>
  <c r="M63" i="10" a="1"/>
  <c r="M63" i="10" s="1"/>
  <c r="C24" i="10" a="1"/>
  <c r="C24" i="10" s="1"/>
  <c r="D24" i="10" s="1" a="1"/>
  <c r="D24" i="10" s="1"/>
  <c r="C20" i="10" a="1"/>
  <c r="C20" i="10" s="1"/>
  <c r="D20" i="10" s="1" a="1"/>
  <c r="D20" i="10" s="1"/>
  <c r="C10" i="10" a="1"/>
  <c r="C10" i="10" s="1"/>
  <c r="D10" i="10" s="1" a="1"/>
  <c r="D10" i="10" s="1"/>
  <c r="O262" i="12"/>
  <c r="M5" i="10" a="1"/>
  <c r="M5" i="10" s="1"/>
  <c r="O331" i="12"/>
  <c r="O236" i="12"/>
  <c r="R366" i="12"/>
  <c r="P25" i="7"/>
  <c r="Q25" i="7" s="1"/>
  <c r="R25" i="7" s="1"/>
  <c r="T25" i="7" s="1"/>
  <c r="P56" i="7"/>
  <c r="Q56" i="7" s="1"/>
  <c r="R56" i="7" s="1"/>
  <c r="T56" i="7" s="1"/>
  <c r="P5" i="7"/>
  <c r="Q5" i="7" s="1"/>
  <c r="R5" i="7" s="1"/>
  <c r="T5" i="7" s="1"/>
  <c r="P193" i="7"/>
  <c r="Q193" i="7" s="1"/>
  <c r="R193" i="7" s="1"/>
  <c r="T193" i="7" s="1"/>
  <c r="P95" i="7"/>
  <c r="Q95" i="7" s="1"/>
  <c r="R95" i="7" s="1"/>
  <c r="T95" i="7" s="1"/>
  <c r="P257" i="7"/>
  <c r="Q257" i="7" s="1"/>
  <c r="R257" i="7" s="1"/>
  <c r="T257" i="7" s="1"/>
  <c r="P108" i="7"/>
  <c r="Q108" i="7" s="1"/>
  <c r="R108" i="7" s="1"/>
  <c r="T108" i="7" s="1"/>
  <c r="P7" i="7"/>
  <c r="Q7" i="7" s="1"/>
  <c r="R7" i="7" s="1"/>
  <c r="T7" i="7" s="1"/>
  <c r="P194" i="7"/>
  <c r="Q194" i="7" s="1"/>
  <c r="R194" i="7" s="1"/>
  <c r="T194" i="7" s="1"/>
  <c r="P208" i="7"/>
  <c r="Q208" i="7" s="1"/>
  <c r="R208" i="7" s="1"/>
  <c r="T208" i="7" s="1"/>
  <c r="P140" i="7"/>
  <c r="Q140" i="7" s="1"/>
  <c r="R140" i="7" s="1"/>
  <c r="T140" i="7" s="1"/>
  <c r="P199" i="7"/>
  <c r="Q199" i="7" s="1"/>
  <c r="R199" i="7" s="1"/>
  <c r="T199" i="7" s="1"/>
  <c r="P213" i="7"/>
  <c r="Q213" i="7" s="1"/>
  <c r="R213" i="7" s="1"/>
  <c r="T213" i="7" s="1"/>
  <c r="P158" i="7"/>
  <c r="Q158" i="7" s="1"/>
  <c r="R158" i="7" s="1"/>
  <c r="T158" i="7" s="1"/>
  <c r="P148" i="7"/>
  <c r="Q148" i="7" s="1"/>
  <c r="R148" i="7" s="1"/>
  <c r="T148" i="7" s="1"/>
  <c r="P350" i="7"/>
  <c r="Q350" i="7" s="1"/>
  <c r="R350" i="7" s="1"/>
  <c r="T350" i="7" s="1"/>
  <c r="P345" i="7"/>
  <c r="Q345" i="7" s="1"/>
  <c r="R345" i="7" s="1"/>
  <c r="T345" i="7" s="1"/>
  <c r="P364" i="7"/>
  <c r="Q364" i="7" s="1"/>
  <c r="R364" i="7" s="1"/>
  <c r="T364" i="7" s="1"/>
  <c r="P296" i="7"/>
  <c r="Q296" i="7" s="1"/>
  <c r="R296" i="7" s="1"/>
  <c r="T296" i="7" s="1"/>
  <c r="P304" i="7"/>
  <c r="Q304" i="7" s="1"/>
  <c r="R304" i="7" s="1"/>
  <c r="T304" i="7" s="1"/>
  <c r="P276" i="7"/>
  <c r="Q276" i="7" s="1"/>
  <c r="R276" i="7" s="1"/>
  <c r="T276" i="7" s="1"/>
  <c r="P266" i="7"/>
  <c r="Q266" i="7" s="1"/>
  <c r="R266" i="7" s="1"/>
  <c r="T266" i="7" s="1"/>
  <c r="O169" i="12"/>
  <c r="O226" i="12"/>
  <c r="O115" i="12"/>
  <c r="M228" i="10" l="1" a="1"/>
  <c r="M228" i="10" s="1"/>
  <c r="M177" i="10" a="1"/>
  <c r="M177" i="10" s="1"/>
  <c r="M94" i="10" a="1"/>
  <c r="M94" i="10" s="1"/>
  <c r="M236" i="10" a="1"/>
  <c r="M236" i="10" s="1"/>
  <c r="M230" i="10" a="1"/>
  <c r="M230" i="10" s="1"/>
  <c r="M235" i="10" a="1"/>
  <c r="M235" i="10" s="1"/>
  <c r="M99" i="10" a="1"/>
  <c r="M99" i="10" s="1"/>
  <c r="M93" i="10" a="1"/>
  <c r="M93" i="10" s="1"/>
  <c r="M233" i="10" a="1"/>
  <c r="M233" i="10" s="1"/>
  <c r="M231" i="10" a="1"/>
  <c r="M231" i="10" s="1"/>
  <c r="M120" i="10" a="1"/>
  <c r="M120" i="10" s="1"/>
  <c r="M234" i="10" a="1"/>
  <c r="M234" i="10" s="1"/>
  <c r="M330" i="10" a="1"/>
  <c r="M330" i="10" s="1"/>
  <c r="M327" i="10" a="1"/>
  <c r="M327" i="10" s="1"/>
  <c r="M358" i="10" a="1"/>
  <c r="M358" i="10" s="1"/>
  <c r="M262" i="10" a="1"/>
  <c r="M262" i="10" s="1"/>
  <c r="M278" i="10" a="1"/>
  <c r="M278" i="10" s="1"/>
  <c r="M294" i="10" a="1"/>
  <c r="M294" i="10" s="1"/>
  <c r="M310" i="10" a="1"/>
  <c r="M310" i="10" s="1"/>
  <c r="M95" i="10" a="1"/>
  <c r="M95" i="10" s="1"/>
  <c r="M97" i="10" a="1"/>
  <c r="M97" i="10" s="1"/>
  <c r="M229" i="10" a="1"/>
  <c r="M229" i="10" s="1"/>
  <c r="M227" i="10" a="1"/>
  <c r="M227" i="10" s="1"/>
  <c r="M232" i="10" a="1"/>
  <c r="M232" i="10" s="1"/>
  <c r="O30" i="12"/>
  <c r="O47" i="12"/>
  <c r="G31" i="4"/>
  <c r="M110" i="10" a="1"/>
  <c r="M110" i="10" s="1"/>
  <c r="M13" i="10" a="1"/>
  <c r="M13" i="10" s="1"/>
  <c r="M84" i="10" a="1"/>
  <c r="M84" i="10" s="1"/>
  <c r="M331" i="10" a="1"/>
  <c r="M331" i="10" s="1"/>
  <c r="M318" i="10" a="1"/>
  <c r="M318" i="10" s="1"/>
  <c r="M357" i="10" a="1"/>
  <c r="M357" i="10" s="1"/>
  <c r="M347" i="10" a="1"/>
  <c r="M347" i="10" s="1"/>
  <c r="M364" i="10" a="1"/>
  <c r="M364" i="10" s="1"/>
  <c r="M8" i="10" a="1"/>
  <c r="M8" i="10" s="1"/>
  <c r="M37" i="10" a="1"/>
  <c r="M37" i="10" s="1"/>
  <c r="M68" i="10" a="1"/>
  <c r="M68" i="10" s="1"/>
  <c r="M324" i="10" a="1"/>
  <c r="M324" i="10" s="1"/>
  <c r="M336" i="10" a="1"/>
  <c r="M336" i="10" s="1"/>
  <c r="M15" i="10" a="1"/>
  <c r="M15" i="10" s="1"/>
  <c r="M30" i="10" a="1"/>
  <c r="M30" i="10" s="1"/>
  <c r="M43" i="10" a="1"/>
  <c r="M43" i="10" s="1"/>
  <c r="M41" i="10" a="1"/>
  <c r="M41" i="10" s="1"/>
  <c r="M72" i="10" a="1"/>
  <c r="M72" i="10" s="1"/>
  <c r="M10" i="10" a="1"/>
  <c r="M10" i="10" s="1"/>
  <c r="M9" i="10" a="1"/>
  <c r="M9" i="10" s="1"/>
  <c r="M355" i="10" a="1"/>
  <c r="M355" i="10" s="1"/>
  <c r="M337" i="10" a="1"/>
  <c r="M337" i="10" s="1"/>
  <c r="M314" i="10" a="1"/>
  <c r="M314" i="10" s="1"/>
  <c r="M36" i="10" a="1"/>
  <c r="M36" i="10" s="1"/>
  <c r="M45" i="10" a="1"/>
  <c r="M45" i="10" s="1"/>
  <c r="M39" i="10" a="1"/>
  <c r="M39" i="10" s="1"/>
  <c r="M48" i="10" a="1"/>
  <c r="M48" i="10" s="1"/>
  <c r="M3" i="10" a="1"/>
  <c r="M3" i="10" s="1"/>
  <c r="M49" i="10" a="1"/>
  <c r="M49" i="10" s="1"/>
  <c r="M26" i="10" a="1"/>
  <c r="M26" i="10" s="1"/>
  <c r="M326" i="10" a="1"/>
  <c r="M326" i="10" s="1"/>
  <c r="M349" i="10" a="1"/>
  <c r="M349" i="10" s="1"/>
  <c r="M359" i="10" a="1"/>
  <c r="M359" i="10" s="1"/>
  <c r="M362" i="10" a="1"/>
  <c r="M362" i="10" s="1"/>
  <c r="M6" i="10" a="1"/>
  <c r="M6" i="10" s="1"/>
  <c r="M83" i="10" a="1"/>
  <c r="M83" i="10" s="1"/>
  <c r="M53" i="10" a="1"/>
  <c r="M53" i="10" s="1"/>
  <c r="M25" i="10" a="1"/>
  <c r="M25" i="10" s="1"/>
  <c r="M23" i="10" a="1"/>
  <c r="M23" i="10" s="1"/>
  <c r="M19" i="10" a="1"/>
  <c r="M19" i="10" s="1"/>
  <c r="M57" i="10" a="1"/>
  <c r="M57" i="10" s="1"/>
  <c r="M341" i="10" a="1"/>
  <c r="M341" i="10" s="1"/>
  <c r="M346" i="10" a="1"/>
  <c r="M346" i="10" s="1"/>
  <c r="M16" i="10" a="1"/>
  <c r="M16" i="10" s="1"/>
  <c r="M20" i="10" a="1"/>
  <c r="M20" i="10" s="1"/>
  <c r="M76" i="10" a="1"/>
  <c r="M76" i="10" s="1"/>
  <c r="M56" i="10" a="1"/>
  <c r="M56" i="10" s="1"/>
  <c r="M328" i="10" a="1"/>
  <c r="M328" i="10" s="1"/>
  <c r="M38" i="10" a="1"/>
  <c r="M38" i="10" s="1"/>
  <c r="M2" i="10" a="1"/>
  <c r="M2" i="10" s="1"/>
  <c r="M60" i="10" a="1"/>
  <c r="M60" i="10" s="1"/>
  <c r="M35" i="10" a="1"/>
  <c r="M35" i="10" s="1"/>
  <c r="M98" i="10" a="1"/>
  <c r="M98" i="10" s="1"/>
  <c r="M22" i="10" a="1"/>
  <c r="M22" i="10" s="1"/>
  <c r="M33" i="10" a="1"/>
  <c r="M33" i="10" s="1"/>
  <c r="M42" i="10" a="1"/>
  <c r="M42" i="10" s="1"/>
  <c r="M334" i="10" a="1"/>
  <c r="M334" i="10" s="1"/>
  <c r="M354" i="10" a="1"/>
  <c r="M354" i="10" s="1"/>
  <c r="M81" i="10" a="1"/>
  <c r="M81" i="10" s="1"/>
  <c r="M21" i="10" a="1"/>
  <c r="M21" i="10" s="1"/>
  <c r="M46" i="10" a="1"/>
  <c r="M46" i="10" s="1"/>
  <c r="M88" i="10" a="1"/>
  <c r="M88" i="10" s="1"/>
  <c r="M91" i="10" a="1"/>
  <c r="M91" i="10" s="1"/>
  <c r="M67" i="10" a="1"/>
  <c r="M67" i="10" s="1"/>
  <c r="M344" i="10" a="1"/>
  <c r="M344" i="10" s="1"/>
  <c r="M361" i="10" a="1"/>
  <c r="M361" i="10" s="1"/>
  <c r="M366" i="10" a="1"/>
  <c r="M366" i="10" s="1"/>
  <c r="M322" i="10" a="1"/>
  <c r="M322" i="10" s="1"/>
  <c r="M29" i="10" a="1"/>
  <c r="M29" i="10" s="1"/>
  <c r="M34" i="10" a="1"/>
  <c r="M34" i="10" s="1"/>
  <c r="M79" i="10" a="1"/>
  <c r="M79" i="10" s="1"/>
  <c r="M50" i="10" a="1"/>
  <c r="M50" i="10" s="1"/>
  <c r="M18" i="10" a="1"/>
  <c r="M18" i="10" s="1"/>
  <c r="M92" i="10" a="1"/>
  <c r="M92" i="10" s="1"/>
  <c r="M31" i="10" a="1"/>
  <c r="M31" i="10" s="1"/>
  <c r="M52" i="10" a="1"/>
  <c r="M52" i="10" s="1"/>
  <c r="M54" i="10" a="1"/>
  <c r="M54" i="10" s="1"/>
  <c r="M14" i="10" a="1"/>
  <c r="M14" i="10" s="1"/>
  <c r="M87" i="10" a="1"/>
  <c r="M87" i="10" s="1"/>
  <c r="M58" i="10" a="1"/>
  <c r="M58" i="10" s="1"/>
  <c r="M352" i="10" a="1"/>
  <c r="M352" i="10" s="1"/>
  <c r="M28" i="10" a="1"/>
  <c r="M28" i="10" s="1"/>
  <c r="M75" i="10" a="1"/>
  <c r="M75" i="10" s="1"/>
  <c r="M32" i="10" a="1"/>
  <c r="M32" i="10" s="1"/>
  <c r="M11" i="10" a="1"/>
  <c r="M11" i="10" s="1"/>
  <c r="M71" i="10" a="1"/>
  <c r="M71" i="10" s="1"/>
  <c r="M96" i="10" a="1"/>
  <c r="M96" i="10" s="1"/>
  <c r="M80" i="10" a="1"/>
  <c r="M80" i="10" s="1"/>
  <c r="E45" i="4"/>
  <c r="C59" i="4"/>
  <c r="O32" i="12" s="1"/>
  <c r="C58" i="4"/>
  <c r="O31" i="12" s="1"/>
  <c r="M112" i="10" a="1"/>
  <c r="M112" i="10" s="1"/>
  <c r="M109" i="10" a="1"/>
  <c r="M109" i="10" s="1"/>
  <c r="M148" i="10" a="1"/>
  <c r="M148" i="10" s="1"/>
  <c r="M211" i="10" a="1"/>
  <c r="M211" i="10" s="1"/>
  <c r="R311" i="12"/>
  <c r="I62" i="4" a="1"/>
  <c r="I62" i="4" s="1"/>
  <c r="M100" i="10" a="1"/>
  <c r="M100" i="10" s="1"/>
  <c r="M131" i="10" a="1"/>
  <c r="M131" i="10" s="1"/>
  <c r="M165" i="10" a="1"/>
  <c r="M165" i="10" s="1"/>
  <c r="M166" i="10" a="1"/>
  <c r="M166" i="10" s="1"/>
  <c r="M111" i="10" a="1"/>
  <c r="M111" i="10" s="1"/>
  <c r="M170" i="10" a="1"/>
  <c r="M170" i="10" s="1"/>
  <c r="M150" i="10" a="1"/>
  <c r="M150" i="10" s="1"/>
  <c r="M179" i="10" a="1"/>
  <c r="M179" i="10" s="1"/>
  <c r="M153" i="10" a="1"/>
  <c r="M153" i="10" s="1"/>
  <c r="M184" i="10" a="1"/>
  <c r="M184" i="10" s="1"/>
  <c r="M186" i="10" a="1"/>
  <c r="M186" i="10" s="1"/>
  <c r="M134" i="10" a="1"/>
  <c r="M134" i="10" s="1"/>
  <c r="M122" i="10" a="1"/>
  <c r="M122" i="10" s="1"/>
  <c r="M160" i="10" a="1"/>
  <c r="M160" i="10" s="1"/>
  <c r="M115" i="10" a="1"/>
  <c r="M115" i="10" s="1"/>
  <c r="M151" i="10" a="1"/>
  <c r="M151" i="10" s="1"/>
  <c r="M185" i="10" a="1"/>
  <c r="M185" i="10" s="1"/>
  <c r="M172" i="10" a="1"/>
  <c r="M172" i="10" s="1"/>
  <c r="M142" i="10" a="1"/>
  <c r="M142" i="10" s="1"/>
  <c r="M171" i="10" a="1"/>
  <c r="M171" i="10" s="1"/>
  <c r="M144" i="10" a="1"/>
  <c r="M144" i="10" s="1"/>
  <c r="M155" i="10" a="1"/>
  <c r="M155" i="10" s="1"/>
  <c r="M103" i="10" a="1"/>
  <c r="M103" i="10" s="1"/>
  <c r="M158" i="10" a="1"/>
  <c r="M158" i="10" s="1"/>
  <c r="M114" i="10" a="1"/>
  <c r="M114" i="10" s="1"/>
  <c r="M106" i="10" a="1"/>
  <c r="M106" i="10" s="1"/>
  <c r="M149" i="10" a="1"/>
  <c r="M149" i="10" s="1"/>
  <c r="M175" i="10" a="1"/>
  <c r="M175" i="10" s="1"/>
  <c r="M174" i="10" a="1"/>
  <c r="M174" i="10" s="1"/>
  <c r="M180" i="10" a="1"/>
  <c r="M180" i="10" s="1"/>
  <c r="M156" i="10" a="1"/>
  <c r="M156" i="10" s="1"/>
  <c r="M138" i="10" a="1"/>
  <c r="M138" i="10" s="1"/>
  <c r="M123" i="10" a="1"/>
  <c r="M123" i="10" s="1"/>
  <c r="M127" i="10" a="1"/>
  <c r="M127" i="10" s="1"/>
  <c r="M183" i="10" a="1"/>
  <c r="M183" i="10" s="1"/>
  <c r="M152" i="10" a="1"/>
  <c r="M152" i="10" s="1"/>
  <c r="M143" i="10" a="1"/>
  <c r="M143" i="10" s="1"/>
  <c r="M140" i="10" a="1"/>
  <c r="M140" i="10" s="1"/>
  <c r="M113" i="10" a="1"/>
  <c r="M113" i="10" s="1"/>
  <c r="M181" i="10" a="1"/>
  <c r="M181" i="10" s="1"/>
  <c r="M196" i="10" a="1"/>
  <c r="M196" i="10" s="1"/>
  <c r="R278" i="12"/>
  <c r="M108" i="10" a="1"/>
  <c r="M108" i="10" s="1"/>
  <c r="M159" i="10" a="1"/>
  <c r="M159" i="10" s="1"/>
  <c r="M117" i="10" a="1"/>
  <c r="M117" i="10" s="1"/>
  <c r="M197" i="10" a="1"/>
  <c r="M197" i="10" s="1"/>
  <c r="R264" i="12"/>
  <c r="R300" i="12"/>
  <c r="M102" i="10" a="1"/>
  <c r="M102" i="10" s="1"/>
  <c r="M121" i="10" a="1"/>
  <c r="M121" i="10" s="1"/>
  <c r="M210" i="10" a="1"/>
  <c r="M210" i="10" s="1"/>
  <c r="M193" i="10" a="1"/>
  <c r="M193" i="10" s="1"/>
  <c r="M201" i="10" a="1"/>
  <c r="M201" i="10" s="1"/>
  <c r="M199" i="10" a="1"/>
  <c r="M199" i="10" s="1"/>
  <c r="M107" i="10" a="1"/>
  <c r="M107" i="10" s="1"/>
  <c r="R327" i="12"/>
  <c r="C66" i="4" a="1"/>
  <c r="C66" i="4" s="1"/>
  <c r="C67" i="4" s="1"/>
  <c r="R362" i="12"/>
  <c r="M124" i="10" a="1"/>
  <c r="M124" i="10" s="1"/>
  <c r="M129" i="10" a="1"/>
  <c r="M129" i="10" s="1"/>
  <c r="M194" i="10" a="1"/>
  <c r="M194" i="10" s="1"/>
  <c r="M205" i="10" a="1"/>
  <c r="M205" i="10" s="1"/>
  <c r="M216" i="10" a="1"/>
  <c r="M216" i="10" s="1"/>
  <c r="M187" i="10" a="1"/>
  <c r="M187" i="10" s="1"/>
  <c r="C64" i="4"/>
  <c r="R345" i="12"/>
  <c r="O343" i="12"/>
  <c r="M125" i="10" a="1"/>
  <c r="M125" i="10" s="1"/>
  <c r="M126" i="10" a="1"/>
  <c r="M126" i="10" s="1"/>
  <c r="M104" i="10" a="1"/>
  <c r="M104" i="10" s="1"/>
  <c r="M133" i="10" a="1"/>
  <c r="M133" i="10" s="1"/>
  <c r="M212" i="10" a="1"/>
  <c r="M212" i="10" s="1"/>
  <c r="M219" i="10" a="1"/>
  <c r="M219" i="10" s="1"/>
  <c r="M190" i="10" a="1"/>
  <c r="M190" i="10" s="1"/>
  <c r="M202" i="10" a="1"/>
  <c r="M202" i="10" s="1"/>
  <c r="R280" i="12"/>
  <c r="R272" i="12"/>
  <c r="E64" i="4"/>
  <c r="D64" i="4"/>
  <c r="O356" i="12"/>
  <c r="M163" i="10" a="1"/>
  <c r="M163" i="10" s="1"/>
  <c r="M146" i="10" a="1"/>
  <c r="M146" i="10" s="1"/>
  <c r="M137" i="10" a="1"/>
  <c r="M137" i="10" s="1"/>
  <c r="M169" i="10" a="1"/>
  <c r="M169" i="10" s="1"/>
  <c r="M206" i="10" a="1"/>
  <c r="M206" i="10" s="1"/>
  <c r="R248" i="12"/>
  <c r="M119" i="10" a="1"/>
  <c r="M119" i="10" s="1"/>
  <c r="M118" i="10" a="1"/>
  <c r="M118" i="10" s="1"/>
  <c r="M141" i="10" a="1"/>
  <c r="M141" i="10" s="1"/>
  <c r="M147" i="10" a="1"/>
  <c r="M147" i="10" s="1"/>
  <c r="M224" i="10" a="1"/>
  <c r="M224" i="10" s="1"/>
  <c r="M209" i="10" a="1"/>
  <c r="M209" i="10" s="1"/>
  <c r="R320" i="12"/>
  <c r="O348" i="12"/>
  <c r="R334" i="12"/>
  <c r="R329" i="12"/>
  <c r="M145" i="10" a="1"/>
  <c r="M145" i="10" s="1"/>
  <c r="M162" i="10" a="1"/>
  <c r="M162" i="10" s="1"/>
  <c r="M200" i="10" a="1"/>
  <c r="M200" i="10" s="1"/>
  <c r="O354" i="12"/>
  <c r="O351" i="12"/>
  <c r="R277" i="12"/>
  <c r="R325" i="12"/>
  <c r="O364" i="12"/>
  <c r="O340" i="12"/>
  <c r="O360" i="12"/>
  <c r="M198" i="10" a="1"/>
  <c r="M198" i="10" s="1"/>
  <c r="R307" i="12"/>
  <c r="F64" i="4"/>
  <c r="E66" i="4" a="1"/>
  <c r="E66" i="4" s="1"/>
  <c r="E67" i="4" s="1"/>
  <c r="O335" i="12"/>
  <c r="J61" i="4" a="1"/>
  <c r="M128" i="10" a="1"/>
  <c r="M128" i="10" s="1"/>
  <c r="R297" i="12"/>
  <c r="M116" i="10" a="1"/>
  <c r="M116" i="10" s="1"/>
  <c r="M130" i="10" a="1"/>
  <c r="M130" i="10" s="1"/>
  <c r="M105" i="10" a="1"/>
  <c r="M105" i="10" s="1"/>
  <c r="M164" i="10" a="1"/>
  <c r="M164" i="10" s="1"/>
  <c r="M217" i="10" a="1"/>
  <c r="M217" i="10" s="1"/>
  <c r="M176" i="10" a="1"/>
  <c r="M176" i="10" s="1"/>
  <c r="M188" i="10" a="1"/>
  <c r="M188" i="10" s="1"/>
  <c r="R291" i="12"/>
  <c r="R275" i="12"/>
  <c r="R294" i="12"/>
  <c r="R261" i="12"/>
  <c r="D66" i="4" a="1"/>
  <c r="D66" i="4" s="1"/>
  <c r="D67" i="4" s="1"/>
  <c r="M226" i="10" a="1"/>
  <c r="M226" i="10" s="1"/>
  <c r="M132" i="10" a="1"/>
  <c r="M132" i="10" s="1"/>
  <c r="M173" i="10" a="1"/>
  <c r="M173" i="10" s="1"/>
  <c r="M195" i="10" a="1"/>
  <c r="M195" i="10" s="1"/>
  <c r="M101" i="10" a="1"/>
  <c r="M101" i="10" s="1"/>
  <c r="M192" i="10" a="1"/>
  <c r="M192" i="10" s="1"/>
  <c r="M204" i="10" a="1"/>
  <c r="M204" i="10" s="1"/>
  <c r="R358" i="12"/>
  <c r="R305" i="12"/>
  <c r="R269" i="12"/>
  <c r="R316" i="12"/>
  <c r="M154" i="10" a="1"/>
  <c r="M154" i="10" s="1"/>
  <c r="M168" i="10" a="1"/>
  <c r="M168" i="10" s="1"/>
  <c r="M182" i="10" a="1"/>
  <c r="M182" i="10" s="1"/>
  <c r="M220" i="10" a="1"/>
  <c r="M220" i="10" s="1"/>
  <c r="M178" i="10" a="1"/>
  <c r="M178" i="10" s="1"/>
  <c r="M157" i="10" a="1"/>
  <c r="M157" i="10" s="1"/>
  <c r="M191" i="10" a="1"/>
  <c r="M191" i="10" s="1"/>
  <c r="M203" i="10" a="1"/>
  <c r="M203" i="10" s="1"/>
  <c r="O359" i="12"/>
  <c r="R256" i="12"/>
  <c r="D65" i="4" a="1"/>
  <c r="D65" i="4" s="1"/>
  <c r="M135" i="10" a="1"/>
  <c r="M135" i="10" s="1"/>
  <c r="M139" i="10" a="1"/>
  <c r="M139" i="10" s="1"/>
  <c r="M225" i="10" a="1"/>
  <c r="M225" i="10" s="1"/>
  <c r="M167" i="10" a="1"/>
  <c r="M167" i="10" s="1"/>
  <c r="M218" i="10" a="1"/>
  <c r="M218" i="10" s="1"/>
  <c r="M189" i="10" a="1"/>
  <c r="M189" i="10" s="1"/>
  <c r="M207" i="10" a="1"/>
  <c r="M207" i="10" s="1"/>
  <c r="M213" i="10" a="1"/>
  <c r="M213" i="10" s="1"/>
  <c r="O366" i="12"/>
  <c r="R288" i="12"/>
  <c r="F66" i="4" a="1"/>
  <c r="F66" i="4" s="1"/>
  <c r="F67" i="4" s="1"/>
  <c r="R349" i="12"/>
  <c r="E65" i="4" a="1"/>
  <c r="E65" i="4" s="1"/>
  <c r="R224" i="12"/>
  <c r="R259" i="12"/>
  <c r="M161" i="10" a="1"/>
  <c r="M161" i="10" s="1"/>
  <c r="M136" i="10" a="1"/>
  <c r="M136" i="10" s="1"/>
  <c r="M222" i="10" a="1"/>
  <c r="M222" i="10" s="1"/>
  <c r="M208" i="10" a="1"/>
  <c r="M208" i="10" s="1"/>
  <c r="M214" i="10" a="1"/>
  <c r="M214" i="10" s="1"/>
  <c r="M215" i="10" a="1"/>
  <c r="M215" i="10" s="1"/>
  <c r="M221" i="10" a="1"/>
  <c r="M221" i="10" s="1"/>
  <c r="R249" i="12"/>
  <c r="F65" i="4" a="1"/>
  <c r="F65" i="4" s="1"/>
  <c r="C65" i="4" l="1" a="1"/>
  <c r="C65" i="4" s="1"/>
  <c r="L63" i="4" a="1"/>
  <c r="L63" i="4" s="1"/>
  <c r="K65" i="4" a="1"/>
  <c r="K65" i="4" s="1"/>
  <c r="K64" i="4" a="1"/>
  <c r="K64" i="4" s="1"/>
  <c r="J61" i="4"/>
  <c r="M62" i="4" a="1"/>
  <c r="M62" i="4" s="1"/>
  <c r="L64" i="4" a="1"/>
  <c r="L64" i="4" s="1"/>
  <c r="M65" i="4" a="1"/>
  <c r="M65" i="4" s="1"/>
  <c r="M64" i="4" a="1"/>
  <c r="M64" i="4" s="1"/>
  <c r="K63" i="4" a="1"/>
  <c r="K63" i="4" s="1"/>
  <c r="K62" i="4" a="1"/>
  <c r="K62" i="4" s="1"/>
  <c r="L65" i="4" a="1"/>
  <c r="L65" i="4" s="1"/>
  <c r="M63" i="4" a="1"/>
  <c r="M63" i="4" s="1"/>
  <c r="L62" i="4" a="1"/>
  <c r="L62" i="4" s="1"/>
  <c r="J65" i="4" l="1" a="1"/>
  <c r="J65" i="4" s="1"/>
  <c r="J64" i="4" a="1"/>
  <c r="J64" i="4" s="1"/>
  <c r="J63" i="4" a="1"/>
  <c r="J63" i="4" s="1"/>
  <c r="J62" i="4" a="1"/>
  <c r="J62" i="4" s="1"/>
  <c r="N62" i="4" s="1"/>
  <c r="C63" i="4" s="1" a="1"/>
  <c r="C63" i="4" l="1"/>
  <c r="C68" i="4" s="1"/>
  <c r="F68" i="4"/>
  <c r="E68" i="4"/>
  <c r="D6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tc={3350645D-B2A1-45F0-AC76-54A5CDA8725F}</author>
    <author>tc={861729D2-2D40-4029-8C3E-49A253CE1F05}</author>
  </authors>
  <commentList>
    <comment ref="D1" authorId="0" shapeId="0" xr:uid="{00000000-0006-0000-0500-00000100000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Fase:
0 se Kcb = Kcbmin colturale
1 se Kcb &gt; Kcbmin e Kcb&lt;Kcbini, in crescita
2 se Kcb &gt; Kcbini e Kcb&lt;Kcbmax, in crescita
3 se Kcb = Kcbmax
4 se Kcb in decrescita</t>
      </text>
    </comment>
    <comment ref="M1" authorId="1" shapeId="0" xr:uid="{00000000-0006-0000-0500-00000200000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Calcolato solo per i giorni compresi tra TSPlow e TSPhigh:
1 se Tday &lt; Tcrit
0 se Tday&gt;= Tlim
(1-Tcrit)/(Tlim-Tcrit) se Tday compreso tra Tcrit e Tlim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tc={B1CCFE7C-AFB1-4E7E-8CE4-90664DD5DB26}</author>
  </authors>
  <commentList>
    <comment ref="G1" authorId="0" shapeId="0" xr:uid="{00000000-0006-0000-0600-00000100000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H2O disponibile netta non considera le irrigazioni del giorno i-esimo, ma solo la pioggia infiltrata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<sst xmlns="http://schemas.openxmlformats.org/spreadsheetml/2006/main" count="289" uniqueCount="239">
  <si>
    <t>Giulian_day</t>
  </si>
  <si>
    <t>Data di emergenza</t>
  </si>
  <si>
    <t>Data di raccolta</t>
  </si>
  <si>
    <t>Anno</t>
  </si>
  <si>
    <t>Numero di interventi irrigui</t>
  </si>
  <si>
    <t>Irrigazione totale [mm]</t>
  </si>
  <si>
    <t>Irrigazione media per intervento [mm]</t>
  </si>
  <si>
    <t>Giorno giuliano</t>
  </si>
  <si>
    <t>Giorno</t>
  </si>
  <si>
    <t>Precipitazioni [mm]</t>
  </si>
  <si>
    <t>Irrigazione [mm]</t>
  </si>
  <si>
    <t>Pioggia efficace [mm]</t>
  </si>
  <si>
    <r>
      <t>H</t>
    </r>
    <r>
      <rPr>
        <b/>
        <vertAlign val="sub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O disponibile netta [mm]</t>
    </r>
  </si>
  <si>
    <r>
      <t>H</t>
    </r>
    <r>
      <rPr>
        <b/>
        <vertAlign val="subscript"/>
        <sz val="8"/>
        <color theme="1"/>
        <rFont val="Calibri"/>
        <family val="2"/>
        <scheme val="minor"/>
      </rPr>
      <t>2</t>
    </r>
    <r>
      <rPr>
        <b/>
        <sz val="8"/>
        <color theme="1"/>
        <rFont val="Calibri"/>
        <family val="2"/>
        <scheme val="minor"/>
      </rPr>
      <t>O disponibile lorda [mm]</t>
    </r>
  </si>
  <si>
    <t>Scorrimento [mm]</t>
  </si>
  <si>
    <t>Infiltrazione [mm]</t>
  </si>
  <si>
    <t>Evaporazione [mm]</t>
  </si>
  <si>
    <t>Percolazione [mm]</t>
  </si>
  <si>
    <t>Contenuto idrico [mm]</t>
  </si>
  <si>
    <t>Ponding [mm]</t>
  </si>
  <si>
    <t>Bilancio [mm]</t>
  </si>
  <si>
    <t>Intercezione [mm]</t>
  </si>
  <si>
    <t>Traspirazione [mm]</t>
  </si>
  <si>
    <t>Percolazione 1 [mm]</t>
  </si>
  <si>
    <t>Percolazione 2 [mm]</t>
  </si>
  <si>
    <t>Spessore 2 [m]</t>
  </si>
  <si>
    <t>Contenuto idrico [%]</t>
  </si>
  <si>
    <t>Theta II sat</t>
  </si>
  <si>
    <t>Theta II fc</t>
  </si>
  <si>
    <t>Theta II wp</t>
  </si>
  <si>
    <t>Theta II r</t>
  </si>
  <si>
    <t>Codice uso suolo</t>
  </si>
  <si>
    <t>Eventi irrigui</t>
  </si>
  <si>
    <t>Theta wp [%]</t>
  </si>
  <si>
    <t>Theta fc [%]</t>
  </si>
  <si>
    <t>Theta I sat</t>
  </si>
  <si>
    <t>Theta I fc</t>
  </si>
  <si>
    <t>Theta I wp</t>
  </si>
  <si>
    <t>Theta I r</t>
  </si>
  <si>
    <t>Risalita capillare [mm]</t>
  </si>
  <si>
    <t>p [-]</t>
  </si>
  <si>
    <t>TAW [mm]</t>
  </si>
  <si>
    <t>RAW [mm]</t>
  </si>
  <si>
    <t>FC-RAW [mm]</t>
  </si>
  <si>
    <t>FC-RAW [%]</t>
  </si>
  <si>
    <t>Turno medio stimato [d]</t>
  </si>
  <si>
    <t>mm</t>
  </si>
  <si>
    <t>Spessore primo strato</t>
  </si>
  <si>
    <t>Spessore massimo secondo strato</t>
  </si>
  <si>
    <t>Efficienza irrigua</t>
  </si>
  <si>
    <t>AWC</t>
  </si>
  <si>
    <t>Traspirazione potenziale [mm]</t>
  </si>
  <si>
    <t>ET0 [mm]</t>
  </si>
  <si>
    <t>Kcb minimo</t>
  </si>
  <si>
    <t>WPadj</t>
  </si>
  <si>
    <t>Biomassa potenziale</t>
  </si>
  <si>
    <t>HI</t>
  </si>
  <si>
    <t>Resa potenziale</t>
  </si>
  <si>
    <t>Kcb</t>
  </si>
  <si>
    <t>Fase</t>
  </si>
  <si>
    <t>Kcb ini</t>
  </si>
  <si>
    <t>Kcb massimo</t>
  </si>
  <si>
    <t>fcCS</t>
  </si>
  <si>
    <t>Ky1</t>
  </si>
  <si>
    <t>Ky2</t>
  </si>
  <si>
    <t>Ky3</t>
  </si>
  <si>
    <t>Ky4</t>
  </si>
  <si>
    <t>KyT</t>
  </si>
  <si>
    <t>fcT</t>
  </si>
  <si>
    <t>Tmax [°C]</t>
  </si>
  <si>
    <t>Tmin [°C]</t>
  </si>
  <si>
    <t>Data</t>
  </si>
  <si>
    <t>Mese</t>
  </si>
  <si>
    <t>Tday [°C]</t>
  </si>
  <si>
    <t>Tmax_time</t>
  </si>
  <si>
    <t>Tmin_time</t>
  </si>
  <si>
    <t>fHSd</t>
  </si>
  <si>
    <t>Tcrit</t>
  </si>
  <si>
    <t>Tlim</t>
  </si>
  <si>
    <t>Resa effettiva</t>
  </si>
  <si>
    <t>Data di emergenza (DOI)</t>
  </si>
  <si>
    <t>Data di raccolta (DOI)</t>
  </si>
  <si>
    <t>Dati delle colture</t>
  </si>
  <si>
    <r>
      <t>m</t>
    </r>
    <r>
      <rPr>
        <b/>
        <vertAlign val="superscript"/>
        <sz val="8"/>
        <color theme="1"/>
        <rFont val="Calibri"/>
        <family val="2"/>
        <scheme val="minor"/>
      </rPr>
      <t>3</t>
    </r>
    <r>
      <rPr>
        <b/>
        <sz val="8"/>
        <color theme="1"/>
        <rFont val="Calibri"/>
        <family val="2"/>
        <scheme val="minor"/>
      </rPr>
      <t>/m</t>
    </r>
    <r>
      <rPr>
        <b/>
        <vertAlign val="superscript"/>
        <sz val="8"/>
        <color theme="1"/>
        <rFont val="Calibri"/>
        <family val="2"/>
        <scheme val="minor"/>
      </rPr>
      <t>3</t>
    </r>
  </si>
  <si>
    <t>Caratteristiche idrauliche del suolo</t>
  </si>
  <si>
    <t>Dati irrigui</t>
  </si>
  <si>
    <t>Parametri di simulazione</t>
  </si>
  <si>
    <t>Tp/ET0</t>
  </si>
  <si>
    <t>Durata ciclo colturale</t>
  </si>
  <si>
    <t>Id coltura</t>
  </si>
  <si>
    <t>Dati relativi alla produttività</t>
  </si>
  <si>
    <t>Coltura</t>
  </si>
  <si>
    <t>Traspirazione effettiva [mm]</t>
  </si>
  <si>
    <t> </t>
  </si>
  <si>
    <t>Risalita al 1° strato [mm]</t>
  </si>
  <si>
    <t>Contenuto idrico  iniziale [mm]</t>
  </si>
  <si>
    <t>Risalita dal 2° strato [mm]</t>
  </si>
  <si>
    <t>Dati relativi al bilancio idrologico - 1° strato</t>
  </si>
  <si>
    <t>Anno intero</t>
  </si>
  <si>
    <t>Traspirazione del 1° strato [mm]</t>
  </si>
  <si>
    <t>Percolazione al 2° strato [mm]</t>
  </si>
  <si>
    <t>Dati relativi al bilancio idrologico - 2° strato</t>
  </si>
  <si>
    <t>Percolazione dal 1° strato [mm]</t>
  </si>
  <si>
    <t>Risalita capillare da falda [mm]</t>
  </si>
  <si>
    <t>Traspirazione del 2° strato [mm]</t>
  </si>
  <si>
    <t>Percolazione a falda [mm]</t>
  </si>
  <si>
    <t>TAW I [%]</t>
  </si>
  <si>
    <t>RAW I [%]</t>
  </si>
  <si>
    <t>FC-RAW</t>
  </si>
  <si>
    <t>TAW</t>
  </si>
  <si>
    <t>1° strato</t>
  </si>
  <si>
    <t>2° strato</t>
  </si>
  <si>
    <t>intero profilo</t>
  </si>
  <si>
    <t>Contenuto idrico antecedente [mm]</t>
  </si>
  <si>
    <t>teta s</t>
  </si>
  <si>
    <t> </t>
  </si>
  <si>
    <t>Rainfall [mm]</t>
  </si>
  <si>
    <t>Irrigation [mm]</t>
  </si>
  <si>
    <t>DOY</t>
  </si>
  <si>
    <t>Date</t>
  </si>
  <si>
    <t>Thickness lyr 1 [m]</t>
  </si>
  <si>
    <t>Thickness lyr 2 [m]</t>
  </si>
  <si>
    <t>wcontent lyr 1 [mm]</t>
  </si>
  <si>
    <t>wcontent lyr 2 [mm]</t>
  </si>
  <si>
    <t>wcontent weighted [mm]</t>
  </si>
  <si>
    <t>Trigger threshold [mm]</t>
  </si>
  <si>
    <t>is trying to irrigate</t>
  </si>
  <si>
    <t>input files</t>
  </si>
  <si>
    <t xml:space="preserve"> WPadj</t>
  </si>
  <si>
    <t xml:space="preserve"> HI</t>
  </si>
  <si>
    <t xml:space="preserve"> KyT</t>
  </si>
  <si>
    <t xml:space="preserve"> Ky1</t>
  </si>
  <si>
    <t xml:space="preserve"> Ky2</t>
  </si>
  <si>
    <t xml:space="preserve"> Ky3</t>
  </si>
  <si>
    <t xml:space="preserve"> Ky4</t>
  </si>
  <si>
    <t xml:space="preserve"> Tcrit</t>
  </si>
  <si>
    <t xml:space="preserve"> Tlim</t>
  </si>
  <si>
    <t xml:space="preserve"> Kcbmin</t>
  </si>
  <si>
    <t xml:space="preserve"> Kcbini</t>
  </si>
  <si>
    <t xml:space="preserve"> Kcbmax</t>
  </si>
  <si>
    <t xml:space="preserve"> ii0</t>
  </si>
  <si>
    <t xml:space="preserve"> iie</t>
  </si>
  <si>
    <t xml:space="preserve"> iid</t>
  </si>
  <si>
    <t xml:space="preserve"> dij</t>
  </si>
  <si>
    <t xml:space="preserve"> irandom</t>
  </si>
  <si>
    <t xml:space="preserve"> Domain</t>
  </si>
  <si>
    <t xml:space="preserve"> Slope</t>
  </si>
  <si>
    <t xml:space="preserve"> Soil use</t>
  </si>
  <si>
    <t xml:space="preserve"> Irrigation subdistrict</t>
  </si>
  <si>
    <t xml:space="preserve"> null</t>
  </si>
  <si>
    <t xml:space="preserve"> Irrigation method</t>
  </si>
  <si>
    <t xml:space="preserve"> Method efficiency</t>
  </si>
  <si>
    <t xml:space="preserve"> Conveyance efficiency</t>
  </si>
  <si>
    <t xml:space="preserve"> Hydrologic soil group</t>
  </si>
  <si>
    <t xml:space="preserve"> Hydrologic condition</t>
  </si>
  <si>
    <t xml:space="preserve"> ThetaI_sat</t>
  </si>
  <si>
    <t xml:space="preserve"> ThetaI_fc</t>
  </si>
  <si>
    <t xml:space="preserve"> ThetaI_wp</t>
  </si>
  <si>
    <t xml:space="preserve"> ThetaI_r</t>
  </si>
  <si>
    <t xml:space="preserve"> ThetaII_sat</t>
  </si>
  <si>
    <t xml:space="preserve"> ThetaII_fc</t>
  </si>
  <si>
    <t xml:space="preserve"> ThetaII_wp</t>
  </si>
  <si>
    <t xml:space="preserve"> ThetaII_r</t>
  </si>
  <si>
    <t xml:space="preserve"> ksat_I</t>
  </si>
  <si>
    <t xml:space="preserve"> ksat_II</t>
  </si>
  <si>
    <t xml:space="preserve"> expn_I</t>
  </si>
  <si>
    <t xml:space="preserve"> expn_II</t>
  </si>
  <si>
    <t xml:space="preserve"> 1st layer's thickness</t>
  </si>
  <si>
    <t xml:space="preserve"> 2nd layer's max thickness</t>
  </si>
  <si>
    <t xml:space="preserve"> Simulation year</t>
  </si>
  <si>
    <t xml:space="preserve"> CapFluxParam_a3</t>
  </si>
  <si>
    <t xml:space="preserve"> CapFluxParam_a4</t>
  </si>
  <si>
    <t xml:space="preserve"> CapFluxParam_b1</t>
  </si>
  <si>
    <t xml:space="preserve"> CapFluxParam_b2</t>
  </si>
  <si>
    <t xml:space="preserve"> CapFluxParam_b3</t>
  </si>
  <si>
    <t xml:space="preserve"> CapFluxParam_b4</t>
  </si>
  <si>
    <t xml:space="preserve"> Water depth</t>
  </si>
  <si>
    <t xml:space="preserve"> am_perc1</t>
  </si>
  <si>
    <t xml:space="preserve"> am_perc2</t>
  </si>
  <si>
    <t xml:space="preserve"> bm_perc1</t>
  </si>
  <si>
    <t xml:space="preserve"> bm_perc2</t>
  </si>
  <si>
    <t xml:space="preserve"> Meteorological Station nr           1 </t>
  </si>
  <si>
    <t xml:space="preserve"> Meteorological Station nr           2 </t>
  </si>
  <si>
    <t xml:space="preserve"> Meteorological Station nr           3 </t>
  </si>
  <si>
    <t xml:space="preserve"> Meteorological Station nr           4 </t>
  </si>
  <si>
    <t xml:space="preserve"> Meteorological Station nr           5 </t>
  </si>
  <si>
    <t xml:space="preserve"> rain_mm</t>
  </si>
  <si>
    <t xml:space="preserve"> Tmax</t>
  </si>
  <si>
    <t xml:space="preserve"> Tmin</t>
  </si>
  <si>
    <t xml:space="preserve"> et0</t>
  </si>
  <si>
    <t xml:space="preserve"> kcb</t>
  </si>
  <si>
    <t xml:space="preserve"> lai</t>
  </si>
  <si>
    <t xml:space="preserve"> pday</t>
  </si>
  <si>
    <t xml:space="preserve"> irrig_mm</t>
  </si>
  <si>
    <t xml:space="preserve"> eff_rain_mm</t>
  </si>
  <si>
    <t xml:space="preserve"> GrossAv_water_mm</t>
  </si>
  <si>
    <t xml:space="preserve"> NetAv_water_mm</t>
  </si>
  <si>
    <t xml:space="preserve"> interception_mm</t>
  </si>
  <si>
    <t xml:space="preserve"> runoff_mm</t>
  </si>
  <si>
    <t xml:space="preserve"> infiltration_mm</t>
  </si>
  <si>
    <t xml:space="preserve"> eva_pot_mm</t>
  </si>
  <si>
    <t xml:space="preserve"> eva_mm</t>
  </si>
  <si>
    <t xml:space="preserve"> trasp_pot1_mm</t>
  </si>
  <si>
    <t xml:space="preserve"> trasp_act1_mm</t>
  </si>
  <si>
    <t xml:space="preserve"> perc1_mm</t>
  </si>
  <si>
    <t xml:space="preserve"> theta1_mm</t>
  </si>
  <si>
    <t xml:space="preserve"> ponding_mm</t>
  </si>
  <si>
    <t xml:space="preserve"> rise_mm</t>
  </si>
  <si>
    <t xml:space="preserve"> trasp_pot2_mm</t>
  </si>
  <si>
    <t xml:space="preserve"> trasp_act2_mm</t>
  </si>
  <si>
    <t xml:space="preserve"> ks</t>
  </si>
  <si>
    <t xml:space="preserve"> thickness_II_m</t>
  </si>
  <si>
    <t xml:space="preserve"> wat_table_depth_under_root_m</t>
  </si>
  <si>
    <t xml:space="preserve"> capflux_mm</t>
  </si>
  <si>
    <t xml:space="preserve"> perc2_mm</t>
  </si>
  <si>
    <t xml:space="preserve"> theta2_mm</t>
  </si>
  <si>
    <t xml:space="preserve"> theta_old_mm</t>
  </si>
  <si>
    <t xml:space="preserve"> rawbig</t>
  </si>
  <si>
    <t xml:space="preserve"> rawinf</t>
  </si>
  <si>
    <t xml:space="preserve"> wat_table_depth_m</t>
  </si>
  <si>
    <t xml:space="preserve"> distr_irr_mm</t>
  </si>
  <si>
    <t xml:space="preserve"> priv_well_irr_mm</t>
  </si>
  <si>
    <t xml:space="preserve"> espperc1</t>
  </si>
  <si>
    <t xml:space="preserve"> espperc2</t>
  </si>
  <si>
    <t xml:space="preserve"> irr_loss_mm</t>
  </si>
  <si>
    <t xml:space="preserve"> RF_e</t>
  </si>
  <si>
    <t xml:space="preserve"> RF_t</t>
  </si>
  <si>
    <t xml:space="preserve"> r_stress</t>
  </si>
  <si>
    <t xml:space="preserve"> h_r</t>
  </si>
  <si>
    <t xml:space="preserve"> h_wp</t>
  </si>
  <si>
    <t xml:space="preserve"> h_fc</t>
  </si>
  <si>
    <t xml:space="preserve"> h_sat</t>
  </si>
  <si>
    <t xml:space="preserve"> h_maxpond</t>
  </si>
  <si>
    <t>wcont at FC lyr1 [mm]</t>
  </si>
  <si>
    <t>wcont at WP lyr1 [mm]</t>
  </si>
  <si>
    <t>TAW lyr1 [mm]</t>
  </si>
  <si>
    <t>wcont at FC lyr2 [mm]</t>
  </si>
  <si>
    <t>wcont at WP lyr2 [mm]</t>
  </si>
  <si>
    <t>TAW lyr2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</si>
</sst>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vertAlign val="subscript"/>
      <sz val="8"/>
      <color theme="1"/>
      <name val="Calibri"/>
      <family val="2"/>
      <scheme val="minor"/>
    </font>
    <font>
      <b/>
      <i/>
      <sz val="8"/>
      <color theme="0" tint="-0.49995422223578601"/>
      <name val="Calibri"/>
      <family val="2"/>
      <scheme val="minor"/>
    </font>
    <font>
      <i/>
      <sz val="8"/>
      <color theme="0" tint="-0.49995422223578601"/>
      <name val="Calibri"/>
      <family val="2"/>
      <scheme val="minor"/>
    </font>
    <font>
      <strike/>
      <sz val="8"/>
      <color theme="1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29" fillId="0" borderId="0" applyNumberFormat="0" applyFill="0" applyBorder="0" applyAlignment="0" applyProtection="0"/>
  </cellStyleXfs>
  <cellXfs count="54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0" borderId="0" xfId="0" applyFont="1" applyAlignment="1">
      <alignment wrapText="1"/>
    </xf>
    <xf numFmtId="0" fontId="19" fillId="0" borderId="0" xfId="0" applyFont="1"/>
    <xf numFmtId="164" fontId="18" fillId="0" borderId="0" xfId="0" applyNumberFormat="1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9" fillId="0" borderId="0" xfId="0" applyFont="1" applyAlignment="1">
      <alignment horizontal="center" wrapText="1"/>
    </xf>
    <xf numFmtId="14" fontId="24" fillId="0" borderId="0" xfId="0" applyNumberFormat="1" applyFont="1"/>
    <xf numFmtId="164" fontId="19" fillId="0" borderId="0" xfId="0" applyNumberFormat="1" applyFont="1"/>
    <xf numFmtId="11" fontId="18" fillId="0" borderId="0" xfId="0" applyNumberFormat="1" applyFont="1"/>
    <xf numFmtId="0" fontId="19" fillId="33" borderId="10" xfId="0" applyFont="1" applyFill="1" applyBorder="1"/>
    <xf numFmtId="0" fontId="18" fillId="33" borderId="10" xfId="0" applyFont="1" applyFill="1" applyBorder="1"/>
    <xf numFmtId="11" fontId="0" fillId="0" borderId="0" xfId="0" applyNumberFormat="1"/>
    <xf numFmtId="0" fontId="19" fillId="0" borderId="10" xfId="0" applyFont="1" applyBorder="1"/>
    <xf numFmtId="0" fontId="18" fillId="0" borderId="10" xfId="0" applyFont="1" applyBorder="1"/>
    <xf numFmtId="14" fontId="18" fillId="0" borderId="10" xfId="0" applyNumberFormat="1" applyFont="1" applyBorder="1"/>
    <xf numFmtId="0" fontId="19" fillId="0" borderId="11" xfId="0" applyFont="1" applyBorder="1"/>
    <xf numFmtId="0" fontId="18" fillId="0" borderId="11" xfId="0" applyFont="1" applyBorder="1"/>
    <xf numFmtId="2" fontId="18" fillId="0" borderId="11" xfId="0" applyNumberFormat="1" applyFont="1" applyBorder="1"/>
    <xf numFmtId="0" fontId="19" fillId="0" borderId="11" xfId="0" applyFont="1" applyBorder="1" applyAlignment="1">
      <alignment horizontal="center"/>
    </xf>
    <xf numFmtId="164" fontId="18" fillId="0" borderId="11" xfId="0" applyNumberFormat="1" applyFont="1" applyBorder="1"/>
    <xf numFmtId="164" fontId="19" fillId="0" borderId="11" xfId="0" applyNumberFormat="1" applyFont="1" applyBorder="1"/>
    <xf numFmtId="0" fontId="19" fillId="0" borderId="12" xfId="0" applyFont="1" applyBorder="1"/>
    <xf numFmtId="165" fontId="18" fillId="0" borderId="10" xfId="0" applyNumberFormat="1" applyFont="1" applyBorder="1"/>
    <xf numFmtId="10" fontId="18" fillId="0" borderId="11" xfId="42" applyNumberFormat="1" applyFont="1" applyBorder="1"/>
    <xf numFmtId="0" fontId="19" fillId="0" borderId="10" xfId="0" applyFont="1" applyBorder="1" applyAlignment="1">
      <alignment horizontal="center"/>
    </xf>
    <xf numFmtId="1" fontId="18" fillId="0" borderId="10" xfId="0" applyNumberFormat="1" applyFont="1" applyBorder="1"/>
    <xf numFmtId="2" fontId="18" fillId="0" borderId="11" xfId="0" applyNumberFormat="1" applyFont="1" applyBorder="1" applyAlignment="1">
      <alignment horizontal="right"/>
    </xf>
    <xf numFmtId="0" fontId="28" fillId="0" borderId="0" xfId="0" applyFont="1" applyAlignment="1">
      <alignment vertical="center"/>
    </xf>
    <xf numFmtId="0" fontId="16" fillId="0" borderId="0" xfId="0" applyFont="1"/>
    <xf numFmtId="2" fontId="18" fillId="0" borderId="10" xfId="0" applyNumberFormat="1" applyFont="1" applyBorder="1"/>
    <xf numFmtId="1" fontId="18" fillId="0" borderId="0" xfId="0" applyNumberFormat="1" applyFont="1"/>
    <xf numFmtId="0" fontId="19" fillId="0" borderId="13" xfId="0" applyFont="1" applyBorder="1"/>
    <xf numFmtId="0" fontId="29" fillId="0" borderId="0" xfId="51" quotePrefix="1" applyAlignment="1">
      <alignment vertical="center"/>
    </xf>
    <xf numFmtId="14" fontId="0" fillId="0" borderId="0" xfId="0" applyNumberFormat="1"/>
    <xf numFmtId="164" fontId="19" fillId="0" borderId="11" xfId="0" applyNumberFormat="1" applyFont="1" applyBorder="1" applyAlignment="1">
      <alignment horizontal="center"/>
    </xf>
    <xf numFmtId="2" fontId="0" fillId="0" borderId="0" xfId="0" applyNumberFormat="1"/>
    <xf numFmtId="0" fontId="18" fillId="0" borderId="0" xfId="0" applyFont="1" applyAlignment="1">
      <alignment horizontal="right"/>
    </xf>
    <xf numFmtId="0" fontId="30" fillId="0" borderId="0" xfId="0" applyFont="1"/>
    <xf numFmtId="14" fontId="30" fillId="0" borderId="0" xfId="0" applyNumberFormat="1" applyFont="1"/>
    <xf numFmtId="2" fontId="18" fillId="0" borderId="0" xfId="0" applyNumberFormat="1" applyFont="1"/>
    <xf numFmtId="2" fontId="28" fillId="0" borderId="0" xfId="0" applyNumberFormat="1" applyFont="1"/>
    <xf numFmtId="2" fontId="30" fillId="0" borderId="0" xfId="0" applyNumberFormat="1" applyFont="1"/>
    <xf numFmtId="0" fontId="18" fillId="34" borderId="10" xfId="0" applyFont="1" applyFill="1" applyBorder="1"/>
    <xf numFmtId="0" fontId="19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</cellXfs>
  <cellStyles count="5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1 2" xfId="45" xr:uid="{00000000-0005-0000-0000-00000D000000}"/>
    <cellStyle name="60% - Colore 2" xfId="25" builtinId="36" customBuiltin="1"/>
    <cellStyle name="60% - Colore 2 2" xfId="46" xr:uid="{00000000-0005-0000-0000-00000F000000}"/>
    <cellStyle name="60% - Colore 3" xfId="29" builtinId="40" customBuiltin="1"/>
    <cellStyle name="60% - Colore 3 2" xfId="47" xr:uid="{00000000-0005-0000-0000-000011000000}"/>
    <cellStyle name="60% - Colore 4" xfId="33" builtinId="44" customBuiltin="1"/>
    <cellStyle name="60% - Colore 4 2" xfId="48" xr:uid="{00000000-0005-0000-0000-000013000000}"/>
    <cellStyle name="60% - Colore 5" xfId="37" builtinId="48" customBuiltin="1"/>
    <cellStyle name="60% - Colore 5 2" xfId="49" xr:uid="{00000000-0005-0000-0000-000015000000}"/>
    <cellStyle name="60% - Colore 6" xfId="41" builtinId="52" customBuiltin="1"/>
    <cellStyle name="60% - Colore 6 2" xfId="50" xr:uid="{00000000-0005-0000-0000-000017000000}"/>
    <cellStyle name="Calcolo" xfId="11" builtinId="22" customBuiltin="1"/>
    <cellStyle name="Cella collegata" xfId="12" builtinId="24" customBuiltin="1"/>
    <cellStyle name="Cella da controllare" xfId="13" builtinId="23" customBuiltin="1"/>
    <cellStyle name="Collegamento ipertestuale" xfId="51" builtinId="8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eutrale 2" xfId="44" xr:uid="{00000000-0005-0000-0000-000024000000}"/>
    <cellStyle name="Normale" xfId="0" builtinId="0"/>
    <cellStyle name="Nota" xfId="15" builtinId="10" customBuiltin="1"/>
    <cellStyle name="Output" xfId="10" builtinId="21" customBuiltin="1"/>
    <cellStyle name="Percentuale" xfId="42" builtinId="5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itolo 5" xfId="43" xr:uid="{00000000-0005-0000-0000-000030000000}"/>
    <cellStyle name="Totale" xfId="17" builtinId="25" customBuiltin="1"/>
    <cellStyle name="Valore non valido" xfId="7" builtinId="27" customBuiltin="1"/>
    <cellStyle name="Valore valido" xfId="6" builtinId="26" customBuiltin="1"/>
  </cellStyles>
  <dxfs count="11">
    <dxf>
      <fill>
        <patternFill>
          <bgColor theme="3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rgb="FFFFFFCC"/>
        </patternFill>
      </fill>
    </dxf>
    <dxf>
      <fill>
        <patternFill>
          <bgColor theme="5" tint="0.79995117038483843"/>
        </patternFill>
      </fill>
    </dxf>
    <dxf>
      <fill>
        <patternFill>
          <bgColor rgb="FFFFFFCC"/>
        </patternFill>
      </fill>
    </dxf>
    <dxf>
      <fill>
        <patternFill>
          <bgColor theme="6" tint="0.79995117038483843"/>
        </patternFill>
      </fill>
    </dxf>
    <dxf>
      <fill>
        <patternFill>
          <bgColor theme="5" tint="0.79995117038483843"/>
        </patternFill>
      </fill>
    </dxf>
    <dxf>
      <fill>
        <patternFill>
          <bgColor rgb="FFFFFFCC"/>
        </patternFill>
      </fill>
    </dxf>
    <dxf>
      <fill>
        <patternFill>
          <bgColor theme="6" tint="0.79995117038483843"/>
        </patternFill>
      </fill>
    </dxf>
    <dxf>
      <fill>
        <patternFill>
          <bgColor theme="6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FFCC"/>
      <color rgb="FFFFCCCC"/>
      <color rgb="FFC6D9F1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chartsheet" Target="chartsheets/sheet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412397488520429E-2"/>
          <c:y val="2.2917758480811266E-2"/>
          <c:w val="0.93777975385159473"/>
          <c:h val="0.89100049399499093"/>
        </c:manualLayout>
      </c:layout>
      <c:areaChart>
        <c:grouping val="stacked"/>
        <c:varyColors val="0"/>
        <c:ser>
          <c:idx val="2"/>
          <c:order val="2"/>
          <c:tx>
            <c:strRef>
              <c:f>'Rootzone balance'!$J$1</c:f>
              <c:strCache>
                <c:ptCount val="1"/>
                <c:pt idx="0">
                  <c:v>wcontent weighted [mm]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cat>
            <c:numRef>
              <c:f>'Rootzone balance'!$B$2:$B$366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'Rootzone balance'!$J$2:$J$366</c:f>
              <c:numCache>
                <c:formatCode>0.00</c:formatCode>
                <c:ptCount val="365"/>
                <c:pt idx="1">
                  <c:v>180.26525699999999</c:v>
                </c:pt>
                <c:pt idx="2">
                  <c:v>192.00456890000001</c:v>
                </c:pt>
                <c:pt idx="3">
                  <c:v>198.52288300000001</c:v>
                </c:pt>
                <c:pt idx="4">
                  <c:v>203.1374706</c:v>
                </c:pt>
                <c:pt idx="5">
                  <c:v>208.71626240000001</c:v>
                </c:pt>
                <c:pt idx="6">
                  <c:v>210.96758</c:v>
                </c:pt>
                <c:pt idx="7">
                  <c:v>210.8495585</c:v>
                </c:pt>
                <c:pt idx="8">
                  <c:v>210.41555009999999</c:v>
                </c:pt>
                <c:pt idx="9">
                  <c:v>209.8201622</c:v>
                </c:pt>
                <c:pt idx="10">
                  <c:v>208.91242700000001</c:v>
                </c:pt>
                <c:pt idx="11">
                  <c:v>207.90057340000001</c:v>
                </c:pt>
                <c:pt idx="12">
                  <c:v>206.8634983</c:v>
                </c:pt>
                <c:pt idx="13">
                  <c:v>205.81197689999999</c:v>
                </c:pt>
                <c:pt idx="14">
                  <c:v>204.76553530000001</c:v>
                </c:pt>
                <c:pt idx="15">
                  <c:v>203.74563499999999</c:v>
                </c:pt>
                <c:pt idx="16">
                  <c:v>202.76234400000001</c:v>
                </c:pt>
                <c:pt idx="17">
                  <c:v>201.8216377</c:v>
                </c:pt>
                <c:pt idx="18">
                  <c:v>200.92433800000001</c:v>
                </c:pt>
                <c:pt idx="19">
                  <c:v>200.07937920000001</c:v>
                </c:pt>
                <c:pt idx="20">
                  <c:v>199.3550381</c:v>
                </c:pt>
                <c:pt idx="21">
                  <c:v>200.48355789999999</c:v>
                </c:pt>
                <c:pt idx="22">
                  <c:v>210.17127669999999</c:v>
                </c:pt>
                <c:pt idx="23">
                  <c:v>219.3970764</c:v>
                </c:pt>
                <c:pt idx="24">
                  <c:v>220.79090020000001</c:v>
                </c:pt>
                <c:pt idx="25">
                  <c:v>219.28730100000001</c:v>
                </c:pt>
                <c:pt idx="26">
                  <c:v>217.3400675</c:v>
                </c:pt>
                <c:pt idx="27">
                  <c:v>215.36613080000001</c:v>
                </c:pt>
                <c:pt idx="28">
                  <c:v>213.5329629</c:v>
                </c:pt>
                <c:pt idx="29">
                  <c:v>211.83962650000001</c:v>
                </c:pt>
                <c:pt idx="30">
                  <c:v>210.2975447</c:v>
                </c:pt>
                <c:pt idx="31">
                  <c:v>209.06326780000001</c:v>
                </c:pt>
                <c:pt idx="32">
                  <c:v>208.07095179999999</c:v>
                </c:pt>
                <c:pt idx="33">
                  <c:v>207.00873910000001</c:v>
                </c:pt>
                <c:pt idx="34">
                  <c:v>209.99853039999999</c:v>
                </c:pt>
                <c:pt idx="35">
                  <c:v>213.14477969999999</c:v>
                </c:pt>
                <c:pt idx="36">
                  <c:v>212.98741290000001</c:v>
                </c:pt>
                <c:pt idx="37">
                  <c:v>212.04188930000001</c:v>
                </c:pt>
                <c:pt idx="38">
                  <c:v>217.9747409</c:v>
                </c:pt>
                <c:pt idx="39">
                  <c:v>220.3588565</c:v>
                </c:pt>
                <c:pt idx="40">
                  <c:v>219.61112220000001</c:v>
                </c:pt>
                <c:pt idx="41">
                  <c:v>223.0545138</c:v>
                </c:pt>
                <c:pt idx="42">
                  <c:v>223.79049409999999</c:v>
                </c:pt>
                <c:pt idx="43">
                  <c:v>221.84503889999999</c:v>
                </c:pt>
                <c:pt idx="44">
                  <c:v>219.59896620000001</c:v>
                </c:pt>
                <c:pt idx="45">
                  <c:v>217.41659709999999</c:v>
                </c:pt>
                <c:pt idx="46">
                  <c:v>215.37304280000001</c:v>
                </c:pt>
                <c:pt idx="47">
                  <c:v>213.48580050000001</c:v>
                </c:pt>
                <c:pt idx="48">
                  <c:v>211.74869179999999</c:v>
                </c:pt>
                <c:pt idx="49">
                  <c:v>210.1553863</c:v>
                </c:pt>
                <c:pt idx="50">
                  <c:v>208.68932040000001</c:v>
                </c:pt>
                <c:pt idx="51">
                  <c:v>207.32872370000001</c:v>
                </c:pt>
                <c:pt idx="52">
                  <c:v>206.06105210000001</c:v>
                </c:pt>
                <c:pt idx="53">
                  <c:v>204.8762093</c:v>
                </c:pt>
                <c:pt idx="54">
                  <c:v>203.76562469999999</c:v>
                </c:pt>
                <c:pt idx="55">
                  <c:v>202.72142919999999</c:v>
                </c:pt>
                <c:pt idx="56">
                  <c:v>201.73677369999999</c:v>
                </c:pt>
                <c:pt idx="57">
                  <c:v>200.80565970000001</c:v>
                </c:pt>
                <c:pt idx="58">
                  <c:v>199.922877</c:v>
                </c:pt>
                <c:pt idx="59">
                  <c:v>199.08391599999999</c:v>
                </c:pt>
                <c:pt idx="60">
                  <c:v>198.28485699999999</c:v>
                </c:pt>
                <c:pt idx="61">
                  <c:v>197.52227400000001</c:v>
                </c:pt>
                <c:pt idx="62">
                  <c:v>196.7931566</c:v>
                </c:pt>
                <c:pt idx="63">
                  <c:v>196.09484520000001</c:v>
                </c:pt>
                <c:pt idx="64">
                  <c:v>195.42497969999999</c:v>
                </c:pt>
                <c:pt idx="65">
                  <c:v>194.78145649999999</c:v>
                </c:pt>
                <c:pt idx="66">
                  <c:v>194.16239229999999</c:v>
                </c:pt>
                <c:pt idx="67">
                  <c:v>193.56609560000001</c:v>
                </c:pt>
                <c:pt idx="68">
                  <c:v>192.991041</c:v>
                </c:pt>
                <c:pt idx="69">
                  <c:v>192.43584860000001</c:v>
                </c:pt>
                <c:pt idx="70">
                  <c:v>191.89926639999999</c:v>
                </c:pt>
                <c:pt idx="71">
                  <c:v>191.380155</c:v>
                </c:pt>
                <c:pt idx="72">
                  <c:v>190.87747419999999</c:v>
                </c:pt>
                <c:pt idx="73">
                  <c:v>190.39027279999999</c:v>
                </c:pt>
                <c:pt idx="74">
                  <c:v>189.91767780000001</c:v>
                </c:pt>
                <c:pt idx="75">
                  <c:v>189.4588871</c:v>
                </c:pt>
                <c:pt idx="76">
                  <c:v>189.0131614</c:v>
                </c:pt>
                <c:pt idx="77">
                  <c:v>188.57981810000001</c:v>
                </c:pt>
                <c:pt idx="78">
                  <c:v>188.1582258</c:v>
                </c:pt>
                <c:pt idx="79">
                  <c:v>187.7477993</c:v>
                </c:pt>
                <c:pt idx="80">
                  <c:v>187.347995</c:v>
                </c:pt>
                <c:pt idx="81">
                  <c:v>186.95830770000001</c:v>
                </c:pt>
                <c:pt idx="82">
                  <c:v>186.5782663</c:v>
                </c:pt>
                <c:pt idx="83">
                  <c:v>186.20743139999999</c:v>
                </c:pt>
                <c:pt idx="84">
                  <c:v>185.84539240000001</c:v>
                </c:pt>
                <c:pt idx="85">
                  <c:v>185.49176510000001</c:v>
                </c:pt>
                <c:pt idx="86">
                  <c:v>185.14618909999999</c:v>
                </c:pt>
                <c:pt idx="87">
                  <c:v>184.8083268</c:v>
                </c:pt>
                <c:pt idx="88">
                  <c:v>184.4778604</c:v>
                </c:pt>
                <c:pt idx="89">
                  <c:v>184.15449129999999</c:v>
                </c:pt>
                <c:pt idx="90">
                  <c:v>183.8379382</c:v>
                </c:pt>
                <c:pt idx="91">
                  <c:v>183.52793600000001</c:v>
                </c:pt>
                <c:pt idx="92">
                  <c:v>40.716496460000002</c:v>
                </c:pt>
                <c:pt idx="93">
                  <c:v>40.162444190000002</c:v>
                </c:pt>
                <c:pt idx="94">
                  <c:v>40.82276143</c:v>
                </c:pt>
                <c:pt idx="95">
                  <c:v>41.530007259999998</c:v>
                </c:pt>
                <c:pt idx="96">
                  <c:v>42.259158599999999</c:v>
                </c:pt>
                <c:pt idx="97">
                  <c:v>43.166449890000003</c:v>
                </c:pt>
                <c:pt idx="98">
                  <c:v>43.922757420000003</c:v>
                </c:pt>
                <c:pt idx="99">
                  <c:v>44.865013529999999</c:v>
                </c:pt>
                <c:pt idx="100">
                  <c:v>45.868466609999999</c:v>
                </c:pt>
                <c:pt idx="101">
                  <c:v>47.00714791</c:v>
                </c:pt>
                <c:pt idx="102">
                  <c:v>48.156524529999999</c:v>
                </c:pt>
                <c:pt idx="103">
                  <c:v>49.079085290000002</c:v>
                </c:pt>
                <c:pt idx="104">
                  <c:v>50.129498839999997</c:v>
                </c:pt>
                <c:pt idx="105">
                  <c:v>51.076637920000003</c:v>
                </c:pt>
                <c:pt idx="106">
                  <c:v>51.968170809999997</c:v>
                </c:pt>
                <c:pt idx="107">
                  <c:v>52.831469630000001</c:v>
                </c:pt>
                <c:pt idx="108">
                  <c:v>53.717169159999997</c:v>
                </c:pt>
                <c:pt idx="109">
                  <c:v>54.567709739999998</c:v>
                </c:pt>
                <c:pt idx="110">
                  <c:v>55.33920294</c:v>
                </c:pt>
                <c:pt idx="111">
                  <c:v>56.328383700000003</c:v>
                </c:pt>
                <c:pt idx="112">
                  <c:v>57.146991749999998</c:v>
                </c:pt>
                <c:pt idx="113">
                  <c:v>57.926273190000003</c:v>
                </c:pt>
                <c:pt idx="114">
                  <c:v>58.651346820000001</c:v>
                </c:pt>
                <c:pt idx="115">
                  <c:v>59.349114010000001</c:v>
                </c:pt>
                <c:pt idx="116">
                  <c:v>60.437534239999998</c:v>
                </c:pt>
                <c:pt idx="117">
                  <c:v>61.517276979999998</c:v>
                </c:pt>
                <c:pt idx="118">
                  <c:v>62.642503290000001</c:v>
                </c:pt>
                <c:pt idx="119">
                  <c:v>63.806906910000002</c:v>
                </c:pt>
                <c:pt idx="120">
                  <c:v>64.838338210000003</c:v>
                </c:pt>
                <c:pt idx="121">
                  <c:v>66.039238069999996</c:v>
                </c:pt>
                <c:pt idx="122">
                  <c:v>67.267635110000001</c:v>
                </c:pt>
                <c:pt idx="123">
                  <c:v>68.161477120000001</c:v>
                </c:pt>
                <c:pt idx="124">
                  <c:v>68.904804799999994</c:v>
                </c:pt>
                <c:pt idx="125">
                  <c:v>69.921218319999994</c:v>
                </c:pt>
                <c:pt idx="126">
                  <c:v>70.605326160000004</c:v>
                </c:pt>
                <c:pt idx="127">
                  <c:v>70.879677889999996</c:v>
                </c:pt>
                <c:pt idx="128">
                  <c:v>71.300635240000005</c:v>
                </c:pt>
                <c:pt idx="129">
                  <c:v>71.645956549999994</c:v>
                </c:pt>
                <c:pt idx="130">
                  <c:v>71.99385307</c:v>
                </c:pt>
                <c:pt idx="131">
                  <c:v>72.976246880000005</c:v>
                </c:pt>
                <c:pt idx="132">
                  <c:v>73.176915370000003</c:v>
                </c:pt>
                <c:pt idx="133">
                  <c:v>73.117392809999998</c:v>
                </c:pt>
                <c:pt idx="134">
                  <c:v>73.282533610000002</c:v>
                </c:pt>
                <c:pt idx="135">
                  <c:v>73.576813009999995</c:v>
                </c:pt>
                <c:pt idx="136">
                  <c:v>141.68775629999999</c:v>
                </c:pt>
                <c:pt idx="137">
                  <c:v>125.69596300000001</c:v>
                </c:pt>
                <c:pt idx="138">
                  <c:v>121.3793381</c:v>
                </c:pt>
                <c:pt idx="139">
                  <c:v>119.11244240000001</c:v>
                </c:pt>
                <c:pt idx="140">
                  <c:v>117.2155247</c:v>
                </c:pt>
                <c:pt idx="141">
                  <c:v>115.81685210000001</c:v>
                </c:pt>
                <c:pt idx="142">
                  <c:v>115.29883839999999</c:v>
                </c:pt>
                <c:pt idx="143">
                  <c:v>113.7220664</c:v>
                </c:pt>
                <c:pt idx="144">
                  <c:v>117.58153950000001</c:v>
                </c:pt>
                <c:pt idx="145">
                  <c:v>120.4423436</c:v>
                </c:pt>
                <c:pt idx="146">
                  <c:v>119.40923220000001</c:v>
                </c:pt>
                <c:pt idx="147">
                  <c:v>117.83003770000001</c:v>
                </c:pt>
                <c:pt idx="148">
                  <c:v>115.8266919</c:v>
                </c:pt>
                <c:pt idx="149">
                  <c:v>113.68106299999999</c:v>
                </c:pt>
                <c:pt idx="150">
                  <c:v>111.1808707</c:v>
                </c:pt>
                <c:pt idx="151">
                  <c:v>109.0814567</c:v>
                </c:pt>
                <c:pt idx="152">
                  <c:v>106.4654771</c:v>
                </c:pt>
                <c:pt idx="153">
                  <c:v>104.312195</c:v>
                </c:pt>
                <c:pt idx="154">
                  <c:v>184.59605149999999</c:v>
                </c:pt>
                <c:pt idx="155">
                  <c:v>163.1340543</c:v>
                </c:pt>
                <c:pt idx="156">
                  <c:v>156.9742297</c:v>
                </c:pt>
                <c:pt idx="157">
                  <c:v>152.49413060000001</c:v>
                </c:pt>
                <c:pt idx="158">
                  <c:v>150.3167736</c:v>
                </c:pt>
                <c:pt idx="159">
                  <c:v>147.80972879999999</c:v>
                </c:pt>
                <c:pt idx="160">
                  <c:v>144.1084889</c:v>
                </c:pt>
                <c:pt idx="161">
                  <c:v>140.45011539999999</c:v>
                </c:pt>
                <c:pt idx="162">
                  <c:v>136.5910011</c:v>
                </c:pt>
                <c:pt idx="163">
                  <c:v>132.39809700000001</c:v>
                </c:pt>
                <c:pt idx="164">
                  <c:v>127.0533011</c:v>
                </c:pt>
                <c:pt idx="165">
                  <c:v>120.607133</c:v>
                </c:pt>
                <c:pt idx="166">
                  <c:v>212.88268500000001</c:v>
                </c:pt>
                <c:pt idx="167">
                  <c:v>184.61695929999999</c:v>
                </c:pt>
                <c:pt idx="168">
                  <c:v>174.09937249999999</c:v>
                </c:pt>
                <c:pt idx="169">
                  <c:v>166.097174</c:v>
                </c:pt>
                <c:pt idx="170">
                  <c:v>159.87681330000001</c:v>
                </c:pt>
                <c:pt idx="171">
                  <c:v>155.0488775</c:v>
                </c:pt>
                <c:pt idx="172">
                  <c:v>148.9284954</c:v>
                </c:pt>
                <c:pt idx="173">
                  <c:v>142.64383549999999</c:v>
                </c:pt>
                <c:pt idx="174">
                  <c:v>137.2328172</c:v>
                </c:pt>
                <c:pt idx="175">
                  <c:v>131.73398109999999</c:v>
                </c:pt>
                <c:pt idx="176">
                  <c:v>125.48478679999999</c:v>
                </c:pt>
                <c:pt idx="177">
                  <c:v>119.6482381</c:v>
                </c:pt>
                <c:pt idx="178">
                  <c:v>213.00215270000001</c:v>
                </c:pt>
                <c:pt idx="179">
                  <c:v>183.7437065</c:v>
                </c:pt>
                <c:pt idx="180">
                  <c:v>172.70734379999999</c:v>
                </c:pt>
                <c:pt idx="181">
                  <c:v>165.03698370000001</c:v>
                </c:pt>
                <c:pt idx="182">
                  <c:v>157.5660963</c:v>
                </c:pt>
                <c:pt idx="183">
                  <c:v>151.0296792</c:v>
                </c:pt>
                <c:pt idx="184">
                  <c:v>145.97149469999999</c:v>
                </c:pt>
                <c:pt idx="185">
                  <c:v>143.30500889999999</c:v>
                </c:pt>
                <c:pt idx="186">
                  <c:v>138.0965205</c:v>
                </c:pt>
                <c:pt idx="187">
                  <c:v>132.2304177</c:v>
                </c:pt>
                <c:pt idx="188">
                  <c:v>126.4660525</c:v>
                </c:pt>
                <c:pt idx="189">
                  <c:v>134.87378649999999</c:v>
                </c:pt>
                <c:pt idx="190">
                  <c:v>134.4290733</c:v>
                </c:pt>
                <c:pt idx="191">
                  <c:v>129.99709730000001</c:v>
                </c:pt>
                <c:pt idx="192">
                  <c:v>124.5153882</c:v>
                </c:pt>
                <c:pt idx="193">
                  <c:v>119.5069561</c:v>
                </c:pt>
                <c:pt idx="194">
                  <c:v>210.780382</c:v>
                </c:pt>
                <c:pt idx="195">
                  <c:v>184.2345613</c:v>
                </c:pt>
                <c:pt idx="196">
                  <c:v>175.15057150000001</c:v>
                </c:pt>
                <c:pt idx="197">
                  <c:v>171.25114740000001</c:v>
                </c:pt>
                <c:pt idx="198">
                  <c:v>167.9056368</c:v>
                </c:pt>
                <c:pt idx="199">
                  <c:v>162.99113610000001</c:v>
                </c:pt>
                <c:pt idx="200">
                  <c:v>156.53255849999999</c:v>
                </c:pt>
                <c:pt idx="201">
                  <c:v>150.2202565</c:v>
                </c:pt>
                <c:pt idx="202">
                  <c:v>144.3908706</c:v>
                </c:pt>
                <c:pt idx="203">
                  <c:v>138.4787627</c:v>
                </c:pt>
                <c:pt idx="204">
                  <c:v>133.08244429999999</c:v>
                </c:pt>
                <c:pt idx="205">
                  <c:v>127.84158909999999</c:v>
                </c:pt>
                <c:pt idx="206">
                  <c:v>122.98423680000001</c:v>
                </c:pt>
                <c:pt idx="207">
                  <c:v>150.57394500000001</c:v>
                </c:pt>
                <c:pt idx="208">
                  <c:v>154.7858603</c:v>
                </c:pt>
                <c:pt idx="209">
                  <c:v>152.1116044</c:v>
                </c:pt>
                <c:pt idx="210">
                  <c:v>147.1485528</c:v>
                </c:pt>
                <c:pt idx="211">
                  <c:v>142.6996844</c:v>
                </c:pt>
                <c:pt idx="212">
                  <c:v>138.08530529999999</c:v>
                </c:pt>
                <c:pt idx="213">
                  <c:v>134.5126544</c:v>
                </c:pt>
                <c:pt idx="214">
                  <c:v>130.04247090000001</c:v>
                </c:pt>
                <c:pt idx="215">
                  <c:v>125.9735512</c:v>
                </c:pt>
                <c:pt idx="216">
                  <c:v>124.30610040000001</c:v>
                </c:pt>
                <c:pt idx="217">
                  <c:v>119.7901616</c:v>
                </c:pt>
                <c:pt idx="218">
                  <c:v>213.07918979999999</c:v>
                </c:pt>
                <c:pt idx="219">
                  <c:v>185.6602043</c:v>
                </c:pt>
                <c:pt idx="220">
                  <c:v>176.435427</c:v>
                </c:pt>
                <c:pt idx="221">
                  <c:v>170.18262770000001</c:v>
                </c:pt>
                <c:pt idx="222">
                  <c:v>165.43091430000001</c:v>
                </c:pt>
                <c:pt idx="223">
                  <c:v>161.1790173</c:v>
                </c:pt>
                <c:pt idx="224">
                  <c:v>157.2166593</c:v>
                </c:pt>
                <c:pt idx="225">
                  <c:v>153.72287979999999</c:v>
                </c:pt>
                <c:pt idx="226">
                  <c:v>150.61448139999999</c:v>
                </c:pt>
                <c:pt idx="227">
                  <c:v>147.6723514</c:v>
                </c:pt>
                <c:pt idx="228">
                  <c:v>145.3018222</c:v>
                </c:pt>
                <c:pt idx="229">
                  <c:v>143.84485839999999</c:v>
                </c:pt>
                <c:pt idx="230">
                  <c:v>141.97108589999999</c:v>
                </c:pt>
                <c:pt idx="231">
                  <c:v>140.40542640000001</c:v>
                </c:pt>
                <c:pt idx="232">
                  <c:v>139.0078211</c:v>
                </c:pt>
                <c:pt idx="233">
                  <c:v>137.78435099999999</c:v>
                </c:pt>
                <c:pt idx="234">
                  <c:v>136.79979990000001</c:v>
                </c:pt>
                <c:pt idx="235">
                  <c:v>36.27638898</c:v>
                </c:pt>
                <c:pt idx="236">
                  <c:v>36.207481899999998</c:v>
                </c:pt>
                <c:pt idx="237">
                  <c:v>36.140247070000001</c:v>
                </c:pt>
                <c:pt idx="238">
                  <c:v>36.074609279999997</c:v>
                </c:pt>
                <c:pt idx="239">
                  <c:v>36.010498679999998</c:v>
                </c:pt>
                <c:pt idx="240">
                  <c:v>35.947849290000001</c:v>
                </c:pt>
                <c:pt idx="241">
                  <c:v>35.88659972</c:v>
                </c:pt>
                <c:pt idx="242">
                  <c:v>35.826692270000002</c:v>
                </c:pt>
                <c:pt idx="243">
                  <c:v>35.768072699999998</c:v>
                </c:pt>
                <c:pt idx="244">
                  <c:v>35.710689909999999</c:v>
                </c:pt>
                <c:pt idx="245">
                  <c:v>35.65449572</c:v>
                </c:pt>
                <c:pt idx="246">
                  <c:v>35.599444679999998</c:v>
                </c:pt>
                <c:pt idx="247">
                  <c:v>35.545493819999997</c:v>
                </c:pt>
                <c:pt idx="248">
                  <c:v>35.492602509999998</c:v>
                </c:pt>
                <c:pt idx="249">
                  <c:v>35.44073229</c:v>
                </c:pt>
                <c:pt idx="250">
                  <c:v>35.389846720000001</c:v>
                </c:pt>
                <c:pt idx="251">
                  <c:v>35.339911209999997</c:v>
                </c:pt>
                <c:pt idx="252">
                  <c:v>35.290892960000001</c:v>
                </c:pt>
                <c:pt idx="253">
                  <c:v>35.242760799999999</c:v>
                </c:pt>
                <c:pt idx="254">
                  <c:v>35.195485060000003</c:v>
                </c:pt>
                <c:pt idx="255">
                  <c:v>35.149037540000002</c:v>
                </c:pt>
                <c:pt idx="256">
                  <c:v>35.103391369999997</c:v>
                </c:pt>
                <c:pt idx="257">
                  <c:v>35.058520950000002</c:v>
                </c:pt>
                <c:pt idx="258">
                  <c:v>35.014401839999998</c:v>
                </c:pt>
                <c:pt idx="259">
                  <c:v>34.992949629999998</c:v>
                </c:pt>
                <c:pt idx="260">
                  <c:v>35.083116259999997</c:v>
                </c:pt>
                <c:pt idx="261">
                  <c:v>35.057172729999998</c:v>
                </c:pt>
                <c:pt idx="262">
                  <c:v>35.01751573</c:v>
                </c:pt>
                <c:pt idx="263">
                  <c:v>35.156189869999999</c:v>
                </c:pt>
                <c:pt idx="264">
                  <c:v>35.613857779999996</c:v>
                </c:pt>
                <c:pt idx="265">
                  <c:v>35.648667580000001</c:v>
                </c:pt>
                <c:pt idx="266">
                  <c:v>35.606008559999999</c:v>
                </c:pt>
                <c:pt idx="267">
                  <c:v>35.553008390000002</c:v>
                </c:pt>
                <c:pt idx="268">
                  <c:v>35.500033909999999</c:v>
                </c:pt>
                <c:pt idx="269">
                  <c:v>36.791268129999999</c:v>
                </c:pt>
                <c:pt idx="270">
                  <c:v>39.98372045</c:v>
                </c:pt>
                <c:pt idx="271">
                  <c:v>40.339278780000001</c:v>
                </c:pt>
                <c:pt idx="272">
                  <c:v>40.195479599999999</c:v>
                </c:pt>
                <c:pt idx="273">
                  <c:v>39.964327300000001</c:v>
                </c:pt>
                <c:pt idx="274">
                  <c:v>39.735468439999998</c:v>
                </c:pt>
                <c:pt idx="275">
                  <c:v>39.520502190000002</c:v>
                </c:pt>
                <c:pt idx="276">
                  <c:v>39.319175970000003</c:v>
                </c:pt>
                <c:pt idx="277">
                  <c:v>51.662002459999997</c:v>
                </c:pt>
                <c:pt idx="278">
                  <c:v>52.48833905</c:v>
                </c:pt>
                <c:pt idx="279">
                  <c:v>52.370067239999997</c:v>
                </c:pt>
                <c:pt idx="280">
                  <c:v>50.412138640000002</c:v>
                </c:pt>
                <c:pt idx="281">
                  <c:v>48.21866498</c:v>
                </c:pt>
                <c:pt idx="282">
                  <c:v>46.600638660000001</c:v>
                </c:pt>
                <c:pt idx="283">
                  <c:v>45.377551789999998</c:v>
                </c:pt>
                <c:pt idx="284">
                  <c:v>44.422409620000003</c:v>
                </c:pt>
                <c:pt idx="285">
                  <c:v>43.651726480000001</c:v>
                </c:pt>
                <c:pt idx="286">
                  <c:v>43.013105830000001</c:v>
                </c:pt>
                <c:pt idx="287">
                  <c:v>42.470755959999998</c:v>
                </c:pt>
                <c:pt idx="288">
                  <c:v>42.000828630000001</c:v>
                </c:pt>
                <c:pt idx="289">
                  <c:v>41.58708017</c:v>
                </c:pt>
                <c:pt idx="290">
                  <c:v>41.218080559999997</c:v>
                </c:pt>
                <c:pt idx="291">
                  <c:v>40.885514569999998</c:v>
                </c:pt>
                <c:pt idx="292">
                  <c:v>40.583154329999999</c:v>
                </c:pt>
                <c:pt idx="293">
                  <c:v>40.306219849999998</c:v>
                </c:pt>
                <c:pt idx="294">
                  <c:v>40.050965720000001</c:v>
                </c:pt>
                <c:pt idx="295">
                  <c:v>39.814404709999998</c:v>
                </c:pt>
                <c:pt idx="296">
                  <c:v>39.594116990000003</c:v>
                </c:pt>
                <c:pt idx="297">
                  <c:v>39.388117039999997</c:v>
                </c:pt>
                <c:pt idx="298">
                  <c:v>39.194755809999997</c:v>
                </c:pt>
                <c:pt idx="299">
                  <c:v>39.012649449999998</c:v>
                </c:pt>
                <c:pt idx="300">
                  <c:v>38.840625780000003</c:v>
                </c:pt>
                <c:pt idx="301">
                  <c:v>38.677683569999999</c:v>
                </c:pt>
                <c:pt idx="302">
                  <c:v>38.522961109999997</c:v>
                </c:pt>
                <c:pt idx="303">
                  <c:v>38.375711670000001</c:v>
                </c:pt>
                <c:pt idx="304">
                  <c:v>38.235284069999999</c:v>
                </c:pt>
                <c:pt idx="305">
                  <c:v>44.79078286</c:v>
                </c:pt>
                <c:pt idx="306">
                  <c:v>50.513320630000003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E1-465A-95C0-98C97850C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746287"/>
        <c:axId val="1368800655"/>
      </c:areaChart>
      <c:barChart>
        <c:barDir val="col"/>
        <c:grouping val="clustered"/>
        <c:varyColors val="0"/>
        <c:ser>
          <c:idx val="0"/>
          <c:order val="0"/>
          <c:tx>
            <c:strRef>
              <c:f>'Rootzone balance'!$C$1</c:f>
              <c:strCache>
                <c:ptCount val="1"/>
                <c:pt idx="0">
                  <c:v>Rainfall [mm]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  <c:invertIfNegative val="0"/>
          <c:cat>
            <c:numRef>
              <c:f>'Rootzone balance'!$B$2:$B$366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'Rootzone balance'!$C$2:$C$366</c:f>
              <c:numCache>
                <c:formatCode>General</c:formatCode>
                <c:ptCount val="365"/>
                <c:pt idx="0">
                  <c:v>16.783060930000001</c:v>
                </c:pt>
                <c:pt idx="1">
                  <c:v>20.88713147</c:v>
                </c:pt>
                <c:pt idx="2">
                  <c:v>4.5169534960000002</c:v>
                </c:pt>
                <c:pt idx="3">
                  <c:v>6.3450449080000002</c:v>
                </c:pt>
                <c:pt idx="4">
                  <c:v>8.610897692</c:v>
                </c:pt>
                <c:pt idx="5">
                  <c:v>0.76821910699999996</c:v>
                </c:pt>
                <c:pt idx="6">
                  <c:v>0</c:v>
                </c:pt>
                <c:pt idx="7">
                  <c:v>1.8182940620000001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1.9599999999999999E-2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1.0433467199999999</c:v>
                </c:pt>
                <c:pt idx="19">
                  <c:v>3.1811167189999998</c:v>
                </c:pt>
                <c:pt idx="20">
                  <c:v>11.35560072</c:v>
                </c:pt>
                <c:pt idx="21">
                  <c:v>22.29129709</c:v>
                </c:pt>
                <c:pt idx="22">
                  <c:v>14.612226359999999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1.7677414840000001</c:v>
                </c:pt>
                <c:pt idx="30">
                  <c:v>4.5454105550000001</c:v>
                </c:pt>
                <c:pt idx="31">
                  <c:v>0</c:v>
                </c:pt>
                <c:pt idx="32">
                  <c:v>0</c:v>
                </c:pt>
                <c:pt idx="33">
                  <c:v>22.313542989999998</c:v>
                </c:pt>
                <c:pt idx="34">
                  <c:v>1.2048973620000001</c:v>
                </c:pt>
                <c:pt idx="35">
                  <c:v>9.0899999999999995E-2</c:v>
                </c:pt>
                <c:pt idx="36">
                  <c:v>0</c:v>
                </c:pt>
                <c:pt idx="37">
                  <c:v>33.062226529999997</c:v>
                </c:pt>
                <c:pt idx="38">
                  <c:v>0.29090438000000002</c:v>
                </c:pt>
                <c:pt idx="39">
                  <c:v>2.7938365869999999</c:v>
                </c:pt>
                <c:pt idx="40">
                  <c:v>14.38476088</c:v>
                </c:pt>
                <c:pt idx="41">
                  <c:v>0.35261719800000002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1.3129702350000001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1.163617519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1.9796382800000001</c:v>
                </c:pt>
                <c:pt idx="100">
                  <c:v>7.3786207069999996</c:v>
                </c:pt>
                <c:pt idx="101">
                  <c:v>7.0435778119999997</c:v>
                </c:pt>
                <c:pt idx="102">
                  <c:v>1.8789038650000001</c:v>
                </c:pt>
                <c:pt idx="103">
                  <c:v>0</c:v>
                </c:pt>
                <c:pt idx="104">
                  <c:v>0</c:v>
                </c:pt>
                <c:pt idx="105">
                  <c:v>0.72731762499999997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0.25834851399999997</c:v>
                </c:pt>
                <c:pt idx="117">
                  <c:v>0.51518331799999995</c:v>
                </c:pt>
                <c:pt idx="118">
                  <c:v>6.8497257600000001</c:v>
                </c:pt>
                <c:pt idx="119">
                  <c:v>3.2102438750000002</c:v>
                </c:pt>
                <c:pt idx="120">
                  <c:v>14.583699279999999</c:v>
                </c:pt>
                <c:pt idx="121">
                  <c:v>0.42426861500000002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0.97461791099999995</c:v>
                </c:pt>
                <c:pt idx="130">
                  <c:v>5.9644057789999998</c:v>
                </c:pt>
                <c:pt idx="131">
                  <c:v>5.4114895289999998</c:v>
                </c:pt>
                <c:pt idx="132">
                  <c:v>0</c:v>
                </c:pt>
                <c:pt idx="133">
                  <c:v>3.373414887</c:v>
                </c:pt>
                <c:pt idx="134">
                  <c:v>0</c:v>
                </c:pt>
                <c:pt idx="135">
                  <c:v>5.0848543389999996</c:v>
                </c:pt>
                <c:pt idx="136">
                  <c:v>1.3905510320000001</c:v>
                </c:pt>
                <c:pt idx="137">
                  <c:v>2.6367687499999999</c:v>
                </c:pt>
                <c:pt idx="138">
                  <c:v>0</c:v>
                </c:pt>
                <c:pt idx="139">
                  <c:v>0</c:v>
                </c:pt>
                <c:pt idx="140">
                  <c:v>7.5600000000000001E-2</c:v>
                </c:pt>
                <c:pt idx="141">
                  <c:v>1.6814453149999999</c:v>
                </c:pt>
                <c:pt idx="142">
                  <c:v>0</c:v>
                </c:pt>
                <c:pt idx="143">
                  <c:v>29.83870499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5.8799999999999998E-2</c:v>
                </c:pt>
                <c:pt idx="156">
                  <c:v>7.3007469489999997</c:v>
                </c:pt>
                <c:pt idx="157">
                  <c:v>2.52E-2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3.7986151989999999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6.307786675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3.2722081699999999</c:v>
                </c:pt>
                <c:pt idx="185">
                  <c:v>0</c:v>
                </c:pt>
                <c:pt idx="186">
                  <c:v>0</c:v>
                </c:pt>
                <c:pt idx="187">
                  <c:v>7.9841720020000002</c:v>
                </c:pt>
                <c:pt idx="188">
                  <c:v>26.62565781</c:v>
                </c:pt>
                <c:pt idx="189">
                  <c:v>0</c:v>
                </c:pt>
                <c:pt idx="190">
                  <c:v>0.81995939900000003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0.39092781300000001</c:v>
                </c:pt>
                <c:pt idx="195">
                  <c:v>0</c:v>
                </c:pt>
                <c:pt idx="196">
                  <c:v>13.33774753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61.04768352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1.970787837</c:v>
                </c:pt>
                <c:pt idx="213">
                  <c:v>0</c:v>
                </c:pt>
                <c:pt idx="214">
                  <c:v>0</c:v>
                </c:pt>
                <c:pt idx="215">
                  <c:v>5.5773755859999996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25.82138758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0.68141253700000004</c:v>
                </c:pt>
                <c:pt idx="235">
                  <c:v>1.9599999999999999E-2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4.5408043569999998</c:v>
                </c:pt>
                <c:pt idx="240">
                  <c:v>0</c:v>
                </c:pt>
                <c:pt idx="241">
                  <c:v>0</c:v>
                </c:pt>
                <c:pt idx="242">
                  <c:v>0.36970363499999997</c:v>
                </c:pt>
                <c:pt idx="243">
                  <c:v>1.9599999999999999E-2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21.829790289999998</c:v>
                </c:pt>
                <c:pt idx="259">
                  <c:v>0.10812306200000001</c:v>
                </c:pt>
                <c:pt idx="260">
                  <c:v>0.35519644299999997</c:v>
                </c:pt>
                <c:pt idx="261">
                  <c:v>3.0259732709999998</c:v>
                </c:pt>
                <c:pt idx="262">
                  <c:v>13.693706949999999</c:v>
                </c:pt>
                <c:pt idx="263">
                  <c:v>0.11374693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24.20254817</c:v>
                </c:pt>
                <c:pt idx="269">
                  <c:v>5.3100000000000001E-2</c:v>
                </c:pt>
                <c:pt idx="270">
                  <c:v>3.0300000000000001E-2</c:v>
                </c:pt>
                <c:pt idx="271">
                  <c:v>3.9199999999999999E-2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3.2251105880000002</c:v>
                </c:pt>
                <c:pt idx="276">
                  <c:v>51.380185070000003</c:v>
                </c:pt>
                <c:pt idx="277">
                  <c:v>2.6524002979999999</c:v>
                </c:pt>
                <c:pt idx="278">
                  <c:v>10.68860048</c:v>
                </c:pt>
                <c:pt idx="279">
                  <c:v>0</c:v>
                </c:pt>
                <c:pt idx="280">
                  <c:v>2.52E-2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1.9599999999999999E-2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1.9599999999999999E-2</c:v>
                </c:pt>
                <c:pt idx="293">
                  <c:v>2.2224008849999999</c:v>
                </c:pt>
                <c:pt idx="294">
                  <c:v>4.7500000000000001E-2</c:v>
                </c:pt>
                <c:pt idx="295">
                  <c:v>0</c:v>
                </c:pt>
                <c:pt idx="296">
                  <c:v>2.52E-2</c:v>
                </c:pt>
                <c:pt idx="297">
                  <c:v>0</c:v>
                </c:pt>
                <c:pt idx="298">
                  <c:v>0</c:v>
                </c:pt>
                <c:pt idx="299">
                  <c:v>0.30256455399999999</c:v>
                </c:pt>
                <c:pt idx="300">
                  <c:v>0</c:v>
                </c:pt>
                <c:pt idx="301">
                  <c:v>0</c:v>
                </c:pt>
                <c:pt idx="302">
                  <c:v>1.455518614</c:v>
                </c:pt>
                <c:pt idx="303">
                  <c:v>4.7500000000000001E-2</c:v>
                </c:pt>
                <c:pt idx="304">
                  <c:v>39.750710359999999</c:v>
                </c:pt>
                <c:pt idx="305">
                  <c:v>2.9754613760000002</c:v>
                </c:pt>
                <c:pt idx="306">
                  <c:v>23.646188420000001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1-465A-95C0-98C97850C3F9}"/>
            </c:ext>
          </c:extLst>
        </c:ser>
        <c:ser>
          <c:idx val="1"/>
          <c:order val="1"/>
          <c:tx>
            <c:strRef>
              <c:f>'Rootzone balance'!$D$1</c:f>
              <c:strCache>
                <c:ptCount val="1"/>
                <c:pt idx="0">
                  <c:v>Irrigation [mm]</c:v>
                </c:pt>
              </c:strCache>
            </c:strRef>
          </c:tx>
          <c:spPr>
            <a:solidFill>
              <a:schemeClr val="accent2"/>
            </a:solidFill>
            <a:ln w="12700">
              <a:solidFill>
                <a:schemeClr val="accent2"/>
              </a:solidFill>
            </a:ln>
            <a:effectLst/>
          </c:spPr>
          <c:invertIfNegative val="0"/>
          <c:cat>
            <c:numRef>
              <c:f>'Rootzone balance'!$B$2:$B$366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'Rootzone balance'!$D$2:$D$366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198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198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198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198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198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198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1-465A-95C0-98C97850C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71167632"/>
        <c:axId val="1471520128"/>
      </c:barChart>
      <c:lineChart>
        <c:grouping val="standard"/>
        <c:varyColors val="0"/>
        <c:ser>
          <c:idx val="3"/>
          <c:order val="3"/>
          <c:tx>
            <c:strRef>
              <c:f>'Rootzone balance'!$K$1</c:f>
              <c:strCache>
                <c:ptCount val="1"/>
                <c:pt idx="0">
                  <c:v>Trigger threshold [mm]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'Rootzone balance'!$B$2:$B$366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'Rootzone balance'!$K$2:$K$366</c:f>
              <c:numCache>
                <c:formatCode>0.00</c:formatCode>
                <c:ptCount val="365"/>
                <c:pt idx="0">
                  <c:v>130.2081843</c:v>
                </c:pt>
                <c:pt idx="1">
                  <c:v>130.9705122</c:v>
                </c:pt>
                <c:pt idx="2">
                  <c:v>131.02853780000001</c:v>
                </c:pt>
                <c:pt idx="3">
                  <c:v>130.90393789999999</c:v>
                </c:pt>
                <c:pt idx="4">
                  <c:v>130.9633034</c:v>
                </c:pt>
                <c:pt idx="5">
                  <c:v>131.2754291</c:v>
                </c:pt>
                <c:pt idx="6">
                  <c:v>131.0995461</c:v>
                </c:pt>
                <c:pt idx="7">
                  <c:v>131.31680610000001</c:v>
                </c:pt>
                <c:pt idx="8">
                  <c:v>130.70236829999999</c:v>
                </c:pt>
                <c:pt idx="9">
                  <c:v>131.2635851</c:v>
                </c:pt>
                <c:pt idx="10">
                  <c:v>131.4526242</c:v>
                </c:pt>
                <c:pt idx="11">
                  <c:v>130.90450300000001</c:v>
                </c:pt>
                <c:pt idx="12">
                  <c:v>131.23698139999999</c:v>
                </c:pt>
                <c:pt idx="13">
                  <c:v>132.11897260000001</c:v>
                </c:pt>
                <c:pt idx="14">
                  <c:v>131.8387204</c:v>
                </c:pt>
                <c:pt idx="15">
                  <c:v>131.9100196</c:v>
                </c:pt>
                <c:pt idx="16">
                  <c:v>131.43141929999999</c:v>
                </c:pt>
                <c:pt idx="17">
                  <c:v>131.07575399999999</c:v>
                </c:pt>
                <c:pt idx="18">
                  <c:v>130.80622779999999</c:v>
                </c:pt>
                <c:pt idx="19">
                  <c:v>130.9850611</c:v>
                </c:pt>
                <c:pt idx="20">
                  <c:v>131.16345039999999</c:v>
                </c:pt>
                <c:pt idx="21">
                  <c:v>131.30704700000001</c:v>
                </c:pt>
                <c:pt idx="22">
                  <c:v>131.2908736</c:v>
                </c:pt>
                <c:pt idx="23">
                  <c:v>131.92360830000001</c:v>
                </c:pt>
                <c:pt idx="24">
                  <c:v>133.07873509999999</c:v>
                </c:pt>
                <c:pt idx="25">
                  <c:v>132.77692239999999</c:v>
                </c:pt>
                <c:pt idx="26">
                  <c:v>135.5989151</c:v>
                </c:pt>
                <c:pt idx="27">
                  <c:v>132.4635548</c:v>
                </c:pt>
                <c:pt idx="28">
                  <c:v>131.84484860000001</c:v>
                </c:pt>
                <c:pt idx="29">
                  <c:v>131.8789414</c:v>
                </c:pt>
                <c:pt idx="30">
                  <c:v>132.5861452</c:v>
                </c:pt>
                <c:pt idx="31">
                  <c:v>132.4788145</c:v>
                </c:pt>
                <c:pt idx="32">
                  <c:v>132.0807111</c:v>
                </c:pt>
                <c:pt idx="33">
                  <c:v>131.41528210000001</c:v>
                </c:pt>
                <c:pt idx="34">
                  <c:v>131.48364040000001</c:v>
                </c:pt>
                <c:pt idx="35">
                  <c:v>131.74695700000001</c:v>
                </c:pt>
                <c:pt idx="36">
                  <c:v>131.78475800000001</c:v>
                </c:pt>
                <c:pt idx="37">
                  <c:v>131.77452779999999</c:v>
                </c:pt>
                <c:pt idx="38">
                  <c:v>131.56574839999999</c:v>
                </c:pt>
                <c:pt idx="39">
                  <c:v>134.1642315</c:v>
                </c:pt>
                <c:pt idx="40">
                  <c:v>132.35076520000001</c:v>
                </c:pt>
                <c:pt idx="41">
                  <c:v>131.6018455</c:v>
                </c:pt>
                <c:pt idx="42">
                  <c:v>133.57506760000001</c:v>
                </c:pt>
                <c:pt idx="43">
                  <c:v>133.68400199999999</c:v>
                </c:pt>
                <c:pt idx="44">
                  <c:v>133.080151</c:v>
                </c:pt>
                <c:pt idx="45">
                  <c:v>133.44770410000001</c:v>
                </c:pt>
                <c:pt idx="46">
                  <c:v>133.24539379999999</c:v>
                </c:pt>
                <c:pt idx="47">
                  <c:v>133.37178180000001</c:v>
                </c:pt>
                <c:pt idx="48">
                  <c:v>133.6616037</c:v>
                </c:pt>
                <c:pt idx="49">
                  <c:v>133.21809519999999</c:v>
                </c:pt>
                <c:pt idx="50">
                  <c:v>132.309338</c:v>
                </c:pt>
                <c:pt idx="51">
                  <c:v>132.5336958</c:v>
                </c:pt>
                <c:pt idx="52">
                  <c:v>133.49385090000001</c:v>
                </c:pt>
                <c:pt idx="53">
                  <c:v>133.08241469999999</c:v>
                </c:pt>
                <c:pt idx="54">
                  <c:v>134.09101219999999</c:v>
                </c:pt>
                <c:pt idx="55">
                  <c:v>135.4395336</c:v>
                </c:pt>
                <c:pt idx="56">
                  <c:v>135.5707256</c:v>
                </c:pt>
                <c:pt idx="57">
                  <c:v>135.8403778</c:v>
                </c:pt>
                <c:pt idx="58">
                  <c:v>136.56270900000001</c:v>
                </c:pt>
                <c:pt idx="59">
                  <c:v>136.07896550000001</c:v>
                </c:pt>
                <c:pt idx="60">
                  <c:v>136.0023329</c:v>
                </c:pt>
                <c:pt idx="61">
                  <c:v>135.8954152</c:v>
                </c:pt>
                <c:pt idx="62">
                  <c:v>134.7023997</c:v>
                </c:pt>
                <c:pt idx="63">
                  <c:v>134.92573239999999</c:v>
                </c:pt>
                <c:pt idx="64">
                  <c:v>136.37063860000001</c:v>
                </c:pt>
                <c:pt idx="65">
                  <c:v>134.75643640000001</c:v>
                </c:pt>
                <c:pt idx="66">
                  <c:v>135.39088770000001</c:v>
                </c:pt>
                <c:pt idx="67">
                  <c:v>135.63734210000001</c:v>
                </c:pt>
                <c:pt idx="68">
                  <c:v>136.15644610000001</c:v>
                </c:pt>
                <c:pt idx="69">
                  <c:v>136.46273059999999</c:v>
                </c:pt>
                <c:pt idx="70">
                  <c:v>133.93076619999999</c:v>
                </c:pt>
                <c:pt idx="71">
                  <c:v>136.30886670000001</c:v>
                </c:pt>
                <c:pt idx="72">
                  <c:v>136.99090190000001</c:v>
                </c:pt>
                <c:pt idx="73">
                  <c:v>141.21896340000001</c:v>
                </c:pt>
                <c:pt idx="74">
                  <c:v>140.75355819999999</c:v>
                </c:pt>
                <c:pt idx="75">
                  <c:v>146.25172860000001</c:v>
                </c:pt>
                <c:pt idx="76">
                  <c:v>141.25488920000001</c:v>
                </c:pt>
                <c:pt idx="77">
                  <c:v>136.78469799999999</c:v>
                </c:pt>
                <c:pt idx="78">
                  <c:v>136.83059929999999</c:v>
                </c:pt>
                <c:pt idx="79">
                  <c:v>137.33015259999999</c:v>
                </c:pt>
                <c:pt idx="80">
                  <c:v>136.7238088</c:v>
                </c:pt>
                <c:pt idx="81">
                  <c:v>138.40374220000001</c:v>
                </c:pt>
                <c:pt idx="82">
                  <c:v>139.10554970000001</c:v>
                </c:pt>
                <c:pt idx="83">
                  <c:v>138.6699964</c:v>
                </c:pt>
                <c:pt idx="84">
                  <c:v>138.9745394</c:v>
                </c:pt>
                <c:pt idx="85">
                  <c:v>138.67810979999999</c:v>
                </c:pt>
                <c:pt idx="86">
                  <c:v>135.63195880000001</c:v>
                </c:pt>
                <c:pt idx="87">
                  <c:v>138.73397869999999</c:v>
                </c:pt>
                <c:pt idx="88">
                  <c:v>139.96173239999999</c:v>
                </c:pt>
                <c:pt idx="89">
                  <c:v>141.06029659999999</c:v>
                </c:pt>
                <c:pt idx="90">
                  <c:v>141.56157339999999</c:v>
                </c:pt>
                <c:pt idx="91">
                  <c:v>143.12586049999999</c:v>
                </c:pt>
                <c:pt idx="92">
                  <c:v>32.181328270000002</c:v>
                </c:pt>
                <c:pt idx="93">
                  <c:v>31.59279226</c:v>
                </c:pt>
                <c:pt idx="94">
                  <c:v>32.398495410000002</c:v>
                </c:pt>
                <c:pt idx="95">
                  <c:v>33.489069450000002</c:v>
                </c:pt>
                <c:pt idx="96">
                  <c:v>34.693257940000002</c:v>
                </c:pt>
                <c:pt idx="97">
                  <c:v>36.266383959999999</c:v>
                </c:pt>
                <c:pt idx="98">
                  <c:v>37.136121520000003</c:v>
                </c:pt>
                <c:pt idx="99">
                  <c:v>37.155291830000003</c:v>
                </c:pt>
                <c:pt idx="100">
                  <c:v>37.903230720000003</c:v>
                </c:pt>
                <c:pt idx="101">
                  <c:v>38.125759590000001</c:v>
                </c:pt>
                <c:pt idx="102">
                  <c:v>39.126608240000003</c:v>
                </c:pt>
                <c:pt idx="103">
                  <c:v>41.773797070000001</c:v>
                </c:pt>
                <c:pt idx="104">
                  <c:v>43.541970970000001</c:v>
                </c:pt>
                <c:pt idx="105">
                  <c:v>43.933302529999999</c:v>
                </c:pt>
                <c:pt idx="106">
                  <c:v>45.463745840000001</c:v>
                </c:pt>
                <c:pt idx="107">
                  <c:v>46.749820270000001</c:v>
                </c:pt>
                <c:pt idx="108">
                  <c:v>47.710891199999999</c:v>
                </c:pt>
                <c:pt idx="109">
                  <c:v>49.117251410000001</c:v>
                </c:pt>
                <c:pt idx="110">
                  <c:v>50.918213049999999</c:v>
                </c:pt>
                <c:pt idx="111">
                  <c:v>52.013019710000002</c:v>
                </c:pt>
                <c:pt idx="112">
                  <c:v>52.84472306</c:v>
                </c:pt>
                <c:pt idx="113">
                  <c:v>54.324182909999998</c:v>
                </c:pt>
                <c:pt idx="114">
                  <c:v>55.980442670000002</c:v>
                </c:pt>
                <c:pt idx="115">
                  <c:v>57.370117929999999</c:v>
                </c:pt>
                <c:pt idx="116">
                  <c:v>54.931892499999996</c:v>
                </c:pt>
                <c:pt idx="117">
                  <c:v>56.014352000000002</c:v>
                </c:pt>
                <c:pt idx="118">
                  <c:v>58.640785110000003</c:v>
                </c:pt>
                <c:pt idx="119">
                  <c:v>57.48742695</c:v>
                </c:pt>
                <c:pt idx="120">
                  <c:v>59.754207630000003</c:v>
                </c:pt>
                <c:pt idx="121">
                  <c:v>60.09547293</c:v>
                </c:pt>
                <c:pt idx="122">
                  <c:v>65.224836400000001</c:v>
                </c:pt>
                <c:pt idx="123">
                  <c:v>66.305366570000004</c:v>
                </c:pt>
                <c:pt idx="124">
                  <c:v>67.889532930000001</c:v>
                </c:pt>
                <c:pt idx="125">
                  <c:v>67.867593749999997</c:v>
                </c:pt>
                <c:pt idx="126">
                  <c:v>69.644379610000001</c:v>
                </c:pt>
                <c:pt idx="127">
                  <c:v>73.414489360000005</c:v>
                </c:pt>
                <c:pt idx="128">
                  <c:v>72.761238289999994</c:v>
                </c:pt>
                <c:pt idx="129">
                  <c:v>73.901504599999996</c:v>
                </c:pt>
                <c:pt idx="130">
                  <c:v>74.792777639999997</c:v>
                </c:pt>
                <c:pt idx="131">
                  <c:v>72.329735940000006</c:v>
                </c:pt>
                <c:pt idx="132">
                  <c:v>78.1922493</c:v>
                </c:pt>
                <c:pt idx="133">
                  <c:v>79.339618610000002</c:v>
                </c:pt>
                <c:pt idx="134">
                  <c:v>79.153967699999995</c:v>
                </c:pt>
                <c:pt idx="135">
                  <c:v>79.417996709999997</c:v>
                </c:pt>
                <c:pt idx="136">
                  <c:v>78.597058340000004</c:v>
                </c:pt>
                <c:pt idx="137">
                  <c:v>86.818738359999998</c:v>
                </c:pt>
                <c:pt idx="138">
                  <c:v>86.610105509999997</c:v>
                </c:pt>
                <c:pt idx="139">
                  <c:v>88.493514360000006</c:v>
                </c:pt>
                <c:pt idx="140">
                  <c:v>90.106701099999995</c:v>
                </c:pt>
                <c:pt idx="141">
                  <c:v>90.10620462</c:v>
                </c:pt>
                <c:pt idx="142">
                  <c:v>88.185755510000007</c:v>
                </c:pt>
                <c:pt idx="143">
                  <c:v>93.470466720000005</c:v>
                </c:pt>
                <c:pt idx="144">
                  <c:v>87.139556880000001</c:v>
                </c:pt>
                <c:pt idx="145">
                  <c:v>96.848885980000006</c:v>
                </c:pt>
                <c:pt idx="146">
                  <c:v>96.435677409999997</c:v>
                </c:pt>
                <c:pt idx="147">
                  <c:v>98.625066259999997</c:v>
                </c:pt>
                <c:pt idx="148">
                  <c:v>99.739920380000001</c:v>
                </c:pt>
                <c:pt idx="149">
                  <c:v>101.43326519999999</c:v>
                </c:pt>
                <c:pt idx="150">
                  <c:v>103.48709909999999</c:v>
                </c:pt>
                <c:pt idx="151">
                  <c:v>103.2700719</c:v>
                </c:pt>
                <c:pt idx="152">
                  <c:v>105.67914879999999</c:v>
                </c:pt>
                <c:pt idx="153">
                  <c:v>105.4667634</c:v>
                </c:pt>
                <c:pt idx="154">
                  <c:v>108.9932376</c:v>
                </c:pt>
                <c:pt idx="155">
                  <c:v>110.2318339</c:v>
                </c:pt>
                <c:pt idx="156">
                  <c:v>108.0249386</c:v>
                </c:pt>
                <c:pt idx="157">
                  <c:v>112.4885635</c:v>
                </c:pt>
                <c:pt idx="158">
                  <c:v>109.8932054</c:v>
                </c:pt>
                <c:pt idx="159">
                  <c:v>111.7716365</c:v>
                </c:pt>
                <c:pt idx="160">
                  <c:v>116.361659</c:v>
                </c:pt>
                <c:pt idx="161">
                  <c:v>117.97934119999999</c:v>
                </c:pt>
                <c:pt idx="162">
                  <c:v>119.4460158</c:v>
                </c:pt>
                <c:pt idx="163">
                  <c:v>121.49533049999999</c:v>
                </c:pt>
                <c:pt idx="164">
                  <c:v>125.6863603</c:v>
                </c:pt>
                <c:pt idx="165">
                  <c:v>123.857707</c:v>
                </c:pt>
                <c:pt idx="166">
                  <c:v>123.6059674</c:v>
                </c:pt>
                <c:pt idx="167">
                  <c:v>120.3113972</c:v>
                </c:pt>
                <c:pt idx="168">
                  <c:v>121.75041299999999</c:v>
                </c:pt>
                <c:pt idx="169">
                  <c:v>123.3405794</c:v>
                </c:pt>
                <c:pt idx="170">
                  <c:v>121.4474584</c:v>
                </c:pt>
                <c:pt idx="171">
                  <c:v>118.8106645</c:v>
                </c:pt>
                <c:pt idx="172">
                  <c:v>122.4722045</c:v>
                </c:pt>
                <c:pt idx="173">
                  <c:v>123.15198030000001</c:v>
                </c:pt>
                <c:pt idx="174">
                  <c:v>121.45697060000001</c:v>
                </c:pt>
                <c:pt idx="175">
                  <c:v>122.27783719999999</c:v>
                </c:pt>
                <c:pt idx="176">
                  <c:v>124.1304798</c:v>
                </c:pt>
                <c:pt idx="177">
                  <c:v>122.6897945</c:v>
                </c:pt>
                <c:pt idx="178">
                  <c:v>122.4129587</c:v>
                </c:pt>
                <c:pt idx="179">
                  <c:v>123.802724</c:v>
                </c:pt>
                <c:pt idx="180">
                  <c:v>124.10363839999999</c:v>
                </c:pt>
                <c:pt idx="181">
                  <c:v>122.98952559999999</c:v>
                </c:pt>
                <c:pt idx="182">
                  <c:v>124.95413720000001</c:v>
                </c:pt>
                <c:pt idx="183">
                  <c:v>123.3173692</c:v>
                </c:pt>
                <c:pt idx="184">
                  <c:v>119.95476119999999</c:v>
                </c:pt>
                <c:pt idx="185">
                  <c:v>114.397974</c:v>
                </c:pt>
                <c:pt idx="186">
                  <c:v>120.775215</c:v>
                </c:pt>
                <c:pt idx="187">
                  <c:v>122.3613235</c:v>
                </c:pt>
                <c:pt idx="188">
                  <c:v>123.0903194</c:v>
                </c:pt>
                <c:pt idx="189">
                  <c:v>118.9604652</c:v>
                </c:pt>
                <c:pt idx="190">
                  <c:v>124.120221</c:v>
                </c:pt>
                <c:pt idx="191">
                  <c:v>122.663307</c:v>
                </c:pt>
                <c:pt idx="192">
                  <c:v>123.58491859999999</c:v>
                </c:pt>
                <c:pt idx="193">
                  <c:v>121.38548969999999</c:v>
                </c:pt>
                <c:pt idx="194">
                  <c:v>121.2355467</c:v>
                </c:pt>
                <c:pt idx="195">
                  <c:v>118.8964247</c:v>
                </c:pt>
                <c:pt idx="196">
                  <c:v>118.0984577</c:v>
                </c:pt>
                <c:pt idx="197">
                  <c:v>120.4842092</c:v>
                </c:pt>
                <c:pt idx="198">
                  <c:v>119.97185639999999</c:v>
                </c:pt>
                <c:pt idx="199">
                  <c:v>120.2487486</c:v>
                </c:pt>
                <c:pt idx="200">
                  <c:v>124.1170092</c:v>
                </c:pt>
                <c:pt idx="201">
                  <c:v>123.5354313</c:v>
                </c:pt>
                <c:pt idx="202">
                  <c:v>122.3113195</c:v>
                </c:pt>
                <c:pt idx="203">
                  <c:v>122.5622401</c:v>
                </c:pt>
                <c:pt idx="204">
                  <c:v>121.2310591</c:v>
                </c:pt>
                <c:pt idx="205">
                  <c:v>120.87960320000001</c:v>
                </c:pt>
                <c:pt idx="206">
                  <c:v>120.0374223</c:v>
                </c:pt>
                <c:pt idx="207">
                  <c:v>117.6554727</c:v>
                </c:pt>
                <c:pt idx="208">
                  <c:v>118.42093490000001</c:v>
                </c:pt>
                <c:pt idx="209">
                  <c:v>118.05491670000001</c:v>
                </c:pt>
                <c:pt idx="210">
                  <c:v>121.9073686</c:v>
                </c:pt>
                <c:pt idx="211">
                  <c:v>119.8693628</c:v>
                </c:pt>
                <c:pt idx="212">
                  <c:v>120.11782839999999</c:v>
                </c:pt>
                <c:pt idx="213">
                  <c:v>117.5122157</c:v>
                </c:pt>
                <c:pt idx="214">
                  <c:v>119.7324885</c:v>
                </c:pt>
                <c:pt idx="215">
                  <c:v>118.85812319999999</c:v>
                </c:pt>
                <c:pt idx="216">
                  <c:v>113.7394639</c:v>
                </c:pt>
                <c:pt idx="217">
                  <c:v>122.6461621</c:v>
                </c:pt>
                <c:pt idx="218">
                  <c:v>120.7274491</c:v>
                </c:pt>
                <c:pt idx="219">
                  <c:v>117.2999492</c:v>
                </c:pt>
                <c:pt idx="220">
                  <c:v>119.31794189999999</c:v>
                </c:pt>
                <c:pt idx="221">
                  <c:v>120.8518842</c:v>
                </c:pt>
                <c:pt idx="222">
                  <c:v>120.4537492</c:v>
                </c:pt>
                <c:pt idx="223">
                  <c:v>121.3466229</c:v>
                </c:pt>
                <c:pt idx="224">
                  <c:v>122.43504849999999</c:v>
                </c:pt>
                <c:pt idx="225">
                  <c:v>122.0587675</c:v>
                </c:pt>
                <c:pt idx="226">
                  <c:v>122.02188940000001</c:v>
                </c:pt>
                <c:pt idx="227">
                  <c:v>122.97794690000001</c:v>
                </c:pt>
                <c:pt idx="228">
                  <c:v>122.29588</c:v>
                </c:pt>
                <c:pt idx="229">
                  <c:v>122.2492998</c:v>
                </c:pt>
                <c:pt idx="230">
                  <c:v>122.08334499999999</c:v>
                </c:pt>
                <c:pt idx="231">
                  <c:v>120.7304846</c:v>
                </c:pt>
                <c:pt idx="232">
                  <c:v>121.17320049999999</c:v>
                </c:pt>
                <c:pt idx="233">
                  <c:v>121.5869682</c:v>
                </c:pt>
                <c:pt idx="234">
                  <c:v>121.2697818</c:v>
                </c:pt>
                <c:pt idx="235">
                  <c:v>32.237818840000003</c:v>
                </c:pt>
                <c:pt idx="236">
                  <c:v>31.980810989999998</c:v>
                </c:pt>
                <c:pt idx="237">
                  <c:v>32.089328289999997</c:v>
                </c:pt>
                <c:pt idx="238">
                  <c:v>32.313987349999998</c:v>
                </c:pt>
                <c:pt idx="239">
                  <c:v>31.249793539999999</c:v>
                </c:pt>
                <c:pt idx="240">
                  <c:v>31.96783112</c:v>
                </c:pt>
                <c:pt idx="241">
                  <c:v>32.000639569999997</c:v>
                </c:pt>
                <c:pt idx="242">
                  <c:v>31.96751746</c:v>
                </c:pt>
                <c:pt idx="243">
                  <c:v>31.801466789999999</c:v>
                </c:pt>
                <c:pt idx="244">
                  <c:v>32.009511940000003</c:v>
                </c:pt>
                <c:pt idx="245">
                  <c:v>32.237847180000003</c:v>
                </c:pt>
                <c:pt idx="246">
                  <c:v>31.869203630000001</c:v>
                </c:pt>
                <c:pt idx="247">
                  <c:v>31.732569789999999</c:v>
                </c:pt>
                <c:pt idx="248">
                  <c:v>31.840817980000001</c:v>
                </c:pt>
                <c:pt idx="249">
                  <c:v>31.941585480000001</c:v>
                </c:pt>
                <c:pt idx="250">
                  <c:v>31.830695089999999</c:v>
                </c:pt>
                <c:pt idx="251">
                  <c:v>31.95319847</c:v>
                </c:pt>
                <c:pt idx="252">
                  <c:v>31.649955519999999</c:v>
                </c:pt>
                <c:pt idx="253">
                  <c:v>31.2871159</c:v>
                </c:pt>
                <c:pt idx="254">
                  <c:v>31.614387430000001</c:v>
                </c:pt>
                <c:pt idx="255">
                  <c:v>31.618858700000001</c:v>
                </c:pt>
                <c:pt idx="256">
                  <c:v>31.684238069999999</c:v>
                </c:pt>
                <c:pt idx="257">
                  <c:v>31.01148302</c:v>
                </c:pt>
                <c:pt idx="258">
                  <c:v>30.870952639999999</c:v>
                </c:pt>
                <c:pt idx="259">
                  <c:v>30.690826359999999</c:v>
                </c:pt>
                <c:pt idx="260">
                  <c:v>31.137418889999999</c:v>
                </c:pt>
                <c:pt idx="261">
                  <c:v>30.957428539999999</c:v>
                </c:pt>
                <c:pt idx="262">
                  <c:v>30.895264170000001</c:v>
                </c:pt>
                <c:pt idx="263">
                  <c:v>31.07221813</c:v>
                </c:pt>
                <c:pt idx="264">
                  <c:v>30.94443308</c:v>
                </c:pt>
                <c:pt idx="265">
                  <c:v>30.936933920000001</c:v>
                </c:pt>
                <c:pt idx="266">
                  <c:v>30.879683679999999</c:v>
                </c:pt>
                <c:pt idx="267">
                  <c:v>30.971720179999998</c:v>
                </c:pt>
                <c:pt idx="268">
                  <c:v>30.429617660000002</c:v>
                </c:pt>
                <c:pt idx="269">
                  <c:v>29.595064130000001</c:v>
                </c:pt>
                <c:pt idx="270">
                  <c:v>30.297732180000001</c:v>
                </c:pt>
                <c:pt idx="271">
                  <c:v>30.73613769</c:v>
                </c:pt>
                <c:pt idx="272">
                  <c:v>31.029564870000002</c:v>
                </c:pt>
                <c:pt idx="273">
                  <c:v>30.830144619999999</c:v>
                </c:pt>
                <c:pt idx="274">
                  <c:v>30.847182010000001</c:v>
                </c:pt>
                <c:pt idx="275">
                  <c:v>30.745975130000001</c:v>
                </c:pt>
                <c:pt idx="276">
                  <c:v>29.78601089</c:v>
                </c:pt>
                <c:pt idx="277">
                  <c:v>29.809853489999998</c:v>
                </c:pt>
                <c:pt idx="278">
                  <c:v>30.180596449999999</c:v>
                </c:pt>
                <c:pt idx="279">
                  <c:v>29.784642999999999</c:v>
                </c:pt>
                <c:pt idx="280">
                  <c:v>30.092674639999998</c:v>
                </c:pt>
                <c:pt idx="281">
                  <c:v>30.175970110000002</c:v>
                </c:pt>
                <c:pt idx="282">
                  <c:v>30.268038260000001</c:v>
                </c:pt>
                <c:pt idx="283">
                  <c:v>30.18511414</c:v>
                </c:pt>
                <c:pt idx="284">
                  <c:v>30.216422860000002</c:v>
                </c:pt>
                <c:pt idx="285">
                  <c:v>30.159476359999999</c:v>
                </c:pt>
                <c:pt idx="286">
                  <c:v>30.20906673</c:v>
                </c:pt>
                <c:pt idx="287">
                  <c:v>30.181919829999998</c:v>
                </c:pt>
                <c:pt idx="288">
                  <c:v>30.05787462</c:v>
                </c:pt>
                <c:pt idx="289">
                  <c:v>30.071464559999999</c:v>
                </c:pt>
                <c:pt idx="290">
                  <c:v>30.03281806</c:v>
                </c:pt>
                <c:pt idx="291">
                  <c:v>29.999204899999999</c:v>
                </c:pt>
                <c:pt idx="292">
                  <c:v>29.8594878</c:v>
                </c:pt>
                <c:pt idx="293">
                  <c:v>29.68801831</c:v>
                </c:pt>
                <c:pt idx="294">
                  <c:v>29.375130840000001</c:v>
                </c:pt>
                <c:pt idx="295">
                  <c:v>29.80047721</c:v>
                </c:pt>
                <c:pt idx="296">
                  <c:v>29.70895917</c:v>
                </c:pt>
                <c:pt idx="297">
                  <c:v>29.83941458</c:v>
                </c:pt>
                <c:pt idx="298">
                  <c:v>29.697262500000001</c:v>
                </c:pt>
                <c:pt idx="299">
                  <c:v>29.781231850000001</c:v>
                </c:pt>
                <c:pt idx="300">
                  <c:v>29.86371085</c:v>
                </c:pt>
                <c:pt idx="301">
                  <c:v>29.744835009999999</c:v>
                </c:pt>
                <c:pt idx="302">
                  <c:v>29.702089829999998</c:v>
                </c:pt>
                <c:pt idx="303">
                  <c:v>29.436968700000001</c:v>
                </c:pt>
                <c:pt idx="304">
                  <c:v>29.373051820000001</c:v>
                </c:pt>
                <c:pt idx="305">
                  <c:v>29.254451360000001</c:v>
                </c:pt>
                <c:pt idx="306">
                  <c:v>29.354654879999998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E1-465A-95C0-98C97850C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4746287"/>
        <c:axId val="1368800655"/>
      </c:lineChart>
      <c:dateAx>
        <c:axId val="14947462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68800655"/>
        <c:crosses val="autoZero"/>
        <c:auto val="1"/>
        <c:lblOffset val="100"/>
        <c:baseTimeUnit val="days"/>
      </c:dateAx>
      <c:valAx>
        <c:axId val="13688006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94746287"/>
        <c:crosses val="autoZero"/>
        <c:crossBetween val="between"/>
        <c:minorUnit val="100"/>
      </c:valAx>
      <c:valAx>
        <c:axId val="1471520128"/>
        <c:scaling>
          <c:orientation val="maxMin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1167632"/>
        <c:crosses val="max"/>
        <c:crossBetween val="between"/>
      </c:valAx>
      <c:dateAx>
        <c:axId val="1471167632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147152012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957392263369484"/>
          <c:y val="0.95631279075782605"/>
          <c:w val="0.45883261593325469"/>
          <c:h val="3.2228328278593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4"/>
          <c:order val="7"/>
          <c:tx>
            <c:v>Contenuto idrico</c:v>
          </c:tx>
          <c:spPr>
            <a:solidFill>
              <a:srgbClr val="C6D9F1">
                <a:alpha val="50196"/>
              </a:srgbClr>
            </a:solidFill>
            <a:ln w="19050"/>
          </c:spPr>
          <c:cat>
            <c:numRef>
              <c:f>'Bilancio primo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primo strato'!$O$2:$O$366</c:f>
              <c:numCache>
                <c:formatCode>General</c:formatCode>
                <c:ptCount val="365"/>
                <c:pt idx="0">
                  <c:v>32.236066190000003</c:v>
                </c:pt>
                <c:pt idx="1">
                  <c:v>33.629799730000002</c:v>
                </c:pt>
                <c:pt idx="2">
                  <c:v>30.69110169</c:v>
                </c:pt>
                <c:pt idx="3">
                  <c:v>31.068607409999998</c:v>
                </c:pt>
                <c:pt idx="4">
                  <c:v>31.779896229999999</c:v>
                </c:pt>
                <c:pt idx="5">
                  <c:v>28.415853760000001</c:v>
                </c:pt>
                <c:pt idx="6">
                  <c:v>26.50554176</c:v>
                </c:pt>
                <c:pt idx="7">
                  <c:v>26.992483270000001</c:v>
                </c:pt>
                <c:pt idx="8">
                  <c:v>25.652441069999998</c:v>
                </c:pt>
                <c:pt idx="9">
                  <c:v>24.619054500000001</c:v>
                </c:pt>
                <c:pt idx="10">
                  <c:v>23.971390159999999</c:v>
                </c:pt>
                <c:pt idx="11">
                  <c:v>23.303537290000001</c:v>
                </c:pt>
                <c:pt idx="12">
                  <c:v>22.397878039999998</c:v>
                </c:pt>
                <c:pt idx="13">
                  <c:v>21.66364587</c:v>
                </c:pt>
                <c:pt idx="14">
                  <c:v>20.96343968</c:v>
                </c:pt>
                <c:pt idx="15">
                  <c:v>20.447050870000002</c:v>
                </c:pt>
                <c:pt idx="16">
                  <c:v>20.07699504</c:v>
                </c:pt>
                <c:pt idx="17">
                  <c:v>19.815332829999999</c:v>
                </c:pt>
                <c:pt idx="18">
                  <c:v>20.52503622</c:v>
                </c:pt>
                <c:pt idx="19">
                  <c:v>23.226565149999999</c:v>
                </c:pt>
                <c:pt idx="20">
                  <c:v>30.719421260000001</c:v>
                </c:pt>
                <c:pt idx="21">
                  <c:v>33.671279370000001</c:v>
                </c:pt>
                <c:pt idx="22">
                  <c:v>32.92307108</c:v>
                </c:pt>
                <c:pt idx="23">
                  <c:v>27.748201999999999</c:v>
                </c:pt>
                <c:pt idx="24">
                  <c:v>25.670892479999999</c:v>
                </c:pt>
                <c:pt idx="25">
                  <c:v>23.219484229999999</c:v>
                </c:pt>
                <c:pt idx="26">
                  <c:v>22.198373610000001</c:v>
                </c:pt>
                <c:pt idx="27">
                  <c:v>21.474387799999999</c:v>
                </c:pt>
                <c:pt idx="28">
                  <c:v>20.774787150000002</c:v>
                </c:pt>
                <c:pt idx="29">
                  <c:v>21.578893690000001</c:v>
                </c:pt>
                <c:pt idx="30">
                  <c:v>25.014775159999999</c:v>
                </c:pt>
                <c:pt idx="31">
                  <c:v>23.896950560000001</c:v>
                </c:pt>
                <c:pt idx="32">
                  <c:v>23.176155420000001</c:v>
                </c:pt>
                <c:pt idx="33">
                  <c:v>33.04704959</c:v>
                </c:pt>
                <c:pt idx="34">
                  <c:v>28.80770283</c:v>
                </c:pt>
                <c:pt idx="35">
                  <c:v>26.649607809999999</c:v>
                </c:pt>
                <c:pt idx="36">
                  <c:v>25.253750549999999</c:v>
                </c:pt>
                <c:pt idx="37">
                  <c:v>34.099778700000002</c:v>
                </c:pt>
                <c:pt idx="38">
                  <c:v>27.91077434</c:v>
                </c:pt>
                <c:pt idx="39">
                  <c:v>28.04744195</c:v>
                </c:pt>
                <c:pt idx="40">
                  <c:v>32.623591329999996</c:v>
                </c:pt>
                <c:pt idx="41">
                  <c:v>27.781483850000001</c:v>
                </c:pt>
                <c:pt idx="42">
                  <c:v>25.406663009999999</c:v>
                </c:pt>
                <c:pt idx="43">
                  <c:v>23.874924650000001</c:v>
                </c:pt>
                <c:pt idx="44">
                  <c:v>22.4388088</c:v>
                </c:pt>
                <c:pt idx="45">
                  <c:v>21.193065910000001</c:v>
                </c:pt>
                <c:pt idx="46">
                  <c:v>19.957753199999999</c:v>
                </c:pt>
                <c:pt idx="47">
                  <c:v>18.646076690000001</c:v>
                </c:pt>
                <c:pt idx="48">
                  <c:v>18.821900840000001</c:v>
                </c:pt>
                <c:pt idx="49">
                  <c:v>18.025560070000001</c:v>
                </c:pt>
                <c:pt idx="50">
                  <c:v>17.15250215</c:v>
                </c:pt>
                <c:pt idx="51">
                  <c:v>15.927167819999999</c:v>
                </c:pt>
                <c:pt idx="52">
                  <c:v>14.87079527</c:v>
                </c:pt>
                <c:pt idx="53">
                  <c:v>13.581191090000001</c:v>
                </c:pt>
                <c:pt idx="54">
                  <c:v>12.086209009999999</c:v>
                </c:pt>
                <c:pt idx="55">
                  <c:v>10.799605550000001</c:v>
                </c:pt>
                <c:pt idx="56">
                  <c:v>9.6724285079999994</c:v>
                </c:pt>
                <c:pt idx="57">
                  <c:v>8.6285534599999991</c:v>
                </c:pt>
                <c:pt idx="58">
                  <c:v>7.8404992929999997</c:v>
                </c:pt>
                <c:pt idx="59">
                  <c:v>7.1989153010000004</c:v>
                </c:pt>
                <c:pt idx="60">
                  <c:v>6.677937204</c:v>
                </c:pt>
                <c:pt idx="61">
                  <c:v>6.3301550510000002</c:v>
                </c:pt>
                <c:pt idx="62">
                  <c:v>6.0165568110000001</c:v>
                </c:pt>
                <c:pt idx="63">
                  <c:v>5.6739854630000002</c:v>
                </c:pt>
                <c:pt idx="64">
                  <c:v>5.4621778839999999</c:v>
                </c:pt>
                <c:pt idx="65">
                  <c:v>5.2565810610000003</c:v>
                </c:pt>
                <c:pt idx="66">
                  <c:v>5.0758128200000003</c:v>
                </c:pt>
                <c:pt idx="67">
                  <c:v>4.9116406990000003</c:v>
                </c:pt>
                <c:pt idx="68">
                  <c:v>4.770506954</c:v>
                </c:pt>
                <c:pt idx="69">
                  <c:v>4.6991921290000001</c:v>
                </c:pt>
                <c:pt idx="70">
                  <c:v>4.5999002449999997</c:v>
                </c:pt>
                <c:pt idx="71">
                  <c:v>4.5106403339999996</c:v>
                </c:pt>
                <c:pt idx="72">
                  <c:v>4.4024134940000001</c:v>
                </c:pt>
                <c:pt idx="73">
                  <c:v>4.3298198650000002</c:v>
                </c:pt>
                <c:pt idx="74">
                  <c:v>4.2582035879999998</c:v>
                </c:pt>
                <c:pt idx="75">
                  <c:v>4.2266720099999997</c:v>
                </c:pt>
                <c:pt idx="76">
                  <c:v>5.2617815290000003</c:v>
                </c:pt>
                <c:pt idx="77">
                  <c:v>5.0445558119999996</c:v>
                </c:pt>
                <c:pt idx="78">
                  <c:v>4.8582196910000004</c:v>
                </c:pt>
                <c:pt idx="79">
                  <c:v>4.7221385409999996</c:v>
                </c:pt>
                <c:pt idx="80">
                  <c:v>4.5877206060000004</c:v>
                </c:pt>
                <c:pt idx="81">
                  <c:v>4.477644186</c:v>
                </c:pt>
                <c:pt idx="82">
                  <c:v>4.3990268180000003</c:v>
                </c:pt>
                <c:pt idx="83">
                  <c:v>4.3377023929999998</c:v>
                </c:pt>
                <c:pt idx="84">
                  <c:v>4.2930599599999999</c:v>
                </c:pt>
                <c:pt idx="85">
                  <c:v>4.2704786260000001</c:v>
                </c:pt>
                <c:pt idx="86">
                  <c:v>4.2421878279999996</c:v>
                </c:pt>
                <c:pt idx="87">
                  <c:v>4.2182628160000002</c:v>
                </c:pt>
                <c:pt idx="88">
                  <c:v>4.1993413950000003</c:v>
                </c:pt>
                <c:pt idx="89">
                  <c:v>4.1856596980000003</c:v>
                </c:pt>
                <c:pt idx="90">
                  <c:v>4.1752455670000002</c:v>
                </c:pt>
                <c:pt idx="91">
                  <c:v>4.1677847249999997</c:v>
                </c:pt>
                <c:pt idx="92">
                  <c:v>4.1640917140000004</c:v>
                </c:pt>
                <c:pt idx="93">
                  <c:v>4.161916433</c:v>
                </c:pt>
                <c:pt idx="94">
                  <c:v>4.1603241090000003</c:v>
                </c:pt>
                <c:pt idx="95">
                  <c:v>4.1591121869999998</c:v>
                </c:pt>
                <c:pt idx="96">
                  <c:v>4.1581502280000002</c:v>
                </c:pt>
                <c:pt idx="97">
                  <c:v>4.1575209830000004</c:v>
                </c:pt>
                <c:pt idx="98">
                  <c:v>4.1572154680000004</c:v>
                </c:pt>
                <c:pt idx="99">
                  <c:v>5.9297892470000004</c:v>
                </c:pt>
                <c:pt idx="100">
                  <c:v>12.73770506</c:v>
                </c:pt>
                <c:pt idx="101">
                  <c:v>18.675718499999999</c:v>
                </c:pt>
                <c:pt idx="102">
                  <c:v>17.71263798</c:v>
                </c:pt>
                <c:pt idx="103">
                  <c:v>14.408635889999999</c:v>
                </c:pt>
                <c:pt idx="104">
                  <c:v>12.28293197</c:v>
                </c:pt>
                <c:pt idx="105">
                  <c:v>10.942538920000001</c:v>
                </c:pt>
                <c:pt idx="106">
                  <c:v>9.2340773479999996</c:v>
                </c:pt>
                <c:pt idx="107">
                  <c:v>7.9975250549999997</c:v>
                </c:pt>
                <c:pt idx="108">
                  <c:v>6.9854832680000003</c:v>
                </c:pt>
                <c:pt idx="109">
                  <c:v>6.1226144409999996</c:v>
                </c:pt>
                <c:pt idx="110">
                  <c:v>5.542397201</c:v>
                </c:pt>
                <c:pt idx="111">
                  <c:v>5.1553300310000001</c:v>
                </c:pt>
                <c:pt idx="112">
                  <c:v>4.855588032</c:v>
                </c:pt>
                <c:pt idx="113">
                  <c:v>4.6258369779999997</c:v>
                </c:pt>
                <c:pt idx="114">
                  <c:v>4.4652706880000004</c:v>
                </c:pt>
                <c:pt idx="115">
                  <c:v>4.419012801</c:v>
                </c:pt>
                <c:pt idx="116">
                  <c:v>4.589198841</c:v>
                </c:pt>
                <c:pt idx="117">
                  <c:v>4.8938350929999999</c:v>
                </c:pt>
                <c:pt idx="118">
                  <c:v>11.10738098</c:v>
                </c:pt>
                <c:pt idx="119">
                  <c:v>12.67100407</c:v>
                </c:pt>
                <c:pt idx="120">
                  <c:v>25.294981150000002</c:v>
                </c:pt>
                <c:pt idx="121">
                  <c:v>20.909865530000001</c:v>
                </c:pt>
                <c:pt idx="122">
                  <c:v>16.652949790000001</c:v>
                </c:pt>
                <c:pt idx="123">
                  <c:v>12.69287042</c:v>
                </c:pt>
                <c:pt idx="124">
                  <c:v>10.52791463</c:v>
                </c:pt>
                <c:pt idx="125">
                  <c:v>8.8034532680000002</c:v>
                </c:pt>
                <c:pt idx="126">
                  <c:v>7.1344298779999997</c:v>
                </c:pt>
                <c:pt idx="127">
                  <c:v>6.2967705660000002</c:v>
                </c:pt>
                <c:pt idx="128">
                  <c:v>5.7184133040000003</c:v>
                </c:pt>
                <c:pt idx="129">
                  <c:v>5.9208197589999996</c:v>
                </c:pt>
                <c:pt idx="130">
                  <c:v>10.712455240000001</c:v>
                </c:pt>
                <c:pt idx="131">
                  <c:v>13.06361145</c:v>
                </c:pt>
                <c:pt idx="132">
                  <c:v>10.82078538</c:v>
                </c:pt>
                <c:pt idx="133">
                  <c:v>11.87546918</c:v>
                </c:pt>
                <c:pt idx="134">
                  <c:v>10.613072600000001</c:v>
                </c:pt>
                <c:pt idx="135">
                  <c:v>27.791523160000001</c:v>
                </c:pt>
                <c:pt idx="136">
                  <c:v>22.135136299999999</c:v>
                </c:pt>
                <c:pt idx="137">
                  <c:v>20.528015759999999</c:v>
                </c:pt>
                <c:pt idx="138">
                  <c:v>17.234595200000001</c:v>
                </c:pt>
                <c:pt idx="139">
                  <c:v>14.04938681</c:v>
                </c:pt>
                <c:pt idx="140">
                  <c:v>11.9759347</c:v>
                </c:pt>
                <c:pt idx="141">
                  <c:v>11.837036550000001</c:v>
                </c:pt>
                <c:pt idx="142">
                  <c:v>10.2003085</c:v>
                </c:pt>
                <c:pt idx="143">
                  <c:v>34.571419550000002</c:v>
                </c:pt>
                <c:pt idx="144">
                  <c:v>26.93326909</c:v>
                </c:pt>
                <c:pt idx="145">
                  <c:v>24.190284569999999</c:v>
                </c:pt>
                <c:pt idx="146">
                  <c:v>21.84901648</c:v>
                </c:pt>
                <c:pt idx="147">
                  <c:v>19.885619810000001</c:v>
                </c:pt>
                <c:pt idx="148">
                  <c:v>17.889335519999999</c:v>
                </c:pt>
                <c:pt idx="149">
                  <c:v>15.87671967</c:v>
                </c:pt>
                <c:pt idx="150">
                  <c:v>14.32725656</c:v>
                </c:pt>
                <c:pt idx="151">
                  <c:v>12.938123839999999</c:v>
                </c:pt>
                <c:pt idx="152">
                  <c:v>11.95084306</c:v>
                </c:pt>
                <c:pt idx="153">
                  <c:v>27.323903550000001</c:v>
                </c:pt>
                <c:pt idx="154">
                  <c:v>23.290881110000001</c:v>
                </c:pt>
                <c:pt idx="155">
                  <c:v>22.015189110000001</c:v>
                </c:pt>
                <c:pt idx="156">
                  <c:v>25.683364900000001</c:v>
                </c:pt>
                <c:pt idx="157">
                  <c:v>24.421327810000001</c:v>
                </c:pt>
                <c:pt idx="158">
                  <c:v>23.572068269999999</c:v>
                </c:pt>
                <c:pt idx="159">
                  <c:v>22.592135389999999</c:v>
                </c:pt>
                <c:pt idx="160">
                  <c:v>21.840985719999999</c:v>
                </c:pt>
                <c:pt idx="161">
                  <c:v>23.251854760000001</c:v>
                </c:pt>
                <c:pt idx="162">
                  <c:v>22.566837790000001</c:v>
                </c:pt>
                <c:pt idx="163">
                  <c:v>21.784178749999999</c:v>
                </c:pt>
                <c:pt idx="164">
                  <c:v>21.363486770000002</c:v>
                </c:pt>
                <c:pt idx="165">
                  <c:v>28.241972140000001</c:v>
                </c:pt>
                <c:pt idx="166">
                  <c:v>24.320666460000002</c:v>
                </c:pt>
                <c:pt idx="167">
                  <c:v>23.291045960000002</c:v>
                </c:pt>
                <c:pt idx="168">
                  <c:v>22.57057283</c:v>
                </c:pt>
                <c:pt idx="169">
                  <c:v>22.04547333</c:v>
                </c:pt>
                <c:pt idx="170">
                  <c:v>21.73515884</c:v>
                </c:pt>
                <c:pt idx="171">
                  <c:v>21.30435048</c:v>
                </c:pt>
                <c:pt idx="172">
                  <c:v>20.8742394</c:v>
                </c:pt>
                <c:pt idx="173">
                  <c:v>24.649263879999999</c:v>
                </c:pt>
                <c:pt idx="174">
                  <c:v>23.943875559999999</c:v>
                </c:pt>
                <c:pt idx="175">
                  <c:v>23.190569</c:v>
                </c:pt>
                <c:pt idx="176">
                  <c:v>22.683972929999999</c:v>
                </c:pt>
                <c:pt idx="177">
                  <c:v>28.27896887</c:v>
                </c:pt>
                <c:pt idx="178">
                  <c:v>24.220556640000002</c:v>
                </c:pt>
                <c:pt idx="179">
                  <c:v>23.034650330000002</c:v>
                </c:pt>
                <c:pt idx="180">
                  <c:v>22.31115295</c:v>
                </c:pt>
                <c:pt idx="181">
                  <c:v>21.580260020000001</c:v>
                </c:pt>
                <c:pt idx="182">
                  <c:v>21.08322459</c:v>
                </c:pt>
                <c:pt idx="183">
                  <c:v>20.794618270000001</c:v>
                </c:pt>
                <c:pt idx="184">
                  <c:v>22.378544040000001</c:v>
                </c:pt>
                <c:pt idx="185">
                  <c:v>22.00217078</c:v>
                </c:pt>
                <c:pt idx="186">
                  <c:v>21.622444699999999</c:v>
                </c:pt>
                <c:pt idx="187">
                  <c:v>26.660581830000002</c:v>
                </c:pt>
                <c:pt idx="188">
                  <c:v>35.064035279999999</c:v>
                </c:pt>
                <c:pt idx="189">
                  <c:v>28.47704109</c:v>
                </c:pt>
                <c:pt idx="190">
                  <c:v>26.723825290000001</c:v>
                </c:pt>
                <c:pt idx="191">
                  <c:v>25.45123899</c:v>
                </c:pt>
                <c:pt idx="192">
                  <c:v>24.699478930000001</c:v>
                </c:pt>
                <c:pt idx="193">
                  <c:v>27.449385679999999</c:v>
                </c:pt>
                <c:pt idx="194">
                  <c:v>24.20987968</c:v>
                </c:pt>
                <c:pt idx="195">
                  <c:v>23.278275709999999</c:v>
                </c:pt>
                <c:pt idx="196">
                  <c:v>30.295081889999999</c:v>
                </c:pt>
                <c:pt idx="197">
                  <c:v>26.947784259999999</c:v>
                </c:pt>
                <c:pt idx="198">
                  <c:v>25.64146693</c:v>
                </c:pt>
                <c:pt idx="199">
                  <c:v>24.545451010000001</c:v>
                </c:pt>
                <c:pt idx="200">
                  <c:v>23.812180680000001</c:v>
                </c:pt>
                <c:pt idx="201">
                  <c:v>23.282568269999999</c:v>
                </c:pt>
                <c:pt idx="202">
                  <c:v>22.806081450000001</c:v>
                </c:pt>
                <c:pt idx="203">
                  <c:v>22.45733057</c:v>
                </c:pt>
                <c:pt idx="204">
                  <c:v>22.138815659999999</c:v>
                </c:pt>
                <c:pt idx="205">
                  <c:v>21.829598109999999</c:v>
                </c:pt>
                <c:pt idx="206">
                  <c:v>37.928933919999999</c:v>
                </c:pt>
                <c:pt idx="207">
                  <c:v>28.94403398</c:v>
                </c:pt>
                <c:pt idx="208">
                  <c:v>27.035905570000001</c:v>
                </c:pt>
                <c:pt idx="209">
                  <c:v>25.78400143</c:v>
                </c:pt>
                <c:pt idx="210">
                  <c:v>25.005664029999998</c:v>
                </c:pt>
                <c:pt idx="211">
                  <c:v>24.334915330000001</c:v>
                </c:pt>
                <c:pt idx="212">
                  <c:v>24.62868254</c:v>
                </c:pt>
                <c:pt idx="213">
                  <c:v>24.043203030000001</c:v>
                </c:pt>
                <c:pt idx="214">
                  <c:v>23.463990630000001</c:v>
                </c:pt>
                <c:pt idx="215">
                  <c:v>26.504727110000001</c:v>
                </c:pt>
                <c:pt idx="216">
                  <c:v>24.698180659999998</c:v>
                </c:pt>
                <c:pt idx="217">
                  <c:v>28.279080629999999</c:v>
                </c:pt>
                <c:pt idx="218">
                  <c:v>23.999078520000001</c:v>
                </c:pt>
                <c:pt idx="219">
                  <c:v>22.150313109999999</c:v>
                </c:pt>
                <c:pt idx="220">
                  <c:v>20.297980169999999</c:v>
                </c:pt>
                <c:pt idx="221">
                  <c:v>18.355078330000001</c:v>
                </c:pt>
                <c:pt idx="222">
                  <c:v>16.042679230000001</c:v>
                </c:pt>
                <c:pt idx="223">
                  <c:v>13.430753019999999</c:v>
                </c:pt>
                <c:pt idx="224">
                  <c:v>11.293216299999999</c:v>
                </c:pt>
                <c:pt idx="225">
                  <c:v>9.5189582179999999</c:v>
                </c:pt>
                <c:pt idx="226">
                  <c:v>8.0025438680000001</c:v>
                </c:pt>
                <c:pt idx="227">
                  <c:v>27.674604160000001</c:v>
                </c:pt>
                <c:pt idx="228">
                  <c:v>22.847413199999998</c:v>
                </c:pt>
                <c:pt idx="229">
                  <c:v>18.533953799999999</c:v>
                </c:pt>
                <c:pt idx="230">
                  <c:v>14.568403590000001</c:v>
                </c:pt>
                <c:pt idx="231">
                  <c:v>11.230962010000001</c:v>
                </c:pt>
                <c:pt idx="232">
                  <c:v>8.8171956890000001</c:v>
                </c:pt>
                <c:pt idx="233">
                  <c:v>7.2027716369999997</c:v>
                </c:pt>
                <c:pt idx="234">
                  <c:v>6.270762704</c:v>
                </c:pt>
                <c:pt idx="235">
                  <c:v>5.5169269849999996</c:v>
                </c:pt>
                <c:pt idx="236">
                  <c:v>5.0076370539999999</c:v>
                </c:pt>
                <c:pt idx="237">
                  <c:v>4.6714191249999999</c:v>
                </c:pt>
                <c:pt idx="238">
                  <c:v>4.5213218519999998</c:v>
                </c:pt>
                <c:pt idx="239">
                  <c:v>8.0831854920000001</c:v>
                </c:pt>
                <c:pt idx="240">
                  <c:v>6.6464565410000001</c:v>
                </c:pt>
                <c:pt idx="241">
                  <c:v>5.7431924619999997</c:v>
                </c:pt>
                <c:pt idx="242">
                  <c:v>5.4967598830000002</c:v>
                </c:pt>
                <c:pt idx="243">
                  <c:v>5.0209572400000004</c:v>
                </c:pt>
                <c:pt idx="244">
                  <c:v>4.6854541039999997</c:v>
                </c:pt>
                <c:pt idx="245">
                  <c:v>4.4982164960000004</c:v>
                </c:pt>
                <c:pt idx="246">
                  <c:v>4.3816440779999999</c:v>
                </c:pt>
                <c:pt idx="247">
                  <c:v>4.3023270269999996</c:v>
                </c:pt>
                <c:pt idx="248">
                  <c:v>4.2493839409999996</c:v>
                </c:pt>
                <c:pt idx="249">
                  <c:v>4.2164068940000003</c:v>
                </c:pt>
                <c:pt idx="250">
                  <c:v>4.1943450860000002</c:v>
                </c:pt>
                <c:pt idx="251">
                  <c:v>4.1814849150000004</c:v>
                </c:pt>
                <c:pt idx="252">
                  <c:v>4.1738930200000004</c:v>
                </c:pt>
                <c:pt idx="253">
                  <c:v>4.1679472280000001</c:v>
                </c:pt>
                <c:pt idx="254">
                  <c:v>4.1639660269999998</c:v>
                </c:pt>
                <c:pt idx="255">
                  <c:v>4.1612526589999996</c:v>
                </c:pt>
                <c:pt idx="256">
                  <c:v>4.159833796</c:v>
                </c:pt>
                <c:pt idx="257">
                  <c:v>4.1588551259999997</c:v>
                </c:pt>
                <c:pt idx="258">
                  <c:v>23.455246580000001</c:v>
                </c:pt>
                <c:pt idx="259">
                  <c:v>19.745573319999998</c:v>
                </c:pt>
                <c:pt idx="260">
                  <c:v>16.69992469</c:v>
                </c:pt>
                <c:pt idx="261">
                  <c:v>16.443336739999999</c:v>
                </c:pt>
                <c:pt idx="262">
                  <c:v>26.375028520000001</c:v>
                </c:pt>
                <c:pt idx="263">
                  <c:v>22.618801269999999</c:v>
                </c:pt>
                <c:pt idx="264">
                  <c:v>19.180749469999999</c:v>
                </c:pt>
                <c:pt idx="265">
                  <c:v>15.916277579999999</c:v>
                </c:pt>
                <c:pt idx="266">
                  <c:v>12.85260903</c:v>
                </c:pt>
                <c:pt idx="267">
                  <c:v>11.12110436</c:v>
                </c:pt>
                <c:pt idx="268">
                  <c:v>32.400775240000002</c:v>
                </c:pt>
                <c:pt idx="269">
                  <c:v>26.800109150000001</c:v>
                </c:pt>
                <c:pt idx="270">
                  <c:v>23.200994699999999</c:v>
                </c:pt>
                <c:pt idx="271">
                  <c:v>19.617175679999999</c:v>
                </c:pt>
                <c:pt idx="272">
                  <c:v>16.431304000000001</c:v>
                </c:pt>
                <c:pt idx="273">
                  <c:v>13.430217989999999</c:v>
                </c:pt>
                <c:pt idx="274">
                  <c:v>11.242687289999999</c:v>
                </c:pt>
                <c:pt idx="275">
                  <c:v>13.433754589999999</c:v>
                </c:pt>
                <c:pt idx="276">
                  <c:v>37.033062860000001</c:v>
                </c:pt>
                <c:pt idx="277">
                  <c:v>29.230399970000001</c:v>
                </c:pt>
                <c:pt idx="278">
                  <c:v>31.717652560000001</c:v>
                </c:pt>
                <c:pt idx="279">
                  <c:v>26.799338859999999</c:v>
                </c:pt>
                <c:pt idx="280">
                  <c:v>24.058482380000001</c:v>
                </c:pt>
                <c:pt idx="281">
                  <c:v>21.616168420000001</c:v>
                </c:pt>
                <c:pt idx="282">
                  <c:v>19.462609279999999</c:v>
                </c:pt>
                <c:pt idx="283">
                  <c:v>17.302285569999999</c:v>
                </c:pt>
                <c:pt idx="284">
                  <c:v>15.25189709</c:v>
                </c:pt>
                <c:pt idx="285">
                  <c:v>13.356095590000001</c:v>
                </c:pt>
                <c:pt idx="286">
                  <c:v>11.80056536</c:v>
                </c:pt>
                <c:pt idx="287">
                  <c:v>10.62625083</c:v>
                </c:pt>
                <c:pt idx="288">
                  <c:v>9.6212035670000002</c:v>
                </c:pt>
                <c:pt idx="289">
                  <c:v>8.7987905079999997</c:v>
                </c:pt>
                <c:pt idx="290">
                  <c:v>8.1198888050000004</c:v>
                </c:pt>
                <c:pt idx="291">
                  <c:v>7.6112618980000004</c:v>
                </c:pt>
                <c:pt idx="292">
                  <c:v>7.2640124449999997</c:v>
                </c:pt>
                <c:pt idx="293">
                  <c:v>9.2194494939999991</c:v>
                </c:pt>
                <c:pt idx="294">
                  <c:v>8.6532504120000002</c:v>
                </c:pt>
                <c:pt idx="295">
                  <c:v>8.1648640770000007</c:v>
                </c:pt>
                <c:pt idx="296">
                  <c:v>7.6845365110000001</c:v>
                </c:pt>
                <c:pt idx="297">
                  <c:v>7.3066496780000003</c:v>
                </c:pt>
                <c:pt idx="298">
                  <c:v>6.9344099430000004</c:v>
                </c:pt>
                <c:pt idx="299">
                  <c:v>6.8592526329999997</c:v>
                </c:pt>
                <c:pt idx="300">
                  <c:v>6.5527343199999999</c:v>
                </c:pt>
                <c:pt idx="301">
                  <c:v>6.2945247430000002</c:v>
                </c:pt>
                <c:pt idx="302">
                  <c:v>7.544538449</c:v>
                </c:pt>
                <c:pt idx="303">
                  <c:v>7.3769494040000003</c:v>
                </c:pt>
                <c:pt idx="304">
                  <c:v>36.485039759999999</c:v>
                </c:pt>
                <c:pt idx="305">
                  <c:v>30.027207069999999</c:v>
                </c:pt>
                <c:pt idx="306">
                  <c:v>33.681307480000001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7-432D-80A3-190C61CCC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740032"/>
        <c:axId val="629342208"/>
      </c:areaChart>
      <c:lineChart>
        <c:grouping val="standard"/>
        <c:varyColors val="0"/>
        <c:ser>
          <c:idx val="0"/>
          <c:order val="0"/>
          <c:tx>
            <c:v>Precipitazioni</c:v>
          </c:tx>
          <c:spPr>
            <a:ln w="19050"/>
          </c:spPr>
          <c:marker>
            <c:symbol val="none"/>
          </c:marker>
          <c:cat>
            <c:numRef>
              <c:f>'Bilancio primo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primo strato'!$C$2:$C$366</c:f>
              <c:numCache>
                <c:formatCode>General</c:formatCode>
                <c:ptCount val="365"/>
                <c:pt idx="0">
                  <c:v>16.783060930000001</c:v>
                </c:pt>
                <c:pt idx="1">
                  <c:v>20.88713147</c:v>
                </c:pt>
                <c:pt idx="2">
                  <c:v>4.5169534960000002</c:v>
                </c:pt>
                <c:pt idx="3">
                  <c:v>6.3450449080000002</c:v>
                </c:pt>
                <c:pt idx="4">
                  <c:v>8.610897692</c:v>
                </c:pt>
                <c:pt idx="5">
                  <c:v>0.76821910699999996</c:v>
                </c:pt>
                <c:pt idx="6">
                  <c:v>0</c:v>
                </c:pt>
                <c:pt idx="7">
                  <c:v>1.8182940620000001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1.9599999999999999E-2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1.0433467199999999</c:v>
                </c:pt>
                <c:pt idx="19">
                  <c:v>3.1811167189999998</c:v>
                </c:pt>
                <c:pt idx="20">
                  <c:v>11.35560072</c:v>
                </c:pt>
                <c:pt idx="21">
                  <c:v>22.29129709</c:v>
                </c:pt>
                <c:pt idx="22">
                  <c:v>14.612226359999999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1.7677414840000001</c:v>
                </c:pt>
                <c:pt idx="30">
                  <c:v>4.5454105550000001</c:v>
                </c:pt>
                <c:pt idx="31">
                  <c:v>0</c:v>
                </c:pt>
                <c:pt idx="32">
                  <c:v>0</c:v>
                </c:pt>
                <c:pt idx="33">
                  <c:v>22.313542989999998</c:v>
                </c:pt>
                <c:pt idx="34">
                  <c:v>1.2048973620000001</c:v>
                </c:pt>
                <c:pt idx="35">
                  <c:v>9.0899999999999995E-2</c:v>
                </c:pt>
                <c:pt idx="36">
                  <c:v>0</c:v>
                </c:pt>
                <c:pt idx="37">
                  <c:v>33.062226529999997</c:v>
                </c:pt>
                <c:pt idx="38">
                  <c:v>0.29090438000000002</c:v>
                </c:pt>
                <c:pt idx="39">
                  <c:v>2.7938365869999999</c:v>
                </c:pt>
                <c:pt idx="40">
                  <c:v>14.38476088</c:v>
                </c:pt>
                <c:pt idx="41">
                  <c:v>0.35261719800000002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1.3129702350000001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1.163617519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1.9796382800000001</c:v>
                </c:pt>
                <c:pt idx="100">
                  <c:v>7.3786207069999996</c:v>
                </c:pt>
                <c:pt idx="101">
                  <c:v>7.0435778119999997</c:v>
                </c:pt>
                <c:pt idx="102">
                  <c:v>1.8789038650000001</c:v>
                </c:pt>
                <c:pt idx="103">
                  <c:v>0</c:v>
                </c:pt>
                <c:pt idx="104">
                  <c:v>0</c:v>
                </c:pt>
                <c:pt idx="105">
                  <c:v>0.72731762499999997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0.25834851399999997</c:v>
                </c:pt>
                <c:pt idx="117">
                  <c:v>0.51518331799999995</c:v>
                </c:pt>
                <c:pt idx="118">
                  <c:v>6.8497257600000001</c:v>
                </c:pt>
                <c:pt idx="119">
                  <c:v>3.2102438750000002</c:v>
                </c:pt>
                <c:pt idx="120">
                  <c:v>14.583699279999999</c:v>
                </c:pt>
                <c:pt idx="121">
                  <c:v>0.42426861500000002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0.97461791099999995</c:v>
                </c:pt>
                <c:pt idx="130">
                  <c:v>5.9644057789999998</c:v>
                </c:pt>
                <c:pt idx="131">
                  <c:v>5.4114895289999998</c:v>
                </c:pt>
                <c:pt idx="132">
                  <c:v>0</c:v>
                </c:pt>
                <c:pt idx="133">
                  <c:v>3.373414887</c:v>
                </c:pt>
                <c:pt idx="134">
                  <c:v>0</c:v>
                </c:pt>
                <c:pt idx="135">
                  <c:v>5.0848543389999996</c:v>
                </c:pt>
                <c:pt idx="136">
                  <c:v>1.3905510320000001</c:v>
                </c:pt>
                <c:pt idx="137">
                  <c:v>2.6367687499999999</c:v>
                </c:pt>
                <c:pt idx="138">
                  <c:v>0</c:v>
                </c:pt>
                <c:pt idx="139">
                  <c:v>0</c:v>
                </c:pt>
                <c:pt idx="140">
                  <c:v>7.5600000000000001E-2</c:v>
                </c:pt>
                <c:pt idx="141">
                  <c:v>1.6814453149999999</c:v>
                </c:pt>
                <c:pt idx="142">
                  <c:v>0</c:v>
                </c:pt>
                <c:pt idx="143">
                  <c:v>29.83870499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5.8799999999999998E-2</c:v>
                </c:pt>
                <c:pt idx="156">
                  <c:v>7.3007469489999997</c:v>
                </c:pt>
                <c:pt idx="157">
                  <c:v>2.52E-2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3.7986151989999999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6.307786675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3.2722081699999999</c:v>
                </c:pt>
                <c:pt idx="185">
                  <c:v>0</c:v>
                </c:pt>
                <c:pt idx="186">
                  <c:v>0</c:v>
                </c:pt>
                <c:pt idx="187">
                  <c:v>7.9841720020000002</c:v>
                </c:pt>
                <c:pt idx="188">
                  <c:v>26.62565781</c:v>
                </c:pt>
                <c:pt idx="189">
                  <c:v>0</c:v>
                </c:pt>
                <c:pt idx="190">
                  <c:v>0.81995939900000003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0.39092781300000001</c:v>
                </c:pt>
                <c:pt idx="195">
                  <c:v>0</c:v>
                </c:pt>
                <c:pt idx="196">
                  <c:v>13.33774753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61.04768352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1.970787837</c:v>
                </c:pt>
                <c:pt idx="213">
                  <c:v>0</c:v>
                </c:pt>
                <c:pt idx="214">
                  <c:v>0</c:v>
                </c:pt>
                <c:pt idx="215">
                  <c:v>5.5773755859999996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25.82138758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0.68141253700000004</c:v>
                </c:pt>
                <c:pt idx="235">
                  <c:v>1.9599999999999999E-2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4.5408043569999998</c:v>
                </c:pt>
                <c:pt idx="240">
                  <c:v>0</c:v>
                </c:pt>
                <c:pt idx="241">
                  <c:v>0</c:v>
                </c:pt>
                <c:pt idx="242">
                  <c:v>0.36970363499999997</c:v>
                </c:pt>
                <c:pt idx="243">
                  <c:v>1.9599999999999999E-2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21.829790289999998</c:v>
                </c:pt>
                <c:pt idx="259">
                  <c:v>0.10812306200000001</c:v>
                </c:pt>
                <c:pt idx="260">
                  <c:v>0.35519644299999997</c:v>
                </c:pt>
                <c:pt idx="261">
                  <c:v>3.0259732709999998</c:v>
                </c:pt>
                <c:pt idx="262">
                  <c:v>13.693706949999999</c:v>
                </c:pt>
                <c:pt idx="263">
                  <c:v>0.11374693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24.20254817</c:v>
                </c:pt>
                <c:pt idx="269">
                  <c:v>5.3100000000000001E-2</c:v>
                </c:pt>
                <c:pt idx="270">
                  <c:v>3.0300000000000001E-2</c:v>
                </c:pt>
                <c:pt idx="271">
                  <c:v>3.9199999999999999E-2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3.2251105880000002</c:v>
                </c:pt>
                <c:pt idx="276">
                  <c:v>51.380185070000003</c:v>
                </c:pt>
                <c:pt idx="277">
                  <c:v>2.6524002979999999</c:v>
                </c:pt>
                <c:pt idx="278">
                  <c:v>10.68860048</c:v>
                </c:pt>
                <c:pt idx="279">
                  <c:v>0</c:v>
                </c:pt>
                <c:pt idx="280">
                  <c:v>2.52E-2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1.9599999999999999E-2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1.9599999999999999E-2</c:v>
                </c:pt>
                <c:pt idx="293">
                  <c:v>2.2224008849999999</c:v>
                </c:pt>
                <c:pt idx="294">
                  <c:v>4.7500000000000001E-2</c:v>
                </c:pt>
                <c:pt idx="295">
                  <c:v>0</c:v>
                </c:pt>
                <c:pt idx="296">
                  <c:v>2.52E-2</c:v>
                </c:pt>
                <c:pt idx="297">
                  <c:v>0</c:v>
                </c:pt>
                <c:pt idx="298">
                  <c:v>0</c:v>
                </c:pt>
                <c:pt idx="299">
                  <c:v>0.30256455399999999</c:v>
                </c:pt>
                <c:pt idx="300">
                  <c:v>0</c:v>
                </c:pt>
                <c:pt idx="301">
                  <c:v>0</c:v>
                </c:pt>
                <c:pt idx="302">
                  <c:v>1.455518614</c:v>
                </c:pt>
                <c:pt idx="303">
                  <c:v>4.7500000000000001E-2</c:v>
                </c:pt>
                <c:pt idx="304">
                  <c:v>39.750710359999999</c:v>
                </c:pt>
                <c:pt idx="305">
                  <c:v>2.9754613760000002</c:v>
                </c:pt>
                <c:pt idx="306">
                  <c:v>23.646188420000001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B7-432D-80A3-190C61CCC6D6}"/>
            </c:ext>
          </c:extLst>
        </c:ser>
        <c:ser>
          <c:idx val="1"/>
          <c:order val="1"/>
          <c:tx>
            <c:v>Irrigazione</c:v>
          </c:tx>
          <c:spPr>
            <a:ln w="19050"/>
          </c:spPr>
          <c:marker>
            <c:symbol val="none"/>
          </c:marker>
          <c:cat>
            <c:numRef>
              <c:f>'Bilancio primo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primo strato'!$D$2:$D$366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198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198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198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198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198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198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B7-432D-80A3-190C61CCC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344512"/>
        <c:axId val="608075072"/>
      </c:lineChart>
      <c:lineChart>
        <c:grouping val="standard"/>
        <c:varyColors val="0"/>
        <c:ser>
          <c:idx val="2"/>
          <c:order val="2"/>
          <c:tx>
            <c:v>Intercezione</c:v>
          </c:tx>
          <c:spPr>
            <a:ln w="19050"/>
          </c:spPr>
          <c:marker>
            <c:symbol val="none"/>
          </c:marker>
          <c:cat>
            <c:numRef>
              <c:f>'Bilancio primo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primo strato'!$H$2:$H$366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4.5900000000000003E-2</c:v>
                </c:pt>
                <c:pt idx="100">
                  <c:v>7.8600000000000003E-2</c:v>
                </c:pt>
                <c:pt idx="101">
                  <c:v>8.5500000000000007E-2</c:v>
                </c:pt>
                <c:pt idx="102">
                  <c:v>5.9799999999999999E-2</c:v>
                </c:pt>
                <c:pt idx="103">
                  <c:v>0</c:v>
                </c:pt>
                <c:pt idx="104">
                  <c:v>0</c:v>
                </c:pt>
                <c:pt idx="105">
                  <c:v>4.2000000000000003E-2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3.1600000000000003E-2</c:v>
                </c:pt>
                <c:pt idx="117">
                  <c:v>5.8200000000000002E-2</c:v>
                </c:pt>
                <c:pt idx="118">
                  <c:v>0.21476352900000001</c:v>
                </c:pt>
                <c:pt idx="119">
                  <c:v>0.179918683</c:v>
                </c:pt>
                <c:pt idx="120">
                  <c:v>0.25849511800000002</c:v>
                </c:pt>
                <c:pt idx="121">
                  <c:v>5.7200000000000001E-2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0.28958041499999998</c:v>
                </c:pt>
                <c:pt idx="130">
                  <c:v>0.68398111299999997</c:v>
                </c:pt>
                <c:pt idx="131">
                  <c:v>0.71723070099999997</c:v>
                </c:pt>
                <c:pt idx="132">
                  <c:v>0</c:v>
                </c:pt>
                <c:pt idx="133">
                  <c:v>0.70892761299999996</c:v>
                </c:pt>
                <c:pt idx="134">
                  <c:v>0</c:v>
                </c:pt>
                <c:pt idx="135">
                  <c:v>0.89956188999999998</c:v>
                </c:pt>
                <c:pt idx="136">
                  <c:v>0.55961102200000001</c:v>
                </c:pt>
                <c:pt idx="137">
                  <c:v>0.80194753299999999</c:v>
                </c:pt>
                <c:pt idx="138">
                  <c:v>0</c:v>
                </c:pt>
                <c:pt idx="139">
                  <c:v>0</c:v>
                </c:pt>
                <c:pt idx="140">
                  <c:v>6.2399999999999997E-2</c:v>
                </c:pt>
                <c:pt idx="141">
                  <c:v>0.77835985500000004</c:v>
                </c:pt>
                <c:pt idx="142">
                  <c:v>0</c:v>
                </c:pt>
                <c:pt idx="143">
                  <c:v>1.643836649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5.74E-2</c:v>
                </c:pt>
                <c:pt idx="156">
                  <c:v>1.914829672</c:v>
                </c:pt>
                <c:pt idx="157">
                  <c:v>2.5000000000000001E-2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1.6519513880000001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2.0626221199999999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1.5644451859999999</c:v>
                </c:pt>
                <c:pt idx="185">
                  <c:v>0</c:v>
                </c:pt>
                <c:pt idx="186">
                  <c:v>0</c:v>
                </c:pt>
                <c:pt idx="187">
                  <c:v>2.1695225059999999</c:v>
                </c:pt>
                <c:pt idx="188">
                  <c:v>2.6743807500000001</c:v>
                </c:pt>
                <c:pt idx="189">
                  <c:v>0</c:v>
                </c:pt>
                <c:pt idx="190">
                  <c:v>0.64213854800000003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0.34499769600000002</c:v>
                </c:pt>
                <c:pt idx="195">
                  <c:v>0</c:v>
                </c:pt>
                <c:pt idx="196">
                  <c:v>2.3981054789999998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2.7343815299999998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1.1610783330000001</c:v>
                </c:pt>
                <c:pt idx="213">
                  <c:v>0</c:v>
                </c:pt>
                <c:pt idx="214">
                  <c:v>0</c:v>
                </c:pt>
                <c:pt idx="215">
                  <c:v>1.847673235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2.2124633920000001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0.52137909199999999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B7-432D-80A3-190C61CCC6D6}"/>
            </c:ext>
          </c:extLst>
        </c:ser>
        <c:ser>
          <c:idx val="3"/>
          <c:order val="3"/>
          <c:tx>
            <c:v>Scorrimento superficiale</c:v>
          </c:tx>
          <c:spPr>
            <a:ln w="19050"/>
          </c:spPr>
          <c:marker>
            <c:symbol val="none"/>
          </c:marker>
          <c:cat>
            <c:numRef>
              <c:f>'Bilancio primo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primo strato'!$I$2:$I$366</c:f>
              <c:numCache>
                <c:formatCode>General</c:formatCode>
                <c:ptCount val="365"/>
                <c:pt idx="0">
                  <c:v>4.0048554469999997</c:v>
                </c:pt>
                <c:pt idx="1">
                  <c:v>7.0843396060000003</c:v>
                </c:pt>
                <c:pt idx="2">
                  <c:v>2.7000000000000001E-3</c:v>
                </c:pt>
                <c:pt idx="3">
                  <c:v>0.164401081</c:v>
                </c:pt>
                <c:pt idx="4">
                  <c:v>0.70679409599999998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1.486823842</c:v>
                </c:pt>
                <c:pt idx="21">
                  <c:v>8.0988806689999997</c:v>
                </c:pt>
                <c:pt idx="22">
                  <c:v>3.4613917750000001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7.6440099999999997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15.907582469999999</c:v>
                </c:pt>
                <c:pt idx="38">
                  <c:v>0</c:v>
                </c:pt>
                <c:pt idx="39">
                  <c:v>0</c:v>
                </c:pt>
                <c:pt idx="40">
                  <c:v>3.1384299879999999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8.1100000000000005E-2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2.4438526290000002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2.46E-2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10.479782630000001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5.2900000000000004E-3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0.472714146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13.23949625</c:v>
                </c:pt>
                <c:pt idx="277">
                  <c:v>0</c:v>
                </c:pt>
                <c:pt idx="278">
                  <c:v>1.49420161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3.3408566400000002</c:v>
                </c:pt>
                <c:pt idx="305">
                  <c:v>0</c:v>
                </c:pt>
                <c:pt idx="306">
                  <c:v>9.2329708349999997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B7-432D-80A3-190C61CCC6D6}"/>
            </c:ext>
          </c:extLst>
        </c:ser>
        <c:ser>
          <c:idx val="5"/>
          <c:order val="4"/>
          <c:tx>
            <c:v>Evaporazione</c:v>
          </c:tx>
          <c:spPr>
            <a:ln w="19050"/>
          </c:spPr>
          <c:marker>
            <c:symbol val="none"/>
          </c:marker>
          <c:cat>
            <c:numRef>
              <c:f>'Bilancio primo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primo strato'!$K$2:$K$366</c:f>
              <c:numCache>
                <c:formatCode>General</c:formatCode>
                <c:ptCount val="365"/>
                <c:pt idx="0">
                  <c:v>0.28331375600000003</c:v>
                </c:pt>
                <c:pt idx="1">
                  <c:v>0.30487852399999998</c:v>
                </c:pt>
                <c:pt idx="2">
                  <c:v>0.25857185700000002</c:v>
                </c:pt>
                <c:pt idx="3">
                  <c:v>0.28063463</c:v>
                </c:pt>
                <c:pt idx="4">
                  <c:v>0.396633921</c:v>
                </c:pt>
                <c:pt idx="5">
                  <c:v>0.331268269</c:v>
                </c:pt>
                <c:pt idx="6">
                  <c:v>0.412011405</c:v>
                </c:pt>
                <c:pt idx="7">
                  <c:v>0.183659972</c:v>
                </c:pt>
                <c:pt idx="8">
                  <c:v>0.392232207</c:v>
                </c:pt>
                <c:pt idx="9">
                  <c:v>0.462487223</c:v>
                </c:pt>
                <c:pt idx="10">
                  <c:v>0.25878190200000001</c:v>
                </c:pt>
                <c:pt idx="11">
                  <c:v>0.38234513399999998</c:v>
                </c:pt>
                <c:pt idx="12">
                  <c:v>0.71013088899999999</c:v>
                </c:pt>
                <c:pt idx="13">
                  <c:v>0.60597713499999994</c:v>
                </c:pt>
                <c:pt idx="14">
                  <c:v>0.63247499699999998</c:v>
                </c:pt>
                <c:pt idx="15">
                  <c:v>0.45460656999999999</c:v>
                </c:pt>
                <c:pt idx="16">
                  <c:v>0.32242610300000002</c:v>
                </c:pt>
                <c:pt idx="17">
                  <c:v>0.222258593</c:v>
                </c:pt>
                <c:pt idx="18">
                  <c:v>0.288720745</c:v>
                </c:pt>
                <c:pt idx="19">
                  <c:v>0.35501783199999998</c:v>
                </c:pt>
                <c:pt idx="20">
                  <c:v>0.40838449599999999</c:v>
                </c:pt>
                <c:pt idx="21">
                  <c:v>0.40237379200000001</c:v>
                </c:pt>
                <c:pt idx="22">
                  <c:v>0.63752513899999996</c:v>
                </c:pt>
                <c:pt idx="23">
                  <c:v>1.066819771</c:v>
                </c:pt>
                <c:pt idx="24">
                  <c:v>0.95465323700000004</c:v>
                </c:pt>
                <c:pt idx="25">
                  <c:v>2.0034267360000002</c:v>
                </c:pt>
                <c:pt idx="26">
                  <c:v>0.83819239599999995</c:v>
                </c:pt>
                <c:pt idx="27">
                  <c:v>0.60825464399999996</c:v>
                </c:pt>
                <c:pt idx="28">
                  <c:v>0.62092499300000004</c:v>
                </c:pt>
                <c:pt idx="29">
                  <c:v>0.88375223000000003</c:v>
                </c:pt>
                <c:pt idx="30">
                  <c:v>0.84386354100000005</c:v>
                </c:pt>
                <c:pt idx="31">
                  <c:v>0.69591124699999996</c:v>
                </c:pt>
                <c:pt idx="32">
                  <c:v>0.44860930300000001</c:v>
                </c:pt>
                <c:pt idx="33">
                  <c:v>0.47401418200000001</c:v>
                </c:pt>
                <c:pt idx="34">
                  <c:v>0.57187390699999996</c:v>
                </c:pt>
                <c:pt idx="35">
                  <c:v>0.58592238799999996</c:v>
                </c:pt>
                <c:pt idx="36">
                  <c:v>0.58212042900000005</c:v>
                </c:pt>
                <c:pt idx="37">
                  <c:v>0.50452902300000002</c:v>
                </c:pt>
                <c:pt idx="38">
                  <c:v>1.470236806</c:v>
                </c:pt>
                <c:pt idx="39">
                  <c:v>0.79627494399999998</c:v>
                </c:pt>
                <c:pt idx="40">
                  <c:v>0.51794426699999996</c:v>
                </c:pt>
                <c:pt idx="41">
                  <c:v>1.2512782339999999</c:v>
                </c:pt>
                <c:pt idx="42">
                  <c:v>1.291762912</c:v>
                </c:pt>
                <c:pt idx="43">
                  <c:v>1.0673460050000001</c:v>
                </c:pt>
                <c:pt idx="44">
                  <c:v>1.2039444640000001</c:v>
                </c:pt>
                <c:pt idx="45">
                  <c:v>1.1287573129999999</c:v>
                </c:pt>
                <c:pt idx="46">
                  <c:v>1.1757285040000001</c:v>
                </c:pt>
                <c:pt idx="47">
                  <c:v>1.283438737</c:v>
                </c:pt>
                <c:pt idx="48">
                  <c:v>1.1186119779999999</c:v>
                </c:pt>
                <c:pt idx="49">
                  <c:v>0.780878815</c:v>
                </c:pt>
                <c:pt idx="50">
                  <c:v>0.86425980199999997</c:v>
                </c:pt>
                <c:pt idx="51">
                  <c:v>1.2210946060000001</c:v>
                </c:pt>
                <c:pt idx="52">
                  <c:v>1.054714639</c:v>
                </c:pt>
                <c:pt idx="53">
                  <c:v>1.2890019939999999</c:v>
                </c:pt>
                <c:pt idx="54">
                  <c:v>1.4948263470000001</c:v>
                </c:pt>
                <c:pt idx="55">
                  <c:v>1.286575265</c:v>
                </c:pt>
                <c:pt idx="56">
                  <c:v>1.127172324</c:v>
                </c:pt>
                <c:pt idx="57">
                  <c:v>1.0438743720000001</c:v>
                </c:pt>
                <c:pt idx="58">
                  <c:v>0.78805408899999996</c:v>
                </c:pt>
                <c:pt idx="59">
                  <c:v>0.64158398299999997</c:v>
                </c:pt>
                <c:pt idx="60">
                  <c:v>0.520978096</c:v>
                </c:pt>
                <c:pt idx="61">
                  <c:v>0.34778215299999998</c:v>
                </c:pt>
                <c:pt idx="62">
                  <c:v>0.31359823999999997</c:v>
                </c:pt>
                <c:pt idx="63">
                  <c:v>0.34257134700000003</c:v>
                </c:pt>
                <c:pt idx="64">
                  <c:v>0.211807579</c:v>
                </c:pt>
                <c:pt idx="65">
                  <c:v>0.20559682300000001</c:v>
                </c:pt>
                <c:pt idx="66">
                  <c:v>0.180768241</c:v>
                </c:pt>
                <c:pt idx="67">
                  <c:v>0.16417212</c:v>
                </c:pt>
                <c:pt idx="68">
                  <c:v>0.141133745</c:v>
                </c:pt>
                <c:pt idx="69">
                  <c:v>7.1300000000000002E-2</c:v>
                </c:pt>
                <c:pt idx="70">
                  <c:v>9.9299999999999999E-2</c:v>
                </c:pt>
                <c:pt idx="71">
                  <c:v>8.9300000000000004E-2</c:v>
                </c:pt>
                <c:pt idx="72">
                  <c:v>0.10822684</c:v>
                </c:pt>
                <c:pt idx="73">
                  <c:v>7.2599999999999998E-2</c:v>
                </c:pt>
                <c:pt idx="74">
                  <c:v>7.1599999999999997E-2</c:v>
                </c:pt>
                <c:pt idx="75">
                  <c:v>3.15E-2</c:v>
                </c:pt>
                <c:pt idx="76">
                  <c:v>0.12850803499999999</c:v>
                </c:pt>
                <c:pt idx="77">
                  <c:v>0.21722571800000001</c:v>
                </c:pt>
                <c:pt idx="78">
                  <c:v>0.18633611999999999</c:v>
                </c:pt>
                <c:pt idx="79">
                  <c:v>0.13608115000000001</c:v>
                </c:pt>
                <c:pt idx="80">
                  <c:v>0.13441793499999999</c:v>
                </c:pt>
                <c:pt idx="81">
                  <c:v>0.11007641999999999</c:v>
                </c:pt>
                <c:pt idx="82">
                  <c:v>7.8600000000000003E-2</c:v>
                </c:pt>
                <c:pt idx="83">
                  <c:v>6.13E-2</c:v>
                </c:pt>
                <c:pt idx="84">
                  <c:v>4.4600000000000001E-2</c:v>
                </c:pt>
                <c:pt idx="85">
                  <c:v>2.2599999999999999E-2</c:v>
                </c:pt>
                <c:pt idx="86">
                  <c:v>2.8299999999999999E-2</c:v>
                </c:pt>
                <c:pt idx="87">
                  <c:v>2.3900000000000001E-2</c:v>
                </c:pt>
                <c:pt idx="88">
                  <c:v>1.89E-2</c:v>
                </c:pt>
                <c:pt idx="89">
                  <c:v>1.37E-2</c:v>
                </c:pt>
                <c:pt idx="90">
                  <c:v>1.04E-2</c:v>
                </c:pt>
                <c:pt idx="91">
                  <c:v>7.4599999999999996E-3</c:v>
                </c:pt>
                <c:pt idx="92">
                  <c:v>3.6900000000000001E-3</c:v>
                </c:pt>
                <c:pt idx="93">
                  <c:v>2.1800000000000001E-3</c:v>
                </c:pt>
                <c:pt idx="94">
                  <c:v>1.5900000000000001E-3</c:v>
                </c:pt>
                <c:pt idx="95">
                  <c:v>1.2099999999999999E-3</c:v>
                </c:pt>
                <c:pt idx="96">
                  <c:v>9.6199999999999996E-4</c:v>
                </c:pt>
                <c:pt idx="97">
                  <c:v>6.29E-4</c:v>
                </c:pt>
                <c:pt idx="98">
                  <c:v>3.0600000000000001E-4</c:v>
                </c:pt>
                <c:pt idx="99">
                  <c:v>0.161182837</c:v>
                </c:pt>
                <c:pt idx="100">
                  <c:v>0.49207340300000002</c:v>
                </c:pt>
                <c:pt idx="101">
                  <c:v>1.0163839429999999</c:v>
                </c:pt>
                <c:pt idx="102">
                  <c:v>2.767901626</c:v>
                </c:pt>
                <c:pt idx="103">
                  <c:v>3.2995870009999999</c:v>
                </c:pt>
                <c:pt idx="104">
                  <c:v>2.1253929600000001</c:v>
                </c:pt>
                <c:pt idx="105">
                  <c:v>2.0257140850000002</c:v>
                </c:pt>
                <c:pt idx="106">
                  <c:v>1.708456711</c:v>
                </c:pt>
                <c:pt idx="107">
                  <c:v>1.2365520409999999</c:v>
                </c:pt>
                <c:pt idx="108">
                  <c:v>1.0120417749999999</c:v>
                </c:pt>
                <c:pt idx="109">
                  <c:v>0.86286882600000003</c:v>
                </c:pt>
                <c:pt idx="110">
                  <c:v>0.58021723999999997</c:v>
                </c:pt>
                <c:pt idx="111">
                  <c:v>0.38706717000000002</c:v>
                </c:pt>
                <c:pt idx="112">
                  <c:v>0.29974199899999998</c:v>
                </c:pt>
                <c:pt idx="113">
                  <c:v>0.22975105400000001</c:v>
                </c:pt>
                <c:pt idx="114">
                  <c:v>0.16056629</c:v>
                </c:pt>
                <c:pt idx="115">
                  <c:v>4.6300000000000001E-2</c:v>
                </c:pt>
                <c:pt idx="116">
                  <c:v>5.6500000000000002E-2</c:v>
                </c:pt>
                <c:pt idx="117">
                  <c:v>0.15233486099999999</c:v>
                </c:pt>
                <c:pt idx="118">
                  <c:v>0.42141537299999998</c:v>
                </c:pt>
                <c:pt idx="119">
                  <c:v>1.4666600510000001</c:v>
                </c:pt>
                <c:pt idx="120">
                  <c:v>1.609769537</c:v>
                </c:pt>
                <c:pt idx="121">
                  <c:v>4.4527087779999999</c:v>
                </c:pt>
                <c:pt idx="122">
                  <c:v>4.2249883439999998</c:v>
                </c:pt>
                <c:pt idx="123">
                  <c:v>3.9582919900000002</c:v>
                </c:pt>
                <c:pt idx="124">
                  <c:v>2.1649086479999999</c:v>
                </c:pt>
                <c:pt idx="125">
                  <c:v>1.72445889</c:v>
                </c:pt>
                <c:pt idx="126">
                  <c:v>1.6690233050000001</c:v>
                </c:pt>
                <c:pt idx="127">
                  <c:v>0.83765931199999999</c:v>
                </c:pt>
                <c:pt idx="128">
                  <c:v>0.57835726200000004</c:v>
                </c:pt>
                <c:pt idx="129">
                  <c:v>0.482631062</c:v>
                </c:pt>
                <c:pt idx="130">
                  <c:v>0.48878854999999999</c:v>
                </c:pt>
                <c:pt idx="131">
                  <c:v>2.3430569389999998</c:v>
                </c:pt>
                <c:pt idx="132">
                  <c:v>2.242754632</c:v>
                </c:pt>
                <c:pt idx="133">
                  <c:v>1.609783795</c:v>
                </c:pt>
                <c:pt idx="134">
                  <c:v>1.262375563</c:v>
                </c:pt>
                <c:pt idx="135">
                  <c:v>1.002210944</c:v>
                </c:pt>
                <c:pt idx="136">
                  <c:v>3.9030501179999999</c:v>
                </c:pt>
                <c:pt idx="137">
                  <c:v>3.1831395219999998</c:v>
                </c:pt>
                <c:pt idx="138">
                  <c:v>3.2417253339999998</c:v>
                </c:pt>
                <c:pt idx="139">
                  <c:v>3.1808218560000001</c:v>
                </c:pt>
                <c:pt idx="140">
                  <c:v>2.0864754560000001</c:v>
                </c:pt>
                <c:pt idx="141">
                  <c:v>1.0419374669999999</c:v>
                </c:pt>
                <c:pt idx="142">
                  <c:v>1.6367093619999999</c:v>
                </c:pt>
                <c:pt idx="143">
                  <c:v>0.471015923</c:v>
                </c:pt>
                <c:pt idx="144">
                  <c:v>2.7409316769999998</c:v>
                </c:pt>
                <c:pt idx="145">
                  <c:v>2.013343227</c:v>
                </c:pt>
                <c:pt idx="146">
                  <c:v>2.1117820840000001</c:v>
                </c:pt>
                <c:pt idx="147">
                  <c:v>1.8894572890000001</c:v>
                </c:pt>
                <c:pt idx="148">
                  <c:v>1.972987705</c:v>
                </c:pt>
                <c:pt idx="149">
                  <c:v>2.0065475930000001</c:v>
                </c:pt>
                <c:pt idx="150">
                  <c:v>1.5480935810000001</c:v>
                </c:pt>
                <c:pt idx="151">
                  <c:v>1.388792324</c:v>
                </c:pt>
                <c:pt idx="152">
                  <c:v>0.98719313500000005</c:v>
                </c:pt>
                <c:pt idx="153">
                  <c:v>1.3469186799999999</c:v>
                </c:pt>
                <c:pt idx="154">
                  <c:v>1.409771154</c:v>
                </c:pt>
                <c:pt idx="155">
                  <c:v>0.79711679199999996</c:v>
                </c:pt>
                <c:pt idx="156">
                  <c:v>1.0541404999999999</c:v>
                </c:pt>
                <c:pt idx="157">
                  <c:v>0.47973486300000001</c:v>
                </c:pt>
                <c:pt idx="158">
                  <c:v>0.43792983600000002</c:v>
                </c:pt>
                <c:pt idx="159">
                  <c:v>0.73706408099999998</c:v>
                </c:pt>
                <c:pt idx="160">
                  <c:v>0.60244368400000003</c:v>
                </c:pt>
                <c:pt idx="161">
                  <c:v>0.564019665</c:v>
                </c:pt>
                <c:pt idx="162">
                  <c:v>0.48201352800000002</c:v>
                </c:pt>
                <c:pt idx="163">
                  <c:v>0.64340580000000003</c:v>
                </c:pt>
                <c:pt idx="164">
                  <c:v>0.32070890800000001</c:v>
                </c:pt>
                <c:pt idx="165">
                  <c:v>0.37957773299999997</c:v>
                </c:pt>
                <c:pt idx="166">
                  <c:v>0.211505471</c:v>
                </c:pt>
                <c:pt idx="167">
                  <c:v>0.19707370199999999</c:v>
                </c:pt>
                <c:pt idx="168">
                  <c:v>0.345822827</c:v>
                </c:pt>
                <c:pt idx="169">
                  <c:v>0.31502101100000002</c:v>
                </c:pt>
                <c:pt idx="170">
                  <c:v>0.16724677299999999</c:v>
                </c:pt>
                <c:pt idx="171">
                  <c:v>0.32364128599999997</c:v>
                </c:pt>
                <c:pt idx="172">
                  <c:v>0.34957961999999998</c:v>
                </c:pt>
                <c:pt idx="173">
                  <c:v>0.25286565100000002</c:v>
                </c:pt>
                <c:pt idx="174">
                  <c:v>0.310670956</c:v>
                </c:pt>
                <c:pt idx="175">
                  <c:v>0.47479980199999999</c:v>
                </c:pt>
                <c:pt idx="176">
                  <c:v>0.30350789700000003</c:v>
                </c:pt>
                <c:pt idx="177">
                  <c:v>0.295570528</c:v>
                </c:pt>
                <c:pt idx="178">
                  <c:v>0.389232513</c:v>
                </c:pt>
                <c:pt idx="179">
                  <c:v>0.41913726800000001</c:v>
                </c:pt>
                <c:pt idx="180">
                  <c:v>0.39399188600000001</c:v>
                </c:pt>
                <c:pt idx="181">
                  <c:v>0.55609855699999999</c:v>
                </c:pt>
                <c:pt idx="182">
                  <c:v>0.39077867199999999</c:v>
                </c:pt>
                <c:pt idx="183">
                  <c:v>0.211009369</c:v>
                </c:pt>
                <c:pt idx="184">
                  <c:v>1.6299999999999999E-2</c:v>
                </c:pt>
                <c:pt idx="185">
                  <c:v>0.234612916</c:v>
                </c:pt>
                <c:pt idx="186">
                  <c:v>0.26505884400000002</c:v>
                </c:pt>
                <c:pt idx="187">
                  <c:v>0.32274744799999999</c:v>
                </c:pt>
                <c:pt idx="188">
                  <c:v>0.155279318</c:v>
                </c:pt>
                <c:pt idx="189">
                  <c:v>0.48900844599999999</c:v>
                </c:pt>
                <c:pt idx="190">
                  <c:v>0.35000938100000001</c:v>
                </c:pt>
                <c:pt idx="191">
                  <c:v>0.41299450100000001</c:v>
                </c:pt>
                <c:pt idx="192">
                  <c:v>0.19733319499999999</c:v>
                </c:pt>
                <c:pt idx="193">
                  <c:v>0.421953731</c:v>
                </c:pt>
                <c:pt idx="194">
                  <c:v>0.138449035</c:v>
                </c:pt>
                <c:pt idx="195">
                  <c:v>0.123186621</c:v>
                </c:pt>
                <c:pt idx="196">
                  <c:v>0.205517333</c:v>
                </c:pt>
                <c:pt idx="197">
                  <c:v>0.15215693599999999</c:v>
                </c:pt>
                <c:pt idx="198">
                  <c:v>0.17410546599999999</c:v>
                </c:pt>
                <c:pt idx="199">
                  <c:v>0.477032662</c:v>
                </c:pt>
                <c:pt idx="200">
                  <c:v>0.344742365</c:v>
                </c:pt>
                <c:pt idx="201">
                  <c:v>0.24925772900000001</c:v>
                </c:pt>
                <c:pt idx="202">
                  <c:v>0.260256294</c:v>
                </c:pt>
                <c:pt idx="203">
                  <c:v>0.17441452499999999</c:v>
                </c:pt>
                <c:pt idx="204">
                  <c:v>0.17213489400000001</c:v>
                </c:pt>
                <c:pt idx="205">
                  <c:v>0.18519970699999999</c:v>
                </c:pt>
                <c:pt idx="206">
                  <c:v>8.43E-2</c:v>
                </c:pt>
                <c:pt idx="207">
                  <c:v>9.5899999999999999E-2</c:v>
                </c:pt>
                <c:pt idx="208">
                  <c:v>7.5899999999999995E-2</c:v>
                </c:pt>
                <c:pt idx="209">
                  <c:v>0.270224927</c:v>
                </c:pt>
                <c:pt idx="210">
                  <c:v>0.14082787799999999</c:v>
                </c:pt>
                <c:pt idx="211">
                  <c:v>0.20864664199999999</c:v>
                </c:pt>
                <c:pt idx="212">
                  <c:v>9.2100000000000001E-2</c:v>
                </c:pt>
                <c:pt idx="213">
                  <c:v>0.18905789200000001</c:v>
                </c:pt>
                <c:pt idx="214">
                  <c:v>0.27757721000000002</c:v>
                </c:pt>
                <c:pt idx="215">
                  <c:v>0.10440223</c:v>
                </c:pt>
                <c:pt idx="216">
                  <c:v>1.098015089</c:v>
                </c:pt>
                <c:pt idx="217">
                  <c:v>0.95282571800000004</c:v>
                </c:pt>
                <c:pt idx="218">
                  <c:v>0.74282723100000003</c:v>
                </c:pt>
                <c:pt idx="219">
                  <c:v>1.246850427</c:v>
                </c:pt>
                <c:pt idx="220">
                  <c:v>1.6889089829999999</c:v>
                </c:pt>
                <c:pt idx="221">
                  <c:v>1.899511181</c:v>
                </c:pt>
                <c:pt idx="222">
                  <c:v>2.302649357</c:v>
                </c:pt>
                <c:pt idx="223">
                  <c:v>2.610518259</c:v>
                </c:pt>
                <c:pt idx="224">
                  <c:v>2.1374196169999999</c:v>
                </c:pt>
                <c:pt idx="225">
                  <c:v>1.774249805</c:v>
                </c:pt>
                <c:pt idx="226">
                  <c:v>1.516413928</c:v>
                </c:pt>
                <c:pt idx="227">
                  <c:v>3.768490882</c:v>
                </c:pt>
                <c:pt idx="228">
                  <c:v>4.0640488530000001</c:v>
                </c:pt>
                <c:pt idx="229">
                  <c:v>4.2216762890000004</c:v>
                </c:pt>
                <c:pt idx="230">
                  <c:v>3.9581851010000002</c:v>
                </c:pt>
                <c:pt idx="231">
                  <c:v>3.3371399519999998</c:v>
                </c:pt>
                <c:pt idx="232">
                  <c:v>2.4137597579999999</c:v>
                </c:pt>
                <c:pt idx="233">
                  <c:v>1.614423962</c:v>
                </c:pt>
                <c:pt idx="234">
                  <c:v>1.0920423829999999</c:v>
                </c:pt>
                <c:pt idx="235">
                  <c:v>0.77342556299999998</c:v>
                </c:pt>
                <c:pt idx="236">
                  <c:v>0.50928993199999995</c:v>
                </c:pt>
                <c:pt idx="237">
                  <c:v>0.336217928</c:v>
                </c:pt>
                <c:pt idx="238">
                  <c:v>0.150097273</c:v>
                </c:pt>
                <c:pt idx="239">
                  <c:v>0.97894085099999995</c:v>
                </c:pt>
                <c:pt idx="240">
                  <c:v>1.436728937</c:v>
                </c:pt>
                <c:pt idx="241">
                  <c:v>0.90326407900000005</c:v>
                </c:pt>
                <c:pt idx="242">
                  <c:v>0.61613622599999995</c:v>
                </c:pt>
                <c:pt idx="243">
                  <c:v>0.49539248800000002</c:v>
                </c:pt>
                <c:pt idx="244">
                  <c:v>0.33550313599999998</c:v>
                </c:pt>
                <c:pt idx="245">
                  <c:v>0.187237608</c:v>
                </c:pt>
                <c:pt idx="246">
                  <c:v>0.116572418</c:v>
                </c:pt>
                <c:pt idx="247">
                  <c:v>7.9299999999999995E-2</c:v>
                </c:pt>
                <c:pt idx="248">
                  <c:v>5.2900000000000003E-2</c:v>
                </c:pt>
                <c:pt idx="249">
                  <c:v>3.3000000000000002E-2</c:v>
                </c:pt>
                <c:pt idx="250">
                  <c:v>2.2100000000000002E-2</c:v>
                </c:pt>
                <c:pt idx="251">
                  <c:v>1.29E-2</c:v>
                </c:pt>
                <c:pt idx="252">
                  <c:v>7.5900000000000004E-3</c:v>
                </c:pt>
                <c:pt idx="253">
                  <c:v>5.9500000000000004E-3</c:v>
                </c:pt>
                <c:pt idx="254">
                  <c:v>3.98E-3</c:v>
                </c:pt>
                <c:pt idx="255">
                  <c:v>2.7100000000000002E-3</c:v>
                </c:pt>
                <c:pt idx="256">
                  <c:v>1.42E-3</c:v>
                </c:pt>
                <c:pt idx="257">
                  <c:v>9.7900000000000005E-4</c:v>
                </c:pt>
                <c:pt idx="258">
                  <c:v>2.5114357589999998</c:v>
                </c:pt>
                <c:pt idx="259">
                  <c:v>3.6830555779999998</c:v>
                </c:pt>
                <c:pt idx="260">
                  <c:v>3.3820409740000001</c:v>
                </c:pt>
                <c:pt idx="261">
                  <c:v>3.2780777219999999</c:v>
                </c:pt>
                <c:pt idx="262">
                  <c:v>3.5740142810000002</c:v>
                </c:pt>
                <c:pt idx="263">
                  <c:v>3.36030746</c:v>
                </c:pt>
                <c:pt idx="264">
                  <c:v>3.3477659059999998</c:v>
                </c:pt>
                <c:pt idx="265">
                  <c:v>3.2520210089999999</c:v>
                </c:pt>
                <c:pt idx="266">
                  <c:v>3.062571723</c:v>
                </c:pt>
                <c:pt idx="267">
                  <c:v>1.7314404729999999</c:v>
                </c:pt>
                <c:pt idx="268">
                  <c:v>1.10358767</c:v>
                </c:pt>
                <c:pt idx="269">
                  <c:v>2.2787694049999998</c:v>
                </c:pt>
                <c:pt idx="270">
                  <c:v>3.0119557050000001</c:v>
                </c:pt>
                <c:pt idx="271">
                  <c:v>3.5026812600000001</c:v>
                </c:pt>
                <c:pt idx="272">
                  <c:v>3.169172246</c:v>
                </c:pt>
                <c:pt idx="273">
                  <c:v>2.9993721789999999</c:v>
                </c:pt>
                <c:pt idx="274">
                  <c:v>2.187417591</c:v>
                </c:pt>
                <c:pt idx="275">
                  <c:v>1.0339630280000001</c:v>
                </c:pt>
                <c:pt idx="276">
                  <c:v>1.46284444</c:v>
                </c:pt>
                <c:pt idx="277">
                  <c:v>2.0828724470000002</c:v>
                </c:pt>
                <c:pt idx="278">
                  <c:v>1.4206826690000001</c:v>
                </c:pt>
                <c:pt idx="279">
                  <c:v>1.9358326290000001</c:v>
                </c:pt>
                <c:pt idx="280">
                  <c:v>2.0751353880000001</c:v>
                </c:pt>
                <c:pt idx="281">
                  <c:v>2.2291095150000002</c:v>
                </c:pt>
                <c:pt idx="282">
                  <c:v>2.0904277850000001</c:v>
                </c:pt>
                <c:pt idx="283">
                  <c:v>2.1427882820000002</c:v>
                </c:pt>
                <c:pt idx="284">
                  <c:v>2.046414113</c:v>
                </c:pt>
                <c:pt idx="285">
                  <c:v>1.914652485</c:v>
                </c:pt>
                <c:pt idx="286">
                  <c:v>1.5554104049999999</c:v>
                </c:pt>
                <c:pt idx="287">
                  <c:v>1.1742945149999999</c:v>
                </c:pt>
                <c:pt idx="288">
                  <c:v>1.005043525</c:v>
                </c:pt>
                <c:pt idx="289">
                  <c:v>0.82241238500000002</c:v>
                </c:pt>
                <c:pt idx="290">
                  <c:v>0.67890158</c:v>
                </c:pt>
                <c:pt idx="291">
                  <c:v>0.50862688300000003</c:v>
                </c:pt>
                <c:pt idx="292">
                  <c:v>0.36683929199999998</c:v>
                </c:pt>
                <c:pt idx="293">
                  <c:v>0.266963793</c:v>
                </c:pt>
                <c:pt idx="294">
                  <c:v>0.61371200000000004</c:v>
                </c:pt>
                <c:pt idx="295">
                  <c:v>0.488386237</c:v>
                </c:pt>
                <c:pt idx="296">
                  <c:v>0.50554125100000002</c:v>
                </c:pt>
                <c:pt idx="297">
                  <c:v>0.37788682600000001</c:v>
                </c:pt>
                <c:pt idx="298">
                  <c:v>0.37223973399999999</c:v>
                </c:pt>
                <c:pt idx="299">
                  <c:v>0.37772187200000001</c:v>
                </c:pt>
                <c:pt idx="300">
                  <c:v>0.30651831200000001</c:v>
                </c:pt>
                <c:pt idx="301">
                  <c:v>0.258209578</c:v>
                </c:pt>
                <c:pt idx="302">
                  <c:v>0.20550494899999999</c:v>
                </c:pt>
                <c:pt idx="303">
                  <c:v>0.2151023</c:v>
                </c:pt>
                <c:pt idx="304">
                  <c:v>0.53397742999999998</c:v>
                </c:pt>
                <c:pt idx="305">
                  <c:v>0.70157355600000004</c:v>
                </c:pt>
                <c:pt idx="306">
                  <c:v>0.54586942000000005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B7-432D-80A3-190C61CCC6D6}"/>
            </c:ext>
          </c:extLst>
        </c:ser>
        <c:ser>
          <c:idx val="7"/>
          <c:order val="5"/>
          <c:tx>
            <c:v>Traspirazione</c:v>
          </c:tx>
          <c:marker>
            <c:symbol val="none"/>
          </c:marker>
          <c:cat>
            <c:numRef>
              <c:f>'Bilancio primo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primo strato'!$L$2:$L$366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40-461A-BA44-9DA4F129DD9D}"/>
            </c:ext>
          </c:extLst>
        </c:ser>
        <c:ser>
          <c:idx val="6"/>
          <c:order val="6"/>
          <c:tx>
            <c:v>Percolazione</c:v>
          </c:tx>
          <c:spPr>
            <a:ln w="19050"/>
          </c:spPr>
          <c:marker>
            <c:symbol val="none"/>
          </c:marker>
          <c:cat>
            <c:numRef>
              <c:f>'Bilancio primo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primo strato'!$M$2:$M$366</c:f>
              <c:numCache>
                <c:formatCode>General</c:formatCode>
                <c:ptCount val="365"/>
                <c:pt idx="0">
                  <c:v>3.1797259210000002</c:v>
                </c:pt>
                <c:pt idx="1">
                  <c:v>12.104180210000001</c:v>
                </c:pt>
                <c:pt idx="2">
                  <c:v>7.1943807499999997</c:v>
                </c:pt>
                <c:pt idx="3">
                  <c:v>5.5225036650000003</c:v>
                </c:pt>
                <c:pt idx="4">
                  <c:v>6.7961810930000004</c:v>
                </c:pt>
                <c:pt idx="5">
                  <c:v>3.8009933330000001</c:v>
                </c:pt>
                <c:pt idx="6">
                  <c:v>1.4983005899999999</c:v>
                </c:pt>
                <c:pt idx="7">
                  <c:v>1.1476926380000001</c:v>
                </c:pt>
                <c:pt idx="8">
                  <c:v>0.94780998900000002</c:v>
                </c:pt>
                <c:pt idx="9">
                  <c:v>0.57089934899999994</c:v>
                </c:pt>
                <c:pt idx="10">
                  <c:v>0.38888244</c:v>
                </c:pt>
                <c:pt idx="11">
                  <c:v>0.28550772800000002</c:v>
                </c:pt>
                <c:pt idx="12">
                  <c:v>0.19552836300000001</c:v>
                </c:pt>
                <c:pt idx="13">
                  <c:v>0.12825503399999999</c:v>
                </c:pt>
                <c:pt idx="14">
                  <c:v>8.7300000000000003E-2</c:v>
                </c:pt>
                <c:pt idx="15">
                  <c:v>6.1800000000000001E-2</c:v>
                </c:pt>
                <c:pt idx="16">
                  <c:v>4.7600000000000003E-2</c:v>
                </c:pt>
                <c:pt idx="17">
                  <c:v>3.9399999999999998E-2</c:v>
                </c:pt>
                <c:pt idx="18">
                  <c:v>4.4900000000000002E-2</c:v>
                </c:pt>
                <c:pt idx="19">
                  <c:v>0.124570049</c:v>
                </c:pt>
                <c:pt idx="20">
                  <c:v>1.9675365730000001</c:v>
                </c:pt>
                <c:pt idx="21">
                  <c:v>10.83818494</c:v>
                </c:pt>
                <c:pt idx="22">
                  <c:v>11.261518069999999</c:v>
                </c:pt>
                <c:pt idx="23">
                  <c:v>4.1080493000000002</c:v>
                </c:pt>
                <c:pt idx="24">
                  <c:v>1.1226562899999999</c:v>
                </c:pt>
                <c:pt idx="25">
                  <c:v>0.447981513</c:v>
                </c:pt>
                <c:pt idx="26">
                  <c:v>0.18291822399999999</c:v>
                </c:pt>
                <c:pt idx="27">
                  <c:v>0.115731161</c:v>
                </c:pt>
                <c:pt idx="28">
                  <c:v>7.8700000000000006E-2</c:v>
                </c:pt>
                <c:pt idx="29">
                  <c:v>7.9899999999999999E-2</c:v>
                </c:pt>
                <c:pt idx="30">
                  <c:v>0.26566567800000002</c:v>
                </c:pt>
                <c:pt idx="31">
                  <c:v>0.42191334800000002</c:v>
                </c:pt>
                <c:pt idx="32">
                  <c:v>0.27218584000000001</c:v>
                </c:pt>
                <c:pt idx="33">
                  <c:v>4.3246250719999999</c:v>
                </c:pt>
                <c:pt idx="34">
                  <c:v>4.872370257</c:v>
                </c:pt>
                <c:pt idx="35">
                  <c:v>1.6630873340000001</c:v>
                </c:pt>
                <c:pt idx="36">
                  <c:v>0.81373683299999999</c:v>
                </c:pt>
                <c:pt idx="37">
                  <c:v>7.8040874039999997</c:v>
                </c:pt>
                <c:pt idx="38">
                  <c:v>5.0096719409999997</c:v>
                </c:pt>
                <c:pt idx="39">
                  <c:v>1.86089412</c:v>
                </c:pt>
                <c:pt idx="40">
                  <c:v>6.1522375800000004</c:v>
                </c:pt>
                <c:pt idx="41">
                  <c:v>3.9434464500000002</c:v>
                </c:pt>
                <c:pt idx="42">
                  <c:v>1.083057932</c:v>
                </c:pt>
                <c:pt idx="43">
                  <c:v>0.46439235899999998</c:v>
                </c:pt>
                <c:pt idx="44">
                  <c:v>0.23217138600000001</c:v>
                </c:pt>
                <c:pt idx="45">
                  <c:v>0.116985573</c:v>
                </c:pt>
                <c:pt idx="46">
                  <c:v>5.96E-2</c:v>
                </c:pt>
                <c:pt idx="47">
                  <c:v>2.8199999999999999E-2</c:v>
                </c:pt>
                <c:pt idx="48">
                  <c:v>1.8499999999999999E-2</c:v>
                </c:pt>
                <c:pt idx="49">
                  <c:v>1.55E-2</c:v>
                </c:pt>
                <c:pt idx="50">
                  <c:v>8.8000000000000005E-3</c:v>
                </c:pt>
                <c:pt idx="51">
                  <c:v>4.2399999999999998E-3</c:v>
                </c:pt>
                <c:pt idx="52">
                  <c:v>1.66E-3</c:v>
                </c:pt>
                <c:pt idx="53">
                  <c:v>6.02E-4</c:v>
                </c:pt>
                <c:pt idx="54">
                  <c:v>1.56E-4</c:v>
                </c:pt>
                <c:pt idx="55">
                  <c:v>2.8200000000000001E-5</c:v>
                </c:pt>
                <c:pt idx="56">
                  <c:v>4.7099999999999998E-6</c:v>
                </c:pt>
                <c:pt idx="57">
                  <c:v>6.7599999999999997E-7</c:v>
                </c:pt>
                <c:pt idx="58">
                  <c:v>7.6899999999999994E-8</c:v>
                </c:pt>
                <c:pt idx="59">
                  <c:v>9.3999999999999998E-9</c:v>
                </c:pt>
                <c:pt idx="60">
                  <c:v>1.08E-9</c:v>
                </c:pt>
                <c:pt idx="61">
                  <c:v>1.2400000000000001E-10</c:v>
                </c:pt>
                <c:pt idx="62">
                  <c:v>1.8500000000000001E-11</c:v>
                </c:pt>
                <c:pt idx="63">
                  <c:v>2.0400000000000002E-12</c:v>
                </c:pt>
                <c:pt idx="64">
                  <c:v>1.06E-13</c:v>
                </c:pt>
                <c:pt idx="65">
                  <c:v>7.7900000000000008E-15</c:v>
                </c:pt>
                <c:pt idx="66">
                  <c:v>2.4400000000000002E-16</c:v>
                </c:pt>
                <c:pt idx="67">
                  <c:v>2.2200000000000001E-18</c:v>
                </c:pt>
                <c:pt idx="68">
                  <c:v>4.5399999999999996E-22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1.83E-17</c:v>
                </c:pt>
                <c:pt idx="77">
                  <c:v>2.5600000000000002E-16</c:v>
                </c:pt>
                <c:pt idx="78">
                  <c:v>6.8800000000000002E-19</c:v>
                </c:pt>
                <c:pt idx="79">
                  <c:v>8.2800000000000004E-25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1.06E-13</c:v>
                </c:pt>
                <c:pt idx="100">
                  <c:v>1.11E-5</c:v>
                </c:pt>
                <c:pt idx="101">
                  <c:v>3.64E-3</c:v>
                </c:pt>
                <c:pt idx="102">
                  <c:v>1.43E-2</c:v>
                </c:pt>
                <c:pt idx="103">
                  <c:v>4.4200000000000003E-3</c:v>
                </c:pt>
                <c:pt idx="104">
                  <c:v>3.1100000000000002E-4</c:v>
                </c:pt>
                <c:pt idx="105">
                  <c:v>3.79E-5</c:v>
                </c:pt>
                <c:pt idx="106">
                  <c:v>4.8600000000000001E-6</c:v>
                </c:pt>
                <c:pt idx="107">
                  <c:v>2.5199999999999998E-7</c:v>
                </c:pt>
                <c:pt idx="108">
                  <c:v>1.2299999999999999E-8</c:v>
                </c:pt>
                <c:pt idx="109">
                  <c:v>3.59E-10</c:v>
                </c:pt>
                <c:pt idx="110">
                  <c:v>3.6399999999999998E-12</c:v>
                </c:pt>
                <c:pt idx="111">
                  <c:v>1.81E-14</c:v>
                </c:pt>
                <c:pt idx="112">
                  <c:v>1.9499999999999999E-17</c:v>
                </c:pt>
                <c:pt idx="113">
                  <c:v>4.2499999999999999E-25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2.3799999999999999E-24</c:v>
                </c:pt>
                <c:pt idx="118">
                  <c:v>1.17E-6</c:v>
                </c:pt>
                <c:pt idx="119">
                  <c:v>4.21E-5</c:v>
                </c:pt>
                <c:pt idx="120">
                  <c:v>9.1499999999999998E-2</c:v>
                </c:pt>
                <c:pt idx="121">
                  <c:v>0.29945190799999999</c:v>
                </c:pt>
                <c:pt idx="122">
                  <c:v>3.1899999999999998E-2</c:v>
                </c:pt>
                <c:pt idx="123">
                  <c:v>1.7899999999999999E-3</c:v>
                </c:pt>
                <c:pt idx="124">
                  <c:v>4.71E-5</c:v>
                </c:pt>
                <c:pt idx="125">
                  <c:v>2.4700000000000001E-6</c:v>
                </c:pt>
                <c:pt idx="126">
                  <c:v>8.4400000000000001E-8</c:v>
                </c:pt>
                <c:pt idx="127">
                  <c:v>6.6499999999999998E-10</c:v>
                </c:pt>
                <c:pt idx="128">
                  <c:v>1.1500000000000001E-11</c:v>
                </c:pt>
                <c:pt idx="129">
                  <c:v>9.4999999999999999E-13</c:v>
                </c:pt>
                <c:pt idx="130">
                  <c:v>7.9500000000000001E-7</c:v>
                </c:pt>
                <c:pt idx="131">
                  <c:v>4.5800000000000002E-5</c:v>
                </c:pt>
                <c:pt idx="132">
                  <c:v>7.1400000000000001E-5</c:v>
                </c:pt>
                <c:pt idx="133">
                  <c:v>1.98E-5</c:v>
                </c:pt>
                <c:pt idx="134">
                  <c:v>2.0999999999999999E-5</c:v>
                </c:pt>
                <c:pt idx="135">
                  <c:v>184.00463110000001</c:v>
                </c:pt>
                <c:pt idx="136">
                  <c:v>2.5842767740000001</c:v>
                </c:pt>
                <c:pt idx="137">
                  <c:v>0.25880229999999999</c:v>
                </c:pt>
                <c:pt idx="138">
                  <c:v>5.1700000000000003E-2</c:v>
                </c:pt>
                <c:pt idx="139">
                  <c:v>4.3899999999999998E-3</c:v>
                </c:pt>
                <c:pt idx="140">
                  <c:v>2.6200000000000003E-4</c:v>
                </c:pt>
                <c:pt idx="141">
                  <c:v>4.6199999999999998E-5</c:v>
                </c:pt>
                <c:pt idx="142">
                  <c:v>1.8700000000000001E-5</c:v>
                </c:pt>
                <c:pt idx="143">
                  <c:v>3.271689399</c:v>
                </c:pt>
                <c:pt idx="144">
                  <c:v>4.8972187790000001</c:v>
                </c:pt>
                <c:pt idx="145">
                  <c:v>0.72964129499999997</c:v>
                </c:pt>
                <c:pt idx="146">
                  <c:v>0.22948601199999999</c:v>
                </c:pt>
                <c:pt idx="147">
                  <c:v>7.3899999999999993E-2</c:v>
                </c:pt>
                <c:pt idx="148">
                  <c:v>2.3300000000000001E-2</c:v>
                </c:pt>
                <c:pt idx="149">
                  <c:v>6.0699999999999999E-3</c:v>
                </c:pt>
                <c:pt idx="150">
                  <c:v>1.3699999999999999E-3</c:v>
                </c:pt>
                <c:pt idx="151">
                  <c:v>3.4000000000000002E-4</c:v>
                </c:pt>
                <c:pt idx="152">
                  <c:v>8.7600000000000002E-5</c:v>
                </c:pt>
                <c:pt idx="153">
                  <c:v>181.28002079999999</c:v>
                </c:pt>
                <c:pt idx="154">
                  <c:v>2.623251292</c:v>
                </c:pt>
                <c:pt idx="155">
                  <c:v>0.47990958500000003</c:v>
                </c:pt>
                <c:pt idx="156">
                  <c:v>0.66360114800000003</c:v>
                </c:pt>
                <c:pt idx="157">
                  <c:v>0.78253888299999996</c:v>
                </c:pt>
                <c:pt idx="158">
                  <c:v>0.41132971200000001</c:v>
                </c:pt>
                <c:pt idx="159">
                  <c:v>0.242868791</c:v>
                </c:pt>
                <c:pt idx="160">
                  <c:v>0.14870599000000001</c:v>
                </c:pt>
                <c:pt idx="161">
                  <c:v>0.171775172</c:v>
                </c:pt>
                <c:pt idx="162">
                  <c:v>0.20300343600000001</c:v>
                </c:pt>
                <c:pt idx="163">
                  <c:v>0.139253243</c:v>
                </c:pt>
                <c:pt idx="164">
                  <c:v>0.1</c:v>
                </c:pt>
                <c:pt idx="165">
                  <c:v>190.74193690000001</c:v>
                </c:pt>
                <c:pt idx="166">
                  <c:v>3.7098002110000001</c:v>
                </c:pt>
                <c:pt idx="167">
                  <c:v>0.83254679200000004</c:v>
                </c:pt>
                <c:pt idx="168">
                  <c:v>0.37465030999999999</c:v>
                </c:pt>
                <c:pt idx="169">
                  <c:v>0.21007849000000001</c:v>
                </c:pt>
                <c:pt idx="170">
                  <c:v>0.14306771400000001</c:v>
                </c:pt>
                <c:pt idx="171">
                  <c:v>0.107167076</c:v>
                </c:pt>
                <c:pt idx="172">
                  <c:v>8.0500000000000002E-2</c:v>
                </c:pt>
                <c:pt idx="173">
                  <c:v>0.21727454900000001</c:v>
                </c:pt>
                <c:pt idx="174">
                  <c:v>0.39471735800000002</c:v>
                </c:pt>
                <c:pt idx="175">
                  <c:v>0.27850675699999999</c:v>
                </c:pt>
                <c:pt idx="176">
                  <c:v>0.20308817400000001</c:v>
                </c:pt>
                <c:pt idx="177">
                  <c:v>192.10943349999999</c:v>
                </c:pt>
                <c:pt idx="178">
                  <c:v>3.6691797149999998</c:v>
                </c:pt>
                <c:pt idx="179">
                  <c:v>0.76676903799999996</c:v>
                </c:pt>
                <c:pt idx="180">
                  <c:v>0.32950549499999998</c:v>
                </c:pt>
                <c:pt idx="181">
                  <c:v>0.174794372</c:v>
                </c:pt>
                <c:pt idx="182">
                  <c:v>0.106256762</c:v>
                </c:pt>
                <c:pt idx="183">
                  <c:v>7.7600000000000002E-2</c:v>
                </c:pt>
                <c:pt idx="184">
                  <c:v>0.1075812</c:v>
                </c:pt>
                <c:pt idx="185">
                  <c:v>0.14176034600000001</c:v>
                </c:pt>
                <c:pt idx="186">
                  <c:v>0.11466722999999999</c:v>
                </c:pt>
                <c:pt idx="187">
                  <c:v>0.45376509399999998</c:v>
                </c:pt>
                <c:pt idx="188">
                  <c:v>12.94869231</c:v>
                </c:pt>
                <c:pt idx="189">
                  <c:v>6.0979857439999998</c:v>
                </c:pt>
                <c:pt idx="190">
                  <c:v>1.5810272780000001</c:v>
                </c:pt>
                <c:pt idx="191">
                  <c:v>0.85959179799999996</c:v>
                </c:pt>
                <c:pt idx="192">
                  <c:v>0.55442686500000005</c:v>
                </c:pt>
                <c:pt idx="193">
                  <c:v>194.82813949999999</c:v>
                </c:pt>
                <c:pt idx="194">
                  <c:v>3.1469870879999999</c:v>
                </c:pt>
                <c:pt idx="195">
                  <c:v>0.80841734600000004</c:v>
                </c:pt>
                <c:pt idx="196">
                  <c:v>3.6927511669999999</c:v>
                </c:pt>
                <c:pt idx="197">
                  <c:v>3.1951406960000002</c:v>
                </c:pt>
                <c:pt idx="198">
                  <c:v>1.1322118619999999</c:v>
                </c:pt>
                <c:pt idx="199">
                  <c:v>0.61898325499999995</c:v>
                </c:pt>
                <c:pt idx="200">
                  <c:v>0.38852796499999998</c:v>
                </c:pt>
                <c:pt idx="201">
                  <c:v>0.28035468099999999</c:v>
                </c:pt>
                <c:pt idx="202">
                  <c:v>0.21623052500000001</c:v>
                </c:pt>
                <c:pt idx="203">
                  <c:v>0.17433636399999999</c:v>
                </c:pt>
                <c:pt idx="204">
                  <c:v>0.14638000700000001</c:v>
                </c:pt>
                <c:pt idx="205">
                  <c:v>0.124017842</c:v>
                </c:pt>
                <c:pt idx="206">
                  <c:v>31.649921419999998</c:v>
                </c:pt>
                <c:pt idx="207">
                  <c:v>8.8890208919999996</c:v>
                </c:pt>
                <c:pt idx="208">
                  <c:v>1.832274363</c:v>
                </c:pt>
                <c:pt idx="209">
                  <c:v>0.98167921899999999</c:v>
                </c:pt>
                <c:pt idx="210">
                  <c:v>0.63750952299999997</c:v>
                </c:pt>
                <c:pt idx="211">
                  <c:v>0.46210205900000001</c:v>
                </c:pt>
                <c:pt idx="212">
                  <c:v>0.42384114299999998</c:v>
                </c:pt>
                <c:pt idx="213">
                  <c:v>0.39642161199999998</c:v>
                </c:pt>
                <c:pt idx="214">
                  <c:v>0.30163519</c:v>
                </c:pt>
                <c:pt idx="215">
                  <c:v>0.58456375800000004</c:v>
                </c:pt>
                <c:pt idx="216">
                  <c:v>0.708531358</c:v>
                </c:pt>
                <c:pt idx="217">
                  <c:v>193.46627430000001</c:v>
                </c:pt>
                <c:pt idx="218">
                  <c:v>3.5371748790000002</c:v>
                </c:pt>
                <c:pt idx="219">
                  <c:v>0.60191498499999996</c:v>
                </c:pt>
                <c:pt idx="220">
                  <c:v>0.16342395600000001</c:v>
                </c:pt>
                <c:pt idx="221">
                  <c:v>4.3400000000000001E-2</c:v>
                </c:pt>
                <c:pt idx="222">
                  <c:v>9.75E-3</c:v>
                </c:pt>
                <c:pt idx="223">
                  <c:v>1.41E-3</c:v>
                </c:pt>
                <c:pt idx="224">
                  <c:v>1.17E-4</c:v>
                </c:pt>
                <c:pt idx="225">
                  <c:v>8.2700000000000004E-6</c:v>
                </c:pt>
                <c:pt idx="226">
                  <c:v>4.2199999999999999E-7</c:v>
                </c:pt>
                <c:pt idx="227">
                  <c:v>0.16837371400000001</c:v>
                </c:pt>
                <c:pt idx="228">
                  <c:v>0.76314210699999996</c:v>
                </c:pt>
                <c:pt idx="229">
                  <c:v>9.1800000000000007E-2</c:v>
                </c:pt>
                <c:pt idx="230">
                  <c:v>7.3699999999999998E-3</c:v>
                </c:pt>
                <c:pt idx="231">
                  <c:v>3.0200000000000002E-4</c:v>
                </c:pt>
                <c:pt idx="232">
                  <c:v>6.5699999999999998E-6</c:v>
                </c:pt>
                <c:pt idx="233">
                  <c:v>8.9900000000000004E-8</c:v>
                </c:pt>
                <c:pt idx="234">
                  <c:v>9.29E-10</c:v>
                </c:pt>
                <c:pt idx="235">
                  <c:v>9.2899999999999994E-12</c:v>
                </c:pt>
                <c:pt idx="236">
                  <c:v>1.23E-14</c:v>
                </c:pt>
                <c:pt idx="237">
                  <c:v>1.2500000000000001E-19</c:v>
                </c:pt>
                <c:pt idx="238">
                  <c:v>0</c:v>
                </c:pt>
                <c:pt idx="239">
                  <c:v>2.28E-9</c:v>
                </c:pt>
                <c:pt idx="240">
                  <c:v>1.4100000000000001E-8</c:v>
                </c:pt>
                <c:pt idx="241">
                  <c:v>7.3599999999999997E-11</c:v>
                </c:pt>
                <c:pt idx="242">
                  <c:v>3.2900000000000001E-13</c:v>
                </c:pt>
                <c:pt idx="243">
                  <c:v>1.0099999999999999E-14</c:v>
                </c:pt>
                <c:pt idx="244">
                  <c:v>2.2800000000000001E-19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2.1999999999999999E-2</c:v>
                </c:pt>
                <c:pt idx="259">
                  <c:v>0.13474074699999999</c:v>
                </c:pt>
                <c:pt idx="260">
                  <c:v>1.8800000000000001E-2</c:v>
                </c:pt>
                <c:pt idx="261">
                  <c:v>4.4799999999999996E-3</c:v>
                </c:pt>
                <c:pt idx="262">
                  <c:v>0.18271288499999999</c:v>
                </c:pt>
                <c:pt idx="263">
                  <c:v>0.50966671600000002</c:v>
                </c:pt>
                <c:pt idx="264">
                  <c:v>9.0300000000000005E-2</c:v>
                </c:pt>
                <c:pt idx="265">
                  <c:v>1.2500000000000001E-2</c:v>
                </c:pt>
                <c:pt idx="266">
                  <c:v>1.1000000000000001E-3</c:v>
                </c:pt>
                <c:pt idx="267">
                  <c:v>6.4200000000000002E-5</c:v>
                </c:pt>
                <c:pt idx="268">
                  <c:v>1.3465761869999999</c:v>
                </c:pt>
                <c:pt idx="269">
                  <c:v>3.3750338150000001</c:v>
                </c:pt>
                <c:pt idx="270">
                  <c:v>0.61746364799999998</c:v>
                </c:pt>
                <c:pt idx="271">
                  <c:v>0.12031745000000001</c:v>
                </c:pt>
                <c:pt idx="272">
                  <c:v>1.67E-2</c:v>
                </c:pt>
                <c:pt idx="273">
                  <c:v>1.7099999999999999E-3</c:v>
                </c:pt>
                <c:pt idx="274">
                  <c:v>1.13E-4</c:v>
                </c:pt>
                <c:pt idx="275">
                  <c:v>8.0400000000000003E-5</c:v>
                </c:pt>
                <c:pt idx="276">
                  <c:v>13.07853725</c:v>
                </c:pt>
                <c:pt idx="277">
                  <c:v>8.3721908220000003</c:v>
                </c:pt>
                <c:pt idx="278">
                  <c:v>5.2864638770000001</c:v>
                </c:pt>
                <c:pt idx="279">
                  <c:v>2.9824810789999998</c:v>
                </c:pt>
                <c:pt idx="280">
                  <c:v>0.69093480200000001</c:v>
                </c:pt>
                <c:pt idx="281">
                  <c:v>0.21320444499999999</c:v>
                </c:pt>
                <c:pt idx="282">
                  <c:v>6.3100000000000003E-2</c:v>
                </c:pt>
                <c:pt idx="283">
                  <c:v>1.7500000000000002E-2</c:v>
                </c:pt>
                <c:pt idx="284">
                  <c:v>3.9699999999999996E-3</c:v>
                </c:pt>
                <c:pt idx="285">
                  <c:v>7.3899999999999997E-4</c:v>
                </c:pt>
                <c:pt idx="286">
                  <c:v>1.2E-4</c:v>
                </c:pt>
                <c:pt idx="287">
                  <c:v>2.0000000000000002E-5</c:v>
                </c:pt>
                <c:pt idx="288">
                  <c:v>3.7400000000000002E-6</c:v>
                </c:pt>
                <c:pt idx="289">
                  <c:v>6.7400000000000003E-7</c:v>
                </c:pt>
                <c:pt idx="290">
                  <c:v>1.24E-7</c:v>
                </c:pt>
                <c:pt idx="291">
                  <c:v>2.37E-8</c:v>
                </c:pt>
                <c:pt idx="292">
                  <c:v>5.7100000000000003E-9</c:v>
                </c:pt>
                <c:pt idx="293">
                  <c:v>1.09E-7</c:v>
                </c:pt>
                <c:pt idx="294">
                  <c:v>3.4299999999999999E-7</c:v>
                </c:pt>
                <c:pt idx="295">
                  <c:v>9.8500000000000002E-8</c:v>
                </c:pt>
                <c:pt idx="296">
                  <c:v>2.77E-8</c:v>
                </c:pt>
                <c:pt idx="297">
                  <c:v>7.0299999999999999E-9</c:v>
                </c:pt>
                <c:pt idx="298">
                  <c:v>1.87E-9</c:v>
                </c:pt>
                <c:pt idx="299">
                  <c:v>6.6399999999999998E-10</c:v>
                </c:pt>
                <c:pt idx="300">
                  <c:v>3.14E-10</c:v>
                </c:pt>
                <c:pt idx="301">
                  <c:v>7.2799999999999997E-11</c:v>
                </c:pt>
                <c:pt idx="302">
                  <c:v>1.37E-9</c:v>
                </c:pt>
                <c:pt idx="303">
                  <c:v>5.6500000000000001E-9</c:v>
                </c:pt>
                <c:pt idx="304">
                  <c:v>6.7677870159999998</c:v>
                </c:pt>
                <c:pt idx="305">
                  <c:v>8.7317205999999992</c:v>
                </c:pt>
                <c:pt idx="306">
                  <c:v>10.213248180000001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B7-432D-80A3-190C61CCC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740032"/>
        <c:axId val="629342208"/>
      </c:lineChart>
      <c:dateAx>
        <c:axId val="629344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it-IT"/>
          </a:p>
        </c:txPr>
        <c:crossAx val="608075072"/>
        <c:crosses val="max"/>
        <c:auto val="1"/>
        <c:lblOffset val="100"/>
        <c:baseTimeUnit val="days"/>
      </c:dateAx>
      <c:valAx>
        <c:axId val="60807507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800"/>
                </a:pPr>
                <a:r>
                  <a:rPr lang="en-US" sz="800"/>
                  <a:t>Precipitazioni e irrigazione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it-IT"/>
          </a:p>
        </c:txPr>
        <c:crossAx val="629344512"/>
        <c:crosses val="autoZero"/>
        <c:crossBetween val="between"/>
      </c:valAx>
      <c:valAx>
        <c:axId val="629342208"/>
        <c:scaling>
          <c:orientation val="minMax"/>
          <c:max val="9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800"/>
                </a:pPr>
                <a:r>
                  <a:rPr lang="en-US" sz="800"/>
                  <a:t>Intercezione, scorrimento, evaporazione, percolazione; contenuto idrico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it-IT"/>
          </a:p>
        </c:txPr>
        <c:crossAx val="629740032"/>
        <c:crosses val="max"/>
        <c:crossBetween val="between"/>
      </c:valAx>
      <c:dateAx>
        <c:axId val="62974003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629342208"/>
        <c:crosses val="autoZero"/>
        <c:auto val="1"/>
        <c:lblOffset val="100"/>
        <c:baseTimeUnit val="days"/>
      </c:dateAx>
    </c:plotArea>
    <c:legend>
      <c:legendPos val="b"/>
      <c:overlay val="0"/>
      <c:txPr>
        <a:bodyPr/>
        <a:lstStyle/>
        <a:p>
          <a:pPr>
            <a:defRPr sz="800"/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 sz="600"/>
      </a:pPr>
      <a:endParaRPr lang="it-IT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'Bilancio primo strato'!$U$1</c:f>
              <c:strCache>
                <c:ptCount val="1"/>
                <c:pt idx="0">
                  <c:v>Contenuto idrico [%]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'Bilancio primo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primo strato'!$U$2:$U$366</c:f>
              <c:numCache>
                <c:formatCode>0.0000</c:formatCode>
                <c:ptCount val="365"/>
                <c:pt idx="0">
                  <c:v>0.32236066190000001</c:v>
                </c:pt>
                <c:pt idx="1">
                  <c:v>0.33629799730000004</c:v>
                </c:pt>
                <c:pt idx="2">
                  <c:v>0.3069110169</c:v>
                </c:pt>
                <c:pt idx="3">
                  <c:v>0.31068607409999999</c:v>
                </c:pt>
                <c:pt idx="4">
                  <c:v>0.31779896229999999</c:v>
                </c:pt>
                <c:pt idx="5">
                  <c:v>0.28415853759999998</c:v>
                </c:pt>
                <c:pt idx="6">
                  <c:v>0.26505541760000001</c:v>
                </c:pt>
                <c:pt idx="7">
                  <c:v>0.26992483270000001</c:v>
                </c:pt>
                <c:pt idx="8">
                  <c:v>0.25652441069999998</c:v>
                </c:pt>
                <c:pt idx="9">
                  <c:v>0.24619054500000001</c:v>
                </c:pt>
                <c:pt idx="10">
                  <c:v>0.23971390159999997</c:v>
                </c:pt>
                <c:pt idx="11">
                  <c:v>0.23303537290000001</c:v>
                </c:pt>
                <c:pt idx="12">
                  <c:v>0.22397878039999999</c:v>
                </c:pt>
                <c:pt idx="13">
                  <c:v>0.21663645870000001</c:v>
                </c:pt>
                <c:pt idx="14">
                  <c:v>0.20963439680000001</c:v>
                </c:pt>
                <c:pt idx="15">
                  <c:v>0.20447050870000003</c:v>
                </c:pt>
                <c:pt idx="16">
                  <c:v>0.20076995040000001</c:v>
                </c:pt>
                <c:pt idx="17">
                  <c:v>0.19815332829999999</c:v>
                </c:pt>
                <c:pt idx="18">
                  <c:v>0.20525036220000001</c:v>
                </c:pt>
                <c:pt idx="19">
                  <c:v>0.2322656515</c:v>
                </c:pt>
                <c:pt idx="20">
                  <c:v>0.30719421260000002</c:v>
                </c:pt>
                <c:pt idx="21">
                  <c:v>0.33671279370000001</c:v>
                </c:pt>
                <c:pt idx="22">
                  <c:v>0.32923071079999999</c:v>
                </c:pt>
                <c:pt idx="23">
                  <c:v>0.27748202</c:v>
                </c:pt>
                <c:pt idx="24">
                  <c:v>0.25670892480000002</c:v>
                </c:pt>
                <c:pt idx="25">
                  <c:v>0.23219484229999998</c:v>
                </c:pt>
                <c:pt idx="26">
                  <c:v>0.2219837361</c:v>
                </c:pt>
                <c:pt idx="27">
                  <c:v>0.214743878</c:v>
                </c:pt>
                <c:pt idx="28">
                  <c:v>0.20774787150000001</c:v>
                </c:pt>
                <c:pt idx="29">
                  <c:v>0.21578893690000001</c:v>
                </c:pt>
                <c:pt idx="30">
                  <c:v>0.25014775159999997</c:v>
                </c:pt>
                <c:pt idx="31">
                  <c:v>0.23896950559999999</c:v>
                </c:pt>
                <c:pt idx="32">
                  <c:v>0.2317615542</c:v>
                </c:pt>
                <c:pt idx="33">
                  <c:v>0.33047049589999999</c:v>
                </c:pt>
                <c:pt idx="34">
                  <c:v>0.28807702829999998</c:v>
                </c:pt>
                <c:pt idx="35">
                  <c:v>0.26649607809999998</c:v>
                </c:pt>
                <c:pt idx="36">
                  <c:v>0.25253750549999998</c:v>
                </c:pt>
                <c:pt idx="37">
                  <c:v>0.340997787</c:v>
                </c:pt>
                <c:pt idx="38">
                  <c:v>0.2791077434</c:v>
                </c:pt>
                <c:pt idx="39">
                  <c:v>0.28047441950000002</c:v>
                </c:pt>
                <c:pt idx="40">
                  <c:v>0.32623591329999996</c:v>
                </c:pt>
                <c:pt idx="41">
                  <c:v>0.27781483849999999</c:v>
                </c:pt>
                <c:pt idx="42">
                  <c:v>0.25406663009999997</c:v>
                </c:pt>
                <c:pt idx="43">
                  <c:v>0.23874924650000001</c:v>
                </c:pt>
                <c:pt idx="44">
                  <c:v>0.22438808800000001</c:v>
                </c:pt>
                <c:pt idx="45">
                  <c:v>0.2119306591</c:v>
                </c:pt>
                <c:pt idx="46">
                  <c:v>0.199577532</c:v>
                </c:pt>
                <c:pt idx="47">
                  <c:v>0.18646076690000002</c:v>
                </c:pt>
                <c:pt idx="48">
                  <c:v>0.18821900840000003</c:v>
                </c:pt>
                <c:pt idx="49">
                  <c:v>0.18025560070000002</c:v>
                </c:pt>
                <c:pt idx="50">
                  <c:v>0.17152502150000001</c:v>
                </c:pt>
                <c:pt idx="51">
                  <c:v>0.15927167819999999</c:v>
                </c:pt>
                <c:pt idx="52">
                  <c:v>0.14870795270000001</c:v>
                </c:pt>
                <c:pt idx="53">
                  <c:v>0.1358119109</c:v>
                </c:pt>
                <c:pt idx="54">
                  <c:v>0.12086209009999999</c:v>
                </c:pt>
                <c:pt idx="55">
                  <c:v>0.10799605550000001</c:v>
                </c:pt>
                <c:pt idx="56">
                  <c:v>9.672428508E-2</c:v>
                </c:pt>
                <c:pt idx="57">
                  <c:v>8.6285534599999991E-2</c:v>
                </c:pt>
                <c:pt idx="58">
                  <c:v>7.840499293E-2</c:v>
                </c:pt>
                <c:pt idx="59">
                  <c:v>7.1989153010000001E-2</c:v>
                </c:pt>
                <c:pt idx="60">
                  <c:v>6.6779372040000007E-2</c:v>
                </c:pt>
                <c:pt idx="61">
                  <c:v>6.3301550509999999E-2</c:v>
                </c:pt>
                <c:pt idx="62">
                  <c:v>6.0165568109999998E-2</c:v>
                </c:pt>
                <c:pt idx="63">
                  <c:v>5.6739854630000003E-2</c:v>
                </c:pt>
                <c:pt idx="64">
                  <c:v>5.4621778839999996E-2</c:v>
                </c:pt>
                <c:pt idx="65">
                  <c:v>5.2565810610000006E-2</c:v>
                </c:pt>
                <c:pt idx="66">
                  <c:v>5.0758128200000002E-2</c:v>
                </c:pt>
                <c:pt idx="67">
                  <c:v>4.911640699E-2</c:v>
                </c:pt>
                <c:pt idx="68">
                  <c:v>4.7705069539999999E-2</c:v>
                </c:pt>
                <c:pt idx="69">
                  <c:v>4.6991921290000002E-2</c:v>
                </c:pt>
                <c:pt idx="70">
                  <c:v>4.599900245E-2</c:v>
                </c:pt>
                <c:pt idx="71">
                  <c:v>4.5106403339999997E-2</c:v>
                </c:pt>
                <c:pt idx="72">
                  <c:v>4.4024134940000001E-2</c:v>
                </c:pt>
                <c:pt idx="73">
                  <c:v>4.3298198650000001E-2</c:v>
                </c:pt>
                <c:pt idx="74">
                  <c:v>4.2582035880000001E-2</c:v>
                </c:pt>
                <c:pt idx="75">
                  <c:v>4.2266720099999995E-2</c:v>
                </c:pt>
                <c:pt idx="76">
                  <c:v>5.2617815290000002E-2</c:v>
                </c:pt>
                <c:pt idx="77">
                  <c:v>5.0445558119999998E-2</c:v>
                </c:pt>
                <c:pt idx="78">
                  <c:v>4.8582196910000007E-2</c:v>
                </c:pt>
                <c:pt idx="79">
                  <c:v>4.7221385409999997E-2</c:v>
                </c:pt>
                <c:pt idx="80">
                  <c:v>4.5877206060000002E-2</c:v>
                </c:pt>
                <c:pt idx="81">
                  <c:v>4.4776441860000002E-2</c:v>
                </c:pt>
                <c:pt idx="82">
                  <c:v>4.399026818E-2</c:v>
                </c:pt>
                <c:pt idx="83">
                  <c:v>4.3377023930000001E-2</c:v>
                </c:pt>
                <c:pt idx="84">
                  <c:v>4.2930599600000001E-2</c:v>
                </c:pt>
                <c:pt idx="85">
                  <c:v>4.2704786260000002E-2</c:v>
                </c:pt>
                <c:pt idx="86">
                  <c:v>4.2421878279999999E-2</c:v>
                </c:pt>
                <c:pt idx="87">
                  <c:v>4.2182628159999999E-2</c:v>
                </c:pt>
                <c:pt idx="88">
                  <c:v>4.1993413950000003E-2</c:v>
                </c:pt>
                <c:pt idx="89">
                  <c:v>4.1856596980000001E-2</c:v>
                </c:pt>
                <c:pt idx="90">
                  <c:v>4.1752455670000001E-2</c:v>
                </c:pt>
                <c:pt idx="91">
                  <c:v>4.1677847249999997E-2</c:v>
                </c:pt>
                <c:pt idx="92">
                  <c:v>4.1640917140000004E-2</c:v>
                </c:pt>
                <c:pt idx="93">
                  <c:v>4.161916433E-2</c:v>
                </c:pt>
                <c:pt idx="94">
                  <c:v>4.160324109E-2</c:v>
                </c:pt>
                <c:pt idx="95">
                  <c:v>4.1591121869999997E-2</c:v>
                </c:pt>
                <c:pt idx="96">
                  <c:v>4.1581502280000002E-2</c:v>
                </c:pt>
                <c:pt idx="97">
                  <c:v>4.1575209830000001E-2</c:v>
                </c:pt>
                <c:pt idx="98">
                  <c:v>4.1572154680000001E-2</c:v>
                </c:pt>
                <c:pt idx="99">
                  <c:v>5.9297892470000002E-2</c:v>
                </c:pt>
                <c:pt idx="100">
                  <c:v>0.12737705059999999</c:v>
                </c:pt>
                <c:pt idx="101">
                  <c:v>0.18675718499999999</c:v>
                </c:pt>
                <c:pt idx="102">
                  <c:v>0.17712637980000001</c:v>
                </c:pt>
                <c:pt idx="103">
                  <c:v>0.14408635889999999</c:v>
                </c:pt>
                <c:pt idx="104">
                  <c:v>0.12282931969999999</c:v>
                </c:pt>
                <c:pt idx="105">
                  <c:v>0.1094253892</c:v>
                </c:pt>
                <c:pt idx="106">
                  <c:v>9.2340773479999999E-2</c:v>
                </c:pt>
                <c:pt idx="107">
                  <c:v>7.9975250550000002E-2</c:v>
                </c:pt>
                <c:pt idx="108">
                  <c:v>6.9854832680000006E-2</c:v>
                </c:pt>
                <c:pt idx="109">
                  <c:v>6.1226144409999995E-2</c:v>
                </c:pt>
                <c:pt idx="110">
                  <c:v>5.5423972010000003E-2</c:v>
                </c:pt>
                <c:pt idx="111">
                  <c:v>5.1553300310000001E-2</c:v>
                </c:pt>
                <c:pt idx="112">
                  <c:v>4.8555880320000001E-2</c:v>
                </c:pt>
                <c:pt idx="113">
                  <c:v>4.6258369779999996E-2</c:v>
                </c:pt>
                <c:pt idx="114">
                  <c:v>4.4652706880000004E-2</c:v>
                </c:pt>
                <c:pt idx="115">
                  <c:v>4.4190128010000003E-2</c:v>
                </c:pt>
                <c:pt idx="116">
                  <c:v>4.5891988410000001E-2</c:v>
                </c:pt>
                <c:pt idx="117">
                  <c:v>4.8938350929999999E-2</c:v>
                </c:pt>
                <c:pt idx="118">
                  <c:v>0.11107380980000001</c:v>
                </c:pt>
                <c:pt idx="119">
                  <c:v>0.1267100407</c:v>
                </c:pt>
                <c:pt idx="120">
                  <c:v>0.25294981150000001</c:v>
                </c:pt>
                <c:pt idx="121">
                  <c:v>0.20909865530000002</c:v>
                </c:pt>
                <c:pt idx="122">
                  <c:v>0.16652949790000002</c:v>
                </c:pt>
                <c:pt idx="123">
                  <c:v>0.12692870419999999</c:v>
                </c:pt>
                <c:pt idx="124">
                  <c:v>0.1052791463</c:v>
                </c:pt>
                <c:pt idx="125">
                  <c:v>8.8034532679999999E-2</c:v>
                </c:pt>
                <c:pt idx="126">
                  <c:v>7.1344298779999996E-2</c:v>
                </c:pt>
                <c:pt idx="127">
                  <c:v>6.2967705659999998E-2</c:v>
                </c:pt>
                <c:pt idx="128">
                  <c:v>5.7184133040000001E-2</c:v>
                </c:pt>
                <c:pt idx="129">
                  <c:v>5.9208197589999997E-2</c:v>
                </c:pt>
                <c:pt idx="130">
                  <c:v>0.1071245524</c:v>
                </c:pt>
                <c:pt idx="131">
                  <c:v>0.13063611450000001</c:v>
                </c:pt>
                <c:pt idx="132">
                  <c:v>0.1082078538</c:v>
                </c:pt>
                <c:pt idx="133">
                  <c:v>0.11875469179999999</c:v>
                </c:pt>
                <c:pt idx="134">
                  <c:v>0.10613072600000001</c:v>
                </c:pt>
                <c:pt idx="135">
                  <c:v>0.27791523159999998</c:v>
                </c:pt>
                <c:pt idx="136">
                  <c:v>0.221351363</c:v>
                </c:pt>
                <c:pt idx="137">
                  <c:v>0.20528015759999999</c:v>
                </c:pt>
                <c:pt idx="138">
                  <c:v>0.17234595200000002</c:v>
                </c:pt>
                <c:pt idx="139">
                  <c:v>0.1404938681</c:v>
                </c:pt>
                <c:pt idx="140">
                  <c:v>0.119759347</c:v>
                </c:pt>
                <c:pt idx="141">
                  <c:v>0.1183703655</c:v>
                </c:pt>
                <c:pt idx="142">
                  <c:v>0.10200308500000001</c:v>
                </c:pt>
                <c:pt idx="143">
                  <c:v>0.34571419550000004</c:v>
                </c:pt>
                <c:pt idx="144">
                  <c:v>0.2693326909</c:v>
                </c:pt>
                <c:pt idx="145">
                  <c:v>0.24190284569999998</c:v>
                </c:pt>
                <c:pt idx="146">
                  <c:v>0.2184901648</c:v>
                </c:pt>
                <c:pt idx="147">
                  <c:v>0.19885619810000002</c:v>
                </c:pt>
                <c:pt idx="148">
                  <c:v>0.17889335519999999</c:v>
                </c:pt>
                <c:pt idx="149">
                  <c:v>0.1587671967</c:v>
                </c:pt>
                <c:pt idx="150">
                  <c:v>0.14327256560000001</c:v>
                </c:pt>
                <c:pt idx="151">
                  <c:v>0.12938123839999999</c:v>
                </c:pt>
                <c:pt idx="152">
                  <c:v>0.11950843060000001</c:v>
                </c:pt>
                <c:pt idx="153">
                  <c:v>0.2732390355</c:v>
                </c:pt>
                <c:pt idx="154">
                  <c:v>0.2329088111</c:v>
                </c:pt>
                <c:pt idx="155">
                  <c:v>0.22015189110000002</c:v>
                </c:pt>
                <c:pt idx="156">
                  <c:v>0.256833649</c:v>
                </c:pt>
                <c:pt idx="157">
                  <c:v>0.24421327810000001</c:v>
                </c:pt>
                <c:pt idx="158">
                  <c:v>0.23572068269999999</c:v>
                </c:pt>
                <c:pt idx="159">
                  <c:v>0.22592135389999998</c:v>
                </c:pt>
                <c:pt idx="160">
                  <c:v>0.2184098572</c:v>
                </c:pt>
                <c:pt idx="161">
                  <c:v>0.23251854760000001</c:v>
                </c:pt>
                <c:pt idx="162">
                  <c:v>0.22566837790000002</c:v>
                </c:pt>
                <c:pt idx="163">
                  <c:v>0.21784178749999999</c:v>
                </c:pt>
                <c:pt idx="164">
                  <c:v>0.21363486770000001</c:v>
                </c:pt>
                <c:pt idx="165">
                  <c:v>0.28241972139999999</c:v>
                </c:pt>
                <c:pt idx="166">
                  <c:v>0.24320666460000001</c:v>
                </c:pt>
                <c:pt idx="167">
                  <c:v>0.23291045960000001</c:v>
                </c:pt>
                <c:pt idx="168">
                  <c:v>0.22570572829999999</c:v>
                </c:pt>
                <c:pt idx="169">
                  <c:v>0.22045473330000001</c:v>
                </c:pt>
                <c:pt idx="170">
                  <c:v>0.21735158840000002</c:v>
                </c:pt>
                <c:pt idx="171">
                  <c:v>0.21304350480000001</c:v>
                </c:pt>
                <c:pt idx="172">
                  <c:v>0.208742394</c:v>
                </c:pt>
                <c:pt idx="173">
                  <c:v>0.2464926388</c:v>
                </c:pt>
                <c:pt idx="174">
                  <c:v>0.2394387556</c:v>
                </c:pt>
                <c:pt idx="175">
                  <c:v>0.23190569</c:v>
                </c:pt>
                <c:pt idx="176">
                  <c:v>0.22683972929999999</c:v>
                </c:pt>
                <c:pt idx="177">
                  <c:v>0.28278968869999999</c:v>
                </c:pt>
                <c:pt idx="178">
                  <c:v>0.24220556640000002</c:v>
                </c:pt>
                <c:pt idx="179">
                  <c:v>0.23034650330000001</c:v>
                </c:pt>
                <c:pt idx="180">
                  <c:v>0.22311152950000002</c:v>
                </c:pt>
                <c:pt idx="181">
                  <c:v>0.2158026002</c:v>
                </c:pt>
                <c:pt idx="182">
                  <c:v>0.21083224589999999</c:v>
                </c:pt>
                <c:pt idx="183">
                  <c:v>0.20794618270000001</c:v>
                </c:pt>
                <c:pt idx="184">
                  <c:v>0.22378544040000001</c:v>
                </c:pt>
                <c:pt idx="185">
                  <c:v>0.22002170779999999</c:v>
                </c:pt>
                <c:pt idx="186">
                  <c:v>0.21622444699999999</c:v>
                </c:pt>
                <c:pt idx="187">
                  <c:v>0.26660581830000002</c:v>
                </c:pt>
                <c:pt idx="188">
                  <c:v>0.3506403528</c:v>
                </c:pt>
                <c:pt idx="189">
                  <c:v>0.28477041089999999</c:v>
                </c:pt>
                <c:pt idx="190">
                  <c:v>0.26723825290000003</c:v>
                </c:pt>
                <c:pt idx="191">
                  <c:v>0.25451238990000002</c:v>
                </c:pt>
                <c:pt idx="192">
                  <c:v>0.24699478930000002</c:v>
                </c:pt>
                <c:pt idx="193">
                  <c:v>0.27449385679999999</c:v>
                </c:pt>
                <c:pt idx="194">
                  <c:v>0.24209879680000002</c:v>
                </c:pt>
                <c:pt idx="195">
                  <c:v>0.23278275709999999</c:v>
                </c:pt>
                <c:pt idx="196">
                  <c:v>0.30295081889999997</c:v>
                </c:pt>
                <c:pt idx="197">
                  <c:v>0.26947784259999996</c:v>
                </c:pt>
                <c:pt idx="198">
                  <c:v>0.25641466930000001</c:v>
                </c:pt>
                <c:pt idx="199">
                  <c:v>0.2454545101</c:v>
                </c:pt>
                <c:pt idx="200">
                  <c:v>0.2381218068</c:v>
                </c:pt>
                <c:pt idx="201">
                  <c:v>0.23282568269999998</c:v>
                </c:pt>
                <c:pt idx="202">
                  <c:v>0.22806081450000001</c:v>
                </c:pt>
                <c:pt idx="203">
                  <c:v>0.2245733057</c:v>
                </c:pt>
                <c:pt idx="204">
                  <c:v>0.2213881566</c:v>
                </c:pt>
                <c:pt idx="205">
                  <c:v>0.21829598109999998</c:v>
                </c:pt>
                <c:pt idx="206">
                  <c:v>0.37928933919999996</c:v>
                </c:pt>
                <c:pt idx="207">
                  <c:v>0.2894403398</c:v>
                </c:pt>
                <c:pt idx="208">
                  <c:v>0.27035905570000002</c:v>
                </c:pt>
                <c:pt idx="209">
                  <c:v>0.25784001429999998</c:v>
                </c:pt>
                <c:pt idx="210">
                  <c:v>0.25005664029999997</c:v>
                </c:pt>
                <c:pt idx="211">
                  <c:v>0.24334915330000001</c:v>
                </c:pt>
                <c:pt idx="212">
                  <c:v>0.24628682539999999</c:v>
                </c:pt>
                <c:pt idx="213">
                  <c:v>0.24043203030000002</c:v>
                </c:pt>
                <c:pt idx="214">
                  <c:v>0.23463990630000001</c:v>
                </c:pt>
                <c:pt idx="215">
                  <c:v>0.26504727110000004</c:v>
                </c:pt>
                <c:pt idx="216">
                  <c:v>0.24698180659999999</c:v>
                </c:pt>
                <c:pt idx="217">
                  <c:v>0.28279080629999997</c:v>
                </c:pt>
                <c:pt idx="218">
                  <c:v>0.2399907852</c:v>
                </c:pt>
                <c:pt idx="219">
                  <c:v>0.2215031311</c:v>
                </c:pt>
                <c:pt idx="220">
                  <c:v>0.20297980169999999</c:v>
                </c:pt>
                <c:pt idx="221">
                  <c:v>0.18355078330000002</c:v>
                </c:pt>
                <c:pt idx="222">
                  <c:v>0.16042679230000001</c:v>
                </c:pt>
                <c:pt idx="223">
                  <c:v>0.1343075302</c:v>
                </c:pt>
                <c:pt idx="224">
                  <c:v>0.11293216299999999</c:v>
                </c:pt>
                <c:pt idx="225">
                  <c:v>9.5189582179999996E-2</c:v>
                </c:pt>
                <c:pt idx="226">
                  <c:v>8.0025438680000005E-2</c:v>
                </c:pt>
                <c:pt idx="227">
                  <c:v>0.27674604159999999</c:v>
                </c:pt>
                <c:pt idx="228">
                  <c:v>0.228474132</c:v>
                </c:pt>
                <c:pt idx="229">
                  <c:v>0.185339538</c:v>
                </c:pt>
                <c:pt idx="230">
                  <c:v>0.14568403590000001</c:v>
                </c:pt>
                <c:pt idx="231">
                  <c:v>0.11230962010000001</c:v>
                </c:pt>
                <c:pt idx="232">
                  <c:v>8.817195689E-2</c:v>
                </c:pt>
                <c:pt idx="233">
                  <c:v>7.2027716369999994E-2</c:v>
                </c:pt>
                <c:pt idx="234">
                  <c:v>6.2707627040000005E-2</c:v>
                </c:pt>
                <c:pt idx="235">
                  <c:v>5.5169269849999994E-2</c:v>
                </c:pt>
                <c:pt idx="236">
                  <c:v>5.0076370539999998E-2</c:v>
                </c:pt>
                <c:pt idx="237">
                  <c:v>4.6714191250000002E-2</c:v>
                </c:pt>
                <c:pt idx="238">
                  <c:v>4.5213218520000001E-2</c:v>
                </c:pt>
                <c:pt idx="239">
                  <c:v>8.0831854920000001E-2</c:v>
                </c:pt>
                <c:pt idx="240">
                  <c:v>6.6464565409999996E-2</c:v>
                </c:pt>
                <c:pt idx="241">
                  <c:v>5.7431924619999998E-2</c:v>
                </c:pt>
                <c:pt idx="242">
                  <c:v>5.4967598829999999E-2</c:v>
                </c:pt>
                <c:pt idx="243">
                  <c:v>5.0209572400000006E-2</c:v>
                </c:pt>
                <c:pt idx="244">
                  <c:v>4.6854541039999996E-2</c:v>
                </c:pt>
                <c:pt idx="245">
                  <c:v>4.4982164960000001E-2</c:v>
                </c:pt>
                <c:pt idx="246">
                  <c:v>4.381644078E-2</c:v>
                </c:pt>
                <c:pt idx="247">
                  <c:v>4.3023270269999997E-2</c:v>
                </c:pt>
                <c:pt idx="248">
                  <c:v>4.2493839409999998E-2</c:v>
                </c:pt>
                <c:pt idx="249">
                  <c:v>4.216406894E-2</c:v>
                </c:pt>
                <c:pt idx="250">
                  <c:v>4.1943450860000002E-2</c:v>
                </c:pt>
                <c:pt idx="251">
                  <c:v>4.1814849150000007E-2</c:v>
                </c:pt>
                <c:pt idx="252">
                  <c:v>4.1738930200000003E-2</c:v>
                </c:pt>
                <c:pt idx="253">
                  <c:v>4.1679472279999998E-2</c:v>
                </c:pt>
                <c:pt idx="254">
                  <c:v>4.1639660269999997E-2</c:v>
                </c:pt>
                <c:pt idx="255">
                  <c:v>4.1612526589999997E-2</c:v>
                </c:pt>
                <c:pt idx="256">
                  <c:v>4.1598337960000002E-2</c:v>
                </c:pt>
                <c:pt idx="257">
                  <c:v>4.1588551259999995E-2</c:v>
                </c:pt>
                <c:pt idx="258">
                  <c:v>0.2345524658</c:v>
                </c:pt>
                <c:pt idx="259">
                  <c:v>0.19745573319999998</c:v>
                </c:pt>
                <c:pt idx="260">
                  <c:v>0.16699924690000001</c:v>
                </c:pt>
                <c:pt idx="261">
                  <c:v>0.1644333674</c:v>
                </c:pt>
                <c:pt idx="262">
                  <c:v>0.26375028519999999</c:v>
                </c:pt>
                <c:pt idx="263">
                  <c:v>0.2261880127</c:v>
                </c:pt>
                <c:pt idx="264">
                  <c:v>0.1918074947</c:v>
                </c:pt>
                <c:pt idx="265">
                  <c:v>0.15916277579999999</c:v>
                </c:pt>
                <c:pt idx="266">
                  <c:v>0.12852609030000001</c:v>
                </c:pt>
                <c:pt idx="267">
                  <c:v>0.1112110436</c:v>
                </c:pt>
                <c:pt idx="268">
                  <c:v>0.32400775240000002</c:v>
                </c:pt>
                <c:pt idx="269">
                  <c:v>0.26800109150000001</c:v>
                </c:pt>
                <c:pt idx="270">
                  <c:v>0.23200994699999999</c:v>
                </c:pt>
                <c:pt idx="271">
                  <c:v>0.19617175679999999</c:v>
                </c:pt>
                <c:pt idx="272">
                  <c:v>0.16431304000000002</c:v>
                </c:pt>
                <c:pt idx="273">
                  <c:v>0.13430217989999998</c:v>
                </c:pt>
                <c:pt idx="274">
                  <c:v>0.11242687289999999</c:v>
                </c:pt>
                <c:pt idx="275">
                  <c:v>0.13433754589999999</c:v>
                </c:pt>
                <c:pt idx="276">
                  <c:v>0.37033062859999999</c:v>
                </c:pt>
                <c:pt idx="277">
                  <c:v>0.29230399969999998</c:v>
                </c:pt>
                <c:pt idx="278">
                  <c:v>0.31717652560000004</c:v>
                </c:pt>
                <c:pt idx="279">
                  <c:v>0.26799338859999999</c:v>
                </c:pt>
                <c:pt idx="280">
                  <c:v>0.24058482380000001</c:v>
                </c:pt>
                <c:pt idx="281">
                  <c:v>0.21616168420000001</c:v>
                </c:pt>
                <c:pt idx="282">
                  <c:v>0.19462609279999998</c:v>
                </c:pt>
                <c:pt idx="283">
                  <c:v>0.17302285569999998</c:v>
                </c:pt>
                <c:pt idx="284">
                  <c:v>0.15251897089999999</c:v>
                </c:pt>
                <c:pt idx="285">
                  <c:v>0.1335609559</c:v>
                </c:pt>
                <c:pt idx="286">
                  <c:v>0.1180056536</c:v>
                </c:pt>
                <c:pt idx="287">
                  <c:v>0.1062625083</c:v>
                </c:pt>
                <c:pt idx="288">
                  <c:v>9.6212035670000001E-2</c:v>
                </c:pt>
                <c:pt idx="289">
                  <c:v>8.7987905079999998E-2</c:v>
                </c:pt>
                <c:pt idx="290">
                  <c:v>8.1198888050000001E-2</c:v>
                </c:pt>
                <c:pt idx="291">
                  <c:v>7.6112618980000005E-2</c:v>
                </c:pt>
                <c:pt idx="292">
                  <c:v>7.2640124449999996E-2</c:v>
                </c:pt>
                <c:pt idx="293">
                  <c:v>9.2194494939999996E-2</c:v>
                </c:pt>
                <c:pt idx="294">
                  <c:v>8.6532504120000006E-2</c:v>
                </c:pt>
                <c:pt idx="295">
                  <c:v>8.1648640770000003E-2</c:v>
                </c:pt>
                <c:pt idx="296">
                  <c:v>7.6845365110000008E-2</c:v>
                </c:pt>
                <c:pt idx="297">
                  <c:v>7.3066496780000004E-2</c:v>
                </c:pt>
                <c:pt idx="298">
                  <c:v>6.934409943E-2</c:v>
                </c:pt>
                <c:pt idx="299">
                  <c:v>6.859252633E-2</c:v>
                </c:pt>
                <c:pt idx="300">
                  <c:v>6.5527343200000004E-2</c:v>
                </c:pt>
                <c:pt idx="301">
                  <c:v>6.2945247430000004E-2</c:v>
                </c:pt>
                <c:pt idx="302">
                  <c:v>7.5445384490000003E-2</c:v>
                </c:pt>
                <c:pt idx="303">
                  <c:v>7.3769494040000008E-2</c:v>
                </c:pt>
                <c:pt idx="304">
                  <c:v>0.36485039759999999</c:v>
                </c:pt>
                <c:pt idx="305">
                  <c:v>0.3002720707</c:v>
                </c:pt>
                <c:pt idx="306">
                  <c:v>0.3368130748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A-4576-B25C-36F42EF0E8F7}"/>
            </c:ext>
          </c:extLst>
        </c:ser>
        <c:ser>
          <c:idx val="1"/>
          <c:order val="1"/>
          <c:tx>
            <c:strRef>
              <c:f>'Bilancio primo strato'!$S$1</c:f>
              <c:strCache>
                <c:ptCount val="1"/>
                <c:pt idx="0">
                  <c:v>Theta wp [%]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'Bilancio primo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primo strato'!$S$2:$S$366</c:f>
              <c:numCache>
                <c:formatCode>General</c:formatCode>
                <c:ptCount val="365"/>
                <c:pt idx="0">
                  <c:v>8.3099999999999993E-2</c:v>
                </c:pt>
                <c:pt idx="1">
                  <c:v>8.3099999999999993E-2</c:v>
                </c:pt>
                <c:pt idx="2">
                  <c:v>8.3099999999999993E-2</c:v>
                </c:pt>
                <c:pt idx="3">
                  <c:v>8.3099999999999993E-2</c:v>
                </c:pt>
                <c:pt idx="4">
                  <c:v>8.3099999999999993E-2</c:v>
                </c:pt>
                <c:pt idx="5">
                  <c:v>8.3099999999999993E-2</c:v>
                </c:pt>
                <c:pt idx="6">
                  <c:v>8.3099999999999993E-2</c:v>
                </c:pt>
                <c:pt idx="7">
                  <c:v>8.3099999999999993E-2</c:v>
                </c:pt>
                <c:pt idx="8">
                  <c:v>8.3099999999999993E-2</c:v>
                </c:pt>
                <c:pt idx="9">
                  <c:v>8.3099999999999993E-2</c:v>
                </c:pt>
                <c:pt idx="10">
                  <c:v>8.3099999999999993E-2</c:v>
                </c:pt>
                <c:pt idx="11">
                  <c:v>8.3099999999999993E-2</c:v>
                </c:pt>
                <c:pt idx="12">
                  <c:v>8.3099999999999993E-2</c:v>
                </c:pt>
                <c:pt idx="13">
                  <c:v>8.3099999999999993E-2</c:v>
                </c:pt>
                <c:pt idx="14">
                  <c:v>8.3099999999999993E-2</c:v>
                </c:pt>
                <c:pt idx="15">
                  <c:v>8.3099999999999993E-2</c:v>
                </c:pt>
                <c:pt idx="16">
                  <c:v>8.3099999999999993E-2</c:v>
                </c:pt>
                <c:pt idx="17">
                  <c:v>8.3099999999999993E-2</c:v>
                </c:pt>
                <c:pt idx="18">
                  <c:v>8.3099999999999993E-2</c:v>
                </c:pt>
                <c:pt idx="19">
                  <c:v>8.3099999999999993E-2</c:v>
                </c:pt>
                <c:pt idx="20">
                  <c:v>8.3099999999999993E-2</c:v>
                </c:pt>
                <c:pt idx="21">
                  <c:v>8.3099999999999993E-2</c:v>
                </c:pt>
                <c:pt idx="22">
                  <c:v>8.3099999999999993E-2</c:v>
                </c:pt>
                <c:pt idx="23">
                  <c:v>8.3099999999999993E-2</c:v>
                </c:pt>
                <c:pt idx="24">
                  <c:v>8.3099999999999993E-2</c:v>
                </c:pt>
                <c:pt idx="25">
                  <c:v>8.3099999999999993E-2</c:v>
                </c:pt>
                <c:pt idx="26">
                  <c:v>8.3099999999999993E-2</c:v>
                </c:pt>
                <c:pt idx="27">
                  <c:v>8.3099999999999993E-2</c:v>
                </c:pt>
                <c:pt idx="28">
                  <c:v>8.3099999999999993E-2</c:v>
                </c:pt>
                <c:pt idx="29">
                  <c:v>8.3099999999999993E-2</c:v>
                </c:pt>
                <c:pt idx="30">
                  <c:v>8.3099999999999993E-2</c:v>
                </c:pt>
                <c:pt idx="31">
                  <c:v>8.3099999999999993E-2</c:v>
                </c:pt>
                <c:pt idx="32">
                  <c:v>8.3099999999999993E-2</c:v>
                </c:pt>
                <c:pt idx="33">
                  <c:v>8.3099999999999993E-2</c:v>
                </c:pt>
                <c:pt idx="34">
                  <c:v>8.3099999999999993E-2</c:v>
                </c:pt>
                <c:pt idx="35">
                  <c:v>8.3099999999999993E-2</c:v>
                </c:pt>
                <c:pt idx="36">
                  <c:v>8.3099999999999993E-2</c:v>
                </c:pt>
                <c:pt idx="37">
                  <c:v>8.3099999999999993E-2</c:v>
                </c:pt>
                <c:pt idx="38">
                  <c:v>8.3099999999999993E-2</c:v>
                </c:pt>
                <c:pt idx="39">
                  <c:v>8.3099999999999993E-2</c:v>
                </c:pt>
                <c:pt idx="40">
                  <c:v>8.3099999999999993E-2</c:v>
                </c:pt>
                <c:pt idx="41">
                  <c:v>8.3099999999999993E-2</c:v>
                </c:pt>
                <c:pt idx="42">
                  <c:v>8.3099999999999993E-2</c:v>
                </c:pt>
                <c:pt idx="43">
                  <c:v>8.3099999999999993E-2</c:v>
                </c:pt>
                <c:pt idx="44">
                  <c:v>8.3099999999999993E-2</c:v>
                </c:pt>
                <c:pt idx="45">
                  <c:v>8.3099999999999993E-2</c:v>
                </c:pt>
                <c:pt idx="46">
                  <c:v>8.3099999999999993E-2</c:v>
                </c:pt>
                <c:pt idx="47">
                  <c:v>8.3099999999999993E-2</c:v>
                </c:pt>
                <c:pt idx="48">
                  <c:v>8.3099999999999993E-2</c:v>
                </c:pt>
                <c:pt idx="49">
                  <c:v>8.3099999999999993E-2</c:v>
                </c:pt>
                <c:pt idx="50">
                  <c:v>8.3099999999999993E-2</c:v>
                </c:pt>
                <c:pt idx="51">
                  <c:v>8.3099999999999993E-2</c:v>
                </c:pt>
                <c:pt idx="52">
                  <c:v>8.3099999999999993E-2</c:v>
                </c:pt>
                <c:pt idx="53">
                  <c:v>8.3099999999999993E-2</c:v>
                </c:pt>
                <c:pt idx="54">
                  <c:v>8.3099999999999993E-2</c:v>
                </c:pt>
                <c:pt idx="55">
                  <c:v>8.3099999999999993E-2</c:v>
                </c:pt>
                <c:pt idx="56">
                  <c:v>8.3099999999999993E-2</c:v>
                </c:pt>
                <c:pt idx="57">
                  <c:v>8.3099999999999993E-2</c:v>
                </c:pt>
                <c:pt idx="58">
                  <c:v>8.3099999999999993E-2</c:v>
                </c:pt>
                <c:pt idx="59">
                  <c:v>8.3099999999999993E-2</c:v>
                </c:pt>
                <c:pt idx="60">
                  <c:v>8.3099999999999993E-2</c:v>
                </c:pt>
                <c:pt idx="61">
                  <c:v>8.3099999999999993E-2</c:v>
                </c:pt>
                <c:pt idx="62">
                  <c:v>8.3099999999999993E-2</c:v>
                </c:pt>
                <c:pt idx="63">
                  <c:v>8.3099999999999993E-2</c:v>
                </c:pt>
                <c:pt idx="64">
                  <c:v>8.3099999999999993E-2</c:v>
                </c:pt>
                <c:pt idx="65">
                  <c:v>8.3099999999999993E-2</c:v>
                </c:pt>
                <c:pt idx="66">
                  <c:v>8.3099999999999993E-2</c:v>
                </c:pt>
                <c:pt idx="67">
                  <c:v>8.3099999999999993E-2</c:v>
                </c:pt>
                <c:pt idx="68">
                  <c:v>8.3099999999999993E-2</c:v>
                </c:pt>
                <c:pt idx="69">
                  <c:v>8.3099999999999993E-2</c:v>
                </c:pt>
                <c:pt idx="70">
                  <c:v>8.3099999999999993E-2</c:v>
                </c:pt>
                <c:pt idx="71">
                  <c:v>8.3099999999999993E-2</c:v>
                </c:pt>
                <c:pt idx="72">
                  <c:v>8.3099999999999993E-2</c:v>
                </c:pt>
                <c:pt idx="73">
                  <c:v>8.3099999999999993E-2</c:v>
                </c:pt>
                <c:pt idx="74">
                  <c:v>8.3099999999999993E-2</c:v>
                </c:pt>
                <c:pt idx="75">
                  <c:v>8.3099999999999993E-2</c:v>
                </c:pt>
                <c:pt idx="76">
                  <c:v>8.3099999999999993E-2</c:v>
                </c:pt>
                <c:pt idx="77">
                  <c:v>8.3099999999999993E-2</c:v>
                </c:pt>
                <c:pt idx="78">
                  <c:v>8.3099999999999993E-2</c:v>
                </c:pt>
                <c:pt idx="79">
                  <c:v>8.3099999999999993E-2</c:v>
                </c:pt>
                <c:pt idx="80">
                  <c:v>8.3099999999999993E-2</c:v>
                </c:pt>
                <c:pt idx="81">
                  <c:v>8.3099999999999993E-2</c:v>
                </c:pt>
                <c:pt idx="82">
                  <c:v>8.3099999999999993E-2</c:v>
                </c:pt>
                <c:pt idx="83">
                  <c:v>8.3099999999999993E-2</c:v>
                </c:pt>
                <c:pt idx="84">
                  <c:v>8.3099999999999993E-2</c:v>
                </c:pt>
                <c:pt idx="85">
                  <c:v>8.3099999999999993E-2</c:v>
                </c:pt>
                <c:pt idx="86">
                  <c:v>8.3099999999999993E-2</c:v>
                </c:pt>
                <c:pt idx="87">
                  <c:v>8.3099999999999993E-2</c:v>
                </c:pt>
                <c:pt idx="88">
                  <c:v>8.3099999999999993E-2</c:v>
                </c:pt>
                <c:pt idx="89">
                  <c:v>8.3099999999999993E-2</c:v>
                </c:pt>
                <c:pt idx="90">
                  <c:v>8.3099999999999993E-2</c:v>
                </c:pt>
                <c:pt idx="91">
                  <c:v>8.3099999999999993E-2</c:v>
                </c:pt>
                <c:pt idx="92">
                  <c:v>8.3099999999999993E-2</c:v>
                </c:pt>
                <c:pt idx="93">
                  <c:v>8.3099999999999993E-2</c:v>
                </c:pt>
                <c:pt idx="94">
                  <c:v>8.3099999999999993E-2</c:v>
                </c:pt>
                <c:pt idx="95">
                  <c:v>8.3099999999999993E-2</c:v>
                </c:pt>
                <c:pt idx="96">
                  <c:v>8.3099999999999993E-2</c:v>
                </c:pt>
                <c:pt idx="97">
                  <c:v>8.3099999999999993E-2</c:v>
                </c:pt>
                <c:pt idx="98">
                  <c:v>8.3099999999999993E-2</c:v>
                </c:pt>
                <c:pt idx="99">
                  <c:v>8.3099999999999993E-2</c:v>
                </c:pt>
                <c:pt idx="100">
                  <c:v>8.3099999999999993E-2</c:v>
                </c:pt>
                <c:pt idx="101">
                  <c:v>8.3099999999999993E-2</c:v>
                </c:pt>
                <c:pt idx="102">
                  <c:v>8.3099999999999993E-2</c:v>
                </c:pt>
                <c:pt idx="103">
                  <c:v>8.3099999999999993E-2</c:v>
                </c:pt>
                <c:pt idx="104">
                  <c:v>8.3099999999999993E-2</c:v>
                </c:pt>
                <c:pt idx="105">
                  <c:v>8.3099999999999993E-2</c:v>
                </c:pt>
                <c:pt idx="106">
                  <c:v>8.3099999999999993E-2</c:v>
                </c:pt>
                <c:pt idx="107">
                  <c:v>8.3099999999999993E-2</c:v>
                </c:pt>
                <c:pt idx="108">
                  <c:v>8.3099999999999993E-2</c:v>
                </c:pt>
                <c:pt idx="109">
                  <c:v>8.3099999999999993E-2</c:v>
                </c:pt>
                <c:pt idx="110">
                  <c:v>8.3099999999999993E-2</c:v>
                </c:pt>
                <c:pt idx="111">
                  <c:v>8.3099999999999993E-2</c:v>
                </c:pt>
                <c:pt idx="112">
                  <c:v>8.3099999999999993E-2</c:v>
                </c:pt>
                <c:pt idx="113">
                  <c:v>8.3099999999999993E-2</c:v>
                </c:pt>
                <c:pt idx="114">
                  <c:v>8.3099999999999993E-2</c:v>
                </c:pt>
                <c:pt idx="115">
                  <c:v>8.3099999999999993E-2</c:v>
                </c:pt>
                <c:pt idx="116">
                  <c:v>8.3099999999999993E-2</c:v>
                </c:pt>
                <c:pt idx="117">
                  <c:v>8.3099999999999993E-2</c:v>
                </c:pt>
                <c:pt idx="118">
                  <c:v>8.3099999999999993E-2</c:v>
                </c:pt>
                <c:pt idx="119">
                  <c:v>8.3099999999999993E-2</c:v>
                </c:pt>
                <c:pt idx="120">
                  <c:v>8.3099999999999993E-2</c:v>
                </c:pt>
                <c:pt idx="121">
                  <c:v>8.3099999999999993E-2</c:v>
                </c:pt>
                <c:pt idx="122">
                  <c:v>8.3099999999999993E-2</c:v>
                </c:pt>
                <c:pt idx="123">
                  <c:v>8.3099999999999993E-2</c:v>
                </c:pt>
                <c:pt idx="124">
                  <c:v>8.3099999999999993E-2</c:v>
                </c:pt>
                <c:pt idx="125">
                  <c:v>8.3099999999999993E-2</c:v>
                </c:pt>
                <c:pt idx="126">
                  <c:v>8.3099999999999993E-2</c:v>
                </c:pt>
                <c:pt idx="127">
                  <c:v>8.3099999999999993E-2</c:v>
                </c:pt>
                <c:pt idx="128">
                  <c:v>8.3099999999999993E-2</c:v>
                </c:pt>
                <c:pt idx="129">
                  <c:v>8.3099999999999993E-2</c:v>
                </c:pt>
                <c:pt idx="130">
                  <c:v>8.3099999999999993E-2</c:v>
                </c:pt>
                <c:pt idx="131">
                  <c:v>8.3099999999999993E-2</c:v>
                </c:pt>
                <c:pt idx="132">
                  <c:v>8.3099999999999993E-2</c:v>
                </c:pt>
                <c:pt idx="133">
                  <c:v>8.3099999999999993E-2</c:v>
                </c:pt>
                <c:pt idx="134">
                  <c:v>8.3099999999999993E-2</c:v>
                </c:pt>
                <c:pt idx="135">
                  <c:v>8.3099999999999993E-2</c:v>
                </c:pt>
                <c:pt idx="136">
                  <c:v>8.3099999999999993E-2</c:v>
                </c:pt>
                <c:pt idx="137">
                  <c:v>8.3099999999999993E-2</c:v>
                </c:pt>
                <c:pt idx="138">
                  <c:v>8.3099999999999993E-2</c:v>
                </c:pt>
                <c:pt idx="139">
                  <c:v>8.3099999999999993E-2</c:v>
                </c:pt>
                <c:pt idx="140">
                  <c:v>8.3099999999999993E-2</c:v>
                </c:pt>
                <c:pt idx="141">
                  <c:v>8.3099999999999993E-2</c:v>
                </c:pt>
                <c:pt idx="142">
                  <c:v>8.3099999999999993E-2</c:v>
                </c:pt>
                <c:pt idx="143">
                  <c:v>8.3099999999999993E-2</c:v>
                </c:pt>
                <c:pt idx="144">
                  <c:v>8.3099999999999993E-2</c:v>
                </c:pt>
                <c:pt idx="145">
                  <c:v>8.3099999999999993E-2</c:v>
                </c:pt>
                <c:pt idx="146">
                  <c:v>8.3099999999999993E-2</c:v>
                </c:pt>
                <c:pt idx="147">
                  <c:v>8.3099999999999993E-2</c:v>
                </c:pt>
                <c:pt idx="148">
                  <c:v>8.3099999999999993E-2</c:v>
                </c:pt>
                <c:pt idx="149">
                  <c:v>8.3099999999999993E-2</c:v>
                </c:pt>
                <c:pt idx="150">
                  <c:v>8.3099999999999993E-2</c:v>
                </c:pt>
                <c:pt idx="151">
                  <c:v>8.3099999999999993E-2</c:v>
                </c:pt>
                <c:pt idx="152">
                  <c:v>8.3099999999999993E-2</c:v>
                </c:pt>
                <c:pt idx="153">
                  <c:v>8.3099999999999993E-2</c:v>
                </c:pt>
                <c:pt idx="154">
                  <c:v>8.3099999999999993E-2</c:v>
                </c:pt>
                <c:pt idx="155">
                  <c:v>8.3099999999999993E-2</c:v>
                </c:pt>
                <c:pt idx="156">
                  <c:v>8.3099999999999993E-2</c:v>
                </c:pt>
                <c:pt idx="157">
                  <c:v>8.3099999999999993E-2</c:v>
                </c:pt>
                <c:pt idx="158">
                  <c:v>8.3099999999999993E-2</c:v>
                </c:pt>
                <c:pt idx="159">
                  <c:v>8.3099999999999993E-2</c:v>
                </c:pt>
                <c:pt idx="160">
                  <c:v>8.3099999999999993E-2</c:v>
                </c:pt>
                <c:pt idx="161">
                  <c:v>8.3099999999999993E-2</c:v>
                </c:pt>
                <c:pt idx="162">
                  <c:v>8.3099999999999993E-2</c:v>
                </c:pt>
                <c:pt idx="163">
                  <c:v>8.3099999999999993E-2</c:v>
                </c:pt>
                <c:pt idx="164">
                  <c:v>8.3099999999999993E-2</c:v>
                </c:pt>
                <c:pt idx="165">
                  <c:v>8.3099999999999993E-2</c:v>
                </c:pt>
                <c:pt idx="166">
                  <c:v>8.3099999999999993E-2</c:v>
                </c:pt>
                <c:pt idx="167">
                  <c:v>8.3099999999999993E-2</c:v>
                </c:pt>
                <c:pt idx="168">
                  <c:v>8.3099999999999993E-2</c:v>
                </c:pt>
                <c:pt idx="169">
                  <c:v>8.3099999999999993E-2</c:v>
                </c:pt>
                <c:pt idx="170">
                  <c:v>8.3099999999999993E-2</c:v>
                </c:pt>
                <c:pt idx="171">
                  <c:v>8.3099999999999993E-2</c:v>
                </c:pt>
                <c:pt idx="172">
                  <c:v>8.3099999999999993E-2</c:v>
                </c:pt>
                <c:pt idx="173">
                  <c:v>8.3099999999999993E-2</c:v>
                </c:pt>
                <c:pt idx="174">
                  <c:v>8.3099999999999993E-2</c:v>
                </c:pt>
                <c:pt idx="175">
                  <c:v>8.3099999999999993E-2</c:v>
                </c:pt>
                <c:pt idx="176">
                  <c:v>8.3099999999999993E-2</c:v>
                </c:pt>
                <c:pt idx="177">
                  <c:v>8.3099999999999993E-2</c:v>
                </c:pt>
                <c:pt idx="178">
                  <c:v>8.3099999999999993E-2</c:v>
                </c:pt>
                <c:pt idx="179">
                  <c:v>8.3099999999999993E-2</c:v>
                </c:pt>
                <c:pt idx="180">
                  <c:v>8.3099999999999993E-2</c:v>
                </c:pt>
                <c:pt idx="181">
                  <c:v>8.3099999999999993E-2</c:v>
                </c:pt>
                <c:pt idx="182">
                  <c:v>8.3099999999999993E-2</c:v>
                </c:pt>
                <c:pt idx="183">
                  <c:v>8.3099999999999993E-2</c:v>
                </c:pt>
                <c:pt idx="184">
                  <c:v>8.3099999999999993E-2</c:v>
                </c:pt>
                <c:pt idx="185">
                  <c:v>8.3099999999999993E-2</c:v>
                </c:pt>
                <c:pt idx="186">
                  <c:v>8.3099999999999993E-2</c:v>
                </c:pt>
                <c:pt idx="187">
                  <c:v>8.3099999999999993E-2</c:v>
                </c:pt>
                <c:pt idx="188">
                  <c:v>8.3099999999999993E-2</c:v>
                </c:pt>
                <c:pt idx="189">
                  <c:v>8.3099999999999993E-2</c:v>
                </c:pt>
                <c:pt idx="190">
                  <c:v>8.3099999999999993E-2</c:v>
                </c:pt>
                <c:pt idx="191">
                  <c:v>8.3099999999999993E-2</c:v>
                </c:pt>
                <c:pt idx="192">
                  <c:v>8.3099999999999993E-2</c:v>
                </c:pt>
                <c:pt idx="193">
                  <c:v>8.3099999999999993E-2</c:v>
                </c:pt>
                <c:pt idx="194">
                  <c:v>8.3099999999999993E-2</c:v>
                </c:pt>
                <c:pt idx="195">
                  <c:v>8.3099999999999993E-2</c:v>
                </c:pt>
                <c:pt idx="196">
                  <c:v>8.3099999999999993E-2</c:v>
                </c:pt>
                <c:pt idx="197">
                  <c:v>8.3099999999999993E-2</c:v>
                </c:pt>
                <c:pt idx="198">
                  <c:v>8.3099999999999993E-2</c:v>
                </c:pt>
                <c:pt idx="199">
                  <c:v>8.3099999999999993E-2</c:v>
                </c:pt>
                <c:pt idx="200">
                  <c:v>8.3099999999999993E-2</c:v>
                </c:pt>
                <c:pt idx="201">
                  <c:v>8.3099999999999993E-2</c:v>
                </c:pt>
                <c:pt idx="202">
                  <c:v>8.3099999999999993E-2</c:v>
                </c:pt>
                <c:pt idx="203">
                  <c:v>8.3099999999999993E-2</c:v>
                </c:pt>
                <c:pt idx="204">
                  <c:v>8.3099999999999993E-2</c:v>
                </c:pt>
                <c:pt idx="205">
                  <c:v>8.3099999999999993E-2</c:v>
                </c:pt>
                <c:pt idx="206">
                  <c:v>8.3099999999999993E-2</c:v>
                </c:pt>
                <c:pt idx="207">
                  <c:v>8.3099999999999993E-2</c:v>
                </c:pt>
                <c:pt idx="208">
                  <c:v>8.3099999999999993E-2</c:v>
                </c:pt>
                <c:pt idx="209">
                  <c:v>8.3099999999999993E-2</c:v>
                </c:pt>
                <c:pt idx="210">
                  <c:v>8.3099999999999993E-2</c:v>
                </c:pt>
                <c:pt idx="211">
                  <c:v>8.3099999999999993E-2</c:v>
                </c:pt>
                <c:pt idx="212">
                  <c:v>8.3099999999999993E-2</c:v>
                </c:pt>
                <c:pt idx="213">
                  <c:v>8.3099999999999993E-2</c:v>
                </c:pt>
                <c:pt idx="214">
                  <c:v>8.3099999999999993E-2</c:v>
                </c:pt>
                <c:pt idx="215">
                  <c:v>8.3099999999999993E-2</c:v>
                </c:pt>
                <c:pt idx="216">
                  <c:v>8.3099999999999993E-2</c:v>
                </c:pt>
                <c:pt idx="217">
                  <c:v>8.3099999999999993E-2</c:v>
                </c:pt>
                <c:pt idx="218">
                  <c:v>8.3099999999999993E-2</c:v>
                </c:pt>
                <c:pt idx="219">
                  <c:v>8.3099999999999993E-2</c:v>
                </c:pt>
                <c:pt idx="220">
                  <c:v>8.3099999999999993E-2</c:v>
                </c:pt>
                <c:pt idx="221">
                  <c:v>8.3099999999999993E-2</c:v>
                </c:pt>
                <c:pt idx="222">
                  <c:v>8.3099999999999993E-2</c:v>
                </c:pt>
                <c:pt idx="223">
                  <c:v>8.3099999999999993E-2</c:v>
                </c:pt>
                <c:pt idx="224">
                  <c:v>8.3099999999999993E-2</c:v>
                </c:pt>
                <c:pt idx="225">
                  <c:v>8.3099999999999993E-2</c:v>
                </c:pt>
                <c:pt idx="226">
                  <c:v>8.3099999999999993E-2</c:v>
                </c:pt>
                <c:pt idx="227">
                  <c:v>8.3099999999999993E-2</c:v>
                </c:pt>
                <c:pt idx="228">
                  <c:v>8.3099999999999993E-2</c:v>
                </c:pt>
                <c:pt idx="229">
                  <c:v>8.3099999999999993E-2</c:v>
                </c:pt>
                <c:pt idx="230">
                  <c:v>8.3099999999999993E-2</c:v>
                </c:pt>
                <c:pt idx="231">
                  <c:v>8.3099999999999993E-2</c:v>
                </c:pt>
                <c:pt idx="232">
                  <c:v>8.3099999999999993E-2</c:v>
                </c:pt>
                <c:pt idx="233">
                  <c:v>8.3099999999999993E-2</c:v>
                </c:pt>
                <c:pt idx="234">
                  <c:v>8.3099999999999993E-2</c:v>
                </c:pt>
                <c:pt idx="235">
                  <c:v>8.3099999999999993E-2</c:v>
                </c:pt>
                <c:pt idx="236">
                  <c:v>8.3099999999999993E-2</c:v>
                </c:pt>
                <c:pt idx="237">
                  <c:v>8.3099999999999993E-2</c:v>
                </c:pt>
                <c:pt idx="238">
                  <c:v>8.3099999999999993E-2</c:v>
                </c:pt>
                <c:pt idx="239">
                  <c:v>8.3099999999999993E-2</c:v>
                </c:pt>
                <c:pt idx="240">
                  <c:v>8.3099999999999993E-2</c:v>
                </c:pt>
                <c:pt idx="241">
                  <c:v>8.3099999999999993E-2</c:v>
                </c:pt>
                <c:pt idx="242">
                  <c:v>8.3099999999999993E-2</c:v>
                </c:pt>
                <c:pt idx="243">
                  <c:v>8.3099999999999993E-2</c:v>
                </c:pt>
                <c:pt idx="244">
                  <c:v>8.3099999999999993E-2</c:v>
                </c:pt>
                <c:pt idx="245">
                  <c:v>8.3099999999999993E-2</c:v>
                </c:pt>
                <c:pt idx="246">
                  <c:v>8.3099999999999993E-2</c:v>
                </c:pt>
                <c:pt idx="247">
                  <c:v>8.3099999999999993E-2</c:v>
                </c:pt>
                <c:pt idx="248">
                  <c:v>8.3099999999999993E-2</c:v>
                </c:pt>
                <c:pt idx="249">
                  <c:v>8.3099999999999993E-2</c:v>
                </c:pt>
                <c:pt idx="250">
                  <c:v>8.3099999999999993E-2</c:v>
                </c:pt>
                <c:pt idx="251">
                  <c:v>8.3099999999999993E-2</c:v>
                </c:pt>
                <c:pt idx="252">
                  <c:v>8.3099999999999993E-2</c:v>
                </c:pt>
                <c:pt idx="253">
                  <c:v>8.3099999999999993E-2</c:v>
                </c:pt>
                <c:pt idx="254">
                  <c:v>8.3099999999999993E-2</c:v>
                </c:pt>
                <c:pt idx="255">
                  <c:v>8.3099999999999993E-2</c:v>
                </c:pt>
                <c:pt idx="256">
                  <c:v>8.3099999999999993E-2</c:v>
                </c:pt>
                <c:pt idx="257">
                  <c:v>8.3099999999999993E-2</c:v>
                </c:pt>
                <c:pt idx="258">
                  <c:v>8.3099999999999993E-2</c:v>
                </c:pt>
                <c:pt idx="259">
                  <c:v>8.3099999999999993E-2</c:v>
                </c:pt>
                <c:pt idx="260">
                  <c:v>8.3099999999999993E-2</c:v>
                </c:pt>
                <c:pt idx="261">
                  <c:v>8.3099999999999993E-2</c:v>
                </c:pt>
                <c:pt idx="262">
                  <c:v>8.3099999999999993E-2</c:v>
                </c:pt>
                <c:pt idx="263">
                  <c:v>8.3099999999999993E-2</c:v>
                </c:pt>
                <c:pt idx="264">
                  <c:v>8.3099999999999993E-2</c:v>
                </c:pt>
                <c:pt idx="265">
                  <c:v>8.3099999999999993E-2</c:v>
                </c:pt>
                <c:pt idx="266">
                  <c:v>8.3099999999999993E-2</c:v>
                </c:pt>
                <c:pt idx="267">
                  <c:v>8.3099999999999993E-2</c:v>
                </c:pt>
                <c:pt idx="268">
                  <c:v>8.3099999999999993E-2</c:v>
                </c:pt>
                <c:pt idx="269">
                  <c:v>8.3099999999999993E-2</c:v>
                </c:pt>
                <c:pt idx="270">
                  <c:v>8.3099999999999993E-2</c:v>
                </c:pt>
                <c:pt idx="271">
                  <c:v>8.3099999999999993E-2</c:v>
                </c:pt>
                <c:pt idx="272">
                  <c:v>8.3099999999999993E-2</c:v>
                </c:pt>
                <c:pt idx="273">
                  <c:v>8.3099999999999993E-2</c:v>
                </c:pt>
                <c:pt idx="274">
                  <c:v>8.3099999999999993E-2</c:v>
                </c:pt>
                <c:pt idx="275">
                  <c:v>8.3099999999999993E-2</c:v>
                </c:pt>
                <c:pt idx="276">
                  <c:v>8.3099999999999993E-2</c:v>
                </c:pt>
                <c:pt idx="277">
                  <c:v>8.3099999999999993E-2</c:v>
                </c:pt>
                <c:pt idx="278">
                  <c:v>8.3099999999999993E-2</c:v>
                </c:pt>
                <c:pt idx="279">
                  <c:v>8.3099999999999993E-2</c:v>
                </c:pt>
                <c:pt idx="280">
                  <c:v>8.3099999999999993E-2</c:v>
                </c:pt>
                <c:pt idx="281">
                  <c:v>8.3099999999999993E-2</c:v>
                </c:pt>
                <c:pt idx="282">
                  <c:v>8.3099999999999993E-2</c:v>
                </c:pt>
                <c:pt idx="283">
                  <c:v>8.3099999999999993E-2</c:v>
                </c:pt>
                <c:pt idx="284">
                  <c:v>8.3099999999999993E-2</c:v>
                </c:pt>
                <c:pt idx="285">
                  <c:v>8.3099999999999993E-2</c:v>
                </c:pt>
                <c:pt idx="286">
                  <c:v>8.3099999999999993E-2</c:v>
                </c:pt>
                <c:pt idx="287">
                  <c:v>8.3099999999999993E-2</c:v>
                </c:pt>
                <c:pt idx="288">
                  <c:v>8.3099999999999993E-2</c:v>
                </c:pt>
                <c:pt idx="289">
                  <c:v>8.3099999999999993E-2</c:v>
                </c:pt>
                <c:pt idx="290">
                  <c:v>8.3099999999999993E-2</c:v>
                </c:pt>
                <c:pt idx="291">
                  <c:v>8.3099999999999993E-2</c:v>
                </c:pt>
                <c:pt idx="292">
                  <c:v>8.3099999999999993E-2</c:v>
                </c:pt>
                <c:pt idx="293">
                  <c:v>8.3099999999999993E-2</c:v>
                </c:pt>
                <c:pt idx="294">
                  <c:v>8.3099999999999993E-2</c:v>
                </c:pt>
                <c:pt idx="295">
                  <c:v>8.3099999999999993E-2</c:v>
                </c:pt>
                <c:pt idx="296">
                  <c:v>8.3099999999999993E-2</c:v>
                </c:pt>
                <c:pt idx="297">
                  <c:v>8.3099999999999993E-2</c:v>
                </c:pt>
                <c:pt idx="298">
                  <c:v>8.3099999999999993E-2</c:v>
                </c:pt>
                <c:pt idx="299">
                  <c:v>8.3099999999999993E-2</c:v>
                </c:pt>
                <c:pt idx="300">
                  <c:v>8.3099999999999993E-2</c:v>
                </c:pt>
                <c:pt idx="301">
                  <c:v>8.3099999999999993E-2</c:v>
                </c:pt>
                <c:pt idx="302">
                  <c:v>8.3099999999999993E-2</c:v>
                </c:pt>
                <c:pt idx="303">
                  <c:v>8.3099999999999993E-2</c:v>
                </c:pt>
                <c:pt idx="304">
                  <c:v>8.3099999999999993E-2</c:v>
                </c:pt>
                <c:pt idx="305">
                  <c:v>8.3099999999999993E-2</c:v>
                </c:pt>
                <c:pt idx="306">
                  <c:v>8.3099999999999993E-2</c:v>
                </c:pt>
                <c:pt idx="307">
                  <c:v>8.3099999999999993E-2</c:v>
                </c:pt>
                <c:pt idx="308">
                  <c:v>8.3099999999999993E-2</c:v>
                </c:pt>
                <c:pt idx="309">
                  <c:v>8.3099999999999993E-2</c:v>
                </c:pt>
                <c:pt idx="310">
                  <c:v>8.3099999999999993E-2</c:v>
                </c:pt>
                <c:pt idx="311">
                  <c:v>8.3099999999999993E-2</c:v>
                </c:pt>
                <c:pt idx="312">
                  <c:v>8.3099999999999993E-2</c:v>
                </c:pt>
                <c:pt idx="313">
                  <c:v>8.3099999999999993E-2</c:v>
                </c:pt>
                <c:pt idx="314">
                  <c:v>8.3099999999999993E-2</c:v>
                </c:pt>
                <c:pt idx="315">
                  <c:v>8.3099999999999993E-2</c:v>
                </c:pt>
                <c:pt idx="316">
                  <c:v>8.3099999999999993E-2</c:v>
                </c:pt>
                <c:pt idx="317">
                  <c:v>8.3099999999999993E-2</c:v>
                </c:pt>
                <c:pt idx="318">
                  <c:v>8.3099999999999993E-2</c:v>
                </c:pt>
                <c:pt idx="319">
                  <c:v>8.3099999999999993E-2</c:v>
                </c:pt>
                <c:pt idx="320">
                  <c:v>8.3099999999999993E-2</c:v>
                </c:pt>
                <c:pt idx="321">
                  <c:v>8.3099999999999993E-2</c:v>
                </c:pt>
                <c:pt idx="322">
                  <c:v>8.3099999999999993E-2</c:v>
                </c:pt>
                <c:pt idx="323">
                  <c:v>8.3099999999999993E-2</c:v>
                </c:pt>
                <c:pt idx="324">
                  <c:v>8.3099999999999993E-2</c:v>
                </c:pt>
                <c:pt idx="325">
                  <c:v>8.3099999999999993E-2</c:v>
                </c:pt>
                <c:pt idx="326">
                  <c:v>8.3099999999999993E-2</c:v>
                </c:pt>
                <c:pt idx="327">
                  <c:v>8.3099999999999993E-2</c:v>
                </c:pt>
                <c:pt idx="328">
                  <c:v>8.3099999999999993E-2</c:v>
                </c:pt>
                <c:pt idx="329">
                  <c:v>8.3099999999999993E-2</c:v>
                </c:pt>
                <c:pt idx="330">
                  <c:v>8.3099999999999993E-2</c:v>
                </c:pt>
                <c:pt idx="331">
                  <c:v>8.3099999999999993E-2</c:v>
                </c:pt>
                <c:pt idx="332">
                  <c:v>8.3099999999999993E-2</c:v>
                </c:pt>
                <c:pt idx="333">
                  <c:v>8.3099999999999993E-2</c:v>
                </c:pt>
                <c:pt idx="334">
                  <c:v>8.3099999999999993E-2</c:v>
                </c:pt>
                <c:pt idx="335">
                  <c:v>8.3099999999999993E-2</c:v>
                </c:pt>
                <c:pt idx="336">
                  <c:v>8.3099999999999993E-2</c:v>
                </c:pt>
                <c:pt idx="337">
                  <c:v>8.3099999999999993E-2</c:v>
                </c:pt>
                <c:pt idx="338">
                  <c:v>8.3099999999999993E-2</c:v>
                </c:pt>
                <c:pt idx="339">
                  <c:v>8.3099999999999993E-2</c:v>
                </c:pt>
                <c:pt idx="340">
                  <c:v>8.3099999999999993E-2</c:v>
                </c:pt>
                <c:pt idx="341">
                  <c:v>8.3099999999999993E-2</c:v>
                </c:pt>
                <c:pt idx="342">
                  <c:v>8.3099999999999993E-2</c:v>
                </c:pt>
                <c:pt idx="343">
                  <c:v>8.3099999999999993E-2</c:v>
                </c:pt>
                <c:pt idx="344">
                  <c:v>8.3099999999999993E-2</c:v>
                </c:pt>
                <c:pt idx="345">
                  <c:v>8.3099999999999993E-2</c:v>
                </c:pt>
                <c:pt idx="346">
                  <c:v>8.3099999999999993E-2</c:v>
                </c:pt>
                <c:pt idx="347">
                  <c:v>8.3099999999999993E-2</c:v>
                </c:pt>
                <c:pt idx="348">
                  <c:v>8.3099999999999993E-2</c:v>
                </c:pt>
                <c:pt idx="349">
                  <c:v>8.3099999999999993E-2</c:v>
                </c:pt>
                <c:pt idx="350">
                  <c:v>8.3099999999999993E-2</c:v>
                </c:pt>
                <c:pt idx="351">
                  <c:v>8.3099999999999993E-2</c:v>
                </c:pt>
                <c:pt idx="352">
                  <c:v>8.3099999999999993E-2</c:v>
                </c:pt>
                <c:pt idx="353">
                  <c:v>8.3099999999999993E-2</c:v>
                </c:pt>
                <c:pt idx="354">
                  <c:v>8.3099999999999993E-2</c:v>
                </c:pt>
                <c:pt idx="355">
                  <c:v>8.3099999999999993E-2</c:v>
                </c:pt>
                <c:pt idx="356">
                  <c:v>8.3099999999999993E-2</c:v>
                </c:pt>
                <c:pt idx="357">
                  <c:v>8.3099999999999993E-2</c:v>
                </c:pt>
                <c:pt idx="358">
                  <c:v>8.3099999999999993E-2</c:v>
                </c:pt>
                <c:pt idx="359">
                  <c:v>8.3099999999999993E-2</c:v>
                </c:pt>
                <c:pt idx="360">
                  <c:v>8.3099999999999993E-2</c:v>
                </c:pt>
                <c:pt idx="361">
                  <c:v>8.3099999999999993E-2</c:v>
                </c:pt>
                <c:pt idx="362">
                  <c:v>8.3099999999999993E-2</c:v>
                </c:pt>
                <c:pt idx="363">
                  <c:v>8.3099999999999993E-2</c:v>
                </c:pt>
                <c:pt idx="364">
                  <c:v>8.3099999999999993E-2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A-4576-B25C-36F42EF0E8F7}"/>
            </c:ext>
          </c:extLst>
        </c:ser>
        <c:ser>
          <c:idx val="2"/>
          <c:order val="2"/>
          <c:tx>
            <c:strRef>
              <c:f>'Bilancio primo strato'!$T$1</c:f>
              <c:strCache>
                <c:ptCount val="1"/>
                <c:pt idx="0">
                  <c:v>Theta fc [%]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'Bilancio primo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primo strato'!$T$2:$T$366</c:f>
              <c:numCache>
                <c:formatCode>General</c:formatCode>
                <c:ptCount val="365"/>
                <c:pt idx="0">
                  <c:v>0.229209</c:v>
                </c:pt>
                <c:pt idx="1">
                  <c:v>0.229209</c:v>
                </c:pt>
                <c:pt idx="2">
                  <c:v>0.229209</c:v>
                </c:pt>
                <c:pt idx="3">
                  <c:v>0.229209</c:v>
                </c:pt>
                <c:pt idx="4">
                  <c:v>0.229209</c:v>
                </c:pt>
                <c:pt idx="5">
                  <c:v>0.229209</c:v>
                </c:pt>
                <c:pt idx="6">
                  <c:v>0.229209</c:v>
                </c:pt>
                <c:pt idx="7">
                  <c:v>0.229209</c:v>
                </c:pt>
                <c:pt idx="8">
                  <c:v>0.229209</c:v>
                </c:pt>
                <c:pt idx="9">
                  <c:v>0.229209</c:v>
                </c:pt>
                <c:pt idx="10">
                  <c:v>0.229209</c:v>
                </c:pt>
                <c:pt idx="11">
                  <c:v>0.229209</c:v>
                </c:pt>
                <c:pt idx="12">
                  <c:v>0.229209</c:v>
                </c:pt>
                <c:pt idx="13">
                  <c:v>0.229209</c:v>
                </c:pt>
                <c:pt idx="14">
                  <c:v>0.229209</c:v>
                </c:pt>
                <c:pt idx="15">
                  <c:v>0.229209</c:v>
                </c:pt>
                <c:pt idx="16">
                  <c:v>0.229209</c:v>
                </c:pt>
                <c:pt idx="17">
                  <c:v>0.229209</c:v>
                </c:pt>
                <c:pt idx="18">
                  <c:v>0.229209</c:v>
                </c:pt>
                <c:pt idx="19">
                  <c:v>0.229209</c:v>
                </c:pt>
                <c:pt idx="20">
                  <c:v>0.229209</c:v>
                </c:pt>
                <c:pt idx="21">
                  <c:v>0.229209</c:v>
                </c:pt>
                <c:pt idx="22">
                  <c:v>0.229209</c:v>
                </c:pt>
                <c:pt idx="23">
                  <c:v>0.229209</c:v>
                </c:pt>
                <c:pt idx="24">
                  <c:v>0.229209</c:v>
                </c:pt>
                <c:pt idx="25">
                  <c:v>0.229209</c:v>
                </c:pt>
                <c:pt idx="26">
                  <c:v>0.229209</c:v>
                </c:pt>
                <c:pt idx="27">
                  <c:v>0.229209</c:v>
                </c:pt>
                <c:pt idx="28">
                  <c:v>0.229209</c:v>
                </c:pt>
                <c:pt idx="29">
                  <c:v>0.229209</c:v>
                </c:pt>
                <c:pt idx="30">
                  <c:v>0.229209</c:v>
                </c:pt>
                <c:pt idx="31">
                  <c:v>0.229209</c:v>
                </c:pt>
                <c:pt idx="32">
                  <c:v>0.229209</c:v>
                </c:pt>
                <c:pt idx="33">
                  <c:v>0.229209</c:v>
                </c:pt>
                <c:pt idx="34">
                  <c:v>0.229209</c:v>
                </c:pt>
                <c:pt idx="35">
                  <c:v>0.229209</c:v>
                </c:pt>
                <c:pt idx="36">
                  <c:v>0.229209</c:v>
                </c:pt>
                <c:pt idx="37">
                  <c:v>0.229209</c:v>
                </c:pt>
                <c:pt idx="38">
                  <c:v>0.229209</c:v>
                </c:pt>
                <c:pt idx="39">
                  <c:v>0.229209</c:v>
                </c:pt>
                <c:pt idx="40">
                  <c:v>0.229209</c:v>
                </c:pt>
                <c:pt idx="41">
                  <c:v>0.229209</c:v>
                </c:pt>
                <c:pt idx="42">
                  <c:v>0.229209</c:v>
                </c:pt>
                <c:pt idx="43">
                  <c:v>0.229209</c:v>
                </c:pt>
                <c:pt idx="44">
                  <c:v>0.229209</c:v>
                </c:pt>
                <c:pt idx="45">
                  <c:v>0.229209</c:v>
                </c:pt>
                <c:pt idx="46">
                  <c:v>0.229209</c:v>
                </c:pt>
                <c:pt idx="47">
                  <c:v>0.229209</c:v>
                </c:pt>
                <c:pt idx="48">
                  <c:v>0.229209</c:v>
                </c:pt>
                <c:pt idx="49">
                  <c:v>0.229209</c:v>
                </c:pt>
                <c:pt idx="50">
                  <c:v>0.229209</c:v>
                </c:pt>
                <c:pt idx="51">
                  <c:v>0.229209</c:v>
                </c:pt>
                <c:pt idx="52">
                  <c:v>0.229209</c:v>
                </c:pt>
                <c:pt idx="53">
                  <c:v>0.229209</c:v>
                </c:pt>
                <c:pt idx="54">
                  <c:v>0.229209</c:v>
                </c:pt>
                <c:pt idx="55">
                  <c:v>0.229209</c:v>
                </c:pt>
                <c:pt idx="56">
                  <c:v>0.229209</c:v>
                </c:pt>
                <c:pt idx="57">
                  <c:v>0.229209</c:v>
                </c:pt>
                <c:pt idx="58">
                  <c:v>0.229209</c:v>
                </c:pt>
                <c:pt idx="59">
                  <c:v>0.229209</c:v>
                </c:pt>
                <c:pt idx="60">
                  <c:v>0.229209</c:v>
                </c:pt>
                <c:pt idx="61">
                  <c:v>0.229209</c:v>
                </c:pt>
                <c:pt idx="62">
                  <c:v>0.229209</c:v>
                </c:pt>
                <c:pt idx="63">
                  <c:v>0.229209</c:v>
                </c:pt>
                <c:pt idx="64">
                  <c:v>0.229209</c:v>
                </c:pt>
                <c:pt idx="65">
                  <c:v>0.229209</c:v>
                </c:pt>
                <c:pt idx="66">
                  <c:v>0.229209</c:v>
                </c:pt>
                <c:pt idx="67">
                  <c:v>0.229209</c:v>
                </c:pt>
                <c:pt idx="68">
                  <c:v>0.229209</c:v>
                </c:pt>
                <c:pt idx="69">
                  <c:v>0.229209</c:v>
                </c:pt>
                <c:pt idx="70">
                  <c:v>0.229209</c:v>
                </c:pt>
                <c:pt idx="71">
                  <c:v>0.229209</c:v>
                </c:pt>
                <c:pt idx="72">
                  <c:v>0.229209</c:v>
                </c:pt>
                <c:pt idx="73">
                  <c:v>0.229209</c:v>
                </c:pt>
                <c:pt idx="74">
                  <c:v>0.229209</c:v>
                </c:pt>
                <c:pt idx="75">
                  <c:v>0.229209</c:v>
                </c:pt>
                <c:pt idx="76">
                  <c:v>0.229209</c:v>
                </c:pt>
                <c:pt idx="77">
                  <c:v>0.229209</c:v>
                </c:pt>
                <c:pt idx="78">
                  <c:v>0.229209</c:v>
                </c:pt>
                <c:pt idx="79">
                  <c:v>0.229209</c:v>
                </c:pt>
                <c:pt idx="80">
                  <c:v>0.229209</c:v>
                </c:pt>
                <c:pt idx="81">
                  <c:v>0.229209</c:v>
                </c:pt>
                <c:pt idx="82">
                  <c:v>0.229209</c:v>
                </c:pt>
                <c:pt idx="83">
                  <c:v>0.229209</c:v>
                </c:pt>
                <c:pt idx="84">
                  <c:v>0.229209</c:v>
                </c:pt>
                <c:pt idx="85">
                  <c:v>0.229209</c:v>
                </c:pt>
                <c:pt idx="86">
                  <c:v>0.229209</c:v>
                </c:pt>
                <c:pt idx="87">
                  <c:v>0.229209</c:v>
                </c:pt>
                <c:pt idx="88">
                  <c:v>0.229209</c:v>
                </c:pt>
                <c:pt idx="89">
                  <c:v>0.229209</c:v>
                </c:pt>
                <c:pt idx="90">
                  <c:v>0.229209</c:v>
                </c:pt>
                <c:pt idx="91">
                  <c:v>0.229209</c:v>
                </c:pt>
                <c:pt idx="92">
                  <c:v>0.229209</c:v>
                </c:pt>
                <c:pt idx="93">
                  <c:v>0.229209</c:v>
                </c:pt>
                <c:pt idx="94">
                  <c:v>0.229209</c:v>
                </c:pt>
                <c:pt idx="95">
                  <c:v>0.229209</c:v>
                </c:pt>
                <c:pt idx="96">
                  <c:v>0.229209</c:v>
                </c:pt>
                <c:pt idx="97">
                  <c:v>0.229209</c:v>
                </c:pt>
                <c:pt idx="98">
                  <c:v>0.229209</c:v>
                </c:pt>
                <c:pt idx="99">
                  <c:v>0.229209</c:v>
                </c:pt>
                <c:pt idx="100">
                  <c:v>0.229209</c:v>
                </c:pt>
                <c:pt idx="101">
                  <c:v>0.229209</c:v>
                </c:pt>
                <c:pt idx="102">
                  <c:v>0.229209</c:v>
                </c:pt>
                <c:pt idx="103">
                  <c:v>0.229209</c:v>
                </c:pt>
                <c:pt idx="104">
                  <c:v>0.229209</c:v>
                </c:pt>
                <c:pt idx="105">
                  <c:v>0.229209</c:v>
                </c:pt>
                <c:pt idx="106">
                  <c:v>0.229209</c:v>
                </c:pt>
                <c:pt idx="107">
                  <c:v>0.229209</c:v>
                </c:pt>
                <c:pt idx="108">
                  <c:v>0.229209</c:v>
                </c:pt>
                <c:pt idx="109">
                  <c:v>0.229209</c:v>
                </c:pt>
                <c:pt idx="110">
                  <c:v>0.229209</c:v>
                </c:pt>
                <c:pt idx="111">
                  <c:v>0.229209</c:v>
                </c:pt>
                <c:pt idx="112">
                  <c:v>0.229209</c:v>
                </c:pt>
                <c:pt idx="113">
                  <c:v>0.229209</c:v>
                </c:pt>
                <c:pt idx="114">
                  <c:v>0.229209</c:v>
                </c:pt>
                <c:pt idx="115">
                  <c:v>0.229209</c:v>
                </c:pt>
                <c:pt idx="116">
                  <c:v>0.229209</c:v>
                </c:pt>
                <c:pt idx="117">
                  <c:v>0.229209</c:v>
                </c:pt>
                <c:pt idx="118">
                  <c:v>0.229209</c:v>
                </c:pt>
                <c:pt idx="119">
                  <c:v>0.229209</c:v>
                </c:pt>
                <c:pt idx="120">
                  <c:v>0.229209</c:v>
                </c:pt>
                <c:pt idx="121">
                  <c:v>0.229209</c:v>
                </c:pt>
                <c:pt idx="122">
                  <c:v>0.229209</c:v>
                </c:pt>
                <c:pt idx="123">
                  <c:v>0.229209</c:v>
                </c:pt>
                <c:pt idx="124">
                  <c:v>0.229209</c:v>
                </c:pt>
                <c:pt idx="125">
                  <c:v>0.229209</c:v>
                </c:pt>
                <c:pt idx="126">
                  <c:v>0.229209</c:v>
                </c:pt>
                <c:pt idx="127">
                  <c:v>0.229209</c:v>
                </c:pt>
                <c:pt idx="128">
                  <c:v>0.229209</c:v>
                </c:pt>
                <c:pt idx="129">
                  <c:v>0.229209</c:v>
                </c:pt>
                <c:pt idx="130">
                  <c:v>0.229209</c:v>
                </c:pt>
                <c:pt idx="131">
                  <c:v>0.229209</c:v>
                </c:pt>
                <c:pt idx="132">
                  <c:v>0.229209</c:v>
                </c:pt>
                <c:pt idx="133">
                  <c:v>0.229209</c:v>
                </c:pt>
                <c:pt idx="134">
                  <c:v>0.229209</c:v>
                </c:pt>
                <c:pt idx="135">
                  <c:v>0.229209</c:v>
                </c:pt>
                <c:pt idx="136">
                  <c:v>0.229209</c:v>
                </c:pt>
                <c:pt idx="137">
                  <c:v>0.229209</c:v>
                </c:pt>
                <c:pt idx="138">
                  <c:v>0.229209</c:v>
                </c:pt>
                <c:pt idx="139">
                  <c:v>0.229209</c:v>
                </c:pt>
                <c:pt idx="140">
                  <c:v>0.229209</c:v>
                </c:pt>
                <c:pt idx="141">
                  <c:v>0.229209</c:v>
                </c:pt>
                <c:pt idx="142">
                  <c:v>0.229209</c:v>
                </c:pt>
                <c:pt idx="143">
                  <c:v>0.229209</c:v>
                </c:pt>
                <c:pt idx="144">
                  <c:v>0.229209</c:v>
                </c:pt>
                <c:pt idx="145">
                  <c:v>0.229209</c:v>
                </c:pt>
                <c:pt idx="146">
                  <c:v>0.229209</c:v>
                </c:pt>
                <c:pt idx="147">
                  <c:v>0.229209</c:v>
                </c:pt>
                <c:pt idx="148">
                  <c:v>0.229209</c:v>
                </c:pt>
                <c:pt idx="149">
                  <c:v>0.229209</c:v>
                </c:pt>
                <c:pt idx="150">
                  <c:v>0.229209</c:v>
                </c:pt>
                <c:pt idx="151">
                  <c:v>0.229209</c:v>
                </c:pt>
                <c:pt idx="152">
                  <c:v>0.229209</c:v>
                </c:pt>
                <c:pt idx="153">
                  <c:v>0.229209</c:v>
                </c:pt>
                <c:pt idx="154">
                  <c:v>0.229209</c:v>
                </c:pt>
                <c:pt idx="155">
                  <c:v>0.229209</c:v>
                </c:pt>
                <c:pt idx="156">
                  <c:v>0.229209</c:v>
                </c:pt>
                <c:pt idx="157">
                  <c:v>0.229209</c:v>
                </c:pt>
                <c:pt idx="158">
                  <c:v>0.229209</c:v>
                </c:pt>
                <c:pt idx="159">
                  <c:v>0.229209</c:v>
                </c:pt>
                <c:pt idx="160">
                  <c:v>0.229209</c:v>
                </c:pt>
                <c:pt idx="161">
                  <c:v>0.229209</c:v>
                </c:pt>
                <c:pt idx="162">
                  <c:v>0.229209</c:v>
                </c:pt>
                <c:pt idx="163">
                  <c:v>0.229209</c:v>
                </c:pt>
                <c:pt idx="164">
                  <c:v>0.229209</c:v>
                </c:pt>
                <c:pt idx="165">
                  <c:v>0.229209</c:v>
                </c:pt>
                <c:pt idx="166">
                  <c:v>0.229209</c:v>
                </c:pt>
                <c:pt idx="167">
                  <c:v>0.229209</c:v>
                </c:pt>
                <c:pt idx="168">
                  <c:v>0.229209</c:v>
                </c:pt>
                <c:pt idx="169">
                  <c:v>0.229209</c:v>
                </c:pt>
                <c:pt idx="170">
                  <c:v>0.229209</c:v>
                </c:pt>
                <c:pt idx="171">
                  <c:v>0.229209</c:v>
                </c:pt>
                <c:pt idx="172">
                  <c:v>0.229209</c:v>
                </c:pt>
                <c:pt idx="173">
                  <c:v>0.229209</c:v>
                </c:pt>
                <c:pt idx="174">
                  <c:v>0.229209</c:v>
                </c:pt>
                <c:pt idx="175">
                  <c:v>0.229209</c:v>
                </c:pt>
                <c:pt idx="176">
                  <c:v>0.229209</c:v>
                </c:pt>
                <c:pt idx="177">
                  <c:v>0.229209</c:v>
                </c:pt>
                <c:pt idx="178">
                  <c:v>0.229209</c:v>
                </c:pt>
                <c:pt idx="179">
                  <c:v>0.229209</c:v>
                </c:pt>
                <c:pt idx="180">
                  <c:v>0.229209</c:v>
                </c:pt>
                <c:pt idx="181">
                  <c:v>0.229209</c:v>
                </c:pt>
                <c:pt idx="182">
                  <c:v>0.229209</c:v>
                </c:pt>
                <c:pt idx="183">
                  <c:v>0.229209</c:v>
                </c:pt>
                <c:pt idx="184">
                  <c:v>0.229209</c:v>
                </c:pt>
                <c:pt idx="185">
                  <c:v>0.229209</c:v>
                </c:pt>
                <c:pt idx="186">
                  <c:v>0.229209</c:v>
                </c:pt>
                <c:pt idx="187">
                  <c:v>0.229209</c:v>
                </c:pt>
                <c:pt idx="188">
                  <c:v>0.229209</c:v>
                </c:pt>
                <c:pt idx="189">
                  <c:v>0.229209</c:v>
                </c:pt>
                <c:pt idx="190">
                  <c:v>0.229209</c:v>
                </c:pt>
                <c:pt idx="191">
                  <c:v>0.229209</c:v>
                </c:pt>
                <c:pt idx="192">
                  <c:v>0.229209</c:v>
                </c:pt>
                <c:pt idx="193">
                  <c:v>0.229209</c:v>
                </c:pt>
                <c:pt idx="194">
                  <c:v>0.229209</c:v>
                </c:pt>
                <c:pt idx="195">
                  <c:v>0.229209</c:v>
                </c:pt>
                <c:pt idx="196">
                  <c:v>0.229209</c:v>
                </c:pt>
                <c:pt idx="197">
                  <c:v>0.229209</c:v>
                </c:pt>
                <c:pt idx="198">
                  <c:v>0.229209</c:v>
                </c:pt>
                <c:pt idx="199">
                  <c:v>0.229209</c:v>
                </c:pt>
                <c:pt idx="200">
                  <c:v>0.229209</c:v>
                </c:pt>
                <c:pt idx="201">
                  <c:v>0.229209</c:v>
                </c:pt>
                <c:pt idx="202">
                  <c:v>0.229209</c:v>
                </c:pt>
                <c:pt idx="203">
                  <c:v>0.229209</c:v>
                </c:pt>
                <c:pt idx="204">
                  <c:v>0.229209</c:v>
                </c:pt>
                <c:pt idx="205">
                  <c:v>0.229209</c:v>
                </c:pt>
                <c:pt idx="206">
                  <c:v>0.229209</c:v>
                </c:pt>
                <c:pt idx="207">
                  <c:v>0.229209</c:v>
                </c:pt>
                <c:pt idx="208">
                  <c:v>0.229209</c:v>
                </c:pt>
                <c:pt idx="209">
                  <c:v>0.229209</c:v>
                </c:pt>
                <c:pt idx="210">
                  <c:v>0.229209</c:v>
                </c:pt>
                <c:pt idx="211">
                  <c:v>0.229209</c:v>
                </c:pt>
                <c:pt idx="212">
                  <c:v>0.229209</c:v>
                </c:pt>
                <c:pt idx="213">
                  <c:v>0.229209</c:v>
                </c:pt>
                <c:pt idx="214">
                  <c:v>0.229209</c:v>
                </c:pt>
                <c:pt idx="215">
                  <c:v>0.229209</c:v>
                </c:pt>
                <c:pt idx="216">
                  <c:v>0.229209</c:v>
                </c:pt>
                <c:pt idx="217">
                  <c:v>0.229209</c:v>
                </c:pt>
                <c:pt idx="218">
                  <c:v>0.229209</c:v>
                </c:pt>
                <c:pt idx="219">
                  <c:v>0.229209</c:v>
                </c:pt>
                <c:pt idx="220">
                  <c:v>0.229209</c:v>
                </c:pt>
                <c:pt idx="221">
                  <c:v>0.229209</c:v>
                </c:pt>
                <c:pt idx="222">
                  <c:v>0.229209</c:v>
                </c:pt>
                <c:pt idx="223">
                  <c:v>0.229209</c:v>
                </c:pt>
                <c:pt idx="224">
                  <c:v>0.229209</c:v>
                </c:pt>
                <c:pt idx="225">
                  <c:v>0.229209</c:v>
                </c:pt>
                <c:pt idx="226">
                  <c:v>0.229209</c:v>
                </c:pt>
                <c:pt idx="227">
                  <c:v>0.229209</c:v>
                </c:pt>
                <c:pt idx="228">
                  <c:v>0.229209</c:v>
                </c:pt>
                <c:pt idx="229">
                  <c:v>0.229209</c:v>
                </c:pt>
                <c:pt idx="230">
                  <c:v>0.229209</c:v>
                </c:pt>
                <c:pt idx="231">
                  <c:v>0.229209</c:v>
                </c:pt>
                <c:pt idx="232">
                  <c:v>0.229209</c:v>
                </c:pt>
                <c:pt idx="233">
                  <c:v>0.229209</c:v>
                </c:pt>
                <c:pt idx="234">
                  <c:v>0.229209</c:v>
                </c:pt>
                <c:pt idx="235">
                  <c:v>0.229209</c:v>
                </c:pt>
                <c:pt idx="236">
                  <c:v>0.229209</c:v>
                </c:pt>
                <c:pt idx="237">
                  <c:v>0.229209</c:v>
                </c:pt>
                <c:pt idx="238">
                  <c:v>0.229209</c:v>
                </c:pt>
                <c:pt idx="239">
                  <c:v>0.229209</c:v>
                </c:pt>
                <c:pt idx="240">
                  <c:v>0.229209</c:v>
                </c:pt>
                <c:pt idx="241">
                  <c:v>0.229209</c:v>
                </c:pt>
                <c:pt idx="242">
                  <c:v>0.229209</c:v>
                </c:pt>
                <c:pt idx="243">
                  <c:v>0.229209</c:v>
                </c:pt>
                <c:pt idx="244">
                  <c:v>0.229209</c:v>
                </c:pt>
                <c:pt idx="245">
                  <c:v>0.229209</c:v>
                </c:pt>
                <c:pt idx="246">
                  <c:v>0.229209</c:v>
                </c:pt>
                <c:pt idx="247">
                  <c:v>0.229209</c:v>
                </c:pt>
                <c:pt idx="248">
                  <c:v>0.229209</c:v>
                </c:pt>
                <c:pt idx="249">
                  <c:v>0.229209</c:v>
                </c:pt>
                <c:pt idx="250">
                  <c:v>0.229209</c:v>
                </c:pt>
                <c:pt idx="251">
                  <c:v>0.229209</c:v>
                </c:pt>
                <c:pt idx="252">
                  <c:v>0.229209</c:v>
                </c:pt>
                <c:pt idx="253">
                  <c:v>0.229209</c:v>
                </c:pt>
                <c:pt idx="254">
                  <c:v>0.229209</c:v>
                </c:pt>
                <c:pt idx="255">
                  <c:v>0.229209</c:v>
                </c:pt>
                <c:pt idx="256">
                  <c:v>0.229209</c:v>
                </c:pt>
                <c:pt idx="257">
                  <c:v>0.229209</c:v>
                </c:pt>
                <c:pt idx="258">
                  <c:v>0.229209</c:v>
                </c:pt>
                <c:pt idx="259">
                  <c:v>0.229209</c:v>
                </c:pt>
                <c:pt idx="260">
                  <c:v>0.229209</c:v>
                </c:pt>
                <c:pt idx="261">
                  <c:v>0.229209</c:v>
                </c:pt>
                <c:pt idx="262">
                  <c:v>0.229209</c:v>
                </c:pt>
                <c:pt idx="263">
                  <c:v>0.229209</c:v>
                </c:pt>
                <c:pt idx="264">
                  <c:v>0.229209</c:v>
                </c:pt>
                <c:pt idx="265">
                  <c:v>0.229209</c:v>
                </c:pt>
                <c:pt idx="266">
                  <c:v>0.229209</c:v>
                </c:pt>
                <c:pt idx="267">
                  <c:v>0.229209</c:v>
                </c:pt>
                <c:pt idx="268">
                  <c:v>0.229209</c:v>
                </c:pt>
                <c:pt idx="269">
                  <c:v>0.229209</c:v>
                </c:pt>
                <c:pt idx="270">
                  <c:v>0.229209</c:v>
                </c:pt>
                <c:pt idx="271">
                  <c:v>0.229209</c:v>
                </c:pt>
                <c:pt idx="272">
                  <c:v>0.229209</c:v>
                </c:pt>
                <c:pt idx="273">
                  <c:v>0.229209</c:v>
                </c:pt>
                <c:pt idx="274">
                  <c:v>0.229209</c:v>
                </c:pt>
                <c:pt idx="275">
                  <c:v>0.229209</c:v>
                </c:pt>
                <c:pt idx="276">
                  <c:v>0.229209</c:v>
                </c:pt>
                <c:pt idx="277">
                  <c:v>0.229209</c:v>
                </c:pt>
                <c:pt idx="278">
                  <c:v>0.229209</c:v>
                </c:pt>
                <c:pt idx="279">
                  <c:v>0.229209</c:v>
                </c:pt>
                <c:pt idx="280">
                  <c:v>0.229209</c:v>
                </c:pt>
                <c:pt idx="281">
                  <c:v>0.229209</c:v>
                </c:pt>
                <c:pt idx="282">
                  <c:v>0.229209</c:v>
                </c:pt>
                <c:pt idx="283">
                  <c:v>0.229209</c:v>
                </c:pt>
                <c:pt idx="284">
                  <c:v>0.229209</c:v>
                </c:pt>
                <c:pt idx="285">
                  <c:v>0.229209</c:v>
                </c:pt>
                <c:pt idx="286">
                  <c:v>0.229209</c:v>
                </c:pt>
                <c:pt idx="287">
                  <c:v>0.229209</c:v>
                </c:pt>
                <c:pt idx="288">
                  <c:v>0.229209</c:v>
                </c:pt>
                <c:pt idx="289">
                  <c:v>0.229209</c:v>
                </c:pt>
                <c:pt idx="290">
                  <c:v>0.229209</c:v>
                </c:pt>
                <c:pt idx="291">
                  <c:v>0.229209</c:v>
                </c:pt>
                <c:pt idx="292">
                  <c:v>0.229209</c:v>
                </c:pt>
                <c:pt idx="293">
                  <c:v>0.229209</c:v>
                </c:pt>
                <c:pt idx="294">
                  <c:v>0.229209</c:v>
                </c:pt>
                <c:pt idx="295">
                  <c:v>0.229209</c:v>
                </c:pt>
                <c:pt idx="296">
                  <c:v>0.229209</c:v>
                </c:pt>
                <c:pt idx="297">
                  <c:v>0.229209</c:v>
                </c:pt>
                <c:pt idx="298">
                  <c:v>0.229209</c:v>
                </c:pt>
                <c:pt idx="299">
                  <c:v>0.229209</c:v>
                </c:pt>
                <c:pt idx="300">
                  <c:v>0.229209</c:v>
                </c:pt>
                <c:pt idx="301">
                  <c:v>0.229209</c:v>
                </c:pt>
                <c:pt idx="302">
                  <c:v>0.229209</c:v>
                </c:pt>
                <c:pt idx="303">
                  <c:v>0.229209</c:v>
                </c:pt>
                <c:pt idx="304">
                  <c:v>0.229209</c:v>
                </c:pt>
                <c:pt idx="305">
                  <c:v>0.229209</c:v>
                </c:pt>
                <c:pt idx="306">
                  <c:v>0.229209</c:v>
                </c:pt>
                <c:pt idx="307">
                  <c:v>0.229209</c:v>
                </c:pt>
                <c:pt idx="308">
                  <c:v>0.229209</c:v>
                </c:pt>
                <c:pt idx="309">
                  <c:v>0.229209</c:v>
                </c:pt>
                <c:pt idx="310">
                  <c:v>0.229209</c:v>
                </c:pt>
                <c:pt idx="311">
                  <c:v>0.229209</c:v>
                </c:pt>
                <c:pt idx="312">
                  <c:v>0.229209</c:v>
                </c:pt>
                <c:pt idx="313">
                  <c:v>0.229209</c:v>
                </c:pt>
                <c:pt idx="314">
                  <c:v>0.229209</c:v>
                </c:pt>
                <c:pt idx="315">
                  <c:v>0.229209</c:v>
                </c:pt>
                <c:pt idx="316">
                  <c:v>0.229209</c:v>
                </c:pt>
                <c:pt idx="317">
                  <c:v>0.229209</c:v>
                </c:pt>
                <c:pt idx="318">
                  <c:v>0.229209</c:v>
                </c:pt>
                <c:pt idx="319">
                  <c:v>0.229209</c:v>
                </c:pt>
                <c:pt idx="320">
                  <c:v>0.229209</c:v>
                </c:pt>
                <c:pt idx="321">
                  <c:v>0.229209</c:v>
                </c:pt>
                <c:pt idx="322">
                  <c:v>0.229209</c:v>
                </c:pt>
                <c:pt idx="323">
                  <c:v>0.229209</c:v>
                </c:pt>
                <c:pt idx="324">
                  <c:v>0.229209</c:v>
                </c:pt>
                <c:pt idx="325">
                  <c:v>0.229209</c:v>
                </c:pt>
                <c:pt idx="326">
                  <c:v>0.229209</c:v>
                </c:pt>
                <c:pt idx="327">
                  <c:v>0.229209</c:v>
                </c:pt>
                <c:pt idx="328">
                  <c:v>0.229209</c:v>
                </c:pt>
                <c:pt idx="329">
                  <c:v>0.229209</c:v>
                </c:pt>
                <c:pt idx="330">
                  <c:v>0.229209</c:v>
                </c:pt>
                <c:pt idx="331">
                  <c:v>0.229209</c:v>
                </c:pt>
                <c:pt idx="332">
                  <c:v>0.229209</c:v>
                </c:pt>
                <c:pt idx="333">
                  <c:v>0.229209</c:v>
                </c:pt>
                <c:pt idx="334">
                  <c:v>0.229209</c:v>
                </c:pt>
                <c:pt idx="335">
                  <c:v>0.229209</c:v>
                </c:pt>
                <c:pt idx="336">
                  <c:v>0.229209</c:v>
                </c:pt>
                <c:pt idx="337">
                  <c:v>0.229209</c:v>
                </c:pt>
                <c:pt idx="338">
                  <c:v>0.229209</c:v>
                </c:pt>
                <c:pt idx="339">
                  <c:v>0.229209</c:v>
                </c:pt>
                <c:pt idx="340">
                  <c:v>0.229209</c:v>
                </c:pt>
                <c:pt idx="341">
                  <c:v>0.229209</c:v>
                </c:pt>
                <c:pt idx="342">
                  <c:v>0.229209</c:v>
                </c:pt>
                <c:pt idx="343">
                  <c:v>0.229209</c:v>
                </c:pt>
                <c:pt idx="344">
                  <c:v>0.229209</c:v>
                </c:pt>
                <c:pt idx="345">
                  <c:v>0.229209</c:v>
                </c:pt>
                <c:pt idx="346">
                  <c:v>0.229209</c:v>
                </c:pt>
                <c:pt idx="347">
                  <c:v>0.229209</c:v>
                </c:pt>
                <c:pt idx="348">
                  <c:v>0.229209</c:v>
                </c:pt>
                <c:pt idx="349">
                  <c:v>0.229209</c:v>
                </c:pt>
                <c:pt idx="350">
                  <c:v>0.229209</c:v>
                </c:pt>
                <c:pt idx="351">
                  <c:v>0.229209</c:v>
                </c:pt>
                <c:pt idx="352">
                  <c:v>0.229209</c:v>
                </c:pt>
                <c:pt idx="353">
                  <c:v>0.229209</c:v>
                </c:pt>
                <c:pt idx="354">
                  <c:v>0.229209</c:v>
                </c:pt>
                <c:pt idx="355">
                  <c:v>0.229209</c:v>
                </c:pt>
                <c:pt idx="356">
                  <c:v>0.229209</c:v>
                </c:pt>
                <c:pt idx="357">
                  <c:v>0.229209</c:v>
                </c:pt>
                <c:pt idx="358">
                  <c:v>0.229209</c:v>
                </c:pt>
                <c:pt idx="359">
                  <c:v>0.229209</c:v>
                </c:pt>
                <c:pt idx="360">
                  <c:v>0.229209</c:v>
                </c:pt>
                <c:pt idx="361">
                  <c:v>0.229209</c:v>
                </c:pt>
                <c:pt idx="362">
                  <c:v>0.229209</c:v>
                </c:pt>
                <c:pt idx="363">
                  <c:v>0.229209</c:v>
                </c:pt>
                <c:pt idx="364">
                  <c:v>0.229209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A-4576-B25C-36F42EF0E8F7}"/>
            </c:ext>
          </c:extLst>
        </c:ser>
        <c:ser>
          <c:idx val="3"/>
          <c:order val="3"/>
          <c:tx>
            <c:strRef>
              <c:f>'Bilancio primo strato'!$Y$1</c:f>
              <c:strCache>
                <c:ptCount val="1"/>
                <c:pt idx="0">
                  <c:v>FC-RAW</c:v>
                </c:pt>
              </c:strCache>
            </c:strRef>
          </c:tx>
          <c:marker>
            <c:symbol val="none"/>
          </c:marker>
          <c:val>
            <c:numRef>
              <c:f>'Bilancio primo strato'!$Y$2:$Y$366</c:f>
              <c:numCache>
                <c:formatCode>General</c:formatCode>
                <c:ptCount val="365"/>
                <c:pt idx="0">
                  <c:v>0.12693270065315823</c:v>
                </c:pt>
                <c:pt idx="1">
                  <c:v>0.12935373195560823</c:v>
                </c:pt>
                <c:pt idx="2">
                  <c:v>0.13091346404740112</c:v>
                </c:pt>
                <c:pt idx="3">
                  <c:v>0.13088735818649916</c:v>
                </c:pt>
                <c:pt idx="4">
                  <c:v>0.12960185727611812</c:v>
                </c:pt>
                <c:pt idx="5">
                  <c:v>0.12960092885947269</c:v>
                </c:pt>
                <c:pt idx="6">
                  <c:v>0.12932758755822518</c:v>
                </c:pt>
                <c:pt idx="7">
                  <c:v>0.12947648937112452</c:v>
                </c:pt>
                <c:pt idx="8">
                  <c:v>0.12895726720451253</c:v>
                </c:pt>
                <c:pt idx="9">
                  <c:v>0.13046898372899574</c:v>
                </c:pt>
                <c:pt idx="10">
                  <c:v>0.13150404764413434</c:v>
                </c:pt>
                <c:pt idx="11">
                  <c:v>0.13045467094778496</c:v>
                </c:pt>
                <c:pt idx="12">
                  <c:v>0.13005579951431256</c:v>
                </c:pt>
                <c:pt idx="13">
                  <c:v>0.12884987564304118</c:v>
                </c:pt>
                <c:pt idx="14">
                  <c:v>0.13575708060345637</c:v>
                </c:pt>
                <c:pt idx="15">
                  <c:v>0.13072735181576758</c:v>
                </c:pt>
                <c:pt idx="16">
                  <c:v>0.13113868202588846</c:v>
                </c:pt>
                <c:pt idx="17">
                  <c:v>0.12968839112456421</c:v>
                </c:pt>
                <c:pt idx="18">
                  <c:v>0.13127741635605278</c:v>
                </c:pt>
                <c:pt idx="19">
                  <c:v>0.13144032486249901</c:v>
                </c:pt>
                <c:pt idx="20">
                  <c:v>0.12928285206102641</c:v>
                </c:pt>
                <c:pt idx="21">
                  <c:v>0.12950905996681927</c:v>
                </c:pt>
                <c:pt idx="22">
                  <c:v>0.12970406954953251</c:v>
                </c:pt>
                <c:pt idx="23">
                  <c:v>0.13018957775515955</c:v>
                </c:pt>
                <c:pt idx="24">
                  <c:v>0.13041113892843254</c:v>
                </c:pt>
                <c:pt idx="25">
                  <c:v>0.12999593347246119</c:v>
                </c:pt>
                <c:pt idx="26">
                  <c:v>0.13005409945563223</c:v>
                </c:pt>
                <c:pt idx="27">
                  <c:v>0.13051548225771384</c:v>
                </c:pt>
                <c:pt idx="28">
                  <c:v>0.13037838937679114</c:v>
                </c:pt>
                <c:pt idx="29">
                  <c:v>0.13060117804189117</c:v>
                </c:pt>
                <c:pt idx="30">
                  <c:v>0.13136182264946761</c:v>
                </c:pt>
                <c:pt idx="31">
                  <c:v>0.13035418334761753</c:v>
                </c:pt>
                <c:pt idx="32">
                  <c:v>0.13007489578516529</c:v>
                </c:pt>
                <c:pt idx="33">
                  <c:v>0.13025038617089185</c:v>
                </c:pt>
                <c:pt idx="34">
                  <c:v>0.12981295620251931</c:v>
                </c:pt>
                <c:pt idx="35">
                  <c:v>0.13364961787869684</c:v>
                </c:pt>
                <c:pt idx="36">
                  <c:v>0.13180681004603539</c:v>
                </c:pt>
                <c:pt idx="37">
                  <c:v>0.1321436891984564</c:v>
                </c:pt>
                <c:pt idx="38">
                  <c:v>0.13123594023115331</c:v>
                </c:pt>
                <c:pt idx="39">
                  <c:v>0.13176870612691713</c:v>
                </c:pt>
                <c:pt idx="40">
                  <c:v>0.13307113595808398</c:v>
                </c:pt>
                <c:pt idx="41">
                  <c:v>0.13051056825982604</c:v>
                </c:pt>
                <c:pt idx="42">
                  <c:v>0.13715251341509399</c:v>
                </c:pt>
                <c:pt idx="43">
                  <c:v>0.13462072125000124</c:v>
                </c:pt>
                <c:pt idx="44">
                  <c:v>0.13382781645763642</c:v>
                </c:pt>
                <c:pt idx="45">
                  <c:v>0.13376218108015375</c:v>
                </c:pt>
                <c:pt idx="46">
                  <c:v>0.13430379936022308</c:v>
                </c:pt>
                <c:pt idx="47">
                  <c:v>0.13444711394357145</c:v>
                </c:pt>
                <c:pt idx="48">
                  <c:v>0.13517116015370551</c:v>
                </c:pt>
                <c:pt idx="49">
                  <c:v>0.13468952076677168</c:v>
                </c:pt>
                <c:pt idx="50">
                  <c:v>0.13469048834496167</c:v>
                </c:pt>
                <c:pt idx="51">
                  <c:v>0.13315371408326676</c:v>
                </c:pt>
                <c:pt idx="52">
                  <c:v>0.13369682812604788</c:v>
                </c:pt>
                <c:pt idx="53">
                  <c:v>0.13643826024766481</c:v>
                </c:pt>
                <c:pt idx="54">
                  <c:v>0.13623045072425494</c:v>
                </c:pt>
                <c:pt idx="55">
                  <c:v>0.1341999287267881</c:v>
                </c:pt>
                <c:pt idx="56">
                  <c:v>0.13658259172862941</c:v>
                </c:pt>
                <c:pt idx="57">
                  <c:v>0.13798636934613753</c:v>
                </c:pt>
                <c:pt idx="58">
                  <c:v>0.13971044259996551</c:v>
                </c:pt>
                <c:pt idx="59">
                  <c:v>0.13839479093864954</c:v>
                </c:pt>
                <c:pt idx="60">
                  <c:v>0.13451370091642456</c:v>
                </c:pt>
                <c:pt idx="61">
                  <c:v>0.13698553565104732</c:v>
                </c:pt>
                <c:pt idx="62">
                  <c:v>0.13842973365894523</c:v>
                </c:pt>
                <c:pt idx="63">
                  <c:v>0.13513378148799005</c:v>
                </c:pt>
                <c:pt idx="64">
                  <c:v>0.13878528716986382</c:v>
                </c:pt>
                <c:pt idx="65">
                  <c:v>0.13746575405411587</c:v>
                </c:pt>
                <c:pt idx="66">
                  <c:v>0.13536044697571858</c:v>
                </c:pt>
                <c:pt idx="67">
                  <c:v>0.13850088455535053</c:v>
                </c:pt>
                <c:pt idx="68">
                  <c:v>0.1404641229235449</c:v>
                </c:pt>
                <c:pt idx="69">
                  <c:v>0.13939777783349833</c:v>
                </c:pt>
                <c:pt idx="70">
                  <c:v>0.14810127705500548</c:v>
                </c:pt>
                <c:pt idx="71">
                  <c:v>0.1441509741470493</c:v>
                </c:pt>
                <c:pt idx="72">
                  <c:v>0.13808197846360751</c:v>
                </c:pt>
                <c:pt idx="73">
                  <c:v>0.14093329145765432</c:v>
                </c:pt>
                <c:pt idx="74">
                  <c:v>0.14421296701906705</c:v>
                </c:pt>
                <c:pt idx="75">
                  <c:v>0.14216642698092014</c:v>
                </c:pt>
                <c:pt idx="76">
                  <c:v>0.13846257108763577</c:v>
                </c:pt>
                <c:pt idx="77">
                  <c:v>0.13614668085756168</c:v>
                </c:pt>
                <c:pt idx="78">
                  <c:v>0.14116624295753133</c:v>
                </c:pt>
                <c:pt idx="79">
                  <c:v>0.14346910359883017</c:v>
                </c:pt>
                <c:pt idx="80">
                  <c:v>0.14248617133492725</c:v>
                </c:pt>
                <c:pt idx="81">
                  <c:v>0.14326205928071972</c:v>
                </c:pt>
                <c:pt idx="82">
                  <c:v>0.14504485264453126</c:v>
                </c:pt>
                <c:pt idx="83">
                  <c:v>0.14680507540348231</c:v>
                </c:pt>
                <c:pt idx="84">
                  <c:v>0.14888353275852068</c:v>
                </c:pt>
                <c:pt idx="85">
                  <c:v>0.14887538833989039</c:v>
                </c:pt>
                <c:pt idx="86">
                  <c:v>0.14466092128950714</c:v>
                </c:pt>
                <c:pt idx="87">
                  <c:v>0.14434163951786338</c:v>
                </c:pt>
                <c:pt idx="88">
                  <c:v>0.14463288454828593</c:v>
                </c:pt>
                <c:pt idx="89">
                  <c:v>0.14701512960678437</c:v>
                </c:pt>
                <c:pt idx="90">
                  <c:v>0.14813521564780674</c:v>
                </c:pt>
                <c:pt idx="91">
                  <c:v>0.15158344608170238</c:v>
                </c:pt>
                <c:pt idx="92">
                  <c:v>0.14920438060198626</c:v>
                </c:pt>
                <c:pt idx="93">
                  <c:v>0.13893807914103162</c:v>
                </c:pt>
                <c:pt idx="94">
                  <c:v>0.13427533085005566</c:v>
                </c:pt>
                <c:pt idx="95">
                  <c:v>0.13903724140619028</c:v>
                </c:pt>
                <c:pt idx="96">
                  <c:v>0.13915220168145354</c:v>
                </c:pt>
                <c:pt idx="97">
                  <c:v>0.14132256529455167</c:v>
                </c:pt>
                <c:pt idx="98">
                  <c:v>0.14370454680456335</c:v>
                </c:pt>
                <c:pt idx="99">
                  <c:v>0.14385975450778735</c:v>
                </c:pt>
                <c:pt idx="100">
                  <c:v>0.14328568919009033</c:v>
                </c:pt>
                <c:pt idx="101">
                  <c:v>0.13397666307737327</c:v>
                </c:pt>
                <c:pt idx="102">
                  <c:v>0.13963496468937897</c:v>
                </c:pt>
                <c:pt idx="103">
                  <c:v>0.14027500147667643</c:v>
                </c:pt>
                <c:pt idx="104">
                  <c:v>0.14025957582821796</c:v>
                </c:pt>
                <c:pt idx="105">
                  <c:v>0.14567457263395084</c:v>
                </c:pt>
                <c:pt idx="106">
                  <c:v>0.14543173890887229</c:v>
                </c:pt>
                <c:pt idx="107">
                  <c:v>0.14772077068702399</c:v>
                </c:pt>
                <c:pt idx="108">
                  <c:v>0.15172470009948258</c:v>
                </c:pt>
                <c:pt idx="109">
                  <c:v>0.15144373385915327</c:v>
                </c:pt>
                <c:pt idx="110">
                  <c:v>0.15409938584060923</c:v>
                </c:pt>
                <c:pt idx="111">
                  <c:v>0.15372969821960114</c:v>
                </c:pt>
                <c:pt idx="112">
                  <c:v>0.15057654872076356</c:v>
                </c:pt>
                <c:pt idx="113">
                  <c:v>0.13624820306308022</c:v>
                </c:pt>
                <c:pt idx="114">
                  <c:v>0.14241300237730017</c:v>
                </c:pt>
                <c:pt idx="115">
                  <c:v>0.14437467253056052</c:v>
                </c:pt>
                <c:pt idx="116">
                  <c:v>0.14188052106559662</c:v>
                </c:pt>
                <c:pt idx="117">
                  <c:v>0.15376369928404021</c:v>
                </c:pt>
                <c:pt idx="118">
                  <c:v>0.14341549748871801</c:v>
                </c:pt>
                <c:pt idx="119">
                  <c:v>0.13931538508051211</c:v>
                </c:pt>
                <c:pt idx="120">
                  <c:v>0.15298607580783283</c:v>
                </c:pt>
                <c:pt idx="121">
                  <c:v>0.1541128492854939</c:v>
                </c:pt>
                <c:pt idx="122">
                  <c:v>0.15274538236524587</c:v>
                </c:pt>
                <c:pt idx="123">
                  <c:v>0.14476360874529964</c:v>
                </c:pt>
                <c:pt idx="124">
                  <c:v>0.14392843046221176</c:v>
                </c:pt>
                <c:pt idx="125">
                  <c:v>0.13737847794936206</c:v>
                </c:pt>
                <c:pt idx="126">
                  <c:v>0.1495831310134654</c:v>
                </c:pt>
                <c:pt idx="127">
                  <c:v>0.14950617846418707</c:v>
                </c:pt>
                <c:pt idx="128">
                  <c:v>0.14038566314734158</c:v>
                </c:pt>
                <c:pt idx="129">
                  <c:v>0.14819045616350646</c:v>
                </c:pt>
                <c:pt idx="130">
                  <c:v>0.14812899823734565</c:v>
                </c:pt>
                <c:pt idx="131">
                  <c:v>0.14335250310171554</c:v>
                </c:pt>
                <c:pt idx="132">
                  <c:v>0.13767414724826191</c:v>
                </c:pt>
                <c:pt idx="133">
                  <c:v>0.13836954726750841</c:v>
                </c:pt>
                <c:pt idx="134">
                  <c:v>0.14741619094382319</c:v>
                </c:pt>
                <c:pt idx="135">
                  <c:v>0.13941218916974382</c:v>
                </c:pt>
                <c:pt idx="136">
                  <c:v>0.14685355822649804</c:v>
                </c:pt>
                <c:pt idx="137">
                  <c:v>0.14863621394860549</c:v>
                </c:pt>
                <c:pt idx="138">
                  <c:v>0.13989174259316728</c:v>
                </c:pt>
                <c:pt idx="139">
                  <c:v>0.13649170941202177</c:v>
                </c:pt>
                <c:pt idx="140">
                  <c:v>0.1393369496362053</c:v>
                </c:pt>
                <c:pt idx="141">
                  <c:v>0.15031475661591287</c:v>
                </c:pt>
                <c:pt idx="142">
                  <c:v>0.15117038335906213</c:v>
                </c:pt>
                <c:pt idx="143">
                  <c:v>0.15412347936404253</c:v>
                </c:pt>
                <c:pt idx="144">
                  <c:v>0.15227676865638479</c:v>
                </c:pt>
                <c:pt idx="145">
                  <c:v>0.14732936300916766</c:v>
                </c:pt>
                <c:pt idx="146">
                  <c:v>0.15415743128935028</c:v>
                </c:pt>
                <c:pt idx="147">
                  <c:v>0.13244640948747988</c:v>
                </c:pt>
                <c:pt idx="148">
                  <c:v>0.14818615763317816</c:v>
                </c:pt>
                <c:pt idx="149">
                  <c:v>0.13870906004807074</c:v>
                </c:pt>
                <c:pt idx="150">
                  <c:v>0.1491579000117999</c:v>
                </c:pt>
                <c:pt idx="151">
                  <c:v>0.15623561334929759</c:v>
                </c:pt>
                <c:pt idx="152">
                  <c:v>0.1599573716647224</c:v>
                </c:pt>
                <c:pt idx="153">
                  <c:v>0.15875496812252923</c:v>
                </c:pt>
                <c:pt idx="154">
                  <c:v>0.1573061131378316</c:v>
                </c:pt>
                <c:pt idx="155">
                  <c:v>0.15835251998128469</c:v>
                </c:pt>
                <c:pt idx="156">
                  <c:v>0.15871605571880054</c:v>
                </c:pt>
                <c:pt idx="157">
                  <c:v>0.15201593761531451</c:v>
                </c:pt>
                <c:pt idx="158">
                  <c:v>0.15907620774095105</c:v>
                </c:pt>
                <c:pt idx="159">
                  <c:v>0.15964450680888853</c:v>
                </c:pt>
                <c:pt idx="160">
                  <c:v>0.16253880536184334</c:v>
                </c:pt>
                <c:pt idx="161">
                  <c:v>0.1634529602885203</c:v>
                </c:pt>
                <c:pt idx="162">
                  <c:v>0.15848503222719096</c:v>
                </c:pt>
                <c:pt idx="163">
                  <c:v>0.14353195670742483</c:v>
                </c:pt>
                <c:pt idx="164">
                  <c:v>0.16641762323978107</c:v>
                </c:pt>
                <c:pt idx="165">
                  <c:v>0.16716795677119517</c:v>
                </c:pt>
                <c:pt idx="166">
                  <c:v>0.16062624325395475</c:v>
                </c:pt>
                <c:pt idx="167">
                  <c:v>0.16538440890907868</c:v>
                </c:pt>
                <c:pt idx="168">
                  <c:v>0.16565333667087906</c:v>
                </c:pt>
                <c:pt idx="169">
                  <c:v>0.16073149474372569</c:v>
                </c:pt>
                <c:pt idx="170">
                  <c:v>0.16378174625260289</c:v>
                </c:pt>
                <c:pt idx="171">
                  <c:v>0.15419864030001157</c:v>
                </c:pt>
                <c:pt idx="172">
                  <c:v>0.16340375792306003</c:v>
                </c:pt>
                <c:pt idx="173">
                  <c:v>0.14970962627540862</c:v>
                </c:pt>
                <c:pt idx="174">
                  <c:v>0.16065520703225028</c:v>
                </c:pt>
                <c:pt idx="175">
                  <c:v>0.16377862570283447</c:v>
                </c:pt>
                <c:pt idx="176">
                  <c:v>0.16409266203892192</c:v>
                </c:pt>
                <c:pt idx="177">
                  <c:v>0.16594116083232108</c:v>
                </c:pt>
                <c:pt idx="178">
                  <c:v>0.17109432547751471</c:v>
                </c:pt>
                <c:pt idx="179">
                  <c:v>0.17379704513574185</c:v>
                </c:pt>
                <c:pt idx="180">
                  <c:v>0.17360908685391338</c:v>
                </c:pt>
                <c:pt idx="181">
                  <c:v>0.16778816947045472</c:v>
                </c:pt>
                <c:pt idx="182">
                  <c:v>0.16939587614216917</c:v>
                </c:pt>
                <c:pt idx="183">
                  <c:v>0.16898135028192177</c:v>
                </c:pt>
                <c:pt idx="184">
                  <c:v>0.16527814609409197</c:v>
                </c:pt>
                <c:pt idx="185">
                  <c:v>0.16352550477704658</c:v>
                </c:pt>
                <c:pt idx="186">
                  <c:v>0.16752040060206433</c:v>
                </c:pt>
                <c:pt idx="187">
                  <c:v>0.15284837857803774</c:v>
                </c:pt>
                <c:pt idx="188">
                  <c:v>0.16688867840004853</c:v>
                </c:pt>
                <c:pt idx="189">
                  <c:v>0.15933614765899626</c:v>
                </c:pt>
                <c:pt idx="190">
                  <c:v>0.14872172909748024</c:v>
                </c:pt>
                <c:pt idx="191">
                  <c:v>0.1615843239261584</c:v>
                </c:pt>
                <c:pt idx="192">
                  <c:v>0.15249572895899766</c:v>
                </c:pt>
                <c:pt idx="193">
                  <c:v>0.15968142451000245</c:v>
                </c:pt>
                <c:pt idx="194">
                  <c:v>0.15935749488949227</c:v>
                </c:pt>
                <c:pt idx="195">
                  <c:v>0.14846104166809798</c:v>
                </c:pt>
                <c:pt idx="196">
                  <c:v>0.14797095076518413</c:v>
                </c:pt>
                <c:pt idx="197">
                  <c:v>0.1597038904150784</c:v>
                </c:pt>
                <c:pt idx="198">
                  <c:v>0.16311763519696637</c:v>
                </c:pt>
                <c:pt idx="199">
                  <c:v>0.15205094866953356</c:v>
                </c:pt>
                <c:pt idx="200">
                  <c:v>0.15982866032201065</c:v>
                </c:pt>
                <c:pt idx="201">
                  <c:v>0.15909016037832741</c:v>
                </c:pt>
                <c:pt idx="202">
                  <c:v>0.16773967705415987</c:v>
                </c:pt>
                <c:pt idx="203">
                  <c:v>0.15097618015673625</c:v>
                </c:pt>
                <c:pt idx="204">
                  <c:v>0.16482435054412489</c:v>
                </c:pt>
                <c:pt idx="205">
                  <c:v>0.16831627677840594</c:v>
                </c:pt>
                <c:pt idx="206">
                  <c:v>0.16669494580739544</c:v>
                </c:pt>
                <c:pt idx="207">
                  <c:v>0.16739732276060557</c:v>
                </c:pt>
                <c:pt idx="208">
                  <c:v>0.14974721859399021</c:v>
                </c:pt>
                <c:pt idx="209">
                  <c:v>0.13984363566806107</c:v>
                </c:pt>
                <c:pt idx="210">
                  <c:v>0.15895453558978223</c:v>
                </c:pt>
                <c:pt idx="211">
                  <c:v>0.15098295062971173</c:v>
                </c:pt>
                <c:pt idx="212">
                  <c:v>0.15461621273284132</c:v>
                </c:pt>
                <c:pt idx="213">
                  <c:v>0.15526099261328646</c:v>
                </c:pt>
                <c:pt idx="214">
                  <c:v>0.1494229307359059</c:v>
                </c:pt>
                <c:pt idx="215">
                  <c:v>0.15991206522528068</c:v>
                </c:pt>
                <c:pt idx="216">
                  <c:v>0.15868274105749786</c:v>
                </c:pt>
                <c:pt idx="217">
                  <c:v>0.15784336806584329</c:v>
                </c:pt>
                <c:pt idx="218">
                  <c:v>0.15586673156686393</c:v>
                </c:pt>
                <c:pt idx="219">
                  <c:v>0.1544768044369754</c:v>
                </c:pt>
                <c:pt idx="220">
                  <c:v>0.15207980611553581</c:v>
                </c:pt>
                <c:pt idx="221">
                  <c:v>0.15821849010243064</c:v>
                </c:pt>
                <c:pt idx="222">
                  <c:v>0.15979029867005562</c:v>
                </c:pt>
                <c:pt idx="223">
                  <c:v>0.16157110415940035</c:v>
                </c:pt>
                <c:pt idx="224">
                  <c:v>0.15832004511410658</c:v>
                </c:pt>
                <c:pt idx="225">
                  <c:v>0.1560118727861686</c:v>
                </c:pt>
                <c:pt idx="226">
                  <c:v>0.15589246074686477</c:v>
                </c:pt>
                <c:pt idx="227">
                  <c:v>0.1453726754212458</c:v>
                </c:pt>
                <c:pt idx="228">
                  <c:v>0.15570265516142942</c:v>
                </c:pt>
                <c:pt idx="229">
                  <c:v>0.15509121671811837</c:v>
                </c:pt>
                <c:pt idx="230">
                  <c:v>0.15640251473711242</c:v>
                </c:pt>
                <c:pt idx="231">
                  <c:v>0.1585773708680987</c:v>
                </c:pt>
                <c:pt idx="232">
                  <c:v>0.15803985644148238</c:v>
                </c:pt>
                <c:pt idx="233">
                  <c:v>0.15967051865650911</c:v>
                </c:pt>
                <c:pt idx="234">
                  <c:v>0.15238780877811875</c:v>
                </c:pt>
                <c:pt idx="235">
                  <c:v>0.13812256972342651</c:v>
                </c:pt>
                <c:pt idx="236">
                  <c:v>0.15152588723771612</c:v>
                </c:pt>
                <c:pt idx="237">
                  <c:v>0.15190032131316514</c:v>
                </c:pt>
                <c:pt idx="238">
                  <c:v>0.1541302809784206</c:v>
                </c:pt>
                <c:pt idx="239">
                  <c:v>0.15393692569144971</c:v>
                </c:pt>
                <c:pt idx="240">
                  <c:v>0.15155541353693791</c:v>
                </c:pt>
                <c:pt idx="241">
                  <c:v>0.15556323642871492</c:v>
                </c:pt>
                <c:pt idx="242">
                  <c:v>0.15472531608386422</c:v>
                </c:pt>
                <c:pt idx="243">
                  <c:v>0.14095933192763405</c:v>
                </c:pt>
                <c:pt idx="244">
                  <c:v>0.15362293762627977</c:v>
                </c:pt>
                <c:pt idx="245">
                  <c:v>0.14790718380623741</c:v>
                </c:pt>
                <c:pt idx="246">
                  <c:v>0.15559965705712536</c:v>
                </c:pt>
                <c:pt idx="247">
                  <c:v>0.150607536340297</c:v>
                </c:pt>
                <c:pt idx="248">
                  <c:v>0.15113086743371307</c:v>
                </c:pt>
                <c:pt idx="249">
                  <c:v>0.14459392396912985</c:v>
                </c:pt>
                <c:pt idx="250">
                  <c:v>0.14654570904906944</c:v>
                </c:pt>
                <c:pt idx="251">
                  <c:v>0.13174273734412351</c:v>
                </c:pt>
                <c:pt idx="252">
                  <c:v>0.14879387225252361</c:v>
                </c:pt>
                <c:pt idx="253">
                  <c:v>0.14698738294391753</c:v>
                </c:pt>
                <c:pt idx="254">
                  <c:v>0.14804324817088371</c:v>
                </c:pt>
                <c:pt idx="255">
                  <c:v>0.148695682767508</c:v>
                </c:pt>
                <c:pt idx="256">
                  <c:v>0.14993063583887317</c:v>
                </c:pt>
                <c:pt idx="257">
                  <c:v>0.14898823272300299</c:v>
                </c:pt>
                <c:pt idx="258">
                  <c:v>0.14687487240420832</c:v>
                </c:pt>
                <c:pt idx="259">
                  <c:v>0.14824512721458216</c:v>
                </c:pt>
                <c:pt idx="260">
                  <c:v>0.14883582124585748</c:v>
                </c:pt>
                <c:pt idx="261">
                  <c:v>0.13542139035300599</c:v>
                </c:pt>
                <c:pt idx="262">
                  <c:v>0.14590784103714538</c:v>
                </c:pt>
                <c:pt idx="263">
                  <c:v>0.14549235086670226</c:v>
                </c:pt>
                <c:pt idx="264">
                  <c:v>0.14455400799308071</c:v>
                </c:pt>
                <c:pt idx="265">
                  <c:v>0.13492245854577578</c:v>
                </c:pt>
                <c:pt idx="266">
                  <c:v>0.13392958223621432</c:v>
                </c:pt>
                <c:pt idx="267">
                  <c:v>0.14207562087838688</c:v>
                </c:pt>
                <c:pt idx="268">
                  <c:v>0.13735740354254572</c:v>
                </c:pt>
                <c:pt idx="269">
                  <c:v>0.14151486417642797</c:v>
                </c:pt>
                <c:pt idx="270">
                  <c:v>0.13822789630481486</c:v>
                </c:pt>
                <c:pt idx="271">
                  <c:v>0.14088311708011805</c:v>
                </c:pt>
                <c:pt idx="272">
                  <c:v>0.14154070357905585</c:v>
                </c:pt>
                <c:pt idx="273">
                  <c:v>0.14367973271613288</c:v>
                </c:pt>
                <c:pt idx="274">
                  <c:v>0.13838779298783085</c:v>
                </c:pt>
                <c:pt idx="275">
                  <c:v>0.13741381721991508</c:v>
                </c:pt>
                <c:pt idx="276">
                  <c:v>0.14047769628303536</c:v>
                </c:pt>
                <c:pt idx="277">
                  <c:v>0.13789201719705302</c:v>
                </c:pt>
                <c:pt idx="278">
                  <c:v>0.13957014820048655</c:v>
                </c:pt>
                <c:pt idx="279">
                  <c:v>0.13878289809619998</c:v>
                </c:pt>
                <c:pt idx="280">
                  <c:v>0.13995322358925655</c:v>
                </c:pt>
                <c:pt idx="281">
                  <c:v>0.13825514829623159</c:v>
                </c:pt>
                <c:pt idx="282">
                  <c:v>0.13411518190415556</c:v>
                </c:pt>
                <c:pt idx="283">
                  <c:v>0.13626038260846762</c:v>
                </c:pt>
                <c:pt idx="284">
                  <c:v>0.13749495743554185</c:v>
                </c:pt>
                <c:pt idx="285">
                  <c:v>0.13702640137638439</c:v>
                </c:pt>
                <c:pt idx="286">
                  <c:v>0.13676112330251586</c:v>
                </c:pt>
                <c:pt idx="287">
                  <c:v>0.13671123412951544</c:v>
                </c:pt>
                <c:pt idx="288">
                  <c:v>0.13584304325290858</c:v>
                </c:pt>
                <c:pt idx="289">
                  <c:v>0.13699516305006215</c:v>
                </c:pt>
                <c:pt idx="290">
                  <c:v>0.13739900064048871</c:v>
                </c:pt>
                <c:pt idx="291">
                  <c:v>0.13527691153368654</c:v>
                </c:pt>
                <c:pt idx="292">
                  <c:v>0.13542156572169409</c:v>
                </c:pt>
                <c:pt idx="293">
                  <c:v>0.13794533849107576</c:v>
                </c:pt>
                <c:pt idx="294">
                  <c:v>0.13889693307719841</c:v>
                </c:pt>
                <c:pt idx="295">
                  <c:v>0.13518448284972645</c:v>
                </c:pt>
                <c:pt idx="296">
                  <c:v>0.13577591263566102</c:v>
                </c:pt>
                <c:pt idx="297">
                  <c:v>0.13256368766177945</c:v>
                </c:pt>
                <c:pt idx="298">
                  <c:v>0.13477646268222448</c:v>
                </c:pt>
                <c:pt idx="299">
                  <c:v>0.13539461484477427</c:v>
                </c:pt>
                <c:pt idx="300">
                  <c:v>0.13528427910473914</c:v>
                </c:pt>
                <c:pt idx="301">
                  <c:v>0.13175019071370198</c:v>
                </c:pt>
                <c:pt idx="302">
                  <c:v>0.130884013212549</c:v>
                </c:pt>
                <c:pt idx="303">
                  <c:v>0.13332053971713903</c:v>
                </c:pt>
                <c:pt idx="304">
                  <c:v>0.13315212539737081</c:v>
                </c:pt>
                <c:pt idx="305">
                  <c:v>0.13225177254322246</c:v>
                </c:pt>
                <c:pt idx="306">
                  <c:v>0.13067609225378474</c:v>
                </c:pt>
                <c:pt idx="307">
                  <c:v>0.13075147989641972</c:v>
                </c:pt>
                <c:pt idx="308">
                  <c:v>0.13433547527100953</c:v>
                </c:pt>
                <c:pt idx="309">
                  <c:v>0.1321021566253468</c:v>
                </c:pt>
                <c:pt idx="310">
                  <c:v>0.13082656728556993</c:v>
                </c:pt>
                <c:pt idx="311">
                  <c:v>0.13177014334419115</c:v>
                </c:pt>
                <c:pt idx="312">
                  <c:v>0.13166521007891135</c:v>
                </c:pt>
                <c:pt idx="313">
                  <c:v>0.13199768380621513</c:v>
                </c:pt>
                <c:pt idx="314">
                  <c:v>0.13128272183741113</c:v>
                </c:pt>
                <c:pt idx="315">
                  <c:v>0.1317059830938471</c:v>
                </c:pt>
                <c:pt idx="316">
                  <c:v>0.13042420886661021</c:v>
                </c:pt>
                <c:pt idx="317">
                  <c:v>0.13206266448973397</c:v>
                </c:pt>
                <c:pt idx="318">
                  <c:v>0.13545151445185252</c:v>
                </c:pt>
                <c:pt idx="319">
                  <c:v>0.13113540565054616</c:v>
                </c:pt>
                <c:pt idx="320">
                  <c:v>0.13142739979301049</c:v>
                </c:pt>
                <c:pt idx="321">
                  <c:v>0.13036551555652603</c:v>
                </c:pt>
                <c:pt idx="322">
                  <c:v>0.13086488824527395</c:v>
                </c:pt>
                <c:pt idx="323">
                  <c:v>0.13207667769538467</c:v>
                </c:pt>
                <c:pt idx="324">
                  <c:v>0.13035596171762531</c:v>
                </c:pt>
                <c:pt idx="325">
                  <c:v>0.12963670496981533</c:v>
                </c:pt>
                <c:pt idx="326">
                  <c:v>0.13206271707087719</c:v>
                </c:pt>
                <c:pt idx="327">
                  <c:v>0.13369995944371516</c:v>
                </c:pt>
                <c:pt idx="328">
                  <c:v>0.13368920678433391</c:v>
                </c:pt>
                <c:pt idx="329">
                  <c:v>0.13184049912727663</c:v>
                </c:pt>
                <c:pt idx="330">
                  <c:v>0.13026911593447582</c:v>
                </c:pt>
                <c:pt idx="331">
                  <c:v>0.13049480332241425</c:v>
                </c:pt>
                <c:pt idx="332">
                  <c:v>0.12987200519222944</c:v>
                </c:pt>
                <c:pt idx="333">
                  <c:v>0.12918168611100694</c:v>
                </c:pt>
                <c:pt idx="334">
                  <c:v>0.13026595287575157</c:v>
                </c:pt>
                <c:pt idx="335">
                  <c:v>0.13256015078748234</c:v>
                </c:pt>
                <c:pt idx="336">
                  <c:v>0.12953686533439501</c:v>
                </c:pt>
                <c:pt idx="337">
                  <c:v>0.13115664004830907</c:v>
                </c:pt>
                <c:pt idx="338">
                  <c:v>0.12933217771626856</c:v>
                </c:pt>
                <c:pt idx="339">
                  <c:v>0.12873923933144546</c:v>
                </c:pt>
                <c:pt idx="340">
                  <c:v>0.12876651666829969</c:v>
                </c:pt>
                <c:pt idx="341">
                  <c:v>0.12900733689658045</c:v>
                </c:pt>
                <c:pt idx="342">
                  <c:v>0.12862071964139135</c:v>
                </c:pt>
                <c:pt idx="343">
                  <c:v>0.12908678170004895</c:v>
                </c:pt>
                <c:pt idx="344">
                  <c:v>0.129965337727346</c:v>
                </c:pt>
                <c:pt idx="345">
                  <c:v>0.12850884729559664</c:v>
                </c:pt>
                <c:pt idx="346">
                  <c:v>0.12938486514020911</c:v>
                </c:pt>
                <c:pt idx="347">
                  <c:v>0.12908144497551816</c:v>
                </c:pt>
                <c:pt idx="348">
                  <c:v>0.12913161332339049</c:v>
                </c:pt>
                <c:pt idx="349">
                  <c:v>0.130080232666135</c:v>
                </c:pt>
                <c:pt idx="350">
                  <c:v>0.12987902660930983</c:v>
                </c:pt>
                <c:pt idx="351">
                  <c:v>0.13066118311135461</c:v>
                </c:pt>
                <c:pt idx="352">
                  <c:v>0.12945582092024163</c:v>
                </c:pt>
                <c:pt idx="353">
                  <c:v>0.12960594123351174</c:v>
                </c:pt>
                <c:pt idx="354">
                  <c:v>0.12987129762139632</c:v>
                </c:pt>
                <c:pt idx="355">
                  <c:v>0.12990206746540839</c:v>
                </c:pt>
                <c:pt idx="356">
                  <c:v>0.13035055608825744</c:v>
                </c:pt>
                <c:pt idx="357">
                  <c:v>0.13257877071402724</c:v>
                </c:pt>
                <c:pt idx="358">
                  <c:v>0.13090986072984384</c:v>
                </c:pt>
                <c:pt idx="359">
                  <c:v>0.13014695584815594</c:v>
                </c:pt>
                <c:pt idx="360">
                  <c:v>0.1304437077488087</c:v>
                </c:pt>
                <c:pt idx="361">
                  <c:v>0.12939511865585204</c:v>
                </c:pt>
                <c:pt idx="362">
                  <c:v>0.13051669270112723</c:v>
                </c:pt>
                <c:pt idx="363">
                  <c:v>0.12934906778996808</c:v>
                </c:pt>
                <c:pt idx="364">
                  <c:v>0.12829241846831568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4-480D-BEE2-F72DE17EF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346240"/>
        <c:axId val="62934681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'Bilancio primo strato'!$Z$1</c15:sqref>
                        </c15:formulaRef>
                      </c:ext>
                    </c:extLst>
                    <c:strCache>
                      <c:ptCount val="1"/>
                      <c:pt idx="0">
                        <c:v>teta s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'Bilancio primo strato'!$Z$2:$Z$366</c15:sqref>
                        </c15:formulaRef>
                      </c:ext>
                    </c:extLst>
                    <c:numCache>
                      <c:formatCode>General</c:formatCode>
                      <c:ptCount val="365"/>
                      <c:pt idx="0">
                        <c:v>0.51802400000000004</c:v>
                      </c:pt>
                      <c:pt idx="1">
                        <c:v>0.51802400000000004</c:v>
                      </c:pt>
                      <c:pt idx="2">
                        <c:v>0.51802400000000004</c:v>
                      </c:pt>
                      <c:pt idx="3">
                        <c:v>0.51802400000000004</c:v>
                      </c:pt>
                      <c:pt idx="4">
                        <c:v>0.51802400000000004</c:v>
                      </c:pt>
                      <c:pt idx="5">
                        <c:v>0.51802400000000004</c:v>
                      </c:pt>
                      <c:pt idx="6">
                        <c:v>0.51802400000000004</c:v>
                      </c:pt>
                      <c:pt idx="7">
                        <c:v>0.51802400000000004</c:v>
                      </c:pt>
                      <c:pt idx="8">
                        <c:v>0.51802400000000004</c:v>
                      </c:pt>
                      <c:pt idx="9">
                        <c:v>0.51802400000000004</c:v>
                      </c:pt>
                      <c:pt idx="10">
                        <c:v>0.51802400000000004</c:v>
                      </c:pt>
                      <c:pt idx="11">
                        <c:v>0.51802400000000004</c:v>
                      </c:pt>
                      <c:pt idx="12">
                        <c:v>0.51802400000000004</c:v>
                      </c:pt>
                      <c:pt idx="13">
                        <c:v>0.51802400000000004</c:v>
                      </c:pt>
                      <c:pt idx="14">
                        <c:v>0.51802400000000004</c:v>
                      </c:pt>
                      <c:pt idx="15">
                        <c:v>0.51802400000000004</c:v>
                      </c:pt>
                      <c:pt idx="16">
                        <c:v>0.51802400000000004</c:v>
                      </c:pt>
                      <c:pt idx="17">
                        <c:v>0.51802400000000004</c:v>
                      </c:pt>
                      <c:pt idx="18">
                        <c:v>0.51802400000000004</c:v>
                      </c:pt>
                      <c:pt idx="19">
                        <c:v>0.51802400000000004</c:v>
                      </c:pt>
                      <c:pt idx="20">
                        <c:v>0.51802400000000004</c:v>
                      </c:pt>
                      <c:pt idx="21">
                        <c:v>0.51802400000000004</c:v>
                      </c:pt>
                      <c:pt idx="22">
                        <c:v>0.51802400000000004</c:v>
                      </c:pt>
                      <c:pt idx="23">
                        <c:v>0.51802400000000004</c:v>
                      </c:pt>
                      <c:pt idx="24">
                        <c:v>0.51802400000000004</c:v>
                      </c:pt>
                      <c:pt idx="25">
                        <c:v>0.51802400000000004</c:v>
                      </c:pt>
                      <c:pt idx="26">
                        <c:v>0.51802400000000004</c:v>
                      </c:pt>
                      <c:pt idx="27">
                        <c:v>0.51802400000000004</c:v>
                      </c:pt>
                      <c:pt idx="28">
                        <c:v>0.51802400000000004</c:v>
                      </c:pt>
                      <c:pt idx="29">
                        <c:v>0.51802400000000004</c:v>
                      </c:pt>
                      <c:pt idx="30">
                        <c:v>0.51802400000000004</c:v>
                      </c:pt>
                      <c:pt idx="31">
                        <c:v>0.51802400000000004</c:v>
                      </c:pt>
                      <c:pt idx="32">
                        <c:v>0.51802400000000004</c:v>
                      </c:pt>
                      <c:pt idx="33">
                        <c:v>0.51802400000000004</c:v>
                      </c:pt>
                      <c:pt idx="34">
                        <c:v>0.51802400000000004</c:v>
                      </c:pt>
                      <c:pt idx="35">
                        <c:v>0.51802400000000004</c:v>
                      </c:pt>
                      <c:pt idx="36">
                        <c:v>0.51802400000000004</c:v>
                      </c:pt>
                      <c:pt idx="37">
                        <c:v>0.51802400000000004</c:v>
                      </c:pt>
                      <c:pt idx="38">
                        <c:v>0.51802400000000004</c:v>
                      </c:pt>
                      <c:pt idx="39">
                        <c:v>0.51802400000000004</c:v>
                      </c:pt>
                      <c:pt idx="40">
                        <c:v>0.51802400000000004</c:v>
                      </c:pt>
                      <c:pt idx="41">
                        <c:v>0.51802400000000004</c:v>
                      </c:pt>
                      <c:pt idx="42">
                        <c:v>0.51802400000000004</c:v>
                      </c:pt>
                      <c:pt idx="43">
                        <c:v>0.51802400000000004</c:v>
                      </c:pt>
                      <c:pt idx="44">
                        <c:v>0.51802400000000004</c:v>
                      </c:pt>
                      <c:pt idx="45">
                        <c:v>0.51802400000000004</c:v>
                      </c:pt>
                      <c:pt idx="46">
                        <c:v>0.51802400000000004</c:v>
                      </c:pt>
                      <c:pt idx="47">
                        <c:v>0.51802400000000004</c:v>
                      </c:pt>
                      <c:pt idx="48">
                        <c:v>0.51802400000000004</c:v>
                      </c:pt>
                      <c:pt idx="49">
                        <c:v>0.51802400000000004</c:v>
                      </c:pt>
                      <c:pt idx="50">
                        <c:v>0.51802400000000004</c:v>
                      </c:pt>
                      <c:pt idx="51">
                        <c:v>0.51802400000000004</c:v>
                      </c:pt>
                      <c:pt idx="52">
                        <c:v>0.51802400000000004</c:v>
                      </c:pt>
                      <c:pt idx="53">
                        <c:v>0.51802400000000004</c:v>
                      </c:pt>
                      <c:pt idx="54">
                        <c:v>0.51802400000000004</c:v>
                      </c:pt>
                      <c:pt idx="55">
                        <c:v>0.51802400000000004</c:v>
                      </c:pt>
                      <c:pt idx="56">
                        <c:v>0.51802400000000004</c:v>
                      </c:pt>
                      <c:pt idx="57">
                        <c:v>0.51802400000000004</c:v>
                      </c:pt>
                      <c:pt idx="58">
                        <c:v>0.51802400000000004</c:v>
                      </c:pt>
                      <c:pt idx="59">
                        <c:v>0.51802400000000004</c:v>
                      </c:pt>
                      <c:pt idx="60">
                        <c:v>0.51802400000000004</c:v>
                      </c:pt>
                      <c:pt idx="61">
                        <c:v>0.51802400000000004</c:v>
                      </c:pt>
                      <c:pt idx="62">
                        <c:v>0.51802400000000004</c:v>
                      </c:pt>
                      <c:pt idx="63">
                        <c:v>0.51802400000000004</c:v>
                      </c:pt>
                      <c:pt idx="64">
                        <c:v>0.51802400000000004</c:v>
                      </c:pt>
                      <c:pt idx="65">
                        <c:v>0.51802400000000004</c:v>
                      </c:pt>
                      <c:pt idx="66">
                        <c:v>0.51802400000000004</c:v>
                      </c:pt>
                      <c:pt idx="67">
                        <c:v>0.51802400000000004</c:v>
                      </c:pt>
                      <c:pt idx="68">
                        <c:v>0.51802400000000004</c:v>
                      </c:pt>
                      <c:pt idx="69">
                        <c:v>0.51802400000000004</c:v>
                      </c:pt>
                      <c:pt idx="70">
                        <c:v>0.51802400000000004</c:v>
                      </c:pt>
                      <c:pt idx="71">
                        <c:v>0.51802400000000004</c:v>
                      </c:pt>
                      <c:pt idx="72">
                        <c:v>0.51802400000000004</c:v>
                      </c:pt>
                      <c:pt idx="73">
                        <c:v>0.51802400000000004</c:v>
                      </c:pt>
                      <c:pt idx="74">
                        <c:v>0.51802400000000004</c:v>
                      </c:pt>
                      <c:pt idx="75">
                        <c:v>0.51802400000000004</c:v>
                      </c:pt>
                      <c:pt idx="76">
                        <c:v>0.51802400000000004</c:v>
                      </c:pt>
                      <c:pt idx="77">
                        <c:v>0.51802400000000004</c:v>
                      </c:pt>
                      <c:pt idx="78">
                        <c:v>0.51802400000000004</c:v>
                      </c:pt>
                      <c:pt idx="79">
                        <c:v>0.51802400000000004</c:v>
                      </c:pt>
                      <c:pt idx="80">
                        <c:v>0.51802400000000004</c:v>
                      </c:pt>
                      <c:pt idx="81">
                        <c:v>0.51802400000000004</c:v>
                      </c:pt>
                      <c:pt idx="82">
                        <c:v>0.51802400000000004</c:v>
                      </c:pt>
                      <c:pt idx="83">
                        <c:v>0.51802400000000004</c:v>
                      </c:pt>
                      <c:pt idx="84">
                        <c:v>0.51802400000000004</c:v>
                      </c:pt>
                      <c:pt idx="85">
                        <c:v>0.51802400000000004</c:v>
                      </c:pt>
                      <c:pt idx="86">
                        <c:v>0.51802400000000004</c:v>
                      </c:pt>
                      <c:pt idx="87">
                        <c:v>0.51802400000000004</c:v>
                      </c:pt>
                      <c:pt idx="88">
                        <c:v>0.51802400000000004</c:v>
                      </c:pt>
                      <c:pt idx="89">
                        <c:v>0.51802400000000004</c:v>
                      </c:pt>
                      <c:pt idx="90">
                        <c:v>0.51802400000000004</c:v>
                      </c:pt>
                      <c:pt idx="91">
                        <c:v>0.51802400000000004</c:v>
                      </c:pt>
                      <c:pt idx="92">
                        <c:v>0.51802400000000004</c:v>
                      </c:pt>
                      <c:pt idx="93">
                        <c:v>0.51802400000000004</c:v>
                      </c:pt>
                      <c:pt idx="94">
                        <c:v>0.51802400000000004</c:v>
                      </c:pt>
                      <c:pt idx="95">
                        <c:v>0.51802400000000004</c:v>
                      </c:pt>
                      <c:pt idx="96">
                        <c:v>0.51802400000000004</c:v>
                      </c:pt>
                      <c:pt idx="97">
                        <c:v>0.51802400000000004</c:v>
                      </c:pt>
                      <c:pt idx="98">
                        <c:v>0.51802400000000004</c:v>
                      </c:pt>
                      <c:pt idx="99">
                        <c:v>0.51802400000000004</c:v>
                      </c:pt>
                      <c:pt idx="100">
                        <c:v>0.51802400000000004</c:v>
                      </c:pt>
                      <c:pt idx="101">
                        <c:v>0.51802400000000004</c:v>
                      </c:pt>
                      <c:pt idx="102">
                        <c:v>0.51802400000000004</c:v>
                      </c:pt>
                      <c:pt idx="103">
                        <c:v>0.51802400000000004</c:v>
                      </c:pt>
                      <c:pt idx="104">
                        <c:v>0.51802400000000004</c:v>
                      </c:pt>
                      <c:pt idx="105">
                        <c:v>0.51802400000000004</c:v>
                      </c:pt>
                      <c:pt idx="106">
                        <c:v>0.51802400000000004</c:v>
                      </c:pt>
                      <c:pt idx="107">
                        <c:v>0.51802400000000004</c:v>
                      </c:pt>
                      <c:pt idx="108">
                        <c:v>0.51802400000000004</c:v>
                      </c:pt>
                      <c:pt idx="109">
                        <c:v>0.51802400000000004</c:v>
                      </c:pt>
                      <c:pt idx="110">
                        <c:v>0.51802400000000004</c:v>
                      </c:pt>
                      <c:pt idx="111">
                        <c:v>0.51802400000000004</c:v>
                      </c:pt>
                      <c:pt idx="112">
                        <c:v>0.51802400000000004</c:v>
                      </c:pt>
                      <c:pt idx="113">
                        <c:v>0.51802400000000004</c:v>
                      </c:pt>
                      <c:pt idx="114">
                        <c:v>0.51802400000000004</c:v>
                      </c:pt>
                      <c:pt idx="115">
                        <c:v>0.51802400000000004</c:v>
                      </c:pt>
                      <c:pt idx="116">
                        <c:v>0.51802400000000004</c:v>
                      </c:pt>
                      <c:pt idx="117">
                        <c:v>0.51802400000000004</c:v>
                      </c:pt>
                      <c:pt idx="118">
                        <c:v>0.51802400000000004</c:v>
                      </c:pt>
                      <c:pt idx="119">
                        <c:v>0.51802400000000004</c:v>
                      </c:pt>
                      <c:pt idx="120">
                        <c:v>0.51802400000000004</c:v>
                      </c:pt>
                      <c:pt idx="121">
                        <c:v>0.51802400000000004</c:v>
                      </c:pt>
                      <c:pt idx="122">
                        <c:v>0.51802400000000004</c:v>
                      </c:pt>
                      <c:pt idx="123">
                        <c:v>0.51802400000000004</c:v>
                      </c:pt>
                      <c:pt idx="124">
                        <c:v>0.51802400000000004</c:v>
                      </c:pt>
                      <c:pt idx="125">
                        <c:v>0.51802400000000004</c:v>
                      </c:pt>
                      <c:pt idx="126">
                        <c:v>0.51802400000000004</c:v>
                      </c:pt>
                      <c:pt idx="127">
                        <c:v>0.51802400000000004</c:v>
                      </c:pt>
                      <c:pt idx="128">
                        <c:v>0.51802400000000004</c:v>
                      </c:pt>
                      <c:pt idx="129">
                        <c:v>0.51802400000000004</c:v>
                      </c:pt>
                      <c:pt idx="130">
                        <c:v>0.51802400000000004</c:v>
                      </c:pt>
                      <c:pt idx="131">
                        <c:v>0.51802400000000004</c:v>
                      </c:pt>
                      <c:pt idx="132">
                        <c:v>0.51802400000000004</c:v>
                      </c:pt>
                      <c:pt idx="133">
                        <c:v>0.51802400000000004</c:v>
                      </c:pt>
                      <c:pt idx="134">
                        <c:v>0.51802400000000004</c:v>
                      </c:pt>
                      <c:pt idx="135">
                        <c:v>0.51802400000000004</c:v>
                      </c:pt>
                      <c:pt idx="136">
                        <c:v>0.51802400000000004</c:v>
                      </c:pt>
                      <c:pt idx="137">
                        <c:v>0.51802400000000004</c:v>
                      </c:pt>
                      <c:pt idx="138">
                        <c:v>0.51802400000000004</c:v>
                      </c:pt>
                      <c:pt idx="139">
                        <c:v>0.51802400000000004</c:v>
                      </c:pt>
                      <c:pt idx="140">
                        <c:v>0.51802400000000004</c:v>
                      </c:pt>
                      <c:pt idx="141">
                        <c:v>0.51802400000000004</c:v>
                      </c:pt>
                      <c:pt idx="142">
                        <c:v>0.51802400000000004</c:v>
                      </c:pt>
                      <c:pt idx="143">
                        <c:v>0.51802400000000004</c:v>
                      </c:pt>
                      <c:pt idx="144">
                        <c:v>0.51802400000000004</c:v>
                      </c:pt>
                      <c:pt idx="145">
                        <c:v>0.51802400000000004</c:v>
                      </c:pt>
                      <c:pt idx="146">
                        <c:v>0.51802400000000004</c:v>
                      </c:pt>
                      <c:pt idx="147">
                        <c:v>0.51802400000000004</c:v>
                      </c:pt>
                      <c:pt idx="148">
                        <c:v>0.51802400000000004</c:v>
                      </c:pt>
                      <c:pt idx="149">
                        <c:v>0.51802400000000004</c:v>
                      </c:pt>
                      <c:pt idx="150">
                        <c:v>0.51802400000000004</c:v>
                      </c:pt>
                      <c:pt idx="151">
                        <c:v>0.51802400000000004</c:v>
                      </c:pt>
                      <c:pt idx="152">
                        <c:v>0.51802400000000004</c:v>
                      </c:pt>
                      <c:pt idx="153">
                        <c:v>0.51802400000000004</c:v>
                      </c:pt>
                      <c:pt idx="154">
                        <c:v>0.51802400000000004</c:v>
                      </c:pt>
                      <c:pt idx="155">
                        <c:v>0.51802400000000004</c:v>
                      </c:pt>
                      <c:pt idx="156">
                        <c:v>0.51802400000000004</c:v>
                      </c:pt>
                      <c:pt idx="157">
                        <c:v>0.51802400000000004</c:v>
                      </c:pt>
                      <c:pt idx="158">
                        <c:v>0.51802400000000004</c:v>
                      </c:pt>
                      <c:pt idx="159">
                        <c:v>0.51802400000000004</c:v>
                      </c:pt>
                      <c:pt idx="160">
                        <c:v>0.51802400000000004</c:v>
                      </c:pt>
                      <c:pt idx="161">
                        <c:v>0.51802400000000004</c:v>
                      </c:pt>
                      <c:pt idx="162">
                        <c:v>0.51802400000000004</c:v>
                      </c:pt>
                      <c:pt idx="163">
                        <c:v>0.51802400000000004</c:v>
                      </c:pt>
                      <c:pt idx="164">
                        <c:v>0.51802400000000004</c:v>
                      </c:pt>
                      <c:pt idx="165">
                        <c:v>0.51802400000000004</c:v>
                      </c:pt>
                      <c:pt idx="166">
                        <c:v>0.51802400000000004</c:v>
                      </c:pt>
                      <c:pt idx="167">
                        <c:v>0.51802400000000004</c:v>
                      </c:pt>
                      <c:pt idx="168">
                        <c:v>0.51802400000000004</c:v>
                      </c:pt>
                      <c:pt idx="169">
                        <c:v>0.51802400000000004</c:v>
                      </c:pt>
                      <c:pt idx="170">
                        <c:v>0.51802400000000004</c:v>
                      </c:pt>
                      <c:pt idx="171">
                        <c:v>0.51802400000000004</c:v>
                      </c:pt>
                      <c:pt idx="172">
                        <c:v>0.51802400000000004</c:v>
                      </c:pt>
                      <c:pt idx="173">
                        <c:v>0.51802400000000004</c:v>
                      </c:pt>
                      <c:pt idx="174">
                        <c:v>0.51802400000000004</c:v>
                      </c:pt>
                      <c:pt idx="175">
                        <c:v>0.51802400000000004</c:v>
                      </c:pt>
                      <c:pt idx="176">
                        <c:v>0.51802400000000004</c:v>
                      </c:pt>
                      <c:pt idx="177">
                        <c:v>0.51802400000000004</c:v>
                      </c:pt>
                      <c:pt idx="178">
                        <c:v>0.51802400000000004</c:v>
                      </c:pt>
                      <c:pt idx="179">
                        <c:v>0.51802400000000004</c:v>
                      </c:pt>
                      <c:pt idx="180">
                        <c:v>0.51802400000000004</c:v>
                      </c:pt>
                      <c:pt idx="181">
                        <c:v>0.51802400000000004</c:v>
                      </c:pt>
                      <c:pt idx="182">
                        <c:v>0.51802400000000004</c:v>
                      </c:pt>
                      <c:pt idx="183">
                        <c:v>0.51802400000000004</c:v>
                      </c:pt>
                      <c:pt idx="184">
                        <c:v>0.51802400000000004</c:v>
                      </c:pt>
                      <c:pt idx="185">
                        <c:v>0.51802400000000004</c:v>
                      </c:pt>
                      <c:pt idx="186">
                        <c:v>0.51802400000000004</c:v>
                      </c:pt>
                      <c:pt idx="187">
                        <c:v>0.51802400000000004</c:v>
                      </c:pt>
                      <c:pt idx="188">
                        <c:v>0.51802400000000004</c:v>
                      </c:pt>
                      <c:pt idx="189">
                        <c:v>0.51802400000000004</c:v>
                      </c:pt>
                      <c:pt idx="190">
                        <c:v>0.51802400000000004</c:v>
                      </c:pt>
                      <c:pt idx="191">
                        <c:v>0.51802400000000004</c:v>
                      </c:pt>
                      <c:pt idx="192">
                        <c:v>0.51802400000000004</c:v>
                      </c:pt>
                      <c:pt idx="193">
                        <c:v>0.51802400000000004</c:v>
                      </c:pt>
                      <c:pt idx="194">
                        <c:v>0.51802400000000004</c:v>
                      </c:pt>
                      <c:pt idx="195">
                        <c:v>0.51802400000000004</c:v>
                      </c:pt>
                      <c:pt idx="196">
                        <c:v>0.51802400000000004</c:v>
                      </c:pt>
                      <c:pt idx="197">
                        <c:v>0.51802400000000004</c:v>
                      </c:pt>
                      <c:pt idx="198">
                        <c:v>0.51802400000000004</c:v>
                      </c:pt>
                      <c:pt idx="199">
                        <c:v>0.51802400000000004</c:v>
                      </c:pt>
                      <c:pt idx="200">
                        <c:v>0.51802400000000004</c:v>
                      </c:pt>
                      <c:pt idx="201">
                        <c:v>0.51802400000000004</c:v>
                      </c:pt>
                      <c:pt idx="202">
                        <c:v>0.51802400000000004</c:v>
                      </c:pt>
                      <c:pt idx="203">
                        <c:v>0.51802400000000004</c:v>
                      </c:pt>
                      <c:pt idx="204">
                        <c:v>0.51802400000000004</c:v>
                      </c:pt>
                      <c:pt idx="205">
                        <c:v>0.51802400000000004</c:v>
                      </c:pt>
                      <c:pt idx="206">
                        <c:v>0.51802400000000004</c:v>
                      </c:pt>
                      <c:pt idx="207">
                        <c:v>0.51802400000000004</c:v>
                      </c:pt>
                      <c:pt idx="208">
                        <c:v>0.51802400000000004</c:v>
                      </c:pt>
                      <c:pt idx="209">
                        <c:v>0.51802400000000004</c:v>
                      </c:pt>
                      <c:pt idx="210">
                        <c:v>0.51802400000000004</c:v>
                      </c:pt>
                      <c:pt idx="211">
                        <c:v>0.51802400000000004</c:v>
                      </c:pt>
                      <c:pt idx="212">
                        <c:v>0.51802400000000004</c:v>
                      </c:pt>
                      <c:pt idx="213">
                        <c:v>0.51802400000000004</c:v>
                      </c:pt>
                      <c:pt idx="214">
                        <c:v>0.51802400000000004</c:v>
                      </c:pt>
                      <c:pt idx="215">
                        <c:v>0.51802400000000004</c:v>
                      </c:pt>
                      <c:pt idx="216">
                        <c:v>0.51802400000000004</c:v>
                      </c:pt>
                      <c:pt idx="217">
                        <c:v>0.51802400000000004</c:v>
                      </c:pt>
                      <c:pt idx="218">
                        <c:v>0.51802400000000004</c:v>
                      </c:pt>
                      <c:pt idx="219">
                        <c:v>0.51802400000000004</c:v>
                      </c:pt>
                      <c:pt idx="220">
                        <c:v>0.51802400000000004</c:v>
                      </c:pt>
                      <c:pt idx="221">
                        <c:v>0.51802400000000004</c:v>
                      </c:pt>
                      <c:pt idx="222">
                        <c:v>0.51802400000000004</c:v>
                      </c:pt>
                      <c:pt idx="223">
                        <c:v>0.51802400000000004</c:v>
                      </c:pt>
                      <c:pt idx="224">
                        <c:v>0.51802400000000004</c:v>
                      </c:pt>
                      <c:pt idx="225">
                        <c:v>0.51802400000000004</c:v>
                      </c:pt>
                      <c:pt idx="226">
                        <c:v>0.51802400000000004</c:v>
                      </c:pt>
                      <c:pt idx="227">
                        <c:v>0.51802400000000004</c:v>
                      </c:pt>
                      <c:pt idx="228">
                        <c:v>0.51802400000000004</c:v>
                      </c:pt>
                      <c:pt idx="229">
                        <c:v>0.51802400000000004</c:v>
                      </c:pt>
                      <c:pt idx="230">
                        <c:v>0.51802400000000004</c:v>
                      </c:pt>
                      <c:pt idx="231">
                        <c:v>0.51802400000000004</c:v>
                      </c:pt>
                      <c:pt idx="232">
                        <c:v>0.51802400000000004</c:v>
                      </c:pt>
                      <c:pt idx="233">
                        <c:v>0.51802400000000004</c:v>
                      </c:pt>
                      <c:pt idx="234">
                        <c:v>0.51802400000000004</c:v>
                      </c:pt>
                      <c:pt idx="235">
                        <c:v>0.51802400000000004</c:v>
                      </c:pt>
                      <c:pt idx="236">
                        <c:v>0.51802400000000004</c:v>
                      </c:pt>
                      <c:pt idx="237">
                        <c:v>0.51802400000000004</c:v>
                      </c:pt>
                      <c:pt idx="238">
                        <c:v>0.51802400000000004</c:v>
                      </c:pt>
                      <c:pt idx="239">
                        <c:v>0.51802400000000004</c:v>
                      </c:pt>
                      <c:pt idx="240">
                        <c:v>0.51802400000000004</c:v>
                      </c:pt>
                      <c:pt idx="241">
                        <c:v>0.51802400000000004</c:v>
                      </c:pt>
                      <c:pt idx="242">
                        <c:v>0.51802400000000004</c:v>
                      </c:pt>
                      <c:pt idx="243">
                        <c:v>0.51802400000000004</c:v>
                      </c:pt>
                      <c:pt idx="244">
                        <c:v>0.51802400000000004</c:v>
                      </c:pt>
                      <c:pt idx="245">
                        <c:v>0.51802400000000004</c:v>
                      </c:pt>
                      <c:pt idx="246">
                        <c:v>0.51802400000000004</c:v>
                      </c:pt>
                      <c:pt idx="247">
                        <c:v>0.51802400000000004</c:v>
                      </c:pt>
                      <c:pt idx="248">
                        <c:v>0.51802400000000004</c:v>
                      </c:pt>
                      <c:pt idx="249">
                        <c:v>0.51802400000000004</c:v>
                      </c:pt>
                      <c:pt idx="250">
                        <c:v>0.51802400000000004</c:v>
                      </c:pt>
                      <c:pt idx="251">
                        <c:v>0.51802400000000004</c:v>
                      </c:pt>
                      <c:pt idx="252">
                        <c:v>0.51802400000000004</c:v>
                      </c:pt>
                      <c:pt idx="253">
                        <c:v>0.51802400000000004</c:v>
                      </c:pt>
                      <c:pt idx="254">
                        <c:v>0.51802400000000004</c:v>
                      </c:pt>
                      <c:pt idx="255">
                        <c:v>0.51802400000000004</c:v>
                      </c:pt>
                      <c:pt idx="256">
                        <c:v>0.51802400000000004</c:v>
                      </c:pt>
                      <c:pt idx="257">
                        <c:v>0.51802400000000004</c:v>
                      </c:pt>
                      <c:pt idx="258">
                        <c:v>0.51802400000000004</c:v>
                      </c:pt>
                      <c:pt idx="259">
                        <c:v>0.51802400000000004</c:v>
                      </c:pt>
                      <c:pt idx="260">
                        <c:v>0.51802400000000004</c:v>
                      </c:pt>
                      <c:pt idx="261">
                        <c:v>0.51802400000000004</c:v>
                      </c:pt>
                      <c:pt idx="262">
                        <c:v>0.51802400000000004</c:v>
                      </c:pt>
                      <c:pt idx="263">
                        <c:v>0.51802400000000004</c:v>
                      </c:pt>
                      <c:pt idx="264">
                        <c:v>0.51802400000000004</c:v>
                      </c:pt>
                      <c:pt idx="265">
                        <c:v>0.51802400000000004</c:v>
                      </c:pt>
                      <c:pt idx="266">
                        <c:v>0.51802400000000004</c:v>
                      </c:pt>
                      <c:pt idx="267">
                        <c:v>0.51802400000000004</c:v>
                      </c:pt>
                      <c:pt idx="268">
                        <c:v>0.51802400000000004</c:v>
                      </c:pt>
                      <c:pt idx="269">
                        <c:v>0.51802400000000004</c:v>
                      </c:pt>
                      <c:pt idx="270">
                        <c:v>0.51802400000000004</c:v>
                      </c:pt>
                      <c:pt idx="271">
                        <c:v>0.51802400000000004</c:v>
                      </c:pt>
                      <c:pt idx="272">
                        <c:v>0.51802400000000004</c:v>
                      </c:pt>
                      <c:pt idx="273">
                        <c:v>0.51802400000000004</c:v>
                      </c:pt>
                      <c:pt idx="274">
                        <c:v>0.51802400000000004</c:v>
                      </c:pt>
                      <c:pt idx="275">
                        <c:v>0.51802400000000004</c:v>
                      </c:pt>
                      <c:pt idx="276">
                        <c:v>0.51802400000000004</c:v>
                      </c:pt>
                      <c:pt idx="277">
                        <c:v>0.51802400000000004</c:v>
                      </c:pt>
                      <c:pt idx="278">
                        <c:v>0.51802400000000004</c:v>
                      </c:pt>
                      <c:pt idx="279">
                        <c:v>0.51802400000000004</c:v>
                      </c:pt>
                      <c:pt idx="280">
                        <c:v>0.51802400000000004</c:v>
                      </c:pt>
                      <c:pt idx="281">
                        <c:v>0.51802400000000004</c:v>
                      </c:pt>
                      <c:pt idx="282">
                        <c:v>0.51802400000000004</c:v>
                      </c:pt>
                      <c:pt idx="283">
                        <c:v>0.51802400000000004</c:v>
                      </c:pt>
                      <c:pt idx="284">
                        <c:v>0.51802400000000004</c:v>
                      </c:pt>
                      <c:pt idx="285">
                        <c:v>0.51802400000000004</c:v>
                      </c:pt>
                      <c:pt idx="286">
                        <c:v>0.51802400000000004</c:v>
                      </c:pt>
                      <c:pt idx="287">
                        <c:v>0.51802400000000004</c:v>
                      </c:pt>
                      <c:pt idx="288">
                        <c:v>0.51802400000000004</c:v>
                      </c:pt>
                      <c:pt idx="289">
                        <c:v>0.51802400000000004</c:v>
                      </c:pt>
                      <c:pt idx="290">
                        <c:v>0.51802400000000004</c:v>
                      </c:pt>
                      <c:pt idx="291">
                        <c:v>0.51802400000000004</c:v>
                      </c:pt>
                      <c:pt idx="292">
                        <c:v>0.51802400000000004</c:v>
                      </c:pt>
                      <c:pt idx="293">
                        <c:v>0.51802400000000004</c:v>
                      </c:pt>
                      <c:pt idx="294">
                        <c:v>0.51802400000000004</c:v>
                      </c:pt>
                      <c:pt idx="295">
                        <c:v>0.51802400000000004</c:v>
                      </c:pt>
                      <c:pt idx="296">
                        <c:v>0.51802400000000004</c:v>
                      </c:pt>
                      <c:pt idx="297">
                        <c:v>0.51802400000000004</c:v>
                      </c:pt>
                      <c:pt idx="298">
                        <c:v>0.51802400000000004</c:v>
                      </c:pt>
                      <c:pt idx="299">
                        <c:v>0.51802400000000004</c:v>
                      </c:pt>
                      <c:pt idx="300">
                        <c:v>0.51802400000000004</c:v>
                      </c:pt>
                      <c:pt idx="301">
                        <c:v>0.51802400000000004</c:v>
                      </c:pt>
                      <c:pt idx="302">
                        <c:v>0.51802400000000004</c:v>
                      </c:pt>
                      <c:pt idx="303">
                        <c:v>0.51802400000000004</c:v>
                      </c:pt>
                      <c:pt idx="304">
                        <c:v>0.51802400000000004</c:v>
                      </c:pt>
                      <c:pt idx="305">
                        <c:v>0.51802400000000004</c:v>
                      </c:pt>
                      <c:pt idx="306">
                        <c:v>0.51802400000000004</c:v>
                      </c:pt>
                      <c:pt idx="307">
                        <c:v>0.51802400000000004</c:v>
                      </c:pt>
                      <c:pt idx="308">
                        <c:v>0.51802400000000004</c:v>
                      </c:pt>
                      <c:pt idx="309">
                        <c:v>0.51802400000000004</c:v>
                      </c:pt>
                      <c:pt idx="310">
                        <c:v>0.51802400000000004</c:v>
                      </c:pt>
                      <c:pt idx="311">
                        <c:v>0.51802400000000004</c:v>
                      </c:pt>
                      <c:pt idx="312">
                        <c:v>0.51802400000000004</c:v>
                      </c:pt>
                      <c:pt idx="313">
                        <c:v>0.51802400000000004</c:v>
                      </c:pt>
                      <c:pt idx="314">
                        <c:v>0.51802400000000004</c:v>
                      </c:pt>
                      <c:pt idx="315">
                        <c:v>0.51802400000000004</c:v>
                      </c:pt>
                      <c:pt idx="316">
                        <c:v>0.51802400000000004</c:v>
                      </c:pt>
                      <c:pt idx="317">
                        <c:v>0.51802400000000004</c:v>
                      </c:pt>
                      <c:pt idx="318">
                        <c:v>0.51802400000000004</c:v>
                      </c:pt>
                      <c:pt idx="319">
                        <c:v>0.51802400000000004</c:v>
                      </c:pt>
                      <c:pt idx="320">
                        <c:v>0.51802400000000004</c:v>
                      </c:pt>
                      <c:pt idx="321">
                        <c:v>0.51802400000000004</c:v>
                      </c:pt>
                      <c:pt idx="322">
                        <c:v>0.51802400000000004</c:v>
                      </c:pt>
                      <c:pt idx="323">
                        <c:v>0.51802400000000004</c:v>
                      </c:pt>
                      <c:pt idx="324">
                        <c:v>0.51802400000000004</c:v>
                      </c:pt>
                      <c:pt idx="325">
                        <c:v>0.51802400000000004</c:v>
                      </c:pt>
                      <c:pt idx="326">
                        <c:v>0.51802400000000004</c:v>
                      </c:pt>
                      <c:pt idx="327">
                        <c:v>0.51802400000000004</c:v>
                      </c:pt>
                      <c:pt idx="328">
                        <c:v>0.51802400000000004</c:v>
                      </c:pt>
                      <c:pt idx="329">
                        <c:v>0.51802400000000004</c:v>
                      </c:pt>
                      <c:pt idx="330">
                        <c:v>0.51802400000000004</c:v>
                      </c:pt>
                      <c:pt idx="331">
                        <c:v>0.51802400000000004</c:v>
                      </c:pt>
                      <c:pt idx="332">
                        <c:v>0.51802400000000004</c:v>
                      </c:pt>
                      <c:pt idx="333">
                        <c:v>0.51802400000000004</c:v>
                      </c:pt>
                      <c:pt idx="334">
                        <c:v>0.51802400000000004</c:v>
                      </c:pt>
                      <c:pt idx="335">
                        <c:v>0.51802400000000004</c:v>
                      </c:pt>
                      <c:pt idx="336">
                        <c:v>0.51802400000000004</c:v>
                      </c:pt>
                      <c:pt idx="337">
                        <c:v>0.51802400000000004</c:v>
                      </c:pt>
                      <c:pt idx="338">
                        <c:v>0.51802400000000004</c:v>
                      </c:pt>
                      <c:pt idx="339">
                        <c:v>0.51802400000000004</c:v>
                      </c:pt>
                      <c:pt idx="340">
                        <c:v>0.51802400000000004</c:v>
                      </c:pt>
                      <c:pt idx="341">
                        <c:v>0.51802400000000004</c:v>
                      </c:pt>
                      <c:pt idx="342">
                        <c:v>0.51802400000000004</c:v>
                      </c:pt>
                      <c:pt idx="343">
                        <c:v>0.51802400000000004</c:v>
                      </c:pt>
                      <c:pt idx="344">
                        <c:v>0.51802400000000004</c:v>
                      </c:pt>
                      <c:pt idx="345">
                        <c:v>0.51802400000000004</c:v>
                      </c:pt>
                      <c:pt idx="346">
                        <c:v>0.51802400000000004</c:v>
                      </c:pt>
                      <c:pt idx="347">
                        <c:v>0.51802400000000004</c:v>
                      </c:pt>
                      <c:pt idx="348">
                        <c:v>0.51802400000000004</c:v>
                      </c:pt>
                      <c:pt idx="349">
                        <c:v>0.51802400000000004</c:v>
                      </c:pt>
                      <c:pt idx="350">
                        <c:v>0.51802400000000004</c:v>
                      </c:pt>
                      <c:pt idx="351">
                        <c:v>0.51802400000000004</c:v>
                      </c:pt>
                      <c:pt idx="352">
                        <c:v>0.51802400000000004</c:v>
                      </c:pt>
                      <c:pt idx="353">
                        <c:v>0.51802400000000004</c:v>
                      </c:pt>
                      <c:pt idx="354">
                        <c:v>0.51802400000000004</c:v>
                      </c:pt>
                      <c:pt idx="355">
                        <c:v>0.51802400000000004</c:v>
                      </c:pt>
                      <c:pt idx="356">
                        <c:v>0.51802400000000004</c:v>
                      </c:pt>
                      <c:pt idx="357">
                        <c:v>0.51802400000000004</c:v>
                      </c:pt>
                      <c:pt idx="358">
                        <c:v>0.51802400000000004</c:v>
                      </c:pt>
                      <c:pt idx="359">
                        <c:v>0.51802400000000004</c:v>
                      </c:pt>
                      <c:pt idx="360">
                        <c:v>0.51802400000000004</c:v>
                      </c:pt>
                      <c:pt idx="361">
                        <c:v>0.51802400000000004</c:v>
                      </c:pt>
                      <c:pt idx="362">
                        <c:v>0.51802400000000004</c:v>
                      </c:pt>
                      <c:pt idx="363">
                        <c:v>0.51802400000000004</c:v>
                      </c:pt>
                      <c:pt idx="364">
                        <c:v>0.51802400000000004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A14-4FA3-B74A-6BACD467B271}"/>
                  </c:ext>
                </c:extLst>
              </c15:ser>
            </c15:filteredLineSeries>
          </c:ext>
        </c:extLst>
      </c:lineChart>
      <c:dateAx>
        <c:axId val="629346240"/>
        <c:scaling>
          <c:orientation val="minMax"/>
        </c:scaling>
        <c:delete val="0"/>
        <c:axPos val="b"/>
        <c:numFmt formatCode="dd/mm" sourceLinked="0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it-IT"/>
          </a:p>
        </c:txPr>
        <c:crossAx val="629346816"/>
        <c:crosses val="autoZero"/>
        <c:auto val="1"/>
        <c:lblOffset val="100"/>
        <c:baseTimeUnit val="days"/>
      </c:dateAx>
      <c:valAx>
        <c:axId val="629346816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it-IT"/>
          </a:p>
        </c:txPr>
        <c:crossAx val="629346240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600"/>
          </a:pPr>
          <a:endParaRPr lang="it-IT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4"/>
          <c:order val="0"/>
          <c:tx>
            <c:v>Contenuto idrico</c:v>
          </c:tx>
          <c:spPr>
            <a:solidFill>
              <a:srgbClr val="C6D9F1">
                <a:alpha val="50196"/>
              </a:srgbClr>
            </a:solidFill>
            <a:ln w="19050"/>
          </c:spPr>
          <c:cat>
            <c:numRef>
              <c:f>'Bilancio primo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secondo strato'!$H$2:$H$366</c:f>
              <c:numCache>
                <c:formatCode>General</c:formatCode>
                <c:ptCount val="365"/>
                <c:pt idx="0">
                  <c:v>180.26525699999999</c:v>
                </c:pt>
                <c:pt idx="1">
                  <c:v>192.00456890000001</c:v>
                </c:pt>
                <c:pt idx="2">
                  <c:v>198.52288300000001</c:v>
                </c:pt>
                <c:pt idx="3">
                  <c:v>203.1374706</c:v>
                </c:pt>
                <c:pt idx="4">
                  <c:v>208.71626240000001</c:v>
                </c:pt>
                <c:pt idx="5">
                  <c:v>210.96758</c:v>
                </c:pt>
                <c:pt idx="6">
                  <c:v>210.8495585</c:v>
                </c:pt>
                <c:pt idx="7">
                  <c:v>210.41555009999999</c:v>
                </c:pt>
                <c:pt idx="8">
                  <c:v>209.8201622</c:v>
                </c:pt>
                <c:pt idx="9">
                  <c:v>208.91242700000001</c:v>
                </c:pt>
                <c:pt idx="10">
                  <c:v>207.90057340000001</c:v>
                </c:pt>
                <c:pt idx="11">
                  <c:v>206.8634983</c:v>
                </c:pt>
                <c:pt idx="12">
                  <c:v>205.81197689999999</c:v>
                </c:pt>
                <c:pt idx="13">
                  <c:v>204.76553530000001</c:v>
                </c:pt>
                <c:pt idx="14">
                  <c:v>203.74563499999999</c:v>
                </c:pt>
                <c:pt idx="15">
                  <c:v>202.76234400000001</c:v>
                </c:pt>
                <c:pt idx="16">
                  <c:v>201.8216377</c:v>
                </c:pt>
                <c:pt idx="17">
                  <c:v>200.92433800000001</c:v>
                </c:pt>
                <c:pt idx="18">
                  <c:v>200.07937920000001</c:v>
                </c:pt>
                <c:pt idx="19">
                  <c:v>199.3550381</c:v>
                </c:pt>
                <c:pt idx="20">
                  <c:v>200.48355789999999</c:v>
                </c:pt>
                <c:pt idx="21">
                  <c:v>210.17127669999999</c:v>
                </c:pt>
                <c:pt idx="22">
                  <c:v>219.3970764</c:v>
                </c:pt>
                <c:pt idx="23">
                  <c:v>220.79090020000001</c:v>
                </c:pt>
                <c:pt idx="24">
                  <c:v>219.28730100000001</c:v>
                </c:pt>
                <c:pt idx="25">
                  <c:v>217.3400675</c:v>
                </c:pt>
                <c:pt idx="26">
                  <c:v>215.36613080000001</c:v>
                </c:pt>
                <c:pt idx="27">
                  <c:v>213.5329629</c:v>
                </c:pt>
                <c:pt idx="28">
                  <c:v>211.83962650000001</c:v>
                </c:pt>
                <c:pt idx="29">
                  <c:v>210.2975447</c:v>
                </c:pt>
                <c:pt idx="30">
                  <c:v>209.06326780000001</c:v>
                </c:pt>
                <c:pt idx="31">
                  <c:v>208.07095179999999</c:v>
                </c:pt>
                <c:pt idx="32">
                  <c:v>207.00873910000001</c:v>
                </c:pt>
                <c:pt idx="33">
                  <c:v>209.99853039999999</c:v>
                </c:pt>
                <c:pt idx="34">
                  <c:v>213.14477969999999</c:v>
                </c:pt>
                <c:pt idx="35">
                  <c:v>212.98741290000001</c:v>
                </c:pt>
                <c:pt idx="36">
                  <c:v>212.04188930000001</c:v>
                </c:pt>
                <c:pt idx="37">
                  <c:v>217.9747409</c:v>
                </c:pt>
                <c:pt idx="38">
                  <c:v>220.3588565</c:v>
                </c:pt>
                <c:pt idx="39">
                  <c:v>219.61112220000001</c:v>
                </c:pt>
                <c:pt idx="40">
                  <c:v>223.0545138</c:v>
                </c:pt>
                <c:pt idx="41">
                  <c:v>223.79049409999999</c:v>
                </c:pt>
                <c:pt idx="42">
                  <c:v>221.84503889999999</c:v>
                </c:pt>
                <c:pt idx="43">
                  <c:v>219.59896620000001</c:v>
                </c:pt>
                <c:pt idx="44">
                  <c:v>217.41659709999999</c:v>
                </c:pt>
                <c:pt idx="45">
                  <c:v>215.37304280000001</c:v>
                </c:pt>
                <c:pt idx="46">
                  <c:v>213.48580050000001</c:v>
                </c:pt>
                <c:pt idx="47">
                  <c:v>211.74869179999999</c:v>
                </c:pt>
                <c:pt idx="48">
                  <c:v>210.1553863</c:v>
                </c:pt>
                <c:pt idx="49">
                  <c:v>208.68932040000001</c:v>
                </c:pt>
                <c:pt idx="50">
                  <c:v>207.32872370000001</c:v>
                </c:pt>
                <c:pt idx="51">
                  <c:v>206.06105210000001</c:v>
                </c:pt>
                <c:pt idx="52">
                  <c:v>204.8762093</c:v>
                </c:pt>
                <c:pt idx="53">
                  <c:v>203.76562469999999</c:v>
                </c:pt>
                <c:pt idx="54">
                  <c:v>202.72142919999999</c:v>
                </c:pt>
                <c:pt idx="55">
                  <c:v>201.73677369999999</c:v>
                </c:pt>
                <c:pt idx="56">
                  <c:v>200.80565970000001</c:v>
                </c:pt>
                <c:pt idx="57">
                  <c:v>199.922877</c:v>
                </c:pt>
                <c:pt idx="58">
                  <c:v>199.08391599999999</c:v>
                </c:pt>
                <c:pt idx="59">
                  <c:v>198.28485699999999</c:v>
                </c:pt>
                <c:pt idx="60">
                  <c:v>197.52227400000001</c:v>
                </c:pt>
                <c:pt idx="61">
                  <c:v>196.7931566</c:v>
                </c:pt>
                <c:pt idx="62">
                  <c:v>196.09484520000001</c:v>
                </c:pt>
                <c:pt idx="63">
                  <c:v>195.42497969999999</c:v>
                </c:pt>
                <c:pt idx="64">
                  <c:v>194.78145649999999</c:v>
                </c:pt>
                <c:pt idx="65">
                  <c:v>194.16239229999999</c:v>
                </c:pt>
                <c:pt idx="66">
                  <c:v>193.56609560000001</c:v>
                </c:pt>
                <c:pt idx="67">
                  <c:v>192.991041</c:v>
                </c:pt>
                <c:pt idx="68">
                  <c:v>192.43584860000001</c:v>
                </c:pt>
                <c:pt idx="69">
                  <c:v>191.89926639999999</c:v>
                </c:pt>
                <c:pt idx="70">
                  <c:v>191.380155</c:v>
                </c:pt>
                <c:pt idx="71">
                  <c:v>190.87747419999999</c:v>
                </c:pt>
                <c:pt idx="72">
                  <c:v>190.39027279999999</c:v>
                </c:pt>
                <c:pt idx="73">
                  <c:v>189.91767780000001</c:v>
                </c:pt>
                <c:pt idx="74">
                  <c:v>189.4588871</c:v>
                </c:pt>
                <c:pt idx="75">
                  <c:v>189.0131614</c:v>
                </c:pt>
                <c:pt idx="76">
                  <c:v>188.57981810000001</c:v>
                </c:pt>
                <c:pt idx="77">
                  <c:v>188.1582258</c:v>
                </c:pt>
                <c:pt idx="78">
                  <c:v>187.7477993</c:v>
                </c:pt>
                <c:pt idx="79">
                  <c:v>187.347995</c:v>
                </c:pt>
                <c:pt idx="80">
                  <c:v>186.95830770000001</c:v>
                </c:pt>
                <c:pt idx="81">
                  <c:v>186.5782663</c:v>
                </c:pt>
                <c:pt idx="82">
                  <c:v>186.20743139999999</c:v>
                </c:pt>
                <c:pt idx="83">
                  <c:v>185.84539240000001</c:v>
                </c:pt>
                <c:pt idx="84">
                  <c:v>185.49176510000001</c:v>
                </c:pt>
                <c:pt idx="85">
                  <c:v>185.14618909999999</c:v>
                </c:pt>
                <c:pt idx="86">
                  <c:v>184.8083268</c:v>
                </c:pt>
                <c:pt idx="87">
                  <c:v>184.4778604</c:v>
                </c:pt>
                <c:pt idx="88">
                  <c:v>184.15449129999999</c:v>
                </c:pt>
                <c:pt idx="89">
                  <c:v>183.8379382</c:v>
                </c:pt>
                <c:pt idx="90">
                  <c:v>183.52793600000001</c:v>
                </c:pt>
                <c:pt idx="91">
                  <c:v>183.22423409999999</c:v>
                </c:pt>
                <c:pt idx="92">
                  <c:v>40.162444190000002</c:v>
                </c:pt>
                <c:pt idx="93">
                  <c:v>39.443789430000002</c:v>
                </c:pt>
                <c:pt idx="94">
                  <c:v>40.15103526</c:v>
                </c:pt>
                <c:pt idx="95">
                  <c:v>40.880186600000002</c:v>
                </c:pt>
                <c:pt idx="96">
                  <c:v>41.59048189</c:v>
                </c:pt>
                <c:pt idx="97">
                  <c:v>42.543785419999999</c:v>
                </c:pt>
                <c:pt idx="98">
                  <c:v>43.486041530000001</c:v>
                </c:pt>
                <c:pt idx="99">
                  <c:v>44.489494610000001</c:v>
                </c:pt>
                <c:pt idx="100">
                  <c:v>45.628175910000003</c:v>
                </c:pt>
                <c:pt idx="101">
                  <c:v>46.777552530000001</c:v>
                </c:pt>
                <c:pt idx="102">
                  <c:v>47.700113289999997</c:v>
                </c:pt>
                <c:pt idx="103">
                  <c:v>48.553530840000001</c:v>
                </c:pt>
                <c:pt idx="104">
                  <c:v>49.697665919999999</c:v>
                </c:pt>
                <c:pt idx="105">
                  <c:v>50.589198809999999</c:v>
                </c:pt>
                <c:pt idx="106">
                  <c:v>51.452497630000003</c:v>
                </c:pt>
                <c:pt idx="107">
                  <c:v>52.33819716</c:v>
                </c:pt>
                <c:pt idx="108">
                  <c:v>53.188737740000001</c:v>
                </c:pt>
                <c:pt idx="109">
                  <c:v>53.960230940000002</c:v>
                </c:pt>
                <c:pt idx="110">
                  <c:v>54.7524157</c:v>
                </c:pt>
                <c:pt idx="111">
                  <c:v>55.768019750000001</c:v>
                </c:pt>
                <c:pt idx="112">
                  <c:v>56.547301189999999</c:v>
                </c:pt>
                <c:pt idx="113">
                  <c:v>57.272374820000003</c:v>
                </c:pt>
                <c:pt idx="114">
                  <c:v>57.970142010000004</c:v>
                </c:pt>
                <c:pt idx="115">
                  <c:v>59.058562240000001</c:v>
                </c:pt>
                <c:pt idx="116">
                  <c:v>60.138304980000001</c:v>
                </c:pt>
                <c:pt idx="117">
                  <c:v>61.066535289999997</c:v>
                </c:pt>
                <c:pt idx="118">
                  <c:v>62.427934909999998</c:v>
                </c:pt>
                <c:pt idx="119">
                  <c:v>63.459366209999999</c:v>
                </c:pt>
                <c:pt idx="120">
                  <c:v>64.660266070000006</c:v>
                </c:pt>
                <c:pt idx="121">
                  <c:v>65.691667109999997</c:v>
                </c:pt>
                <c:pt idx="122">
                  <c:v>66.585509119999998</c:v>
                </c:pt>
                <c:pt idx="123">
                  <c:v>67.328836800000005</c:v>
                </c:pt>
                <c:pt idx="124">
                  <c:v>68.148254320000007</c:v>
                </c:pt>
                <c:pt idx="125">
                  <c:v>69.029358160000001</c:v>
                </c:pt>
                <c:pt idx="126">
                  <c:v>69.303709889999993</c:v>
                </c:pt>
                <c:pt idx="127">
                  <c:v>69.724667240000002</c:v>
                </c:pt>
                <c:pt idx="128">
                  <c:v>70.069988550000005</c:v>
                </c:pt>
                <c:pt idx="129">
                  <c:v>70.417885069999997</c:v>
                </c:pt>
                <c:pt idx="130">
                  <c:v>71.400278880000002</c:v>
                </c:pt>
                <c:pt idx="131">
                  <c:v>71.403951370000001</c:v>
                </c:pt>
                <c:pt idx="132">
                  <c:v>71.541424809999995</c:v>
                </c:pt>
                <c:pt idx="133">
                  <c:v>71.706565609999998</c:v>
                </c:pt>
                <c:pt idx="134">
                  <c:v>72.000845010000006</c:v>
                </c:pt>
                <c:pt idx="135">
                  <c:v>140.1117883</c:v>
                </c:pt>
                <c:pt idx="136">
                  <c:v>124.119995</c:v>
                </c:pt>
                <c:pt idx="137">
                  <c:v>119.8033701</c:v>
                </c:pt>
                <c:pt idx="138">
                  <c:v>117.3394784</c:v>
                </c:pt>
                <c:pt idx="139">
                  <c:v>115.6395567</c:v>
                </c:pt>
                <c:pt idx="140">
                  <c:v>114.2408841</c:v>
                </c:pt>
                <c:pt idx="141">
                  <c:v>113.72287040000001</c:v>
                </c:pt>
                <c:pt idx="142">
                  <c:v>112.1460984</c:v>
                </c:pt>
                <c:pt idx="143">
                  <c:v>116.0055715</c:v>
                </c:pt>
                <c:pt idx="144">
                  <c:v>118.8663756</c:v>
                </c:pt>
                <c:pt idx="145">
                  <c:v>117.8332642</c:v>
                </c:pt>
                <c:pt idx="146">
                  <c:v>116.0570737</c:v>
                </c:pt>
                <c:pt idx="147">
                  <c:v>114.2507239</c:v>
                </c:pt>
                <c:pt idx="148">
                  <c:v>112.10509500000001</c:v>
                </c:pt>
                <c:pt idx="149">
                  <c:v>109.6049027</c:v>
                </c:pt>
                <c:pt idx="150">
                  <c:v>107.5054887</c:v>
                </c:pt>
                <c:pt idx="151">
                  <c:v>104.8895091</c:v>
                </c:pt>
                <c:pt idx="152">
                  <c:v>102.736227</c:v>
                </c:pt>
                <c:pt idx="153">
                  <c:v>182.82308750000001</c:v>
                </c:pt>
                <c:pt idx="154">
                  <c:v>161.55808630000001</c:v>
                </c:pt>
                <c:pt idx="155">
                  <c:v>155.39826170000001</c:v>
                </c:pt>
                <c:pt idx="156">
                  <c:v>150.91816259999999</c:v>
                </c:pt>
                <c:pt idx="157">
                  <c:v>148.74080559999999</c:v>
                </c:pt>
                <c:pt idx="158">
                  <c:v>146.2337608</c:v>
                </c:pt>
                <c:pt idx="159">
                  <c:v>142.53252090000001</c:v>
                </c:pt>
                <c:pt idx="160">
                  <c:v>138.67715140000001</c:v>
                </c:pt>
                <c:pt idx="161">
                  <c:v>135.01503310000001</c:v>
                </c:pt>
                <c:pt idx="162">
                  <c:v>130.82212899999999</c:v>
                </c:pt>
                <c:pt idx="163">
                  <c:v>125.4773331</c:v>
                </c:pt>
                <c:pt idx="164">
                  <c:v>120.607133</c:v>
                </c:pt>
                <c:pt idx="165">
                  <c:v>212.88268500000001</c:v>
                </c:pt>
                <c:pt idx="166">
                  <c:v>184.61695929999999</c:v>
                </c:pt>
                <c:pt idx="167">
                  <c:v>174.09937249999999</c:v>
                </c:pt>
                <c:pt idx="168">
                  <c:v>166.097174</c:v>
                </c:pt>
                <c:pt idx="169">
                  <c:v>159.87681330000001</c:v>
                </c:pt>
                <c:pt idx="170">
                  <c:v>155.0488775</c:v>
                </c:pt>
                <c:pt idx="171">
                  <c:v>148.9284954</c:v>
                </c:pt>
                <c:pt idx="172">
                  <c:v>142.64383549999999</c:v>
                </c:pt>
                <c:pt idx="173">
                  <c:v>137.2328172</c:v>
                </c:pt>
                <c:pt idx="174">
                  <c:v>131.73398109999999</c:v>
                </c:pt>
                <c:pt idx="175">
                  <c:v>125.48478679999999</c:v>
                </c:pt>
                <c:pt idx="176">
                  <c:v>119.6482381</c:v>
                </c:pt>
                <c:pt idx="177">
                  <c:v>213.00215270000001</c:v>
                </c:pt>
                <c:pt idx="178">
                  <c:v>183.7437065</c:v>
                </c:pt>
                <c:pt idx="179">
                  <c:v>172.70734379999999</c:v>
                </c:pt>
                <c:pt idx="180">
                  <c:v>165.03698370000001</c:v>
                </c:pt>
                <c:pt idx="181">
                  <c:v>157.5660963</c:v>
                </c:pt>
                <c:pt idx="182">
                  <c:v>151.0296792</c:v>
                </c:pt>
                <c:pt idx="183">
                  <c:v>145.97149469999999</c:v>
                </c:pt>
                <c:pt idx="184">
                  <c:v>143.30500889999999</c:v>
                </c:pt>
                <c:pt idx="185">
                  <c:v>138.0965205</c:v>
                </c:pt>
                <c:pt idx="186">
                  <c:v>132.2304177</c:v>
                </c:pt>
                <c:pt idx="187">
                  <c:v>126.4660525</c:v>
                </c:pt>
                <c:pt idx="188">
                  <c:v>134.87378649999999</c:v>
                </c:pt>
                <c:pt idx="189">
                  <c:v>134.4290733</c:v>
                </c:pt>
                <c:pt idx="190">
                  <c:v>129.99709730000001</c:v>
                </c:pt>
                <c:pt idx="191">
                  <c:v>124.5153882</c:v>
                </c:pt>
                <c:pt idx="192">
                  <c:v>119.5069561</c:v>
                </c:pt>
                <c:pt idx="193">
                  <c:v>210.780382</c:v>
                </c:pt>
                <c:pt idx="194">
                  <c:v>184.2345613</c:v>
                </c:pt>
                <c:pt idx="195">
                  <c:v>175.15057150000001</c:v>
                </c:pt>
                <c:pt idx="196">
                  <c:v>171.25114740000001</c:v>
                </c:pt>
                <c:pt idx="197">
                  <c:v>167.9056368</c:v>
                </c:pt>
                <c:pt idx="198">
                  <c:v>162.99113610000001</c:v>
                </c:pt>
                <c:pt idx="199">
                  <c:v>156.53255849999999</c:v>
                </c:pt>
                <c:pt idx="200">
                  <c:v>150.2202565</c:v>
                </c:pt>
                <c:pt idx="201">
                  <c:v>144.3908706</c:v>
                </c:pt>
                <c:pt idx="202">
                  <c:v>138.4787627</c:v>
                </c:pt>
                <c:pt idx="203">
                  <c:v>133.08244429999999</c:v>
                </c:pt>
                <c:pt idx="204">
                  <c:v>127.84158909999999</c:v>
                </c:pt>
                <c:pt idx="205">
                  <c:v>122.98423680000001</c:v>
                </c:pt>
                <c:pt idx="206">
                  <c:v>150.57394500000001</c:v>
                </c:pt>
                <c:pt idx="207">
                  <c:v>154.7858603</c:v>
                </c:pt>
                <c:pt idx="208">
                  <c:v>152.1116044</c:v>
                </c:pt>
                <c:pt idx="209">
                  <c:v>147.1485528</c:v>
                </c:pt>
                <c:pt idx="210">
                  <c:v>142.6996844</c:v>
                </c:pt>
                <c:pt idx="211">
                  <c:v>138.08530529999999</c:v>
                </c:pt>
                <c:pt idx="212">
                  <c:v>134.5126544</c:v>
                </c:pt>
                <c:pt idx="213">
                  <c:v>130.04247090000001</c:v>
                </c:pt>
                <c:pt idx="214">
                  <c:v>125.9735512</c:v>
                </c:pt>
                <c:pt idx="215">
                  <c:v>124.30610040000001</c:v>
                </c:pt>
                <c:pt idx="216">
                  <c:v>119.7901616</c:v>
                </c:pt>
                <c:pt idx="217">
                  <c:v>213.07918979999999</c:v>
                </c:pt>
                <c:pt idx="218">
                  <c:v>185.6602043</c:v>
                </c:pt>
                <c:pt idx="219">
                  <c:v>176.435427</c:v>
                </c:pt>
                <c:pt idx="220">
                  <c:v>170.18262770000001</c:v>
                </c:pt>
                <c:pt idx="221">
                  <c:v>165.43091430000001</c:v>
                </c:pt>
                <c:pt idx="222">
                  <c:v>161.1790173</c:v>
                </c:pt>
                <c:pt idx="223">
                  <c:v>157.2166593</c:v>
                </c:pt>
                <c:pt idx="224">
                  <c:v>153.72287979999999</c:v>
                </c:pt>
                <c:pt idx="225">
                  <c:v>150.61448139999999</c:v>
                </c:pt>
                <c:pt idx="226">
                  <c:v>147.6723514</c:v>
                </c:pt>
                <c:pt idx="227">
                  <c:v>145.3018222</c:v>
                </c:pt>
                <c:pt idx="228">
                  <c:v>143.84485839999999</c:v>
                </c:pt>
                <c:pt idx="229">
                  <c:v>141.97108589999999</c:v>
                </c:pt>
                <c:pt idx="230">
                  <c:v>140.40542640000001</c:v>
                </c:pt>
                <c:pt idx="231">
                  <c:v>139.0078211</c:v>
                </c:pt>
                <c:pt idx="232">
                  <c:v>137.78435099999999</c:v>
                </c:pt>
                <c:pt idx="233">
                  <c:v>136.79979990000001</c:v>
                </c:pt>
                <c:pt idx="234">
                  <c:v>136.0364587</c:v>
                </c:pt>
                <c:pt idx="235">
                  <c:v>36.207481899999998</c:v>
                </c:pt>
                <c:pt idx="236">
                  <c:v>36.140247070000001</c:v>
                </c:pt>
                <c:pt idx="237">
                  <c:v>36.074609279999997</c:v>
                </c:pt>
                <c:pt idx="238">
                  <c:v>36.010498679999998</c:v>
                </c:pt>
                <c:pt idx="239">
                  <c:v>35.947849290000001</c:v>
                </c:pt>
                <c:pt idx="240">
                  <c:v>35.88659972</c:v>
                </c:pt>
                <c:pt idx="241">
                  <c:v>35.826692270000002</c:v>
                </c:pt>
                <c:pt idx="242">
                  <c:v>35.768072699999998</c:v>
                </c:pt>
                <c:pt idx="243">
                  <c:v>35.710689909999999</c:v>
                </c:pt>
                <c:pt idx="244">
                  <c:v>35.65449572</c:v>
                </c:pt>
                <c:pt idx="245">
                  <c:v>35.599444679999998</c:v>
                </c:pt>
                <c:pt idx="246">
                  <c:v>35.545493819999997</c:v>
                </c:pt>
                <c:pt idx="247">
                  <c:v>35.492602509999998</c:v>
                </c:pt>
                <c:pt idx="248">
                  <c:v>35.44073229</c:v>
                </c:pt>
                <c:pt idx="249">
                  <c:v>35.389846720000001</c:v>
                </c:pt>
                <c:pt idx="250">
                  <c:v>35.339911209999997</c:v>
                </c:pt>
                <c:pt idx="251">
                  <c:v>35.290892960000001</c:v>
                </c:pt>
                <c:pt idx="252">
                  <c:v>35.242760799999999</c:v>
                </c:pt>
                <c:pt idx="253">
                  <c:v>35.195485060000003</c:v>
                </c:pt>
                <c:pt idx="254">
                  <c:v>35.149037540000002</c:v>
                </c:pt>
                <c:pt idx="255">
                  <c:v>35.103391369999997</c:v>
                </c:pt>
                <c:pt idx="256">
                  <c:v>35.058520950000002</c:v>
                </c:pt>
                <c:pt idx="257">
                  <c:v>35.014401839999998</c:v>
                </c:pt>
                <c:pt idx="258">
                  <c:v>34.992949629999998</c:v>
                </c:pt>
                <c:pt idx="259">
                  <c:v>35.083116259999997</c:v>
                </c:pt>
                <c:pt idx="260">
                  <c:v>35.057172729999998</c:v>
                </c:pt>
                <c:pt idx="261">
                  <c:v>35.01751573</c:v>
                </c:pt>
                <c:pt idx="262">
                  <c:v>35.156189869999999</c:v>
                </c:pt>
                <c:pt idx="263">
                  <c:v>35.613857779999996</c:v>
                </c:pt>
                <c:pt idx="264">
                  <c:v>35.648667580000001</c:v>
                </c:pt>
                <c:pt idx="265">
                  <c:v>35.606008559999999</c:v>
                </c:pt>
                <c:pt idx="266">
                  <c:v>35.553008390000002</c:v>
                </c:pt>
                <c:pt idx="267">
                  <c:v>35.500033909999999</c:v>
                </c:pt>
                <c:pt idx="268">
                  <c:v>36.791268129999999</c:v>
                </c:pt>
                <c:pt idx="269">
                  <c:v>39.98372045</c:v>
                </c:pt>
                <c:pt idx="270">
                  <c:v>40.339278780000001</c:v>
                </c:pt>
                <c:pt idx="271">
                  <c:v>40.195479599999999</c:v>
                </c:pt>
                <c:pt idx="272">
                  <c:v>39.964327300000001</c:v>
                </c:pt>
                <c:pt idx="273">
                  <c:v>39.735468439999998</c:v>
                </c:pt>
                <c:pt idx="274">
                  <c:v>39.520502190000002</c:v>
                </c:pt>
                <c:pt idx="275">
                  <c:v>39.319175970000003</c:v>
                </c:pt>
                <c:pt idx="276">
                  <c:v>51.662002459999997</c:v>
                </c:pt>
                <c:pt idx="277">
                  <c:v>52.48833905</c:v>
                </c:pt>
                <c:pt idx="278">
                  <c:v>52.370067239999997</c:v>
                </c:pt>
                <c:pt idx="279">
                  <c:v>50.412138640000002</c:v>
                </c:pt>
                <c:pt idx="280">
                  <c:v>48.21866498</c:v>
                </c:pt>
                <c:pt idx="281">
                  <c:v>46.600638660000001</c:v>
                </c:pt>
                <c:pt idx="282">
                  <c:v>45.377551789999998</c:v>
                </c:pt>
                <c:pt idx="283">
                  <c:v>44.422409620000003</c:v>
                </c:pt>
                <c:pt idx="284">
                  <c:v>43.651726480000001</c:v>
                </c:pt>
                <c:pt idx="285">
                  <c:v>43.013105830000001</c:v>
                </c:pt>
                <c:pt idx="286">
                  <c:v>42.470755959999998</c:v>
                </c:pt>
                <c:pt idx="287">
                  <c:v>42.000828630000001</c:v>
                </c:pt>
                <c:pt idx="288">
                  <c:v>41.58708017</c:v>
                </c:pt>
                <c:pt idx="289">
                  <c:v>41.218080559999997</c:v>
                </c:pt>
                <c:pt idx="290">
                  <c:v>40.885514569999998</c:v>
                </c:pt>
                <c:pt idx="291">
                  <c:v>40.583154329999999</c:v>
                </c:pt>
                <c:pt idx="292">
                  <c:v>40.306219849999998</c:v>
                </c:pt>
                <c:pt idx="293">
                  <c:v>40.050965720000001</c:v>
                </c:pt>
                <c:pt idx="294">
                  <c:v>39.814404709999998</c:v>
                </c:pt>
                <c:pt idx="295">
                  <c:v>39.594116990000003</c:v>
                </c:pt>
                <c:pt idx="296">
                  <c:v>39.388117039999997</c:v>
                </c:pt>
                <c:pt idx="297">
                  <c:v>39.194755809999997</c:v>
                </c:pt>
                <c:pt idx="298">
                  <c:v>39.012649449999998</c:v>
                </c:pt>
                <c:pt idx="299">
                  <c:v>38.840625780000003</c:v>
                </c:pt>
                <c:pt idx="300">
                  <c:v>38.677683569999999</c:v>
                </c:pt>
                <c:pt idx="301">
                  <c:v>38.522961109999997</c:v>
                </c:pt>
                <c:pt idx="302">
                  <c:v>38.375711670000001</c:v>
                </c:pt>
                <c:pt idx="303">
                  <c:v>38.235284069999999</c:v>
                </c:pt>
                <c:pt idx="304">
                  <c:v>44.79078286</c:v>
                </c:pt>
                <c:pt idx="305">
                  <c:v>50.513320630000003</c:v>
                </c:pt>
                <c:pt idx="306">
                  <c:v>54.82988194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E-47FB-AA18-C45CAE96A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75040"/>
        <c:axId val="630705536"/>
      </c:areaChart>
      <c:lineChart>
        <c:grouping val="standard"/>
        <c:varyColors val="0"/>
        <c:ser>
          <c:idx val="0"/>
          <c:order val="1"/>
          <c:tx>
            <c:v>Percolazione dal primo strato</c:v>
          </c:tx>
          <c:spPr>
            <a:ln w="19050"/>
          </c:spPr>
          <c:marker>
            <c:symbol val="none"/>
          </c:marker>
          <c:cat>
            <c:numRef>
              <c:f>'Bilancio secondo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secondo strato'!$C$2:$C$366</c:f>
              <c:numCache>
                <c:formatCode>General</c:formatCode>
                <c:ptCount val="365"/>
                <c:pt idx="0">
                  <c:v>3.1797259210000002</c:v>
                </c:pt>
                <c:pt idx="1">
                  <c:v>12.104180210000001</c:v>
                </c:pt>
                <c:pt idx="2">
                  <c:v>7.1943807499999997</c:v>
                </c:pt>
                <c:pt idx="3">
                  <c:v>5.5225036650000003</c:v>
                </c:pt>
                <c:pt idx="4">
                  <c:v>6.7961810930000004</c:v>
                </c:pt>
                <c:pt idx="5">
                  <c:v>3.8009933330000001</c:v>
                </c:pt>
                <c:pt idx="6">
                  <c:v>1.4983005899999999</c:v>
                </c:pt>
                <c:pt idx="7">
                  <c:v>1.1476926380000001</c:v>
                </c:pt>
                <c:pt idx="8">
                  <c:v>0.94780998900000002</c:v>
                </c:pt>
                <c:pt idx="9">
                  <c:v>0.57089934899999994</c:v>
                </c:pt>
                <c:pt idx="10">
                  <c:v>0.38888244</c:v>
                </c:pt>
                <c:pt idx="11">
                  <c:v>0.28550772800000002</c:v>
                </c:pt>
                <c:pt idx="12">
                  <c:v>0.19552836300000001</c:v>
                </c:pt>
                <c:pt idx="13">
                  <c:v>0.12825503399999999</c:v>
                </c:pt>
                <c:pt idx="14">
                  <c:v>8.7300000000000003E-2</c:v>
                </c:pt>
                <c:pt idx="15">
                  <c:v>6.1800000000000001E-2</c:v>
                </c:pt>
                <c:pt idx="16">
                  <c:v>4.7600000000000003E-2</c:v>
                </c:pt>
                <c:pt idx="17">
                  <c:v>3.9399999999999998E-2</c:v>
                </c:pt>
                <c:pt idx="18">
                  <c:v>4.4900000000000002E-2</c:v>
                </c:pt>
                <c:pt idx="19">
                  <c:v>0.124570049</c:v>
                </c:pt>
                <c:pt idx="20">
                  <c:v>1.9675365730000001</c:v>
                </c:pt>
                <c:pt idx="21">
                  <c:v>10.83818494</c:v>
                </c:pt>
                <c:pt idx="22">
                  <c:v>11.261518069999999</c:v>
                </c:pt>
                <c:pt idx="23">
                  <c:v>4.1080493000000002</c:v>
                </c:pt>
                <c:pt idx="24">
                  <c:v>1.1226562899999999</c:v>
                </c:pt>
                <c:pt idx="25">
                  <c:v>0.447981513</c:v>
                </c:pt>
                <c:pt idx="26">
                  <c:v>0.18291822399999999</c:v>
                </c:pt>
                <c:pt idx="27">
                  <c:v>0.115731161</c:v>
                </c:pt>
                <c:pt idx="28">
                  <c:v>7.8700000000000006E-2</c:v>
                </c:pt>
                <c:pt idx="29">
                  <c:v>7.9899999999999999E-2</c:v>
                </c:pt>
                <c:pt idx="30">
                  <c:v>0.26566567800000002</c:v>
                </c:pt>
                <c:pt idx="31">
                  <c:v>0.42191334800000002</c:v>
                </c:pt>
                <c:pt idx="32">
                  <c:v>0.27218584000000001</c:v>
                </c:pt>
                <c:pt idx="33">
                  <c:v>4.3246250719999999</c:v>
                </c:pt>
                <c:pt idx="34">
                  <c:v>4.872370257</c:v>
                </c:pt>
                <c:pt idx="35">
                  <c:v>1.6630873340000001</c:v>
                </c:pt>
                <c:pt idx="36">
                  <c:v>0.81373683299999999</c:v>
                </c:pt>
                <c:pt idx="37">
                  <c:v>7.8040874039999997</c:v>
                </c:pt>
                <c:pt idx="38">
                  <c:v>5.0096719409999997</c:v>
                </c:pt>
                <c:pt idx="39">
                  <c:v>1.86089412</c:v>
                </c:pt>
                <c:pt idx="40">
                  <c:v>6.1522375800000004</c:v>
                </c:pt>
                <c:pt idx="41">
                  <c:v>3.9434464500000002</c:v>
                </c:pt>
                <c:pt idx="42">
                  <c:v>1.083057932</c:v>
                </c:pt>
                <c:pt idx="43">
                  <c:v>0.46439235899999998</c:v>
                </c:pt>
                <c:pt idx="44">
                  <c:v>0.23217138600000001</c:v>
                </c:pt>
                <c:pt idx="45">
                  <c:v>0.116985573</c:v>
                </c:pt>
                <c:pt idx="46">
                  <c:v>5.96E-2</c:v>
                </c:pt>
                <c:pt idx="47">
                  <c:v>2.8199999999999999E-2</c:v>
                </c:pt>
                <c:pt idx="48">
                  <c:v>1.8499999999999999E-2</c:v>
                </c:pt>
                <c:pt idx="49">
                  <c:v>1.55E-2</c:v>
                </c:pt>
                <c:pt idx="50">
                  <c:v>8.8000000000000005E-3</c:v>
                </c:pt>
                <c:pt idx="51">
                  <c:v>4.2399999999999998E-3</c:v>
                </c:pt>
                <c:pt idx="52">
                  <c:v>1.66E-3</c:v>
                </c:pt>
                <c:pt idx="53">
                  <c:v>6.02E-4</c:v>
                </c:pt>
                <c:pt idx="54">
                  <c:v>1.56E-4</c:v>
                </c:pt>
                <c:pt idx="55">
                  <c:v>2.8200000000000001E-5</c:v>
                </c:pt>
                <c:pt idx="56">
                  <c:v>4.7099999999999998E-6</c:v>
                </c:pt>
                <c:pt idx="57">
                  <c:v>6.7599999999999997E-7</c:v>
                </c:pt>
                <c:pt idx="58">
                  <c:v>7.6899999999999994E-8</c:v>
                </c:pt>
                <c:pt idx="59">
                  <c:v>9.3999999999999998E-9</c:v>
                </c:pt>
                <c:pt idx="60">
                  <c:v>1.08E-9</c:v>
                </c:pt>
                <c:pt idx="61">
                  <c:v>1.2400000000000001E-10</c:v>
                </c:pt>
                <c:pt idx="62">
                  <c:v>1.8500000000000001E-11</c:v>
                </c:pt>
                <c:pt idx="63">
                  <c:v>2.0400000000000002E-12</c:v>
                </c:pt>
                <c:pt idx="64">
                  <c:v>1.06E-13</c:v>
                </c:pt>
                <c:pt idx="65">
                  <c:v>7.7900000000000008E-15</c:v>
                </c:pt>
                <c:pt idx="66">
                  <c:v>2.4400000000000002E-16</c:v>
                </c:pt>
                <c:pt idx="67">
                  <c:v>2.2200000000000001E-18</c:v>
                </c:pt>
                <c:pt idx="68">
                  <c:v>4.5399999999999996E-22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1.83E-17</c:v>
                </c:pt>
                <c:pt idx="77">
                  <c:v>2.5600000000000002E-16</c:v>
                </c:pt>
                <c:pt idx="78">
                  <c:v>6.8800000000000002E-19</c:v>
                </c:pt>
                <c:pt idx="79">
                  <c:v>8.2800000000000004E-25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1.06E-13</c:v>
                </c:pt>
                <c:pt idx="100">
                  <c:v>1.11E-5</c:v>
                </c:pt>
                <c:pt idx="101">
                  <c:v>3.64E-3</c:v>
                </c:pt>
                <c:pt idx="102">
                  <c:v>1.43E-2</c:v>
                </c:pt>
                <c:pt idx="103">
                  <c:v>4.4200000000000003E-3</c:v>
                </c:pt>
                <c:pt idx="104">
                  <c:v>3.1100000000000002E-4</c:v>
                </c:pt>
                <c:pt idx="105">
                  <c:v>3.79E-5</c:v>
                </c:pt>
                <c:pt idx="106">
                  <c:v>4.8600000000000001E-6</c:v>
                </c:pt>
                <c:pt idx="107">
                  <c:v>2.5199999999999998E-7</c:v>
                </c:pt>
                <c:pt idx="108">
                  <c:v>1.2299999999999999E-8</c:v>
                </c:pt>
                <c:pt idx="109">
                  <c:v>3.59E-10</c:v>
                </c:pt>
                <c:pt idx="110">
                  <c:v>3.6399999999999998E-12</c:v>
                </c:pt>
                <c:pt idx="111">
                  <c:v>1.81E-14</c:v>
                </c:pt>
                <c:pt idx="112">
                  <c:v>1.9499999999999999E-17</c:v>
                </c:pt>
                <c:pt idx="113">
                  <c:v>4.2499999999999999E-25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2.3799999999999999E-24</c:v>
                </c:pt>
                <c:pt idx="118">
                  <c:v>1.17E-6</c:v>
                </c:pt>
                <c:pt idx="119">
                  <c:v>4.21E-5</c:v>
                </c:pt>
                <c:pt idx="120">
                  <c:v>9.1499999999999998E-2</c:v>
                </c:pt>
                <c:pt idx="121">
                  <c:v>0.29945190799999999</c:v>
                </c:pt>
                <c:pt idx="122">
                  <c:v>3.1899999999999998E-2</c:v>
                </c:pt>
                <c:pt idx="123">
                  <c:v>1.7899999999999999E-3</c:v>
                </c:pt>
                <c:pt idx="124">
                  <c:v>4.71E-5</c:v>
                </c:pt>
                <c:pt idx="125">
                  <c:v>2.4700000000000001E-6</c:v>
                </c:pt>
                <c:pt idx="126">
                  <c:v>8.4400000000000001E-8</c:v>
                </c:pt>
                <c:pt idx="127">
                  <c:v>6.6499999999999998E-10</c:v>
                </c:pt>
                <c:pt idx="128">
                  <c:v>1.1500000000000001E-11</c:v>
                </c:pt>
                <c:pt idx="129">
                  <c:v>9.4999999999999999E-13</c:v>
                </c:pt>
                <c:pt idx="130">
                  <c:v>7.9500000000000001E-7</c:v>
                </c:pt>
                <c:pt idx="131">
                  <c:v>4.5800000000000002E-5</c:v>
                </c:pt>
                <c:pt idx="132">
                  <c:v>7.1400000000000001E-5</c:v>
                </c:pt>
                <c:pt idx="133">
                  <c:v>1.98E-5</c:v>
                </c:pt>
                <c:pt idx="134">
                  <c:v>2.0999999999999999E-5</c:v>
                </c:pt>
                <c:pt idx="135">
                  <c:v>184.00463110000001</c:v>
                </c:pt>
                <c:pt idx="136">
                  <c:v>2.5842767740000001</c:v>
                </c:pt>
                <c:pt idx="137">
                  <c:v>0.25880229999999999</c:v>
                </c:pt>
                <c:pt idx="138">
                  <c:v>5.1700000000000003E-2</c:v>
                </c:pt>
                <c:pt idx="139">
                  <c:v>4.3899999999999998E-3</c:v>
                </c:pt>
                <c:pt idx="140">
                  <c:v>2.6200000000000003E-4</c:v>
                </c:pt>
                <c:pt idx="141">
                  <c:v>4.6199999999999998E-5</c:v>
                </c:pt>
                <c:pt idx="142">
                  <c:v>1.8700000000000001E-5</c:v>
                </c:pt>
                <c:pt idx="143">
                  <c:v>3.271689399</c:v>
                </c:pt>
                <c:pt idx="144">
                  <c:v>4.8972187790000001</c:v>
                </c:pt>
                <c:pt idx="145">
                  <c:v>0.72964129499999997</c:v>
                </c:pt>
                <c:pt idx="146">
                  <c:v>0.22948601199999999</c:v>
                </c:pt>
                <c:pt idx="147">
                  <c:v>7.3899999999999993E-2</c:v>
                </c:pt>
                <c:pt idx="148">
                  <c:v>2.3300000000000001E-2</c:v>
                </c:pt>
                <c:pt idx="149">
                  <c:v>6.0699999999999999E-3</c:v>
                </c:pt>
                <c:pt idx="150">
                  <c:v>1.3699999999999999E-3</c:v>
                </c:pt>
                <c:pt idx="151">
                  <c:v>3.4000000000000002E-4</c:v>
                </c:pt>
                <c:pt idx="152">
                  <c:v>8.7600000000000002E-5</c:v>
                </c:pt>
                <c:pt idx="153">
                  <c:v>181.28002079999999</c:v>
                </c:pt>
                <c:pt idx="154">
                  <c:v>2.623251292</c:v>
                </c:pt>
                <c:pt idx="155">
                  <c:v>0.47990958500000003</c:v>
                </c:pt>
                <c:pt idx="156">
                  <c:v>0.66360114800000003</c:v>
                </c:pt>
                <c:pt idx="157">
                  <c:v>0.78253888299999996</c:v>
                </c:pt>
                <c:pt idx="158">
                  <c:v>0.41132971200000001</c:v>
                </c:pt>
                <c:pt idx="159">
                  <c:v>0.242868791</c:v>
                </c:pt>
                <c:pt idx="160">
                  <c:v>0.14870599000000001</c:v>
                </c:pt>
                <c:pt idx="161">
                  <c:v>0.171775172</c:v>
                </c:pt>
                <c:pt idx="162">
                  <c:v>0.20300343600000001</c:v>
                </c:pt>
                <c:pt idx="163">
                  <c:v>0.139253243</c:v>
                </c:pt>
                <c:pt idx="164">
                  <c:v>0.1</c:v>
                </c:pt>
                <c:pt idx="165">
                  <c:v>190.74193690000001</c:v>
                </c:pt>
                <c:pt idx="166">
                  <c:v>3.7098002110000001</c:v>
                </c:pt>
                <c:pt idx="167">
                  <c:v>0.83254679200000004</c:v>
                </c:pt>
                <c:pt idx="168">
                  <c:v>0.37465030999999999</c:v>
                </c:pt>
                <c:pt idx="169">
                  <c:v>0.21007849000000001</c:v>
                </c:pt>
                <c:pt idx="170">
                  <c:v>0.14306771400000001</c:v>
                </c:pt>
                <c:pt idx="171">
                  <c:v>0.107167076</c:v>
                </c:pt>
                <c:pt idx="172">
                  <c:v>8.0500000000000002E-2</c:v>
                </c:pt>
                <c:pt idx="173">
                  <c:v>0.21727454900000001</c:v>
                </c:pt>
                <c:pt idx="174">
                  <c:v>0.39471735800000002</c:v>
                </c:pt>
                <c:pt idx="175">
                  <c:v>0.27850675699999999</c:v>
                </c:pt>
                <c:pt idx="176">
                  <c:v>0.20308817400000001</c:v>
                </c:pt>
                <c:pt idx="177">
                  <c:v>192.10943349999999</c:v>
                </c:pt>
                <c:pt idx="178">
                  <c:v>3.6691797149999998</c:v>
                </c:pt>
                <c:pt idx="179">
                  <c:v>0.76676903799999996</c:v>
                </c:pt>
                <c:pt idx="180">
                  <c:v>0.32950549499999998</c:v>
                </c:pt>
                <c:pt idx="181">
                  <c:v>0.174794372</c:v>
                </c:pt>
                <c:pt idx="182">
                  <c:v>0.106256762</c:v>
                </c:pt>
                <c:pt idx="183">
                  <c:v>7.7600000000000002E-2</c:v>
                </c:pt>
                <c:pt idx="184">
                  <c:v>0.1075812</c:v>
                </c:pt>
                <c:pt idx="185">
                  <c:v>0.14176034600000001</c:v>
                </c:pt>
                <c:pt idx="186">
                  <c:v>0.11466722999999999</c:v>
                </c:pt>
                <c:pt idx="187">
                  <c:v>0.45376509399999998</c:v>
                </c:pt>
                <c:pt idx="188">
                  <c:v>12.94869231</c:v>
                </c:pt>
                <c:pt idx="189">
                  <c:v>6.0979857439999998</c:v>
                </c:pt>
                <c:pt idx="190">
                  <c:v>1.5810272780000001</c:v>
                </c:pt>
                <c:pt idx="191">
                  <c:v>0.85959179799999996</c:v>
                </c:pt>
                <c:pt idx="192">
                  <c:v>0.55442686500000005</c:v>
                </c:pt>
                <c:pt idx="193">
                  <c:v>194.82813949999999</c:v>
                </c:pt>
                <c:pt idx="194">
                  <c:v>3.1469870879999999</c:v>
                </c:pt>
                <c:pt idx="195">
                  <c:v>0.80841734600000004</c:v>
                </c:pt>
                <c:pt idx="196">
                  <c:v>3.6927511669999999</c:v>
                </c:pt>
                <c:pt idx="197">
                  <c:v>3.1951406960000002</c:v>
                </c:pt>
                <c:pt idx="198">
                  <c:v>1.1322118619999999</c:v>
                </c:pt>
                <c:pt idx="199">
                  <c:v>0.61898325499999995</c:v>
                </c:pt>
                <c:pt idx="200">
                  <c:v>0.38852796499999998</c:v>
                </c:pt>
                <c:pt idx="201">
                  <c:v>0.28035468099999999</c:v>
                </c:pt>
                <c:pt idx="202">
                  <c:v>0.21623052500000001</c:v>
                </c:pt>
                <c:pt idx="203">
                  <c:v>0.17433636399999999</c:v>
                </c:pt>
                <c:pt idx="204">
                  <c:v>0.14638000700000001</c:v>
                </c:pt>
                <c:pt idx="205">
                  <c:v>0.124017842</c:v>
                </c:pt>
                <c:pt idx="206">
                  <c:v>31.649921419999998</c:v>
                </c:pt>
                <c:pt idx="207">
                  <c:v>8.8890208919999996</c:v>
                </c:pt>
                <c:pt idx="208">
                  <c:v>1.832274363</c:v>
                </c:pt>
                <c:pt idx="209">
                  <c:v>0.98167921899999999</c:v>
                </c:pt>
                <c:pt idx="210">
                  <c:v>0.63750952299999997</c:v>
                </c:pt>
                <c:pt idx="211">
                  <c:v>0.46210205900000001</c:v>
                </c:pt>
                <c:pt idx="212">
                  <c:v>0.42384114299999998</c:v>
                </c:pt>
                <c:pt idx="213">
                  <c:v>0.39642161199999998</c:v>
                </c:pt>
                <c:pt idx="214">
                  <c:v>0.30163519</c:v>
                </c:pt>
                <c:pt idx="215">
                  <c:v>0.58456375800000004</c:v>
                </c:pt>
                <c:pt idx="216">
                  <c:v>0.708531358</c:v>
                </c:pt>
                <c:pt idx="217">
                  <c:v>193.46627430000001</c:v>
                </c:pt>
                <c:pt idx="218">
                  <c:v>3.5371748790000002</c:v>
                </c:pt>
                <c:pt idx="219">
                  <c:v>0.60191498499999996</c:v>
                </c:pt>
                <c:pt idx="220">
                  <c:v>0.16342395600000001</c:v>
                </c:pt>
                <c:pt idx="221">
                  <c:v>4.3400000000000001E-2</c:v>
                </c:pt>
                <c:pt idx="222">
                  <c:v>9.75E-3</c:v>
                </c:pt>
                <c:pt idx="223">
                  <c:v>1.41E-3</c:v>
                </c:pt>
                <c:pt idx="224">
                  <c:v>1.17E-4</c:v>
                </c:pt>
                <c:pt idx="225">
                  <c:v>8.2700000000000004E-6</c:v>
                </c:pt>
                <c:pt idx="226">
                  <c:v>4.2199999999999999E-7</c:v>
                </c:pt>
                <c:pt idx="227">
                  <c:v>0.16837371400000001</c:v>
                </c:pt>
                <c:pt idx="228">
                  <c:v>0.76314210699999996</c:v>
                </c:pt>
                <c:pt idx="229">
                  <c:v>9.1800000000000007E-2</c:v>
                </c:pt>
                <c:pt idx="230">
                  <c:v>7.3699999999999998E-3</c:v>
                </c:pt>
                <c:pt idx="231">
                  <c:v>3.0200000000000002E-4</c:v>
                </c:pt>
                <c:pt idx="232">
                  <c:v>6.5699999999999998E-6</c:v>
                </c:pt>
                <c:pt idx="233">
                  <c:v>8.9900000000000004E-8</c:v>
                </c:pt>
                <c:pt idx="234">
                  <c:v>9.29E-10</c:v>
                </c:pt>
                <c:pt idx="235">
                  <c:v>9.2899999999999994E-12</c:v>
                </c:pt>
                <c:pt idx="236">
                  <c:v>1.23E-14</c:v>
                </c:pt>
                <c:pt idx="237">
                  <c:v>1.2500000000000001E-19</c:v>
                </c:pt>
                <c:pt idx="238">
                  <c:v>0</c:v>
                </c:pt>
                <c:pt idx="239">
                  <c:v>2.28E-9</c:v>
                </c:pt>
                <c:pt idx="240">
                  <c:v>1.4100000000000001E-8</c:v>
                </c:pt>
                <c:pt idx="241">
                  <c:v>7.3599999999999997E-11</c:v>
                </c:pt>
                <c:pt idx="242">
                  <c:v>3.2900000000000001E-13</c:v>
                </c:pt>
                <c:pt idx="243">
                  <c:v>1.0099999999999999E-14</c:v>
                </c:pt>
                <c:pt idx="244">
                  <c:v>2.2800000000000001E-19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2.1999999999999999E-2</c:v>
                </c:pt>
                <c:pt idx="259">
                  <c:v>0.13474074699999999</c:v>
                </c:pt>
                <c:pt idx="260">
                  <c:v>1.8800000000000001E-2</c:v>
                </c:pt>
                <c:pt idx="261">
                  <c:v>4.4799999999999996E-3</c:v>
                </c:pt>
                <c:pt idx="262">
                  <c:v>0.18271288499999999</c:v>
                </c:pt>
                <c:pt idx="263">
                  <c:v>0.50966671600000002</c:v>
                </c:pt>
                <c:pt idx="264">
                  <c:v>9.0300000000000005E-2</c:v>
                </c:pt>
                <c:pt idx="265">
                  <c:v>1.2500000000000001E-2</c:v>
                </c:pt>
                <c:pt idx="266">
                  <c:v>1.1000000000000001E-3</c:v>
                </c:pt>
                <c:pt idx="267">
                  <c:v>6.4200000000000002E-5</c:v>
                </c:pt>
                <c:pt idx="268">
                  <c:v>1.3465761869999999</c:v>
                </c:pt>
                <c:pt idx="269">
                  <c:v>3.3750338150000001</c:v>
                </c:pt>
                <c:pt idx="270">
                  <c:v>0.61746364799999998</c:v>
                </c:pt>
                <c:pt idx="271">
                  <c:v>0.12031745000000001</c:v>
                </c:pt>
                <c:pt idx="272">
                  <c:v>1.67E-2</c:v>
                </c:pt>
                <c:pt idx="273">
                  <c:v>1.7099999999999999E-3</c:v>
                </c:pt>
                <c:pt idx="274">
                  <c:v>1.13E-4</c:v>
                </c:pt>
                <c:pt idx="275">
                  <c:v>8.0400000000000003E-5</c:v>
                </c:pt>
                <c:pt idx="276">
                  <c:v>13.07853725</c:v>
                </c:pt>
                <c:pt idx="277">
                  <c:v>8.3721908220000003</c:v>
                </c:pt>
                <c:pt idx="278">
                  <c:v>5.2864638770000001</c:v>
                </c:pt>
                <c:pt idx="279">
                  <c:v>2.9824810789999998</c:v>
                </c:pt>
                <c:pt idx="280">
                  <c:v>0.69093480200000001</c:v>
                </c:pt>
                <c:pt idx="281">
                  <c:v>0.21320444499999999</c:v>
                </c:pt>
                <c:pt idx="282">
                  <c:v>6.3100000000000003E-2</c:v>
                </c:pt>
                <c:pt idx="283">
                  <c:v>1.7500000000000002E-2</c:v>
                </c:pt>
                <c:pt idx="284">
                  <c:v>3.9699999999999996E-3</c:v>
                </c:pt>
                <c:pt idx="285">
                  <c:v>7.3899999999999997E-4</c:v>
                </c:pt>
                <c:pt idx="286">
                  <c:v>1.2E-4</c:v>
                </c:pt>
                <c:pt idx="287">
                  <c:v>2.0000000000000002E-5</c:v>
                </c:pt>
                <c:pt idx="288">
                  <c:v>3.7400000000000002E-6</c:v>
                </c:pt>
                <c:pt idx="289">
                  <c:v>6.7400000000000003E-7</c:v>
                </c:pt>
                <c:pt idx="290">
                  <c:v>1.24E-7</c:v>
                </c:pt>
                <c:pt idx="291">
                  <c:v>2.37E-8</c:v>
                </c:pt>
                <c:pt idx="292">
                  <c:v>5.7100000000000003E-9</c:v>
                </c:pt>
                <c:pt idx="293">
                  <c:v>1.09E-7</c:v>
                </c:pt>
                <c:pt idx="294">
                  <c:v>3.4299999999999999E-7</c:v>
                </c:pt>
                <c:pt idx="295">
                  <c:v>9.8500000000000002E-8</c:v>
                </c:pt>
                <c:pt idx="296">
                  <c:v>2.77E-8</c:v>
                </c:pt>
                <c:pt idx="297">
                  <c:v>7.0299999999999999E-9</c:v>
                </c:pt>
                <c:pt idx="298">
                  <c:v>1.87E-9</c:v>
                </c:pt>
                <c:pt idx="299">
                  <c:v>6.6399999999999998E-10</c:v>
                </c:pt>
                <c:pt idx="300">
                  <c:v>3.14E-10</c:v>
                </c:pt>
                <c:pt idx="301">
                  <c:v>7.2799999999999997E-11</c:v>
                </c:pt>
                <c:pt idx="302">
                  <c:v>1.37E-9</c:v>
                </c:pt>
                <c:pt idx="303">
                  <c:v>5.6500000000000001E-9</c:v>
                </c:pt>
                <c:pt idx="304">
                  <c:v>6.7677870159999998</c:v>
                </c:pt>
                <c:pt idx="305">
                  <c:v>8.7317205999999992</c:v>
                </c:pt>
                <c:pt idx="306">
                  <c:v>10.213248180000001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4E-47FB-AA18-C45CAE96A3A2}"/>
            </c:ext>
          </c:extLst>
        </c:ser>
        <c:ser>
          <c:idx val="1"/>
          <c:order val="4"/>
          <c:tx>
            <c:v>Risalita capillare</c:v>
          </c:tx>
          <c:spPr>
            <a:ln w="19050"/>
          </c:spPr>
          <c:marker>
            <c:symbol val="none"/>
          </c:marker>
          <c:cat>
            <c:numRef>
              <c:f>'Bilancio secondo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secondo strato'!$D$2:$D$366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4E-47FB-AA18-C45CAE96A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704384"/>
        <c:axId val="630704960"/>
      </c:lineChart>
      <c:lineChart>
        <c:grouping val="standard"/>
        <c:varyColors val="0"/>
        <c:ser>
          <c:idx val="2"/>
          <c:order val="2"/>
          <c:tx>
            <c:v>Traspirazione</c:v>
          </c:tx>
          <c:spPr>
            <a:ln w="19050"/>
          </c:spPr>
          <c:marker>
            <c:symbol val="none"/>
          </c:marker>
          <c:cat>
            <c:numRef>
              <c:f>'Bilancio secondo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secondo strato'!$E$2:$E$366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0.27717724999999999</c:v>
                </c:pt>
                <c:pt idx="93">
                  <c:v>0.490676116</c:v>
                </c:pt>
                <c:pt idx="94">
                  <c:v>0.4881839</c:v>
                </c:pt>
                <c:pt idx="95">
                  <c:v>0.499120909</c:v>
                </c:pt>
                <c:pt idx="96">
                  <c:v>0.54382363099999997</c:v>
                </c:pt>
                <c:pt idx="97">
                  <c:v>0.51778213399999995</c:v>
                </c:pt>
                <c:pt idx="98">
                  <c:v>0.34521670799999998</c:v>
                </c:pt>
                <c:pt idx="99">
                  <c:v>0.29220022400000001</c:v>
                </c:pt>
                <c:pt idx="100">
                  <c:v>0.16198099199999999</c:v>
                </c:pt>
                <c:pt idx="101">
                  <c:v>0.15785227199999999</c:v>
                </c:pt>
                <c:pt idx="102">
                  <c:v>0.39997603300000001</c:v>
                </c:pt>
                <c:pt idx="103">
                  <c:v>0.46604940500000003</c:v>
                </c:pt>
                <c:pt idx="104">
                  <c:v>0.373787174</c:v>
                </c:pt>
                <c:pt idx="105">
                  <c:v>0.433909239</c:v>
                </c:pt>
                <c:pt idx="106">
                  <c:v>0.46687995700000001</c:v>
                </c:pt>
                <c:pt idx="107">
                  <c:v>0.44871921399999998</c:v>
                </c:pt>
                <c:pt idx="108">
                  <c:v>0.487670139</c:v>
                </c:pt>
                <c:pt idx="109">
                  <c:v>0.57058262000000004</c:v>
                </c:pt>
                <c:pt idx="110">
                  <c:v>0.55354632800000003</c:v>
                </c:pt>
                <c:pt idx="111">
                  <c:v>0.52995375600000005</c:v>
                </c:pt>
                <c:pt idx="112">
                  <c:v>0.57198986900000004</c:v>
                </c:pt>
                <c:pt idx="113">
                  <c:v>0.62886999099999996</c:v>
                </c:pt>
                <c:pt idx="114">
                  <c:v>0.65874652600000005</c:v>
                </c:pt>
                <c:pt idx="115">
                  <c:v>0.26952520699999999</c:v>
                </c:pt>
                <c:pt idx="116">
                  <c:v>0.27856772600000002</c:v>
                </c:pt>
                <c:pt idx="117">
                  <c:v>0.43077381999999997</c:v>
                </c:pt>
                <c:pt idx="118">
                  <c:v>0.19496693000000001</c:v>
                </c:pt>
                <c:pt idx="119">
                  <c:v>0.32821096900000002</c:v>
                </c:pt>
                <c:pt idx="120">
                  <c:v>0.25045899599999999</c:v>
                </c:pt>
                <c:pt idx="121">
                  <c:v>0.62769823400000002</c:v>
                </c:pt>
                <c:pt idx="122">
                  <c:v>0.69590760399999996</c:v>
                </c:pt>
                <c:pt idx="123">
                  <c:v>0.81803172599999996</c:v>
                </c:pt>
                <c:pt idx="124">
                  <c:v>0.74185946700000005</c:v>
                </c:pt>
                <c:pt idx="125">
                  <c:v>0.87853900100000004</c:v>
                </c:pt>
                <c:pt idx="126">
                  <c:v>1.2902375180000001</c:v>
                </c:pt>
                <c:pt idx="127">
                  <c:v>1.1455726980000001</c:v>
                </c:pt>
                <c:pt idx="128">
                  <c:v>1.222724285</c:v>
                </c:pt>
                <c:pt idx="129">
                  <c:v>1.221459716</c:v>
                </c:pt>
                <c:pt idx="130">
                  <c:v>0.58770122999999996</c:v>
                </c:pt>
                <c:pt idx="131">
                  <c:v>1.567219278</c:v>
                </c:pt>
                <c:pt idx="132">
                  <c:v>1.6315323269999999</c:v>
                </c:pt>
                <c:pt idx="133">
                  <c:v>1.407662757</c:v>
                </c:pt>
                <c:pt idx="134">
                  <c:v>1.2790918899999999</c:v>
                </c:pt>
                <c:pt idx="135">
                  <c:v>0.84471360699999998</c:v>
                </c:pt>
                <c:pt idx="136">
                  <c:v>2.496589046</c:v>
                </c:pt>
                <c:pt idx="137">
                  <c:v>2.272061168</c:v>
                </c:pt>
                <c:pt idx="138">
                  <c:v>2.4791876720000001</c:v>
                </c:pt>
                <c:pt idx="139">
                  <c:v>2.6450491739999999</c:v>
                </c:pt>
                <c:pt idx="140">
                  <c:v>2.4767134519999998</c:v>
                </c:pt>
                <c:pt idx="141">
                  <c:v>1.7513530420000001</c:v>
                </c:pt>
                <c:pt idx="142">
                  <c:v>2.9076535899999998</c:v>
                </c:pt>
                <c:pt idx="143">
                  <c:v>0.79068431900000002</c:v>
                </c:pt>
                <c:pt idx="144">
                  <c:v>3.3116179209999999</c:v>
                </c:pt>
                <c:pt idx="145">
                  <c:v>3.0877015989999999</c:v>
                </c:pt>
                <c:pt idx="146">
                  <c:v>3.3991905149999999</c:v>
                </c:pt>
                <c:pt idx="147">
                  <c:v>3.5274499860000001</c:v>
                </c:pt>
                <c:pt idx="148">
                  <c:v>3.6603602899999998</c:v>
                </c:pt>
                <c:pt idx="149">
                  <c:v>4.0273808149999999</c:v>
                </c:pt>
                <c:pt idx="150">
                  <c:v>3.6417304349999999</c:v>
                </c:pt>
                <c:pt idx="151">
                  <c:v>4.1701628380000004</c:v>
                </c:pt>
                <c:pt idx="152">
                  <c:v>3.715766055</c:v>
                </c:pt>
                <c:pt idx="153">
                  <c:v>4.570619636</c:v>
                </c:pt>
                <c:pt idx="154">
                  <c:v>4.660419611</c:v>
                </c:pt>
                <c:pt idx="155">
                  <c:v>3.5594267749999999</c:v>
                </c:pt>
                <c:pt idx="156">
                  <c:v>4.8478678329999996</c:v>
                </c:pt>
                <c:pt idx="157">
                  <c:v>3.5643057649999998</c:v>
                </c:pt>
                <c:pt idx="158">
                  <c:v>3.9006313889999999</c:v>
                </c:pt>
                <c:pt idx="159">
                  <c:v>5.1543956499999997</c:v>
                </c:pt>
                <c:pt idx="160">
                  <c:v>5.3613830179999997</c:v>
                </c:pt>
                <c:pt idx="161">
                  <c:v>5.4757376579999999</c:v>
                </c:pt>
                <c:pt idx="162">
                  <c:v>5.8946794960000002</c:v>
                </c:pt>
                <c:pt idx="163">
                  <c:v>7.0181787599999996</c:v>
                </c:pt>
                <c:pt idx="164">
                  <c:v>6.525348492</c:v>
                </c:pt>
                <c:pt idx="165">
                  <c:v>6.3542109880000002</c:v>
                </c:pt>
                <c:pt idx="166">
                  <c:v>5.0529989649999996</c:v>
                </c:pt>
                <c:pt idx="167">
                  <c:v>5.7091906799999999</c:v>
                </c:pt>
                <c:pt idx="168">
                  <c:v>6.2696103909999996</c:v>
                </c:pt>
                <c:pt idx="169">
                  <c:v>5.4561342750000001</c:v>
                </c:pt>
                <c:pt idx="170">
                  <c:v>4.4279737060000004</c:v>
                </c:pt>
                <c:pt idx="171">
                  <c:v>5.9045215200000003</c:v>
                </c:pt>
                <c:pt idx="172">
                  <c:v>6.1817437850000001</c:v>
                </c:pt>
                <c:pt idx="173">
                  <c:v>5.5225318220000004</c:v>
                </c:pt>
                <c:pt idx="174">
                  <c:v>5.8308096010000003</c:v>
                </c:pt>
                <c:pt idx="175">
                  <c:v>6.4929064800000003</c:v>
                </c:pt>
                <c:pt idx="176">
                  <c:v>6.0216938280000001</c:v>
                </c:pt>
                <c:pt idx="177">
                  <c:v>5.9061703320000003</c:v>
                </c:pt>
                <c:pt idx="178">
                  <c:v>6.4323040450000004</c:v>
                </c:pt>
                <c:pt idx="179">
                  <c:v>6.5365984839999998</c:v>
                </c:pt>
                <c:pt idx="180">
                  <c:v>6.0648813879999999</c:v>
                </c:pt>
                <c:pt idx="181">
                  <c:v>6.7789353869999998</c:v>
                </c:pt>
                <c:pt idx="182">
                  <c:v>6.2143034669999997</c:v>
                </c:pt>
                <c:pt idx="183">
                  <c:v>4.8944455769999999</c:v>
                </c:pt>
                <c:pt idx="184">
                  <c:v>2.611030371</c:v>
                </c:pt>
                <c:pt idx="185">
                  <c:v>5.2367410230000004</c:v>
                </c:pt>
                <c:pt idx="186">
                  <c:v>5.9136541840000003</c:v>
                </c:pt>
                <c:pt idx="187">
                  <c:v>6.1810769609999996</c:v>
                </c:pt>
                <c:pt idx="188">
                  <c:v>4.5067480040000003</c:v>
                </c:pt>
                <c:pt idx="189">
                  <c:v>6.4741226999999997</c:v>
                </c:pt>
                <c:pt idx="190">
                  <c:v>5.9633796769999998</c:v>
                </c:pt>
                <c:pt idx="191">
                  <c:v>6.3114070299999998</c:v>
                </c:pt>
                <c:pt idx="192">
                  <c:v>5.546185833</c:v>
                </c:pt>
                <c:pt idx="193">
                  <c:v>5.2546949859999996</c:v>
                </c:pt>
                <c:pt idx="194">
                  <c:v>4.4950180279999996</c:v>
                </c:pt>
                <c:pt idx="195">
                  <c:v>4.1544099430000001</c:v>
                </c:pt>
                <c:pt idx="196">
                  <c:v>5.1360562959999996</c:v>
                </c:pt>
                <c:pt idx="197">
                  <c:v>4.9609220010000001</c:v>
                </c:pt>
                <c:pt idx="198">
                  <c:v>5.0624594749999998</c:v>
                </c:pt>
                <c:pt idx="199">
                  <c:v>6.4846660849999997</c:v>
                </c:pt>
                <c:pt idx="200">
                  <c:v>6.3575892520000004</c:v>
                </c:pt>
                <c:pt idx="201">
                  <c:v>5.9071549860000001</c:v>
                </c:pt>
                <c:pt idx="202">
                  <c:v>6.0080598360000002</c:v>
                </c:pt>
                <c:pt idx="203">
                  <c:v>5.5002328580000004</c:v>
                </c:pt>
                <c:pt idx="204">
                  <c:v>5.3457732030000003</c:v>
                </c:pt>
                <c:pt idx="205">
                  <c:v>4.9571197480000002</c:v>
                </c:pt>
                <c:pt idx="206">
                  <c:v>3.995774328</c:v>
                </c:pt>
                <c:pt idx="207">
                  <c:v>4.3255331369999999</c:v>
                </c:pt>
                <c:pt idx="208">
                  <c:v>4.1823244720000003</c:v>
                </c:pt>
                <c:pt idx="209">
                  <c:v>5.7060371910000001</c:v>
                </c:pt>
                <c:pt idx="210">
                  <c:v>4.926541812</c:v>
                </c:pt>
                <c:pt idx="211">
                  <c:v>4.9695316119999999</c:v>
                </c:pt>
                <c:pt idx="212">
                  <c:v>3.9240481859999998</c:v>
                </c:pt>
                <c:pt idx="213">
                  <c:v>4.8172697810000003</c:v>
                </c:pt>
                <c:pt idx="214">
                  <c:v>4.3388084720000002</c:v>
                </c:pt>
                <c:pt idx="215">
                  <c:v>2.2292075140000001</c:v>
                </c:pt>
                <c:pt idx="216">
                  <c:v>5.2077278649999998</c:v>
                </c:pt>
                <c:pt idx="217">
                  <c:v>4.497225963</c:v>
                </c:pt>
                <c:pt idx="218">
                  <c:v>3.1786573460000001</c:v>
                </c:pt>
                <c:pt idx="219">
                  <c:v>3.5746012970000001</c:v>
                </c:pt>
                <c:pt idx="220">
                  <c:v>3.8166372179999999</c:v>
                </c:pt>
                <c:pt idx="221">
                  <c:v>3.428478165</c:v>
                </c:pt>
                <c:pt idx="222">
                  <c:v>3.4235361800000002</c:v>
                </c:pt>
                <c:pt idx="223">
                  <c:v>3.4027765400000001</c:v>
                </c:pt>
                <c:pt idx="224">
                  <c:v>3.0946625700000001</c:v>
                </c:pt>
                <c:pt idx="225">
                  <c:v>2.8097949259999999</c:v>
                </c:pt>
                <c:pt idx="226">
                  <c:v>2.7123723160000002</c:v>
                </c:pt>
                <c:pt idx="227">
                  <c:v>2.3579612659999998</c:v>
                </c:pt>
                <c:pt idx="228">
                  <c:v>2.0647048379999999</c:v>
                </c:pt>
                <c:pt idx="229">
                  <c:v>1.83306627</c:v>
                </c:pt>
                <c:pt idx="230">
                  <c:v>1.4598659730000001</c:v>
                </c:pt>
                <c:pt idx="231">
                  <c:v>1.299160184</c:v>
                </c:pt>
                <c:pt idx="232">
                  <c:v>1.1360793979999999</c:v>
                </c:pt>
                <c:pt idx="233">
                  <c:v>0.90581480700000006</c:v>
                </c:pt>
                <c:pt idx="234">
                  <c:v>0.69091425299999998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4E-47FB-AA18-C45CAE96A3A2}"/>
            </c:ext>
          </c:extLst>
        </c:ser>
        <c:ser>
          <c:idx val="3"/>
          <c:order val="3"/>
          <c:tx>
            <c:v>Percolazione dal secondo strato</c:v>
          </c:tx>
          <c:spPr>
            <a:ln w="19050"/>
          </c:spPr>
          <c:marker>
            <c:symbol val="none"/>
          </c:marker>
          <c:cat>
            <c:numRef>
              <c:f>'Bilancio secondo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secondo strato'!$F$2:$F$366</c:f>
              <c:numCache>
                <c:formatCode>General</c:formatCode>
                <c:ptCount val="365"/>
                <c:pt idx="0">
                  <c:v>0.21086889</c:v>
                </c:pt>
                <c:pt idx="1">
                  <c:v>0.36486832499999999</c:v>
                </c:pt>
                <c:pt idx="2">
                  <c:v>0.67606668000000003</c:v>
                </c:pt>
                <c:pt idx="3">
                  <c:v>0.90791603600000004</c:v>
                </c:pt>
                <c:pt idx="4">
                  <c:v>1.2173893490000001</c:v>
                </c:pt>
                <c:pt idx="5">
                  <c:v>1.549675688</c:v>
                </c:pt>
                <c:pt idx="6">
                  <c:v>1.6163220920000001</c:v>
                </c:pt>
                <c:pt idx="7">
                  <c:v>1.5817010819999999</c:v>
                </c:pt>
                <c:pt idx="8">
                  <c:v>1.5431978909999999</c:v>
                </c:pt>
                <c:pt idx="9">
                  <c:v>1.47863455</c:v>
                </c:pt>
                <c:pt idx="10">
                  <c:v>1.4007359850000001</c:v>
                </c:pt>
                <c:pt idx="11">
                  <c:v>1.322582878</c:v>
                </c:pt>
                <c:pt idx="12">
                  <c:v>1.2470497</c:v>
                </c:pt>
                <c:pt idx="13">
                  <c:v>1.1746966089999999</c:v>
                </c:pt>
                <c:pt idx="14">
                  <c:v>1.1072213639999999</c:v>
                </c:pt>
                <c:pt idx="15">
                  <c:v>1.04507331</c:v>
                </c:pt>
                <c:pt idx="16">
                  <c:v>0.98833595200000002</c:v>
                </c:pt>
                <c:pt idx="17">
                  <c:v>0.93670332000000001</c:v>
                </c:pt>
                <c:pt idx="18">
                  <c:v>0.88988148099999997</c:v>
                </c:pt>
                <c:pt idx="19">
                  <c:v>0.84891106199999999</c:v>
                </c:pt>
                <c:pt idx="20">
                  <c:v>0.83901685400000003</c:v>
                </c:pt>
                <c:pt idx="21">
                  <c:v>1.1504660609999999</c:v>
                </c:pt>
                <c:pt idx="22">
                  <c:v>2.0357184400000001</c:v>
                </c:pt>
                <c:pt idx="23">
                  <c:v>2.714225468</c:v>
                </c:pt>
                <c:pt idx="24">
                  <c:v>2.6262554740000001</c:v>
                </c:pt>
                <c:pt idx="25">
                  <c:v>2.3952150190000001</c:v>
                </c:pt>
                <c:pt idx="26">
                  <c:v>2.1568549379999999</c:v>
                </c:pt>
                <c:pt idx="27">
                  <c:v>1.9488990399999999</c:v>
                </c:pt>
                <c:pt idx="28">
                  <c:v>1.772012036</c:v>
                </c:pt>
                <c:pt idx="29">
                  <c:v>1.621964655</c:v>
                </c:pt>
                <c:pt idx="30">
                  <c:v>1.499942576</c:v>
                </c:pt>
                <c:pt idx="31">
                  <c:v>1.414229347</c:v>
                </c:pt>
                <c:pt idx="32">
                  <c:v>1.3343985140000001</c:v>
                </c:pt>
                <c:pt idx="33">
                  <c:v>1.3348337320000001</c:v>
                </c:pt>
                <c:pt idx="34">
                  <c:v>1.7261209900000001</c:v>
                </c:pt>
                <c:pt idx="35">
                  <c:v>1.8204541409999999</c:v>
                </c:pt>
                <c:pt idx="36">
                  <c:v>1.7592604030000001</c:v>
                </c:pt>
                <c:pt idx="37">
                  <c:v>1.871235867</c:v>
                </c:pt>
                <c:pt idx="38">
                  <c:v>2.6255563359999998</c:v>
                </c:pt>
                <c:pt idx="39">
                  <c:v>2.6086284210000001</c:v>
                </c:pt>
                <c:pt idx="40">
                  <c:v>2.708845926</c:v>
                </c:pt>
                <c:pt idx="41">
                  <c:v>3.2074661529999999</c:v>
                </c:pt>
                <c:pt idx="42">
                  <c:v>3.0285131789999999</c:v>
                </c:pt>
                <c:pt idx="43">
                  <c:v>2.710465058</c:v>
                </c:pt>
                <c:pt idx="44">
                  <c:v>2.4145403980000002</c:v>
                </c:pt>
                <c:pt idx="45">
                  <c:v>2.1605399140000001</c:v>
                </c:pt>
                <c:pt idx="46">
                  <c:v>1.9468265229999999</c:v>
                </c:pt>
                <c:pt idx="47">
                  <c:v>1.7653464510000001</c:v>
                </c:pt>
                <c:pt idx="48">
                  <c:v>1.6118396930000001</c:v>
                </c:pt>
                <c:pt idx="49">
                  <c:v>1.4815278359999999</c:v>
                </c:pt>
                <c:pt idx="50">
                  <c:v>1.369394778</c:v>
                </c:pt>
                <c:pt idx="51">
                  <c:v>1.2719113529999999</c:v>
                </c:pt>
                <c:pt idx="52">
                  <c:v>1.1865007240000001</c:v>
                </c:pt>
                <c:pt idx="53">
                  <c:v>1.1111868030000001</c:v>
                </c:pt>
                <c:pt idx="54">
                  <c:v>1.0443511489999999</c:v>
                </c:pt>
                <c:pt idx="55">
                  <c:v>0.98468378400000001</c:v>
                </c:pt>
                <c:pt idx="56">
                  <c:v>0.931118695</c:v>
                </c:pt>
                <c:pt idx="57">
                  <c:v>0.88278336199999996</c:v>
                </c:pt>
                <c:pt idx="58">
                  <c:v>0.83896108999999996</c:v>
                </c:pt>
                <c:pt idx="59">
                  <c:v>0.79905903899999997</c:v>
                </c:pt>
                <c:pt idx="60">
                  <c:v>0.76258292299999997</c:v>
                </c:pt>
                <c:pt idx="61">
                  <c:v>0.72911747999999998</c:v>
                </c:pt>
                <c:pt idx="62">
                  <c:v>0.69831137799999998</c:v>
                </c:pt>
                <c:pt idx="63">
                  <c:v>0.66986542400000004</c:v>
                </c:pt>
                <c:pt idx="64">
                  <c:v>0.64352328999999997</c:v>
                </c:pt>
                <c:pt idx="65">
                  <c:v>0.61906414300000001</c:v>
                </c:pt>
                <c:pt idx="66">
                  <c:v>0.59629673299999997</c:v>
                </c:pt>
                <c:pt idx="67">
                  <c:v>0.57505463099999998</c:v>
                </c:pt>
                <c:pt idx="68">
                  <c:v>0.55519234799999995</c:v>
                </c:pt>
                <c:pt idx="69">
                  <c:v>0.53658215799999998</c:v>
                </c:pt>
                <c:pt idx="70">
                  <c:v>0.51911148399999996</c:v>
                </c:pt>
                <c:pt idx="71">
                  <c:v>0.50268072900000005</c:v>
                </c:pt>
                <c:pt idx="72">
                  <c:v>0.487201465</c:v>
                </c:pt>
                <c:pt idx="73">
                  <c:v>0.472594923</c:v>
                </c:pt>
                <c:pt idx="74">
                  <c:v>0.45879071100000002</c:v>
                </c:pt>
                <c:pt idx="75">
                  <c:v>0.44572573999999998</c:v>
                </c:pt>
                <c:pt idx="76">
                  <c:v>0.43334330399999998</c:v>
                </c:pt>
                <c:pt idx="77">
                  <c:v>0.421592297</c:v>
                </c:pt>
                <c:pt idx="78">
                  <c:v>0.41042654299999998</c:v>
                </c:pt>
                <c:pt idx="79">
                  <c:v>0.39980421900000002</c:v>
                </c:pt>
                <c:pt idx="80">
                  <c:v>0.38968735500000001</c:v>
                </c:pt>
                <c:pt idx="81">
                  <c:v>0.380041405</c:v>
                </c:pt>
                <c:pt idx="82">
                  <c:v>0.37083487100000001</c:v>
                </c:pt>
                <c:pt idx="83">
                  <c:v>0.36203897400000001</c:v>
                </c:pt>
                <c:pt idx="84">
                  <c:v>0.35362737399999999</c:v>
                </c:pt>
                <c:pt idx="85">
                  <c:v>0.34557590999999999</c:v>
                </c:pt>
                <c:pt idx="86">
                  <c:v>0.33786238899999999</c:v>
                </c:pt>
                <c:pt idx="87">
                  <c:v>0.33046638499999997</c:v>
                </c:pt>
                <c:pt idx="88">
                  <c:v>0.32336906999999998</c:v>
                </c:pt>
                <c:pt idx="89">
                  <c:v>0.31655306300000002</c:v>
                </c:pt>
                <c:pt idx="90">
                  <c:v>0.31000228899999999</c:v>
                </c:pt>
                <c:pt idx="91">
                  <c:v>0.30370186700000001</c:v>
                </c:pt>
                <c:pt idx="92">
                  <c:v>0.276875023</c:v>
                </c:pt>
                <c:pt idx="93">
                  <c:v>0.22797864300000001</c:v>
                </c:pt>
                <c:pt idx="94">
                  <c:v>0.18354227400000001</c:v>
                </c:pt>
                <c:pt idx="95">
                  <c:v>0.150699747</c:v>
                </c:pt>
                <c:pt idx="96">
                  <c:v>0.12485307900000001</c:v>
                </c:pt>
                <c:pt idx="97">
                  <c:v>0.104882341</c:v>
                </c:pt>
                <c:pt idx="98">
                  <c:v>9.1499999999999998E-2</c:v>
                </c:pt>
                <c:pt idx="99">
                  <c:v>8.3299999999999999E-2</c:v>
                </c:pt>
                <c:pt idx="100">
                  <c:v>7.8299999999999995E-2</c:v>
                </c:pt>
                <c:pt idx="101">
                  <c:v>7.5399999999999995E-2</c:v>
                </c:pt>
                <c:pt idx="102">
                  <c:v>7.0800000000000002E-2</c:v>
                </c:pt>
                <c:pt idx="103">
                  <c:v>6.3899999999999998E-2</c:v>
                </c:pt>
                <c:pt idx="104">
                  <c:v>5.8400000000000001E-2</c:v>
                </c:pt>
                <c:pt idx="105">
                  <c:v>5.3600000000000002E-2</c:v>
                </c:pt>
                <c:pt idx="106">
                  <c:v>4.8800000000000003E-2</c:v>
                </c:pt>
                <c:pt idx="107">
                  <c:v>4.4600000000000001E-2</c:v>
                </c:pt>
                <c:pt idx="108">
                  <c:v>4.0800000000000003E-2</c:v>
                </c:pt>
                <c:pt idx="109">
                  <c:v>3.6900000000000002E-2</c:v>
                </c:pt>
                <c:pt idx="110">
                  <c:v>3.32E-2</c:v>
                </c:pt>
                <c:pt idx="111">
                  <c:v>3.04E-2</c:v>
                </c:pt>
                <c:pt idx="112">
                  <c:v>2.7699999999999999E-2</c:v>
                </c:pt>
                <c:pt idx="113">
                  <c:v>2.5000000000000001E-2</c:v>
                </c:pt>
                <c:pt idx="114">
                  <c:v>2.2499999999999999E-2</c:v>
                </c:pt>
                <c:pt idx="115">
                  <c:v>2.1000000000000001E-2</c:v>
                </c:pt>
                <c:pt idx="116">
                  <c:v>2.07E-2</c:v>
                </c:pt>
                <c:pt idx="117">
                  <c:v>0.02</c:v>
                </c:pt>
                <c:pt idx="118">
                  <c:v>1.9599999999999999E-2</c:v>
                </c:pt>
                <c:pt idx="119">
                  <c:v>1.9400000000000001E-2</c:v>
                </c:pt>
                <c:pt idx="120">
                  <c:v>1.9099999999999999E-2</c:v>
                </c:pt>
                <c:pt idx="121">
                  <c:v>1.9300000000000001E-2</c:v>
                </c:pt>
                <c:pt idx="122">
                  <c:v>1.8100000000000002E-2</c:v>
                </c:pt>
                <c:pt idx="123">
                  <c:v>1.6400000000000001E-2</c:v>
                </c:pt>
                <c:pt idx="124">
                  <c:v>1.47E-2</c:v>
                </c:pt>
                <c:pt idx="125">
                  <c:v>1.3299999999999999E-2</c:v>
                </c:pt>
                <c:pt idx="126">
                  <c:v>1.14E-2</c:v>
                </c:pt>
                <c:pt idx="127">
                  <c:v>9.4400000000000005E-3</c:v>
                </c:pt>
                <c:pt idx="128">
                  <c:v>7.92E-3</c:v>
                </c:pt>
                <c:pt idx="129">
                  <c:v>6.6100000000000004E-3</c:v>
                </c:pt>
                <c:pt idx="130">
                  <c:v>5.8700000000000002E-3</c:v>
                </c:pt>
                <c:pt idx="131">
                  <c:v>5.1200000000000004E-3</c:v>
                </c:pt>
                <c:pt idx="132">
                  <c:v>4.0299999999999997E-3</c:v>
                </c:pt>
                <c:pt idx="133">
                  <c:v>3.1800000000000001E-3</c:v>
                </c:pt>
                <c:pt idx="134">
                  <c:v>2.6199999999999999E-3</c:v>
                </c:pt>
                <c:pt idx="135">
                  <c:v>116.62494220000001</c:v>
                </c:pt>
                <c:pt idx="136">
                  <c:v>17.655449019999999</c:v>
                </c:pt>
                <c:pt idx="137">
                  <c:v>3.8793340160000001</c:v>
                </c:pt>
                <c:pt idx="138">
                  <c:v>1.6123672920000001</c:v>
                </c:pt>
                <c:pt idx="139">
                  <c:v>0.83222302500000001</c:v>
                </c:pt>
                <c:pt idx="140">
                  <c:v>0.49818955399999998</c:v>
                </c:pt>
                <c:pt idx="141">
                  <c:v>0.34267482199999999</c:v>
                </c:pt>
                <c:pt idx="142">
                  <c:v>0.24510511600000001</c:v>
                </c:pt>
                <c:pt idx="143">
                  <c:v>0.19749999500000001</c:v>
                </c:pt>
                <c:pt idx="144">
                  <c:v>0.300764741</c:v>
                </c:pt>
                <c:pt idx="145">
                  <c:v>0.25101911500000001</c:v>
                </c:pt>
                <c:pt idx="146">
                  <c:v>0.182454004</c:v>
                </c:pt>
                <c:pt idx="147">
                  <c:v>0.125803147</c:v>
                </c:pt>
                <c:pt idx="148">
                  <c:v>8.4500000000000006E-2</c:v>
                </c:pt>
                <c:pt idx="149">
                  <c:v>5.4800000000000001E-2</c:v>
                </c:pt>
                <c:pt idx="150">
                  <c:v>3.5000000000000003E-2</c:v>
                </c:pt>
                <c:pt idx="151">
                  <c:v>2.2100000000000002E-2</c:v>
                </c:pt>
                <c:pt idx="152">
                  <c:v>1.3599999999999999E-2</c:v>
                </c:pt>
                <c:pt idx="153">
                  <c:v>98.198508709999999</c:v>
                </c:pt>
                <c:pt idx="154">
                  <c:v>21.00079689</c:v>
                </c:pt>
                <c:pt idx="155">
                  <c:v>4.6562754450000003</c:v>
                </c:pt>
                <c:pt idx="156">
                  <c:v>1.871800366</c:v>
                </c:pt>
                <c:pt idx="157">
                  <c:v>0.97155812200000002</c:v>
                </c:pt>
                <c:pt idx="158">
                  <c:v>0.59371114000000003</c:v>
                </c:pt>
                <c:pt idx="159">
                  <c:v>0.36568105400000001</c:v>
                </c:pt>
                <c:pt idx="160">
                  <c:v>0.21866049100000001</c:v>
                </c:pt>
                <c:pt idx="161">
                  <c:v>0.13111977499999999</c:v>
                </c:pt>
                <c:pt idx="162">
                  <c:v>7.7200000000000005E-2</c:v>
                </c:pt>
                <c:pt idx="163">
                  <c:v>4.1799999999999997E-2</c:v>
                </c:pt>
                <c:pt idx="164">
                  <c:v>2.0799999999999999E-2</c:v>
                </c:pt>
                <c:pt idx="165">
                  <c:v>92.11217388</c:v>
                </c:pt>
                <c:pt idx="166">
                  <c:v>26.92252701</c:v>
                </c:pt>
                <c:pt idx="167">
                  <c:v>5.640942935</c:v>
                </c:pt>
                <c:pt idx="168">
                  <c:v>2.1072383260000001</c:v>
                </c:pt>
                <c:pt idx="169">
                  <c:v>0.97430496499999997</c:v>
                </c:pt>
                <c:pt idx="170">
                  <c:v>0.54302982499999997</c:v>
                </c:pt>
                <c:pt idx="171">
                  <c:v>0.32302766100000002</c:v>
                </c:pt>
                <c:pt idx="172">
                  <c:v>0.183447569</c:v>
                </c:pt>
                <c:pt idx="173">
                  <c:v>0.105761012</c:v>
                </c:pt>
                <c:pt idx="174">
                  <c:v>6.2700000000000006E-2</c:v>
                </c:pt>
                <c:pt idx="175">
                  <c:v>3.4799999999999998E-2</c:v>
                </c:pt>
                <c:pt idx="176">
                  <c:v>1.7899999999999999E-2</c:v>
                </c:pt>
                <c:pt idx="177">
                  <c:v>92.849348590000005</c:v>
                </c:pt>
                <c:pt idx="178">
                  <c:v>26.495321879999999</c:v>
                </c:pt>
                <c:pt idx="179">
                  <c:v>5.266533269</c:v>
                </c:pt>
                <c:pt idx="180">
                  <c:v>1.9349842530000001</c:v>
                </c:pt>
                <c:pt idx="181">
                  <c:v>0.86674633599999995</c:v>
                </c:pt>
                <c:pt idx="182">
                  <c:v>0.42837043400000002</c:v>
                </c:pt>
                <c:pt idx="183">
                  <c:v>0.24133587400000001</c:v>
                </c:pt>
                <c:pt idx="184">
                  <c:v>0.163036613</c:v>
                </c:pt>
                <c:pt idx="185">
                  <c:v>0.113507656</c:v>
                </c:pt>
                <c:pt idx="186">
                  <c:v>6.7100000000000007E-2</c:v>
                </c:pt>
                <c:pt idx="187">
                  <c:v>3.7100000000000001E-2</c:v>
                </c:pt>
                <c:pt idx="188">
                  <c:v>3.4200000000000001E-2</c:v>
                </c:pt>
                <c:pt idx="189">
                  <c:v>6.8599999999999994E-2</c:v>
                </c:pt>
                <c:pt idx="190">
                  <c:v>4.9599999999999998E-2</c:v>
                </c:pt>
                <c:pt idx="191">
                  <c:v>2.9899999999999999E-2</c:v>
                </c:pt>
                <c:pt idx="192">
                  <c:v>1.67E-2</c:v>
                </c:pt>
                <c:pt idx="193">
                  <c:v>98.300018620000003</c:v>
                </c:pt>
                <c:pt idx="194">
                  <c:v>25.197789780000001</c:v>
                </c:pt>
                <c:pt idx="195">
                  <c:v>5.7379971940000001</c:v>
                </c:pt>
                <c:pt idx="196">
                  <c:v>2.4561189699999999</c:v>
                </c:pt>
                <c:pt idx="197">
                  <c:v>1.579729309</c:v>
                </c:pt>
                <c:pt idx="198">
                  <c:v>0.98425306899999998</c:v>
                </c:pt>
                <c:pt idx="199">
                  <c:v>0.59289477099999999</c:v>
                </c:pt>
                <c:pt idx="200">
                  <c:v>0.343240669</c:v>
                </c:pt>
                <c:pt idx="201">
                  <c:v>0.20258562199999999</c:v>
                </c:pt>
                <c:pt idx="202">
                  <c:v>0.120278577</c:v>
                </c:pt>
                <c:pt idx="203">
                  <c:v>7.0400000000000004E-2</c:v>
                </c:pt>
                <c:pt idx="204">
                  <c:v>4.1500000000000002E-2</c:v>
                </c:pt>
                <c:pt idx="205">
                  <c:v>2.4299999999999999E-2</c:v>
                </c:pt>
                <c:pt idx="206">
                  <c:v>6.4399999999999999E-2</c:v>
                </c:pt>
                <c:pt idx="207">
                  <c:v>0.35157248200000002</c:v>
                </c:pt>
                <c:pt idx="208">
                  <c:v>0.32420576499999998</c:v>
                </c:pt>
                <c:pt idx="209">
                  <c:v>0.23869363699999999</c:v>
                </c:pt>
                <c:pt idx="210">
                  <c:v>0.159836172</c:v>
                </c:pt>
                <c:pt idx="211">
                  <c:v>0.106949528</c:v>
                </c:pt>
                <c:pt idx="212">
                  <c:v>7.2400000000000006E-2</c:v>
                </c:pt>
                <c:pt idx="213">
                  <c:v>4.9299999999999997E-2</c:v>
                </c:pt>
                <c:pt idx="214">
                  <c:v>3.1699999999999999E-2</c:v>
                </c:pt>
                <c:pt idx="215">
                  <c:v>2.2800000000000001E-2</c:v>
                </c:pt>
                <c:pt idx="216">
                  <c:v>1.67E-2</c:v>
                </c:pt>
                <c:pt idx="217">
                  <c:v>95.680020159999998</c:v>
                </c:pt>
                <c:pt idx="218">
                  <c:v>27.777503070000002</c:v>
                </c:pt>
                <c:pt idx="219">
                  <c:v>6.2520909519999996</c:v>
                </c:pt>
                <c:pt idx="220">
                  <c:v>2.5995860569999998</c:v>
                </c:pt>
                <c:pt idx="221">
                  <c:v>1.3666259080000001</c:v>
                </c:pt>
                <c:pt idx="222">
                  <c:v>0.83811051599999997</c:v>
                </c:pt>
                <c:pt idx="223">
                  <c:v>0.56098945300000003</c:v>
                </c:pt>
                <c:pt idx="224">
                  <c:v>0.39923397399999999</c:v>
                </c:pt>
                <c:pt idx="225">
                  <c:v>0.29861177900000002</c:v>
                </c:pt>
                <c:pt idx="226">
                  <c:v>0.22975807100000001</c:v>
                </c:pt>
                <c:pt idx="227">
                  <c:v>0.18094164600000001</c:v>
                </c:pt>
                <c:pt idx="228">
                  <c:v>0.15540115099999999</c:v>
                </c:pt>
                <c:pt idx="229">
                  <c:v>0.13248932399999999</c:v>
                </c:pt>
                <c:pt idx="230">
                  <c:v>0.11315864</c:v>
                </c:pt>
                <c:pt idx="231">
                  <c:v>9.8699999999999996E-2</c:v>
                </c:pt>
                <c:pt idx="232">
                  <c:v>8.7400000000000005E-2</c:v>
                </c:pt>
                <c:pt idx="233">
                  <c:v>7.8700000000000006E-2</c:v>
                </c:pt>
                <c:pt idx="234">
                  <c:v>7.2400000000000006E-2</c:v>
                </c:pt>
                <c:pt idx="235">
                  <c:v>6.8900000000000003E-2</c:v>
                </c:pt>
                <c:pt idx="236">
                  <c:v>6.7199999999999996E-2</c:v>
                </c:pt>
                <c:pt idx="237">
                  <c:v>6.5600000000000006E-2</c:v>
                </c:pt>
                <c:pt idx="238">
                  <c:v>6.4100000000000004E-2</c:v>
                </c:pt>
                <c:pt idx="239">
                  <c:v>6.2600000000000003E-2</c:v>
                </c:pt>
                <c:pt idx="240">
                  <c:v>6.1199999999999997E-2</c:v>
                </c:pt>
                <c:pt idx="241">
                  <c:v>5.9900000000000002E-2</c:v>
                </c:pt>
                <c:pt idx="242">
                  <c:v>5.8599999999999999E-2</c:v>
                </c:pt>
                <c:pt idx="243">
                  <c:v>5.74E-2</c:v>
                </c:pt>
                <c:pt idx="244">
                  <c:v>5.62E-2</c:v>
                </c:pt>
                <c:pt idx="245">
                  <c:v>5.5100000000000003E-2</c:v>
                </c:pt>
                <c:pt idx="246">
                  <c:v>5.3999999999999999E-2</c:v>
                </c:pt>
                <c:pt idx="247">
                  <c:v>5.2900000000000003E-2</c:v>
                </c:pt>
                <c:pt idx="248">
                  <c:v>5.1900000000000002E-2</c:v>
                </c:pt>
                <c:pt idx="249">
                  <c:v>5.0900000000000001E-2</c:v>
                </c:pt>
                <c:pt idx="250">
                  <c:v>4.99E-2</c:v>
                </c:pt>
                <c:pt idx="251">
                  <c:v>4.9000000000000002E-2</c:v>
                </c:pt>
                <c:pt idx="252">
                  <c:v>4.8099999999999997E-2</c:v>
                </c:pt>
                <c:pt idx="253">
                  <c:v>4.7300000000000002E-2</c:v>
                </c:pt>
                <c:pt idx="254">
                  <c:v>4.6399999999999997E-2</c:v>
                </c:pt>
                <c:pt idx="255">
                  <c:v>4.5600000000000002E-2</c:v>
                </c:pt>
                <c:pt idx="256">
                  <c:v>4.4900000000000002E-2</c:v>
                </c:pt>
                <c:pt idx="257">
                  <c:v>4.41E-2</c:v>
                </c:pt>
                <c:pt idx="258">
                  <c:v>4.3400000000000001E-2</c:v>
                </c:pt>
                <c:pt idx="259">
                  <c:v>4.4600000000000001E-2</c:v>
                </c:pt>
                <c:pt idx="260">
                  <c:v>4.4699999999999997E-2</c:v>
                </c:pt>
                <c:pt idx="261">
                  <c:v>4.41E-2</c:v>
                </c:pt>
                <c:pt idx="262">
                  <c:v>4.3999999999999997E-2</c:v>
                </c:pt>
                <c:pt idx="263">
                  <c:v>5.1999999999999998E-2</c:v>
                </c:pt>
                <c:pt idx="264">
                  <c:v>5.5500000000000001E-2</c:v>
                </c:pt>
                <c:pt idx="265">
                  <c:v>5.5100000000000003E-2</c:v>
                </c:pt>
                <c:pt idx="266">
                  <c:v>5.4100000000000002E-2</c:v>
                </c:pt>
                <c:pt idx="267">
                  <c:v>5.2999999999999999E-2</c:v>
                </c:pt>
                <c:pt idx="268">
                  <c:v>5.5300000000000002E-2</c:v>
                </c:pt>
                <c:pt idx="269">
                  <c:v>0.18258148799999999</c:v>
                </c:pt>
                <c:pt idx="270">
                  <c:v>0.26190532500000002</c:v>
                </c:pt>
                <c:pt idx="271">
                  <c:v>0.26411663000000002</c:v>
                </c:pt>
                <c:pt idx="272">
                  <c:v>0.247851724</c:v>
                </c:pt>
                <c:pt idx="273">
                  <c:v>0.23057269</c:v>
                </c:pt>
                <c:pt idx="274">
                  <c:v>0.21507937199999999</c:v>
                </c:pt>
                <c:pt idx="275">
                  <c:v>0.20140656800000001</c:v>
                </c:pt>
                <c:pt idx="276">
                  <c:v>0.73571076700000004</c:v>
                </c:pt>
                <c:pt idx="277">
                  <c:v>7.5458542319999999</c:v>
                </c:pt>
                <c:pt idx="278">
                  <c:v>5.404735681</c:v>
                </c:pt>
                <c:pt idx="279">
                  <c:v>4.9404096879999999</c:v>
                </c:pt>
                <c:pt idx="280">
                  <c:v>2.8844084570000001</c:v>
                </c:pt>
                <c:pt idx="281">
                  <c:v>1.831230768</c:v>
                </c:pt>
                <c:pt idx="282">
                  <c:v>1.2862182170000001</c:v>
                </c:pt>
                <c:pt idx="283">
                  <c:v>0.97267759899999995</c:v>
                </c:pt>
                <c:pt idx="284">
                  <c:v>0.77465750700000002</c:v>
                </c:pt>
                <c:pt idx="285">
                  <c:v>0.63935951000000002</c:v>
                </c:pt>
                <c:pt idx="286">
                  <c:v>0.542469702</c:v>
                </c:pt>
                <c:pt idx="287">
                  <c:v>0.46994734300000002</c:v>
                </c:pt>
                <c:pt idx="288">
                  <c:v>0.41375220099999999</c:v>
                </c:pt>
                <c:pt idx="289">
                  <c:v>0.36900028200000001</c:v>
                </c:pt>
                <c:pt idx="290">
                  <c:v>0.33256611400000002</c:v>
                </c:pt>
                <c:pt idx="291">
                  <c:v>0.30236025900000002</c:v>
                </c:pt>
                <c:pt idx="292">
                  <c:v>0.27693448799999998</c:v>
                </c:pt>
                <c:pt idx="293">
                  <c:v>0.25525424299999999</c:v>
                </c:pt>
                <c:pt idx="294">
                  <c:v>0.236561352</c:v>
                </c:pt>
                <c:pt idx="295">
                  <c:v>0.220287812</c:v>
                </c:pt>
                <c:pt idx="296">
                  <c:v>0.205999985</c:v>
                </c:pt>
                <c:pt idx="297">
                  <c:v>0.19336123699999999</c:v>
                </c:pt>
                <c:pt idx="298">
                  <c:v>0.18210635999999999</c:v>
                </c:pt>
                <c:pt idx="299">
                  <c:v>0.17202366999999999</c:v>
                </c:pt>
                <c:pt idx="300">
                  <c:v>0.162942211</c:v>
                </c:pt>
                <c:pt idx="301">
                  <c:v>0.15472245800000001</c:v>
                </c:pt>
                <c:pt idx="302">
                  <c:v>0.14724944300000001</c:v>
                </c:pt>
                <c:pt idx="303">
                  <c:v>0.14042760800000001</c:v>
                </c:pt>
                <c:pt idx="304">
                  <c:v>0.212288223</c:v>
                </c:pt>
                <c:pt idx="305">
                  <c:v>3.0091828309999999</c:v>
                </c:pt>
                <c:pt idx="306">
                  <c:v>5.8966868720000001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4E-47FB-AA18-C45CAE96A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975040"/>
        <c:axId val="630705536"/>
      </c:lineChart>
      <c:dateAx>
        <c:axId val="6307043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it-IT"/>
          </a:p>
        </c:txPr>
        <c:crossAx val="630704960"/>
        <c:crosses val="max"/>
        <c:auto val="1"/>
        <c:lblOffset val="100"/>
        <c:baseTimeUnit val="days"/>
      </c:dateAx>
      <c:valAx>
        <c:axId val="630704960"/>
        <c:scaling>
          <c:orientation val="maxMin"/>
          <c:max val="16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800"/>
                </a:pPr>
                <a:r>
                  <a:rPr lang="en-US" sz="800"/>
                  <a:t>Percolazione dal primo</a:t>
                </a:r>
                <a:r>
                  <a:rPr lang="en-US" sz="800" baseline="0"/>
                  <a:t> strato , risalita capillare [mm]</a:t>
                </a:r>
                <a:endParaRPr lang="en-US" sz="8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it-IT"/>
          </a:p>
        </c:txPr>
        <c:crossAx val="630704384"/>
        <c:crosses val="autoZero"/>
        <c:crossBetween val="between"/>
      </c:valAx>
      <c:valAx>
        <c:axId val="63070553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800"/>
                </a:pPr>
                <a:r>
                  <a:rPr lang="en-US" sz="800"/>
                  <a:t>Traspirazione, percolazione dal secondo strao; contenuto idrico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it-IT"/>
          </a:p>
        </c:txPr>
        <c:crossAx val="165975040"/>
        <c:crosses val="max"/>
        <c:crossBetween val="between"/>
      </c:valAx>
      <c:dateAx>
        <c:axId val="1659750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630705536"/>
        <c:crosses val="autoZero"/>
        <c:auto val="1"/>
        <c:lblOffset val="100"/>
        <c:baseTimeUnit val="days"/>
      </c:dateAx>
    </c:plotArea>
    <c:legend>
      <c:legendPos val="b"/>
      <c:overlay val="0"/>
      <c:txPr>
        <a:bodyPr/>
        <a:lstStyle/>
        <a:p>
          <a:pPr>
            <a:defRPr sz="800"/>
          </a:pPr>
          <a:endParaRPr lang="it-IT"/>
        </a:p>
      </c:txPr>
    </c:legend>
    <c:plotVisOnly val="1"/>
    <c:dispBlanksAs val="gap"/>
    <c:showDLblsOverMax val="0"/>
  </c:chart>
  <c:spPr>
    <a:ln w="12700"/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952301541956737E-2"/>
          <c:y val="0.1325429649914884"/>
          <c:w val="0.92775530561901487"/>
          <c:h val="0.81995085485900376"/>
        </c:manualLayout>
      </c:layout>
      <c:lineChart>
        <c:grouping val="standard"/>
        <c:varyColors val="0"/>
        <c:ser>
          <c:idx val="0"/>
          <c:order val="0"/>
          <c:tx>
            <c:strRef>
              <c:f>'Bilancio secondo strato'!$S$1</c:f>
              <c:strCache>
                <c:ptCount val="1"/>
                <c:pt idx="0">
                  <c:v>Contenuto idrico [%]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'Bilancio secondo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secondo strato'!$S$2:$S$366</c:f>
              <c:numCache>
                <c:formatCode>0.0000</c:formatCode>
                <c:ptCount val="365"/>
                <c:pt idx="0">
                  <c:v>0.20029472999999998</c:v>
                </c:pt>
                <c:pt idx="1">
                  <c:v>0.21333840988888889</c:v>
                </c:pt>
                <c:pt idx="2">
                  <c:v>0.22058098111111113</c:v>
                </c:pt>
                <c:pt idx="3">
                  <c:v>0.22570830066666667</c:v>
                </c:pt>
                <c:pt idx="4">
                  <c:v>0.23190695822222224</c:v>
                </c:pt>
                <c:pt idx="5">
                  <c:v>0.23440842222222222</c:v>
                </c:pt>
                <c:pt idx="6">
                  <c:v>0.23427728722222221</c:v>
                </c:pt>
                <c:pt idx="7">
                  <c:v>0.23379505566666667</c:v>
                </c:pt>
                <c:pt idx="8">
                  <c:v>0.23313351355555556</c:v>
                </c:pt>
                <c:pt idx="9">
                  <c:v>0.23212491888888889</c:v>
                </c:pt>
                <c:pt idx="10">
                  <c:v>0.23100063711111113</c:v>
                </c:pt>
                <c:pt idx="11">
                  <c:v>0.22984833144444444</c:v>
                </c:pt>
                <c:pt idx="12">
                  <c:v>0.22867997433333331</c:v>
                </c:pt>
                <c:pt idx="13">
                  <c:v>0.22751726144444445</c:v>
                </c:pt>
                <c:pt idx="14">
                  <c:v>0.22638403888888889</c:v>
                </c:pt>
                <c:pt idx="15">
                  <c:v>0.22529149333333334</c:v>
                </c:pt>
                <c:pt idx="16">
                  <c:v>0.22424626411111112</c:v>
                </c:pt>
                <c:pt idx="17">
                  <c:v>0.22324926444444446</c:v>
                </c:pt>
                <c:pt idx="18">
                  <c:v>0.22231042133333334</c:v>
                </c:pt>
                <c:pt idx="19">
                  <c:v>0.22150559788888888</c:v>
                </c:pt>
                <c:pt idx="20">
                  <c:v>0.22275950877777778</c:v>
                </c:pt>
                <c:pt idx="21">
                  <c:v>0.23352364077777776</c:v>
                </c:pt>
                <c:pt idx="22">
                  <c:v>0.24377452933333332</c:v>
                </c:pt>
                <c:pt idx="23">
                  <c:v>0.24532322244444446</c:v>
                </c:pt>
                <c:pt idx="24">
                  <c:v>0.24365255666666669</c:v>
                </c:pt>
                <c:pt idx="25">
                  <c:v>0.24148896388888888</c:v>
                </c:pt>
                <c:pt idx="26">
                  <c:v>0.23929570088888891</c:v>
                </c:pt>
                <c:pt idx="27">
                  <c:v>0.23725884766666666</c:v>
                </c:pt>
                <c:pt idx="28">
                  <c:v>0.23537736277777779</c:v>
                </c:pt>
                <c:pt idx="29">
                  <c:v>0.23366393855555556</c:v>
                </c:pt>
                <c:pt idx="30">
                  <c:v>0.23229251977777779</c:v>
                </c:pt>
                <c:pt idx="31">
                  <c:v>0.23118994644444443</c:v>
                </c:pt>
                <c:pt idx="32">
                  <c:v>0.23000971011111113</c:v>
                </c:pt>
                <c:pt idx="33">
                  <c:v>0.23333170044444443</c:v>
                </c:pt>
                <c:pt idx="34">
                  <c:v>0.23682753299999998</c:v>
                </c:pt>
                <c:pt idx="35">
                  <c:v>0.236652681</c:v>
                </c:pt>
                <c:pt idx="36">
                  <c:v>0.23560209922222222</c:v>
                </c:pt>
                <c:pt idx="37">
                  <c:v>0.24219415655555557</c:v>
                </c:pt>
                <c:pt idx="38">
                  <c:v>0.2448431738888889</c:v>
                </c:pt>
                <c:pt idx="39">
                  <c:v>0.24401235800000001</c:v>
                </c:pt>
                <c:pt idx="40">
                  <c:v>0.24783834866666665</c:v>
                </c:pt>
                <c:pt idx="41">
                  <c:v>0.24865610455555553</c:v>
                </c:pt>
                <c:pt idx="42">
                  <c:v>0.24649448766666665</c:v>
                </c:pt>
                <c:pt idx="43">
                  <c:v>0.24399885133333335</c:v>
                </c:pt>
                <c:pt idx="44">
                  <c:v>0.24157399677777777</c:v>
                </c:pt>
                <c:pt idx="45">
                  <c:v>0.23930338088888889</c:v>
                </c:pt>
                <c:pt idx="46">
                  <c:v>0.23720644500000002</c:v>
                </c:pt>
                <c:pt idx="47">
                  <c:v>0.23527632422222222</c:v>
                </c:pt>
                <c:pt idx="48">
                  <c:v>0.23350598477777779</c:v>
                </c:pt>
                <c:pt idx="49">
                  <c:v>0.23187702266666668</c:v>
                </c:pt>
                <c:pt idx="50">
                  <c:v>0.23036524855555557</c:v>
                </c:pt>
                <c:pt idx="51">
                  <c:v>0.22895672455555557</c:v>
                </c:pt>
                <c:pt idx="52">
                  <c:v>0.22764023255555554</c:v>
                </c:pt>
                <c:pt idx="53">
                  <c:v>0.22640624966666664</c:v>
                </c:pt>
                <c:pt idx="54">
                  <c:v>0.22524603244444444</c:v>
                </c:pt>
                <c:pt idx="55">
                  <c:v>0.22415197077777776</c:v>
                </c:pt>
                <c:pt idx="56">
                  <c:v>0.22311739966666666</c:v>
                </c:pt>
                <c:pt idx="57">
                  <c:v>0.22213653</c:v>
                </c:pt>
                <c:pt idx="58">
                  <c:v>0.22120435111111109</c:v>
                </c:pt>
                <c:pt idx="59">
                  <c:v>0.22031650777777775</c:v>
                </c:pt>
                <c:pt idx="60">
                  <c:v>0.21946919333333334</c:v>
                </c:pt>
                <c:pt idx="61">
                  <c:v>0.21865906288888889</c:v>
                </c:pt>
                <c:pt idx="62">
                  <c:v>0.21788316133333335</c:v>
                </c:pt>
                <c:pt idx="63">
                  <c:v>0.21713886633333332</c:v>
                </c:pt>
                <c:pt idx="64">
                  <c:v>0.21642384055555555</c:v>
                </c:pt>
                <c:pt idx="65">
                  <c:v>0.21573599144444444</c:v>
                </c:pt>
                <c:pt idx="66">
                  <c:v>0.21507343955555558</c:v>
                </c:pt>
                <c:pt idx="67">
                  <c:v>0.21443449000000001</c:v>
                </c:pt>
                <c:pt idx="68">
                  <c:v>0.21381760955555557</c:v>
                </c:pt>
                <c:pt idx="69">
                  <c:v>0.21322140711111109</c:v>
                </c:pt>
                <c:pt idx="70">
                  <c:v>0.21264461666666667</c:v>
                </c:pt>
                <c:pt idx="71">
                  <c:v>0.21208608244444443</c:v>
                </c:pt>
                <c:pt idx="72">
                  <c:v>0.21154474755555555</c:v>
                </c:pt>
                <c:pt idx="73">
                  <c:v>0.21101964200000001</c:v>
                </c:pt>
                <c:pt idx="74">
                  <c:v>0.21050987455555556</c:v>
                </c:pt>
                <c:pt idx="75">
                  <c:v>0.21001462377777777</c:v>
                </c:pt>
                <c:pt idx="76">
                  <c:v>0.20953313122222222</c:v>
                </c:pt>
                <c:pt idx="77">
                  <c:v>0.20906469533333333</c:v>
                </c:pt>
                <c:pt idx="78">
                  <c:v>0.20860866588888888</c:v>
                </c:pt>
                <c:pt idx="79">
                  <c:v>0.20816443888888889</c:v>
                </c:pt>
                <c:pt idx="80">
                  <c:v>0.20773145300000001</c:v>
                </c:pt>
                <c:pt idx="81">
                  <c:v>0.20730918477777777</c:v>
                </c:pt>
                <c:pt idx="82">
                  <c:v>0.20689714599999998</c:v>
                </c:pt>
                <c:pt idx="83">
                  <c:v>0.20649488044444445</c:v>
                </c:pt>
                <c:pt idx="84">
                  <c:v>0.20610196122222224</c:v>
                </c:pt>
                <c:pt idx="85">
                  <c:v>0.20571798788888887</c:v>
                </c:pt>
                <c:pt idx="86">
                  <c:v>0.20534258533333333</c:v>
                </c:pt>
                <c:pt idx="87">
                  <c:v>0.20497540044444443</c:v>
                </c:pt>
                <c:pt idx="88">
                  <c:v>0.20461610144444442</c:v>
                </c:pt>
                <c:pt idx="89">
                  <c:v>0.20426437577777778</c:v>
                </c:pt>
                <c:pt idx="90">
                  <c:v>0.20391992888888891</c:v>
                </c:pt>
                <c:pt idx="91">
                  <c:v>0.20358248233333331</c:v>
                </c:pt>
                <c:pt idx="92">
                  <c:v>0.20081222095000001</c:v>
                </c:pt>
                <c:pt idx="93">
                  <c:v>0.19721894715000002</c:v>
                </c:pt>
                <c:pt idx="94">
                  <c:v>0.19396635391304348</c:v>
                </c:pt>
                <c:pt idx="95">
                  <c:v>0.19102890934579439</c:v>
                </c:pt>
                <c:pt idx="96">
                  <c:v>0.18819222574660632</c:v>
                </c:pt>
                <c:pt idx="97">
                  <c:v>0.1857807223580786</c:v>
                </c:pt>
                <c:pt idx="98">
                  <c:v>0.18426288783898306</c:v>
                </c:pt>
                <c:pt idx="99">
                  <c:v>0.18308433995884774</c:v>
                </c:pt>
                <c:pt idx="100">
                  <c:v>0.18251270364000002</c:v>
                </c:pt>
                <c:pt idx="101">
                  <c:v>0.18201382307392996</c:v>
                </c:pt>
                <c:pt idx="102">
                  <c:v>0.18068224731060606</c:v>
                </c:pt>
                <c:pt idx="103">
                  <c:v>0.17916432044280442</c:v>
                </c:pt>
                <c:pt idx="104">
                  <c:v>0.17812783483870967</c:v>
                </c:pt>
                <c:pt idx="105">
                  <c:v>0.17688531052447551</c:v>
                </c:pt>
                <c:pt idx="106">
                  <c:v>0.17560579395904438</c:v>
                </c:pt>
                <c:pt idx="107">
                  <c:v>0.17446065720000001</c:v>
                </c:pt>
                <c:pt idx="108">
                  <c:v>0.17325321739413682</c:v>
                </c:pt>
                <c:pt idx="109">
                  <c:v>0.1718478692356688</c:v>
                </c:pt>
                <c:pt idx="110">
                  <c:v>0.17056827320872275</c:v>
                </c:pt>
                <c:pt idx="111">
                  <c:v>0.16950765881458968</c:v>
                </c:pt>
                <c:pt idx="112">
                  <c:v>0.16829553925595236</c:v>
                </c:pt>
                <c:pt idx="113">
                  <c:v>0.16697485370262391</c:v>
                </c:pt>
                <c:pt idx="114">
                  <c:v>0.16562897717142858</c:v>
                </c:pt>
                <c:pt idx="115">
                  <c:v>0.16543014633053221</c:v>
                </c:pt>
                <c:pt idx="116">
                  <c:v>0.16521512357142856</c:v>
                </c:pt>
                <c:pt idx="117">
                  <c:v>0.16459982557951483</c:v>
                </c:pt>
                <c:pt idx="118">
                  <c:v>0.16471750635883906</c:v>
                </c:pt>
                <c:pt idx="119">
                  <c:v>0.16440250313471502</c:v>
                </c:pt>
                <c:pt idx="120">
                  <c:v>0.16452993910941477</c:v>
                </c:pt>
                <c:pt idx="121">
                  <c:v>0.16422916777499999</c:v>
                </c:pt>
                <c:pt idx="122">
                  <c:v>0.16319977725490195</c:v>
                </c:pt>
                <c:pt idx="123">
                  <c:v>0.16184816538461538</c:v>
                </c:pt>
                <c:pt idx="124">
                  <c:v>0.16072701490566038</c:v>
                </c:pt>
                <c:pt idx="125">
                  <c:v>0.15942115048498845</c:v>
                </c:pt>
                <c:pt idx="126">
                  <c:v>0.15715126959183673</c:v>
                </c:pt>
                <c:pt idx="127">
                  <c:v>0.1552887911804009</c:v>
                </c:pt>
                <c:pt idx="128">
                  <c:v>0.15332601433260395</c:v>
                </c:pt>
                <c:pt idx="129">
                  <c:v>0.15143631197849461</c:v>
                </c:pt>
                <c:pt idx="130">
                  <c:v>0.15095196380549683</c:v>
                </c:pt>
                <c:pt idx="131">
                  <c:v>0.14844896334719335</c:v>
                </c:pt>
                <c:pt idx="132">
                  <c:v>0.1460029077755102</c:v>
                </c:pt>
                <c:pt idx="133">
                  <c:v>0.14398908757028112</c:v>
                </c:pt>
                <c:pt idx="134">
                  <c:v>0.14229416009881424</c:v>
                </c:pt>
                <c:pt idx="135">
                  <c:v>0.27259102782101169</c:v>
                </c:pt>
                <c:pt idx="136">
                  <c:v>0.23777776819923371</c:v>
                </c:pt>
                <c:pt idx="137">
                  <c:v>0.22604409452830188</c:v>
                </c:pt>
                <c:pt idx="138">
                  <c:v>0.21810311970260224</c:v>
                </c:pt>
                <c:pt idx="139">
                  <c:v>0.21140686782449725</c:v>
                </c:pt>
                <c:pt idx="140">
                  <c:v>0.20583943081081083</c:v>
                </c:pt>
                <c:pt idx="141">
                  <c:v>0.20199444120781529</c:v>
                </c:pt>
                <c:pt idx="142">
                  <c:v>0.19640297443082311</c:v>
                </c:pt>
                <c:pt idx="143">
                  <c:v>0.2003550457685665</c:v>
                </c:pt>
                <c:pt idx="144">
                  <c:v>0.20249808449744464</c:v>
                </c:pt>
                <c:pt idx="145">
                  <c:v>0.19803909949579832</c:v>
                </c:pt>
                <c:pt idx="146">
                  <c:v>0.19246612553897183</c:v>
                </c:pt>
                <c:pt idx="147">
                  <c:v>0.18668418937908496</c:v>
                </c:pt>
                <c:pt idx="148">
                  <c:v>0.18081466935483873</c:v>
                </c:pt>
                <c:pt idx="149">
                  <c:v>0.17453009984076431</c:v>
                </c:pt>
                <c:pt idx="150">
                  <c:v>0.16903378726415094</c:v>
                </c:pt>
                <c:pt idx="151">
                  <c:v>0.16287190854037267</c:v>
                </c:pt>
                <c:pt idx="152">
                  <c:v>0.15757090030674847</c:v>
                </c:pt>
                <c:pt idx="153">
                  <c:v>0.27700467803030304</c:v>
                </c:pt>
                <c:pt idx="154">
                  <c:v>0.24149190777279525</c:v>
                </c:pt>
                <c:pt idx="155">
                  <c:v>0.22953952983751846</c:v>
                </c:pt>
                <c:pt idx="156">
                  <c:v>0.22031848554744524</c:v>
                </c:pt>
                <c:pt idx="157">
                  <c:v>0.21463319711399709</c:v>
                </c:pt>
                <c:pt idx="158">
                  <c:v>0.20860736205420827</c:v>
                </c:pt>
                <c:pt idx="159">
                  <c:v>0.2010331747531735</c:v>
                </c:pt>
                <c:pt idx="160">
                  <c:v>0.19341304239888427</c:v>
                </c:pt>
                <c:pt idx="161">
                  <c:v>0.1859711199724518</c:v>
                </c:pt>
                <c:pt idx="162">
                  <c:v>0.17823178337874657</c:v>
                </c:pt>
                <c:pt idx="163">
                  <c:v>0.16910691792452828</c:v>
                </c:pt>
                <c:pt idx="164">
                  <c:v>0.16080951066666668</c:v>
                </c:pt>
                <c:pt idx="165">
                  <c:v>0.28384358000000004</c:v>
                </c:pt>
                <c:pt idx="166">
                  <c:v>0.24615594573333333</c:v>
                </c:pt>
                <c:pt idx="167">
                  <c:v>0.23213249666666666</c:v>
                </c:pt>
                <c:pt idx="168">
                  <c:v>0.22146289866666666</c:v>
                </c:pt>
                <c:pt idx="169">
                  <c:v>0.21316908440000001</c:v>
                </c:pt>
                <c:pt idx="170">
                  <c:v>0.20673183666666667</c:v>
                </c:pt>
                <c:pt idx="171">
                  <c:v>0.19857132720000001</c:v>
                </c:pt>
                <c:pt idx="172">
                  <c:v>0.19019178066666667</c:v>
                </c:pt>
                <c:pt idx="173">
                  <c:v>0.1829770896</c:v>
                </c:pt>
                <c:pt idx="174">
                  <c:v>0.17564530813333332</c:v>
                </c:pt>
                <c:pt idx="175">
                  <c:v>0.16731304906666666</c:v>
                </c:pt>
                <c:pt idx="176">
                  <c:v>0.15953098413333333</c:v>
                </c:pt>
                <c:pt idx="177">
                  <c:v>0.28400287026666671</c:v>
                </c:pt>
                <c:pt idx="178">
                  <c:v>0.24499160866666667</c:v>
                </c:pt>
                <c:pt idx="179">
                  <c:v>0.23027645839999999</c:v>
                </c:pt>
                <c:pt idx="180">
                  <c:v>0.22004931160000002</c:v>
                </c:pt>
                <c:pt idx="181">
                  <c:v>0.21008812839999999</c:v>
                </c:pt>
                <c:pt idx="182">
                  <c:v>0.20137290560000001</c:v>
                </c:pt>
                <c:pt idx="183">
                  <c:v>0.1946286596</c:v>
                </c:pt>
                <c:pt idx="184">
                  <c:v>0.19107334519999999</c:v>
                </c:pt>
                <c:pt idx="185">
                  <c:v>0.18412869400000001</c:v>
                </c:pt>
                <c:pt idx="186">
                  <c:v>0.17630722360000001</c:v>
                </c:pt>
                <c:pt idx="187">
                  <c:v>0.16862140333333334</c:v>
                </c:pt>
                <c:pt idx="188">
                  <c:v>0.17983171533333334</c:v>
                </c:pt>
                <c:pt idx="189">
                  <c:v>0.1792387644</c:v>
                </c:pt>
                <c:pt idx="190">
                  <c:v>0.17332946306666669</c:v>
                </c:pt>
                <c:pt idx="191">
                  <c:v>0.1660205176</c:v>
                </c:pt>
                <c:pt idx="192">
                  <c:v>0.15934260813333334</c:v>
                </c:pt>
                <c:pt idx="193">
                  <c:v>0.28104050933333335</c:v>
                </c:pt>
                <c:pt idx="194">
                  <c:v>0.24564608173333333</c:v>
                </c:pt>
                <c:pt idx="195">
                  <c:v>0.23353409533333336</c:v>
                </c:pt>
                <c:pt idx="196">
                  <c:v>0.22833486320000002</c:v>
                </c:pt>
                <c:pt idx="197">
                  <c:v>0.22387418239999998</c:v>
                </c:pt>
                <c:pt idx="198">
                  <c:v>0.2173215148</c:v>
                </c:pt>
                <c:pt idx="199">
                  <c:v>0.20871007799999999</c:v>
                </c:pt>
                <c:pt idx="200">
                  <c:v>0.20029367533333334</c:v>
                </c:pt>
                <c:pt idx="201">
                  <c:v>0.19252116080000001</c:v>
                </c:pt>
                <c:pt idx="202">
                  <c:v>0.18463835026666667</c:v>
                </c:pt>
                <c:pt idx="203">
                  <c:v>0.17744325906666666</c:v>
                </c:pt>
                <c:pt idx="204">
                  <c:v>0.17045545213333332</c:v>
                </c:pt>
                <c:pt idx="205">
                  <c:v>0.1639789824</c:v>
                </c:pt>
                <c:pt idx="206">
                  <c:v>0.20076526</c:v>
                </c:pt>
                <c:pt idx="207">
                  <c:v>0.20638114706666666</c:v>
                </c:pt>
                <c:pt idx="208">
                  <c:v>0.20281547253333335</c:v>
                </c:pt>
                <c:pt idx="209">
                  <c:v>0.19619807040000001</c:v>
                </c:pt>
                <c:pt idx="210">
                  <c:v>0.19026624586666666</c:v>
                </c:pt>
                <c:pt idx="211">
                  <c:v>0.18411374039999998</c:v>
                </c:pt>
                <c:pt idx="212">
                  <c:v>0.17935020586666667</c:v>
                </c:pt>
                <c:pt idx="213">
                  <c:v>0.17338996120000003</c:v>
                </c:pt>
                <c:pt idx="214">
                  <c:v>0.16796473493333333</c:v>
                </c:pt>
                <c:pt idx="215">
                  <c:v>0.16574146720000002</c:v>
                </c:pt>
                <c:pt idx="216">
                  <c:v>0.15972021546666668</c:v>
                </c:pt>
                <c:pt idx="217">
                  <c:v>0.2841055864</c:v>
                </c:pt>
                <c:pt idx="218">
                  <c:v>0.24754693906666667</c:v>
                </c:pt>
                <c:pt idx="219">
                  <c:v>0.235247236</c:v>
                </c:pt>
                <c:pt idx="220">
                  <c:v>0.22691017026666668</c:v>
                </c:pt>
                <c:pt idx="221">
                  <c:v>0.22057455240000001</c:v>
                </c:pt>
                <c:pt idx="222">
                  <c:v>0.2149053564</c:v>
                </c:pt>
                <c:pt idx="223">
                  <c:v>0.20962221240000001</c:v>
                </c:pt>
                <c:pt idx="224">
                  <c:v>0.20496383973333332</c:v>
                </c:pt>
                <c:pt idx="225">
                  <c:v>0.20081930853333332</c:v>
                </c:pt>
                <c:pt idx="226">
                  <c:v>0.19689646853333334</c:v>
                </c:pt>
                <c:pt idx="227">
                  <c:v>0.19373576293333333</c:v>
                </c:pt>
                <c:pt idx="228">
                  <c:v>0.19179314453333332</c:v>
                </c:pt>
                <c:pt idx="229">
                  <c:v>0.18929478119999998</c:v>
                </c:pt>
                <c:pt idx="230">
                  <c:v>0.18720723520000002</c:v>
                </c:pt>
                <c:pt idx="231">
                  <c:v>0.18534376146666667</c:v>
                </c:pt>
                <c:pt idx="232">
                  <c:v>0.18371246799999999</c:v>
                </c:pt>
                <c:pt idx="233">
                  <c:v>0.18239973320000002</c:v>
                </c:pt>
                <c:pt idx="234">
                  <c:v>0.18138194493333332</c:v>
                </c:pt>
                <c:pt idx="235">
                  <c:v>0.1810374095</c:v>
                </c:pt>
                <c:pt idx="236">
                  <c:v>0.18070123535000002</c:v>
                </c:pt>
                <c:pt idx="237">
                  <c:v>0.18037304639999999</c:v>
                </c:pt>
                <c:pt idx="238">
                  <c:v>0.18005249339999999</c:v>
                </c:pt>
                <c:pt idx="239">
                  <c:v>0.17973924645</c:v>
                </c:pt>
                <c:pt idx="240">
                  <c:v>0.1794329986</c:v>
                </c:pt>
                <c:pt idx="241">
                  <c:v>0.17913346135000002</c:v>
                </c:pt>
                <c:pt idx="242">
                  <c:v>0.17884036349999999</c:v>
                </c:pt>
                <c:pt idx="243">
                  <c:v>0.17855344954999999</c:v>
                </c:pt>
                <c:pt idx="244">
                  <c:v>0.17827247860000001</c:v>
                </c:pt>
                <c:pt idx="245">
                  <c:v>0.17799722339999999</c:v>
                </c:pt>
                <c:pt idx="246">
                  <c:v>0.17772746909999998</c:v>
                </c:pt>
                <c:pt idx="247">
                  <c:v>0.17746301254999999</c:v>
                </c:pt>
                <c:pt idx="248">
                  <c:v>0.17720366144999999</c:v>
                </c:pt>
                <c:pt idx="249">
                  <c:v>0.17694923360000001</c:v>
                </c:pt>
                <c:pt idx="250">
                  <c:v>0.17669955604999998</c:v>
                </c:pt>
                <c:pt idx="251">
                  <c:v>0.17645446480000002</c:v>
                </c:pt>
                <c:pt idx="252">
                  <c:v>0.176213804</c:v>
                </c:pt>
                <c:pt idx="253">
                  <c:v>0.17597742530000002</c:v>
                </c:pt>
                <c:pt idx="254">
                  <c:v>0.1757451877</c:v>
                </c:pt>
                <c:pt idx="255">
                  <c:v>0.17551695684999999</c:v>
                </c:pt>
                <c:pt idx="256">
                  <c:v>0.17529260475</c:v>
                </c:pt>
                <c:pt idx="257">
                  <c:v>0.17507200919999999</c:v>
                </c:pt>
                <c:pt idx="258">
                  <c:v>0.17496474814999999</c:v>
                </c:pt>
                <c:pt idx="259">
                  <c:v>0.17541558129999998</c:v>
                </c:pt>
                <c:pt idx="260">
                  <c:v>0.17528586364999998</c:v>
                </c:pt>
                <c:pt idx="261">
                  <c:v>0.17508757864999999</c:v>
                </c:pt>
                <c:pt idx="262">
                  <c:v>0.17578094934999999</c:v>
                </c:pt>
                <c:pt idx="263">
                  <c:v>0.17806928889999998</c:v>
                </c:pt>
                <c:pt idx="264">
                  <c:v>0.17824333790000002</c:v>
                </c:pt>
                <c:pt idx="265">
                  <c:v>0.17803004280000001</c:v>
                </c:pt>
                <c:pt idx="266">
                  <c:v>0.17776504195000001</c:v>
                </c:pt>
                <c:pt idx="267">
                  <c:v>0.17750016955</c:v>
                </c:pt>
                <c:pt idx="268">
                  <c:v>0.18395634064999999</c:v>
                </c:pt>
                <c:pt idx="269">
                  <c:v>0.19991860224999999</c:v>
                </c:pt>
                <c:pt idx="270">
                  <c:v>0.20169639389999999</c:v>
                </c:pt>
                <c:pt idx="271">
                  <c:v>0.200977398</c:v>
                </c:pt>
                <c:pt idx="272">
                  <c:v>0.19982163650000001</c:v>
                </c:pt>
                <c:pt idx="273">
                  <c:v>0.1986773422</c:v>
                </c:pt>
                <c:pt idx="274">
                  <c:v>0.19760251095</c:v>
                </c:pt>
                <c:pt idx="275">
                  <c:v>0.19659587985000002</c:v>
                </c:pt>
                <c:pt idx="276">
                  <c:v>0.2583100123</c:v>
                </c:pt>
                <c:pt idx="277">
                  <c:v>0.26244169525</c:v>
                </c:pt>
                <c:pt idx="278">
                  <c:v>0.26185033619999998</c:v>
                </c:pt>
                <c:pt idx="279">
                  <c:v>0.25206069320000002</c:v>
                </c:pt>
                <c:pt idx="280">
                  <c:v>0.24109332489999999</c:v>
                </c:pt>
                <c:pt idx="281">
                  <c:v>0.23300319329999999</c:v>
                </c:pt>
                <c:pt idx="282">
                  <c:v>0.22688775894999999</c:v>
                </c:pt>
                <c:pt idx="283">
                  <c:v>0.22211204810000001</c:v>
                </c:pt>
                <c:pt idx="284">
                  <c:v>0.21825863240000001</c:v>
                </c:pt>
                <c:pt idx="285">
                  <c:v>0.21506552914999999</c:v>
                </c:pt>
                <c:pt idx="286">
                  <c:v>0.2123537798</c:v>
                </c:pt>
                <c:pt idx="287">
                  <c:v>0.21000414315000002</c:v>
                </c:pt>
                <c:pt idx="288">
                  <c:v>0.20793540085000001</c:v>
                </c:pt>
                <c:pt idx="289">
                  <c:v>0.20609040279999999</c:v>
                </c:pt>
                <c:pt idx="290">
                  <c:v>0.20442757284999999</c:v>
                </c:pt>
                <c:pt idx="291">
                  <c:v>0.20291577164999999</c:v>
                </c:pt>
                <c:pt idx="292">
                  <c:v>0.20153109924999998</c:v>
                </c:pt>
                <c:pt idx="293">
                  <c:v>0.20025482859999999</c:v>
                </c:pt>
                <c:pt idx="294">
                  <c:v>0.19907202354999998</c:v>
                </c:pt>
                <c:pt idx="295">
                  <c:v>0.19797058495000003</c:v>
                </c:pt>
                <c:pt idx="296">
                  <c:v>0.19694058519999999</c:v>
                </c:pt>
                <c:pt idx="297">
                  <c:v>0.19597377904999999</c:v>
                </c:pt>
                <c:pt idx="298">
                  <c:v>0.19506324724999999</c:v>
                </c:pt>
                <c:pt idx="299">
                  <c:v>0.19420312890000002</c:v>
                </c:pt>
                <c:pt idx="300">
                  <c:v>0.19338841784999999</c:v>
                </c:pt>
                <c:pt idx="301">
                  <c:v>0.19261480554999999</c:v>
                </c:pt>
                <c:pt idx="302">
                  <c:v>0.19187855835000001</c:v>
                </c:pt>
                <c:pt idx="303">
                  <c:v>0.19117642034999999</c:v>
                </c:pt>
                <c:pt idx="304">
                  <c:v>0.2239539143</c:v>
                </c:pt>
                <c:pt idx="305">
                  <c:v>0.25256660315000001</c:v>
                </c:pt>
                <c:pt idx="306">
                  <c:v>0.27414940970000001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6-478E-8C7A-976291CEF181}"/>
            </c:ext>
          </c:extLst>
        </c:ser>
        <c:ser>
          <c:idx val="1"/>
          <c:order val="1"/>
          <c:tx>
            <c:v>Theta wp [%]</c:v>
          </c:tx>
          <c:spPr>
            <a:ln w="15875"/>
          </c:spPr>
          <c:marker>
            <c:symbol val="none"/>
          </c:marker>
          <c:cat>
            <c:numRef>
              <c:f>'Bilancio secondo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secondo strato'!$L$2:$L$366</c:f>
              <c:numCache>
                <c:formatCode>General</c:formatCode>
                <c:ptCount val="365"/>
                <c:pt idx="0">
                  <c:v>9.0200000000000002E-2</c:v>
                </c:pt>
                <c:pt idx="1">
                  <c:v>9.0200000000000002E-2</c:v>
                </c:pt>
                <c:pt idx="2">
                  <c:v>9.0200000000000002E-2</c:v>
                </c:pt>
                <c:pt idx="3">
                  <c:v>9.0200000000000002E-2</c:v>
                </c:pt>
                <c:pt idx="4">
                  <c:v>9.0200000000000002E-2</c:v>
                </c:pt>
                <c:pt idx="5">
                  <c:v>9.0200000000000002E-2</c:v>
                </c:pt>
                <c:pt idx="6">
                  <c:v>9.0200000000000002E-2</c:v>
                </c:pt>
                <c:pt idx="7">
                  <c:v>9.0200000000000002E-2</c:v>
                </c:pt>
                <c:pt idx="8">
                  <c:v>9.0200000000000002E-2</c:v>
                </c:pt>
                <c:pt idx="9">
                  <c:v>9.0200000000000002E-2</c:v>
                </c:pt>
                <c:pt idx="10">
                  <c:v>9.0200000000000002E-2</c:v>
                </c:pt>
                <c:pt idx="11">
                  <c:v>9.0200000000000002E-2</c:v>
                </c:pt>
                <c:pt idx="12">
                  <c:v>9.0200000000000002E-2</c:v>
                </c:pt>
                <c:pt idx="13">
                  <c:v>9.0200000000000002E-2</c:v>
                </c:pt>
                <c:pt idx="14">
                  <c:v>9.0200000000000002E-2</c:v>
                </c:pt>
                <c:pt idx="15">
                  <c:v>9.0200000000000002E-2</c:v>
                </c:pt>
                <c:pt idx="16">
                  <c:v>9.0200000000000002E-2</c:v>
                </c:pt>
                <c:pt idx="17">
                  <c:v>9.0200000000000002E-2</c:v>
                </c:pt>
                <c:pt idx="18">
                  <c:v>9.0200000000000002E-2</c:v>
                </c:pt>
                <c:pt idx="19">
                  <c:v>9.0200000000000002E-2</c:v>
                </c:pt>
                <c:pt idx="20">
                  <c:v>9.0200000000000002E-2</c:v>
                </c:pt>
                <c:pt idx="21">
                  <c:v>9.0200000000000002E-2</c:v>
                </c:pt>
                <c:pt idx="22">
                  <c:v>9.0200000000000002E-2</c:v>
                </c:pt>
                <c:pt idx="23">
                  <c:v>9.0200000000000002E-2</c:v>
                </c:pt>
                <c:pt idx="24">
                  <c:v>9.0200000000000002E-2</c:v>
                </c:pt>
                <c:pt idx="25">
                  <c:v>9.0200000000000002E-2</c:v>
                </c:pt>
                <c:pt idx="26">
                  <c:v>9.0200000000000002E-2</c:v>
                </c:pt>
                <c:pt idx="27">
                  <c:v>9.0200000000000002E-2</c:v>
                </c:pt>
                <c:pt idx="28">
                  <c:v>9.0200000000000002E-2</c:v>
                </c:pt>
                <c:pt idx="29">
                  <c:v>9.0200000000000002E-2</c:v>
                </c:pt>
                <c:pt idx="30">
                  <c:v>9.0200000000000002E-2</c:v>
                </c:pt>
                <c:pt idx="31">
                  <c:v>9.0200000000000002E-2</c:v>
                </c:pt>
                <c:pt idx="32">
                  <c:v>9.0200000000000002E-2</c:v>
                </c:pt>
                <c:pt idx="33">
                  <c:v>9.0200000000000002E-2</c:v>
                </c:pt>
                <c:pt idx="34">
                  <c:v>9.0200000000000002E-2</c:v>
                </c:pt>
                <c:pt idx="35">
                  <c:v>9.0200000000000002E-2</c:v>
                </c:pt>
                <c:pt idx="36">
                  <c:v>9.0200000000000002E-2</c:v>
                </c:pt>
                <c:pt idx="37">
                  <c:v>9.0200000000000002E-2</c:v>
                </c:pt>
                <c:pt idx="38">
                  <c:v>9.0200000000000002E-2</c:v>
                </c:pt>
                <c:pt idx="39">
                  <c:v>9.0200000000000002E-2</c:v>
                </c:pt>
                <c:pt idx="40">
                  <c:v>9.0200000000000002E-2</c:v>
                </c:pt>
                <c:pt idx="41">
                  <c:v>9.0200000000000002E-2</c:v>
                </c:pt>
                <c:pt idx="42">
                  <c:v>9.0200000000000002E-2</c:v>
                </c:pt>
                <c:pt idx="43">
                  <c:v>9.0200000000000002E-2</c:v>
                </c:pt>
                <c:pt idx="44">
                  <c:v>9.0200000000000002E-2</c:v>
                </c:pt>
                <c:pt idx="45">
                  <c:v>9.0200000000000002E-2</c:v>
                </c:pt>
                <c:pt idx="46">
                  <c:v>9.0200000000000002E-2</c:v>
                </c:pt>
                <c:pt idx="47">
                  <c:v>9.0200000000000002E-2</c:v>
                </c:pt>
                <c:pt idx="48">
                  <c:v>9.0200000000000002E-2</c:v>
                </c:pt>
                <c:pt idx="49">
                  <c:v>9.0200000000000002E-2</c:v>
                </c:pt>
                <c:pt idx="50">
                  <c:v>9.0200000000000002E-2</c:v>
                </c:pt>
                <c:pt idx="51">
                  <c:v>9.0200000000000002E-2</c:v>
                </c:pt>
                <c:pt idx="52">
                  <c:v>9.0200000000000002E-2</c:v>
                </c:pt>
                <c:pt idx="53">
                  <c:v>9.0200000000000002E-2</c:v>
                </c:pt>
                <c:pt idx="54">
                  <c:v>9.0200000000000002E-2</c:v>
                </c:pt>
                <c:pt idx="55">
                  <c:v>9.0200000000000002E-2</c:v>
                </c:pt>
                <c:pt idx="56">
                  <c:v>9.0200000000000002E-2</c:v>
                </c:pt>
                <c:pt idx="57">
                  <c:v>9.0200000000000002E-2</c:v>
                </c:pt>
                <c:pt idx="58">
                  <c:v>9.0200000000000002E-2</c:v>
                </c:pt>
                <c:pt idx="59">
                  <c:v>9.0200000000000002E-2</c:v>
                </c:pt>
                <c:pt idx="60">
                  <c:v>9.0200000000000002E-2</c:v>
                </c:pt>
                <c:pt idx="61">
                  <c:v>9.0200000000000002E-2</c:v>
                </c:pt>
                <c:pt idx="62">
                  <c:v>9.0200000000000002E-2</c:v>
                </c:pt>
                <c:pt idx="63">
                  <c:v>9.0200000000000002E-2</c:v>
                </c:pt>
                <c:pt idx="64">
                  <c:v>9.0200000000000002E-2</c:v>
                </c:pt>
                <c:pt idx="65">
                  <c:v>9.0200000000000002E-2</c:v>
                </c:pt>
                <c:pt idx="66">
                  <c:v>9.0200000000000002E-2</c:v>
                </c:pt>
                <c:pt idx="67">
                  <c:v>9.0200000000000002E-2</c:v>
                </c:pt>
                <c:pt idx="68">
                  <c:v>9.0200000000000002E-2</c:v>
                </c:pt>
                <c:pt idx="69">
                  <c:v>9.0200000000000002E-2</c:v>
                </c:pt>
                <c:pt idx="70">
                  <c:v>9.0200000000000002E-2</c:v>
                </c:pt>
                <c:pt idx="71">
                  <c:v>9.0200000000000002E-2</c:v>
                </c:pt>
                <c:pt idx="72">
                  <c:v>9.0200000000000002E-2</c:v>
                </c:pt>
                <c:pt idx="73">
                  <c:v>9.0200000000000002E-2</c:v>
                </c:pt>
                <c:pt idx="74">
                  <c:v>9.0200000000000002E-2</c:v>
                </c:pt>
                <c:pt idx="75">
                  <c:v>9.0200000000000002E-2</c:v>
                </c:pt>
                <c:pt idx="76">
                  <c:v>9.0200000000000002E-2</c:v>
                </c:pt>
                <c:pt idx="77">
                  <c:v>9.0200000000000002E-2</c:v>
                </c:pt>
                <c:pt idx="78">
                  <c:v>9.0200000000000002E-2</c:v>
                </c:pt>
                <c:pt idx="79">
                  <c:v>9.0200000000000002E-2</c:v>
                </c:pt>
                <c:pt idx="80">
                  <c:v>9.0200000000000002E-2</c:v>
                </c:pt>
                <c:pt idx="81">
                  <c:v>9.0200000000000002E-2</c:v>
                </c:pt>
                <c:pt idx="82">
                  <c:v>9.0200000000000002E-2</c:v>
                </c:pt>
                <c:pt idx="83">
                  <c:v>9.0200000000000002E-2</c:v>
                </c:pt>
                <c:pt idx="84">
                  <c:v>9.0200000000000002E-2</c:v>
                </c:pt>
                <c:pt idx="85">
                  <c:v>9.0200000000000002E-2</c:v>
                </c:pt>
                <c:pt idx="86">
                  <c:v>9.0200000000000002E-2</c:v>
                </c:pt>
                <c:pt idx="87">
                  <c:v>9.0200000000000002E-2</c:v>
                </c:pt>
                <c:pt idx="88">
                  <c:v>9.0200000000000002E-2</c:v>
                </c:pt>
                <c:pt idx="89">
                  <c:v>9.0200000000000002E-2</c:v>
                </c:pt>
                <c:pt idx="90">
                  <c:v>9.0200000000000002E-2</c:v>
                </c:pt>
                <c:pt idx="91">
                  <c:v>9.0200000000000002E-2</c:v>
                </c:pt>
                <c:pt idx="92">
                  <c:v>9.0200000000000002E-2</c:v>
                </c:pt>
                <c:pt idx="93">
                  <c:v>9.0200000000000002E-2</c:v>
                </c:pt>
                <c:pt idx="94">
                  <c:v>9.0200000000000002E-2</c:v>
                </c:pt>
                <c:pt idx="95">
                  <c:v>9.0200000000000002E-2</c:v>
                </c:pt>
                <c:pt idx="96">
                  <c:v>9.0200000000000002E-2</c:v>
                </c:pt>
                <c:pt idx="97">
                  <c:v>9.0200000000000002E-2</c:v>
                </c:pt>
                <c:pt idx="98">
                  <c:v>9.0200000000000002E-2</c:v>
                </c:pt>
                <c:pt idx="99">
                  <c:v>9.0200000000000002E-2</c:v>
                </c:pt>
                <c:pt idx="100">
                  <c:v>9.0200000000000002E-2</c:v>
                </c:pt>
                <c:pt idx="101">
                  <c:v>9.0200000000000002E-2</c:v>
                </c:pt>
                <c:pt idx="102">
                  <c:v>9.0200000000000002E-2</c:v>
                </c:pt>
                <c:pt idx="103">
                  <c:v>9.0200000000000002E-2</c:v>
                </c:pt>
                <c:pt idx="104">
                  <c:v>9.0200000000000002E-2</c:v>
                </c:pt>
                <c:pt idx="105">
                  <c:v>9.0200000000000002E-2</c:v>
                </c:pt>
                <c:pt idx="106">
                  <c:v>9.0200000000000002E-2</c:v>
                </c:pt>
                <c:pt idx="107">
                  <c:v>9.0200000000000002E-2</c:v>
                </c:pt>
                <c:pt idx="108">
                  <c:v>9.0200000000000002E-2</c:v>
                </c:pt>
                <c:pt idx="109">
                  <c:v>9.0200000000000002E-2</c:v>
                </c:pt>
                <c:pt idx="110">
                  <c:v>9.0200000000000002E-2</c:v>
                </c:pt>
                <c:pt idx="111">
                  <c:v>9.0200000000000002E-2</c:v>
                </c:pt>
                <c:pt idx="112">
                  <c:v>9.0200000000000002E-2</c:v>
                </c:pt>
                <c:pt idx="113">
                  <c:v>9.0200000000000002E-2</c:v>
                </c:pt>
                <c:pt idx="114">
                  <c:v>9.0200000000000002E-2</c:v>
                </c:pt>
                <c:pt idx="115">
                  <c:v>9.0200000000000002E-2</c:v>
                </c:pt>
                <c:pt idx="116">
                  <c:v>9.0200000000000002E-2</c:v>
                </c:pt>
                <c:pt idx="117">
                  <c:v>9.0200000000000002E-2</c:v>
                </c:pt>
                <c:pt idx="118">
                  <c:v>9.0200000000000002E-2</c:v>
                </c:pt>
                <c:pt idx="119">
                  <c:v>9.0200000000000002E-2</c:v>
                </c:pt>
                <c:pt idx="120">
                  <c:v>9.0200000000000002E-2</c:v>
                </c:pt>
                <c:pt idx="121">
                  <c:v>9.0200000000000002E-2</c:v>
                </c:pt>
                <c:pt idx="122">
                  <c:v>9.0200000000000002E-2</c:v>
                </c:pt>
                <c:pt idx="123">
                  <c:v>9.0200000000000002E-2</c:v>
                </c:pt>
                <c:pt idx="124">
                  <c:v>9.0200000000000002E-2</c:v>
                </c:pt>
                <c:pt idx="125">
                  <c:v>9.0200000000000002E-2</c:v>
                </c:pt>
                <c:pt idx="126">
                  <c:v>9.0200000000000002E-2</c:v>
                </c:pt>
                <c:pt idx="127">
                  <c:v>9.0200000000000002E-2</c:v>
                </c:pt>
                <c:pt idx="128">
                  <c:v>9.0200000000000002E-2</c:v>
                </c:pt>
                <c:pt idx="129">
                  <c:v>9.0200000000000002E-2</c:v>
                </c:pt>
                <c:pt idx="130">
                  <c:v>9.0200000000000002E-2</c:v>
                </c:pt>
                <c:pt idx="131">
                  <c:v>9.0200000000000002E-2</c:v>
                </c:pt>
                <c:pt idx="132">
                  <c:v>9.0200000000000002E-2</c:v>
                </c:pt>
                <c:pt idx="133">
                  <c:v>9.0200000000000002E-2</c:v>
                </c:pt>
                <c:pt idx="134">
                  <c:v>9.0200000000000002E-2</c:v>
                </c:pt>
                <c:pt idx="135">
                  <c:v>9.0200000000000002E-2</c:v>
                </c:pt>
                <c:pt idx="136">
                  <c:v>9.0200000000000002E-2</c:v>
                </c:pt>
                <c:pt idx="137">
                  <c:v>9.0200000000000002E-2</c:v>
                </c:pt>
                <c:pt idx="138">
                  <c:v>9.0200000000000002E-2</c:v>
                </c:pt>
                <c:pt idx="139">
                  <c:v>9.0200000000000002E-2</c:v>
                </c:pt>
                <c:pt idx="140">
                  <c:v>9.0200000000000002E-2</c:v>
                </c:pt>
                <c:pt idx="141">
                  <c:v>9.0200000000000002E-2</c:v>
                </c:pt>
                <c:pt idx="142">
                  <c:v>9.0200000000000002E-2</c:v>
                </c:pt>
                <c:pt idx="143">
                  <c:v>9.0200000000000002E-2</c:v>
                </c:pt>
                <c:pt idx="144">
                  <c:v>9.0200000000000002E-2</c:v>
                </c:pt>
                <c:pt idx="145">
                  <c:v>9.0200000000000002E-2</c:v>
                </c:pt>
                <c:pt idx="146">
                  <c:v>9.0200000000000002E-2</c:v>
                </c:pt>
                <c:pt idx="147">
                  <c:v>9.0200000000000002E-2</c:v>
                </c:pt>
                <c:pt idx="148">
                  <c:v>9.0200000000000002E-2</c:v>
                </c:pt>
                <c:pt idx="149">
                  <c:v>9.0200000000000002E-2</c:v>
                </c:pt>
                <c:pt idx="150">
                  <c:v>9.0200000000000002E-2</c:v>
                </c:pt>
                <c:pt idx="151">
                  <c:v>9.0200000000000002E-2</c:v>
                </c:pt>
                <c:pt idx="152">
                  <c:v>9.0200000000000002E-2</c:v>
                </c:pt>
                <c:pt idx="153">
                  <c:v>9.0200000000000002E-2</c:v>
                </c:pt>
                <c:pt idx="154">
                  <c:v>9.0200000000000002E-2</c:v>
                </c:pt>
                <c:pt idx="155">
                  <c:v>9.0200000000000002E-2</c:v>
                </c:pt>
                <c:pt idx="156">
                  <c:v>9.0200000000000002E-2</c:v>
                </c:pt>
                <c:pt idx="157">
                  <c:v>9.0200000000000002E-2</c:v>
                </c:pt>
                <c:pt idx="158">
                  <c:v>9.0200000000000002E-2</c:v>
                </c:pt>
                <c:pt idx="159">
                  <c:v>9.0200000000000002E-2</c:v>
                </c:pt>
                <c:pt idx="160">
                  <c:v>9.0200000000000002E-2</c:v>
                </c:pt>
                <c:pt idx="161">
                  <c:v>9.0200000000000002E-2</c:v>
                </c:pt>
                <c:pt idx="162">
                  <c:v>9.0200000000000002E-2</c:v>
                </c:pt>
                <c:pt idx="163">
                  <c:v>9.0200000000000002E-2</c:v>
                </c:pt>
                <c:pt idx="164">
                  <c:v>9.0200000000000002E-2</c:v>
                </c:pt>
                <c:pt idx="165">
                  <c:v>9.0200000000000002E-2</c:v>
                </c:pt>
                <c:pt idx="166">
                  <c:v>9.0200000000000002E-2</c:v>
                </c:pt>
                <c:pt idx="167">
                  <c:v>9.0200000000000002E-2</c:v>
                </c:pt>
                <c:pt idx="168">
                  <c:v>9.0200000000000002E-2</c:v>
                </c:pt>
                <c:pt idx="169">
                  <c:v>9.0200000000000002E-2</c:v>
                </c:pt>
                <c:pt idx="170">
                  <c:v>9.0200000000000002E-2</c:v>
                </c:pt>
                <c:pt idx="171">
                  <c:v>9.0200000000000002E-2</c:v>
                </c:pt>
                <c:pt idx="172">
                  <c:v>9.0200000000000002E-2</c:v>
                </c:pt>
                <c:pt idx="173">
                  <c:v>9.0200000000000002E-2</c:v>
                </c:pt>
                <c:pt idx="174">
                  <c:v>9.0200000000000002E-2</c:v>
                </c:pt>
                <c:pt idx="175">
                  <c:v>9.0200000000000002E-2</c:v>
                </c:pt>
                <c:pt idx="176">
                  <c:v>9.0200000000000002E-2</c:v>
                </c:pt>
                <c:pt idx="177">
                  <c:v>9.0200000000000002E-2</c:v>
                </c:pt>
                <c:pt idx="178">
                  <c:v>9.0200000000000002E-2</c:v>
                </c:pt>
                <c:pt idx="179">
                  <c:v>9.0200000000000002E-2</c:v>
                </c:pt>
                <c:pt idx="180">
                  <c:v>9.0200000000000002E-2</c:v>
                </c:pt>
                <c:pt idx="181">
                  <c:v>9.0200000000000002E-2</c:v>
                </c:pt>
                <c:pt idx="182">
                  <c:v>9.0200000000000002E-2</c:v>
                </c:pt>
                <c:pt idx="183">
                  <c:v>9.0200000000000002E-2</c:v>
                </c:pt>
                <c:pt idx="184">
                  <c:v>9.0200000000000002E-2</c:v>
                </c:pt>
                <c:pt idx="185">
                  <c:v>9.0200000000000002E-2</c:v>
                </c:pt>
                <c:pt idx="186">
                  <c:v>9.0200000000000002E-2</c:v>
                </c:pt>
                <c:pt idx="187">
                  <c:v>9.0200000000000002E-2</c:v>
                </c:pt>
                <c:pt idx="188">
                  <c:v>9.0200000000000002E-2</c:v>
                </c:pt>
                <c:pt idx="189">
                  <c:v>9.0200000000000002E-2</c:v>
                </c:pt>
                <c:pt idx="190">
                  <c:v>9.0200000000000002E-2</c:v>
                </c:pt>
                <c:pt idx="191">
                  <c:v>9.0200000000000002E-2</c:v>
                </c:pt>
                <c:pt idx="192">
                  <c:v>9.0200000000000002E-2</c:v>
                </c:pt>
                <c:pt idx="193">
                  <c:v>9.0200000000000002E-2</c:v>
                </c:pt>
                <c:pt idx="194">
                  <c:v>9.0200000000000002E-2</c:v>
                </c:pt>
                <c:pt idx="195">
                  <c:v>9.0200000000000002E-2</c:v>
                </c:pt>
                <c:pt idx="196">
                  <c:v>9.0200000000000002E-2</c:v>
                </c:pt>
                <c:pt idx="197">
                  <c:v>9.0200000000000002E-2</c:v>
                </c:pt>
                <c:pt idx="198">
                  <c:v>9.0200000000000002E-2</c:v>
                </c:pt>
                <c:pt idx="199">
                  <c:v>9.0200000000000002E-2</c:v>
                </c:pt>
                <c:pt idx="200">
                  <c:v>9.0200000000000002E-2</c:v>
                </c:pt>
                <c:pt idx="201">
                  <c:v>9.0200000000000002E-2</c:v>
                </c:pt>
                <c:pt idx="202">
                  <c:v>9.0200000000000002E-2</c:v>
                </c:pt>
                <c:pt idx="203">
                  <c:v>9.0200000000000002E-2</c:v>
                </c:pt>
                <c:pt idx="204">
                  <c:v>9.0200000000000002E-2</c:v>
                </c:pt>
                <c:pt idx="205">
                  <c:v>9.0200000000000002E-2</c:v>
                </c:pt>
                <c:pt idx="206">
                  <c:v>9.0200000000000002E-2</c:v>
                </c:pt>
                <c:pt idx="207">
                  <c:v>9.0200000000000002E-2</c:v>
                </c:pt>
                <c:pt idx="208">
                  <c:v>9.0200000000000002E-2</c:v>
                </c:pt>
                <c:pt idx="209">
                  <c:v>9.0200000000000002E-2</c:v>
                </c:pt>
                <c:pt idx="210">
                  <c:v>9.0200000000000002E-2</c:v>
                </c:pt>
                <c:pt idx="211">
                  <c:v>9.0200000000000002E-2</c:v>
                </c:pt>
                <c:pt idx="212">
                  <c:v>9.0200000000000002E-2</c:v>
                </c:pt>
                <c:pt idx="213">
                  <c:v>9.0200000000000002E-2</c:v>
                </c:pt>
                <c:pt idx="214">
                  <c:v>9.0200000000000002E-2</c:v>
                </c:pt>
                <c:pt idx="215">
                  <c:v>9.0200000000000002E-2</c:v>
                </c:pt>
                <c:pt idx="216">
                  <c:v>9.0200000000000002E-2</c:v>
                </c:pt>
                <c:pt idx="217">
                  <c:v>9.0200000000000002E-2</c:v>
                </c:pt>
                <c:pt idx="218">
                  <c:v>9.0200000000000002E-2</c:v>
                </c:pt>
                <c:pt idx="219">
                  <c:v>9.0200000000000002E-2</c:v>
                </c:pt>
                <c:pt idx="220">
                  <c:v>9.0200000000000002E-2</c:v>
                </c:pt>
                <c:pt idx="221">
                  <c:v>9.0200000000000002E-2</c:v>
                </c:pt>
                <c:pt idx="222">
                  <c:v>9.0200000000000002E-2</c:v>
                </c:pt>
                <c:pt idx="223">
                  <c:v>9.0200000000000002E-2</c:v>
                </c:pt>
                <c:pt idx="224">
                  <c:v>9.0200000000000002E-2</c:v>
                </c:pt>
                <c:pt idx="225">
                  <c:v>9.0200000000000002E-2</c:v>
                </c:pt>
                <c:pt idx="226">
                  <c:v>9.0200000000000002E-2</c:v>
                </c:pt>
                <c:pt idx="227">
                  <c:v>9.0200000000000002E-2</c:v>
                </c:pt>
                <c:pt idx="228">
                  <c:v>9.0200000000000002E-2</c:v>
                </c:pt>
                <c:pt idx="229">
                  <c:v>9.0200000000000002E-2</c:v>
                </c:pt>
                <c:pt idx="230">
                  <c:v>9.0200000000000002E-2</c:v>
                </c:pt>
                <c:pt idx="231">
                  <c:v>9.0200000000000002E-2</c:v>
                </c:pt>
                <c:pt idx="232">
                  <c:v>9.0200000000000002E-2</c:v>
                </c:pt>
                <c:pt idx="233">
                  <c:v>9.0200000000000002E-2</c:v>
                </c:pt>
                <c:pt idx="234">
                  <c:v>9.0200000000000002E-2</c:v>
                </c:pt>
                <c:pt idx="235">
                  <c:v>9.0200000000000002E-2</c:v>
                </c:pt>
                <c:pt idx="236">
                  <c:v>9.0200000000000002E-2</c:v>
                </c:pt>
                <c:pt idx="237">
                  <c:v>9.0200000000000002E-2</c:v>
                </c:pt>
                <c:pt idx="238">
                  <c:v>9.0200000000000002E-2</c:v>
                </c:pt>
                <c:pt idx="239">
                  <c:v>9.0200000000000002E-2</c:v>
                </c:pt>
                <c:pt idx="240">
                  <c:v>9.0200000000000002E-2</c:v>
                </c:pt>
                <c:pt idx="241">
                  <c:v>9.0200000000000002E-2</c:v>
                </c:pt>
                <c:pt idx="242">
                  <c:v>9.0200000000000002E-2</c:v>
                </c:pt>
                <c:pt idx="243">
                  <c:v>9.0200000000000002E-2</c:v>
                </c:pt>
                <c:pt idx="244">
                  <c:v>9.0200000000000002E-2</c:v>
                </c:pt>
                <c:pt idx="245">
                  <c:v>9.0200000000000002E-2</c:v>
                </c:pt>
                <c:pt idx="246">
                  <c:v>9.0200000000000002E-2</c:v>
                </c:pt>
                <c:pt idx="247">
                  <c:v>9.0200000000000002E-2</c:v>
                </c:pt>
                <c:pt idx="248">
                  <c:v>9.0200000000000002E-2</c:v>
                </c:pt>
                <c:pt idx="249">
                  <c:v>9.0200000000000002E-2</c:v>
                </c:pt>
                <c:pt idx="250">
                  <c:v>9.0200000000000002E-2</c:v>
                </c:pt>
                <c:pt idx="251">
                  <c:v>9.0200000000000002E-2</c:v>
                </c:pt>
                <c:pt idx="252">
                  <c:v>9.0200000000000002E-2</c:v>
                </c:pt>
                <c:pt idx="253">
                  <c:v>9.0200000000000002E-2</c:v>
                </c:pt>
                <c:pt idx="254">
                  <c:v>9.0200000000000002E-2</c:v>
                </c:pt>
                <c:pt idx="255">
                  <c:v>9.0200000000000002E-2</c:v>
                </c:pt>
                <c:pt idx="256">
                  <c:v>9.0200000000000002E-2</c:v>
                </c:pt>
                <c:pt idx="257">
                  <c:v>9.0200000000000002E-2</c:v>
                </c:pt>
                <c:pt idx="258">
                  <c:v>9.0200000000000002E-2</c:v>
                </c:pt>
                <c:pt idx="259">
                  <c:v>9.0200000000000002E-2</c:v>
                </c:pt>
                <c:pt idx="260">
                  <c:v>9.0200000000000002E-2</c:v>
                </c:pt>
                <c:pt idx="261">
                  <c:v>9.0200000000000002E-2</c:v>
                </c:pt>
                <c:pt idx="262">
                  <c:v>9.0200000000000002E-2</c:v>
                </c:pt>
                <c:pt idx="263">
                  <c:v>9.0200000000000002E-2</c:v>
                </c:pt>
                <c:pt idx="264">
                  <c:v>9.0200000000000002E-2</c:v>
                </c:pt>
                <c:pt idx="265">
                  <c:v>9.0200000000000002E-2</c:v>
                </c:pt>
                <c:pt idx="266">
                  <c:v>9.0200000000000002E-2</c:v>
                </c:pt>
                <c:pt idx="267">
                  <c:v>9.0200000000000002E-2</c:v>
                </c:pt>
                <c:pt idx="268">
                  <c:v>9.0200000000000002E-2</c:v>
                </c:pt>
                <c:pt idx="269">
                  <c:v>9.0200000000000002E-2</c:v>
                </c:pt>
                <c:pt idx="270">
                  <c:v>9.0200000000000002E-2</c:v>
                </c:pt>
                <c:pt idx="271">
                  <c:v>9.0200000000000002E-2</c:v>
                </c:pt>
                <c:pt idx="272">
                  <c:v>9.0200000000000002E-2</c:v>
                </c:pt>
                <c:pt idx="273">
                  <c:v>9.0200000000000002E-2</c:v>
                </c:pt>
                <c:pt idx="274">
                  <c:v>9.0200000000000002E-2</c:v>
                </c:pt>
                <c:pt idx="275">
                  <c:v>9.0200000000000002E-2</c:v>
                </c:pt>
                <c:pt idx="276">
                  <c:v>9.0200000000000002E-2</c:v>
                </c:pt>
                <c:pt idx="277">
                  <c:v>9.0200000000000002E-2</c:v>
                </c:pt>
                <c:pt idx="278">
                  <c:v>9.0200000000000002E-2</c:v>
                </c:pt>
                <c:pt idx="279">
                  <c:v>9.0200000000000002E-2</c:v>
                </c:pt>
                <c:pt idx="280">
                  <c:v>9.0200000000000002E-2</c:v>
                </c:pt>
                <c:pt idx="281">
                  <c:v>9.0200000000000002E-2</c:v>
                </c:pt>
                <c:pt idx="282">
                  <c:v>9.0200000000000002E-2</c:v>
                </c:pt>
                <c:pt idx="283">
                  <c:v>9.0200000000000002E-2</c:v>
                </c:pt>
                <c:pt idx="284">
                  <c:v>9.0200000000000002E-2</c:v>
                </c:pt>
                <c:pt idx="285">
                  <c:v>9.0200000000000002E-2</c:v>
                </c:pt>
                <c:pt idx="286">
                  <c:v>9.0200000000000002E-2</c:v>
                </c:pt>
                <c:pt idx="287">
                  <c:v>9.0200000000000002E-2</c:v>
                </c:pt>
                <c:pt idx="288">
                  <c:v>9.0200000000000002E-2</c:v>
                </c:pt>
                <c:pt idx="289">
                  <c:v>9.0200000000000002E-2</c:v>
                </c:pt>
                <c:pt idx="290">
                  <c:v>9.0200000000000002E-2</c:v>
                </c:pt>
                <c:pt idx="291">
                  <c:v>9.0200000000000002E-2</c:v>
                </c:pt>
                <c:pt idx="292">
                  <c:v>9.0200000000000002E-2</c:v>
                </c:pt>
                <c:pt idx="293">
                  <c:v>9.0200000000000002E-2</c:v>
                </c:pt>
                <c:pt idx="294">
                  <c:v>9.0200000000000002E-2</c:v>
                </c:pt>
                <c:pt idx="295">
                  <c:v>9.0200000000000002E-2</c:v>
                </c:pt>
                <c:pt idx="296">
                  <c:v>9.0200000000000002E-2</c:v>
                </c:pt>
                <c:pt idx="297">
                  <c:v>9.0200000000000002E-2</c:v>
                </c:pt>
                <c:pt idx="298">
                  <c:v>9.0200000000000002E-2</c:v>
                </c:pt>
                <c:pt idx="299">
                  <c:v>9.0200000000000002E-2</c:v>
                </c:pt>
                <c:pt idx="300">
                  <c:v>9.0200000000000002E-2</c:v>
                </c:pt>
                <c:pt idx="301">
                  <c:v>9.0200000000000002E-2</c:v>
                </c:pt>
                <c:pt idx="302">
                  <c:v>9.0200000000000002E-2</c:v>
                </c:pt>
                <c:pt idx="303">
                  <c:v>9.0200000000000002E-2</c:v>
                </c:pt>
                <c:pt idx="304">
                  <c:v>9.0200000000000002E-2</c:v>
                </c:pt>
                <c:pt idx="305">
                  <c:v>9.0200000000000002E-2</c:v>
                </c:pt>
                <c:pt idx="306">
                  <c:v>9.0200000000000002E-2</c:v>
                </c:pt>
                <c:pt idx="307">
                  <c:v>9.0200000000000002E-2</c:v>
                </c:pt>
                <c:pt idx="308">
                  <c:v>9.0200000000000002E-2</c:v>
                </c:pt>
                <c:pt idx="309">
                  <c:v>9.0200000000000002E-2</c:v>
                </c:pt>
                <c:pt idx="310">
                  <c:v>9.0200000000000002E-2</c:v>
                </c:pt>
                <c:pt idx="311">
                  <c:v>9.0200000000000002E-2</c:v>
                </c:pt>
                <c:pt idx="312">
                  <c:v>9.0200000000000002E-2</c:v>
                </c:pt>
                <c:pt idx="313">
                  <c:v>9.0200000000000002E-2</c:v>
                </c:pt>
                <c:pt idx="314">
                  <c:v>9.0200000000000002E-2</c:v>
                </c:pt>
                <c:pt idx="315">
                  <c:v>9.0200000000000002E-2</c:v>
                </c:pt>
                <c:pt idx="316">
                  <c:v>9.0200000000000002E-2</c:v>
                </c:pt>
                <c:pt idx="317">
                  <c:v>9.0200000000000002E-2</c:v>
                </c:pt>
                <c:pt idx="318">
                  <c:v>9.0200000000000002E-2</c:v>
                </c:pt>
                <c:pt idx="319">
                  <c:v>9.0200000000000002E-2</c:v>
                </c:pt>
                <c:pt idx="320">
                  <c:v>9.0200000000000002E-2</c:v>
                </c:pt>
                <c:pt idx="321">
                  <c:v>9.0200000000000002E-2</c:v>
                </c:pt>
                <c:pt idx="322">
                  <c:v>9.0200000000000002E-2</c:v>
                </c:pt>
                <c:pt idx="323">
                  <c:v>9.0200000000000002E-2</c:v>
                </c:pt>
                <c:pt idx="324">
                  <c:v>9.0200000000000002E-2</c:v>
                </c:pt>
                <c:pt idx="325">
                  <c:v>9.0200000000000002E-2</c:v>
                </c:pt>
                <c:pt idx="326">
                  <c:v>9.0200000000000002E-2</c:v>
                </c:pt>
                <c:pt idx="327">
                  <c:v>9.0200000000000002E-2</c:v>
                </c:pt>
                <c:pt idx="328">
                  <c:v>9.0200000000000002E-2</c:v>
                </c:pt>
                <c:pt idx="329">
                  <c:v>9.0200000000000002E-2</c:v>
                </c:pt>
                <c:pt idx="330">
                  <c:v>9.0200000000000002E-2</c:v>
                </c:pt>
                <c:pt idx="331">
                  <c:v>9.0200000000000002E-2</c:v>
                </c:pt>
                <c:pt idx="332">
                  <c:v>9.0200000000000002E-2</c:v>
                </c:pt>
                <c:pt idx="333">
                  <c:v>9.0200000000000002E-2</c:v>
                </c:pt>
                <c:pt idx="334">
                  <c:v>9.0200000000000002E-2</c:v>
                </c:pt>
                <c:pt idx="335">
                  <c:v>9.0200000000000002E-2</c:v>
                </c:pt>
                <c:pt idx="336">
                  <c:v>9.0200000000000002E-2</c:v>
                </c:pt>
                <c:pt idx="337">
                  <c:v>9.0200000000000002E-2</c:v>
                </c:pt>
                <c:pt idx="338">
                  <c:v>9.0200000000000002E-2</c:v>
                </c:pt>
                <c:pt idx="339">
                  <c:v>9.0200000000000002E-2</c:v>
                </c:pt>
                <c:pt idx="340">
                  <c:v>9.0200000000000002E-2</c:v>
                </c:pt>
                <c:pt idx="341">
                  <c:v>9.0200000000000002E-2</c:v>
                </c:pt>
                <c:pt idx="342">
                  <c:v>9.0200000000000002E-2</c:v>
                </c:pt>
                <c:pt idx="343">
                  <c:v>9.0200000000000002E-2</c:v>
                </c:pt>
                <c:pt idx="344">
                  <c:v>9.0200000000000002E-2</c:v>
                </c:pt>
                <c:pt idx="345">
                  <c:v>9.0200000000000002E-2</c:v>
                </c:pt>
                <c:pt idx="346">
                  <c:v>9.0200000000000002E-2</c:v>
                </c:pt>
                <c:pt idx="347">
                  <c:v>9.0200000000000002E-2</c:v>
                </c:pt>
                <c:pt idx="348">
                  <c:v>9.0200000000000002E-2</c:v>
                </c:pt>
                <c:pt idx="349">
                  <c:v>9.0200000000000002E-2</c:v>
                </c:pt>
                <c:pt idx="350">
                  <c:v>9.0200000000000002E-2</c:v>
                </c:pt>
                <c:pt idx="351">
                  <c:v>9.0200000000000002E-2</c:v>
                </c:pt>
                <c:pt idx="352">
                  <c:v>9.0200000000000002E-2</c:v>
                </c:pt>
                <c:pt idx="353">
                  <c:v>9.0200000000000002E-2</c:v>
                </c:pt>
                <c:pt idx="354">
                  <c:v>9.0200000000000002E-2</c:v>
                </c:pt>
                <c:pt idx="355">
                  <c:v>9.0200000000000002E-2</c:v>
                </c:pt>
                <c:pt idx="356">
                  <c:v>9.0200000000000002E-2</c:v>
                </c:pt>
                <c:pt idx="357">
                  <c:v>9.0200000000000002E-2</c:v>
                </c:pt>
                <c:pt idx="358">
                  <c:v>9.0200000000000002E-2</c:v>
                </c:pt>
                <c:pt idx="359">
                  <c:v>9.0200000000000002E-2</c:v>
                </c:pt>
                <c:pt idx="360">
                  <c:v>9.0200000000000002E-2</c:v>
                </c:pt>
                <c:pt idx="361">
                  <c:v>9.0200000000000002E-2</c:v>
                </c:pt>
                <c:pt idx="362">
                  <c:v>9.0200000000000002E-2</c:v>
                </c:pt>
                <c:pt idx="363">
                  <c:v>9.0200000000000002E-2</c:v>
                </c:pt>
                <c:pt idx="364">
                  <c:v>9.0200000000000002E-2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C6-478E-8C7A-976291CEF181}"/>
            </c:ext>
          </c:extLst>
        </c:ser>
        <c:ser>
          <c:idx val="2"/>
          <c:order val="2"/>
          <c:tx>
            <c:v>Theta fc [%]</c:v>
          </c:tx>
          <c:spPr>
            <a:ln w="15875"/>
          </c:spPr>
          <c:marker>
            <c:symbol val="none"/>
          </c:marker>
          <c:cat>
            <c:numRef>
              <c:f>'Bilancio secondo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secondo strato'!$M$2:$M$366</c:f>
              <c:numCache>
                <c:formatCode>General</c:formatCode>
                <c:ptCount val="365"/>
                <c:pt idx="0">
                  <c:v>0.196996</c:v>
                </c:pt>
                <c:pt idx="1">
                  <c:v>0.196996</c:v>
                </c:pt>
                <c:pt idx="2">
                  <c:v>0.196996</c:v>
                </c:pt>
                <c:pt idx="3">
                  <c:v>0.196996</c:v>
                </c:pt>
                <c:pt idx="4">
                  <c:v>0.196996</c:v>
                </c:pt>
                <c:pt idx="5">
                  <c:v>0.196996</c:v>
                </c:pt>
                <c:pt idx="6">
                  <c:v>0.196996</c:v>
                </c:pt>
                <c:pt idx="7">
                  <c:v>0.196996</c:v>
                </c:pt>
                <c:pt idx="8">
                  <c:v>0.196996</c:v>
                </c:pt>
                <c:pt idx="9">
                  <c:v>0.196996</c:v>
                </c:pt>
                <c:pt idx="10">
                  <c:v>0.196996</c:v>
                </c:pt>
                <c:pt idx="11">
                  <c:v>0.196996</c:v>
                </c:pt>
                <c:pt idx="12">
                  <c:v>0.196996</c:v>
                </c:pt>
                <c:pt idx="13">
                  <c:v>0.196996</c:v>
                </c:pt>
                <c:pt idx="14">
                  <c:v>0.196996</c:v>
                </c:pt>
                <c:pt idx="15">
                  <c:v>0.196996</c:v>
                </c:pt>
                <c:pt idx="16">
                  <c:v>0.196996</c:v>
                </c:pt>
                <c:pt idx="17">
                  <c:v>0.196996</c:v>
                </c:pt>
                <c:pt idx="18">
                  <c:v>0.196996</c:v>
                </c:pt>
                <c:pt idx="19">
                  <c:v>0.196996</c:v>
                </c:pt>
                <c:pt idx="20">
                  <c:v>0.196996</c:v>
                </c:pt>
                <c:pt idx="21">
                  <c:v>0.196996</c:v>
                </c:pt>
                <c:pt idx="22">
                  <c:v>0.196996</c:v>
                </c:pt>
                <c:pt idx="23">
                  <c:v>0.196996</c:v>
                </c:pt>
                <c:pt idx="24">
                  <c:v>0.196996</c:v>
                </c:pt>
                <c:pt idx="25">
                  <c:v>0.196996</c:v>
                </c:pt>
                <c:pt idx="26">
                  <c:v>0.196996</c:v>
                </c:pt>
                <c:pt idx="27">
                  <c:v>0.196996</c:v>
                </c:pt>
                <c:pt idx="28">
                  <c:v>0.196996</c:v>
                </c:pt>
                <c:pt idx="29">
                  <c:v>0.196996</c:v>
                </c:pt>
                <c:pt idx="30">
                  <c:v>0.196996</c:v>
                </c:pt>
                <c:pt idx="31">
                  <c:v>0.196996</c:v>
                </c:pt>
                <c:pt idx="32">
                  <c:v>0.196996</c:v>
                </c:pt>
                <c:pt idx="33">
                  <c:v>0.196996</c:v>
                </c:pt>
                <c:pt idx="34">
                  <c:v>0.196996</c:v>
                </c:pt>
                <c:pt idx="35">
                  <c:v>0.196996</c:v>
                </c:pt>
                <c:pt idx="36">
                  <c:v>0.196996</c:v>
                </c:pt>
                <c:pt idx="37">
                  <c:v>0.196996</c:v>
                </c:pt>
                <c:pt idx="38">
                  <c:v>0.196996</c:v>
                </c:pt>
                <c:pt idx="39">
                  <c:v>0.196996</c:v>
                </c:pt>
                <c:pt idx="40">
                  <c:v>0.196996</c:v>
                </c:pt>
                <c:pt idx="41">
                  <c:v>0.196996</c:v>
                </c:pt>
                <c:pt idx="42">
                  <c:v>0.196996</c:v>
                </c:pt>
                <c:pt idx="43">
                  <c:v>0.196996</c:v>
                </c:pt>
                <c:pt idx="44">
                  <c:v>0.196996</c:v>
                </c:pt>
                <c:pt idx="45">
                  <c:v>0.196996</c:v>
                </c:pt>
                <c:pt idx="46">
                  <c:v>0.196996</c:v>
                </c:pt>
                <c:pt idx="47">
                  <c:v>0.196996</c:v>
                </c:pt>
                <c:pt idx="48">
                  <c:v>0.196996</c:v>
                </c:pt>
                <c:pt idx="49">
                  <c:v>0.196996</c:v>
                </c:pt>
                <c:pt idx="50">
                  <c:v>0.196996</c:v>
                </c:pt>
                <c:pt idx="51">
                  <c:v>0.196996</c:v>
                </c:pt>
                <c:pt idx="52">
                  <c:v>0.196996</c:v>
                </c:pt>
                <c:pt idx="53">
                  <c:v>0.196996</c:v>
                </c:pt>
                <c:pt idx="54">
                  <c:v>0.196996</c:v>
                </c:pt>
                <c:pt idx="55">
                  <c:v>0.196996</c:v>
                </c:pt>
                <c:pt idx="56">
                  <c:v>0.196996</c:v>
                </c:pt>
                <c:pt idx="57">
                  <c:v>0.196996</c:v>
                </c:pt>
                <c:pt idx="58">
                  <c:v>0.196996</c:v>
                </c:pt>
                <c:pt idx="59">
                  <c:v>0.196996</c:v>
                </c:pt>
                <c:pt idx="60">
                  <c:v>0.196996</c:v>
                </c:pt>
                <c:pt idx="61">
                  <c:v>0.196996</c:v>
                </c:pt>
                <c:pt idx="62">
                  <c:v>0.196996</c:v>
                </c:pt>
                <c:pt idx="63">
                  <c:v>0.196996</c:v>
                </c:pt>
                <c:pt idx="64">
                  <c:v>0.196996</c:v>
                </c:pt>
                <c:pt idx="65">
                  <c:v>0.196996</c:v>
                </c:pt>
                <c:pt idx="66">
                  <c:v>0.196996</c:v>
                </c:pt>
                <c:pt idx="67">
                  <c:v>0.196996</c:v>
                </c:pt>
                <c:pt idx="68">
                  <c:v>0.196996</c:v>
                </c:pt>
                <c:pt idx="69">
                  <c:v>0.196996</c:v>
                </c:pt>
                <c:pt idx="70">
                  <c:v>0.196996</c:v>
                </c:pt>
                <c:pt idx="71">
                  <c:v>0.196996</c:v>
                </c:pt>
                <c:pt idx="72">
                  <c:v>0.196996</c:v>
                </c:pt>
                <c:pt idx="73">
                  <c:v>0.196996</c:v>
                </c:pt>
                <c:pt idx="74">
                  <c:v>0.196996</c:v>
                </c:pt>
                <c:pt idx="75">
                  <c:v>0.196996</c:v>
                </c:pt>
                <c:pt idx="76">
                  <c:v>0.196996</c:v>
                </c:pt>
                <c:pt idx="77">
                  <c:v>0.196996</c:v>
                </c:pt>
                <c:pt idx="78">
                  <c:v>0.196996</c:v>
                </c:pt>
                <c:pt idx="79">
                  <c:v>0.196996</c:v>
                </c:pt>
                <c:pt idx="80">
                  <c:v>0.196996</c:v>
                </c:pt>
                <c:pt idx="81">
                  <c:v>0.196996</c:v>
                </c:pt>
                <c:pt idx="82">
                  <c:v>0.196996</c:v>
                </c:pt>
                <c:pt idx="83">
                  <c:v>0.196996</c:v>
                </c:pt>
                <c:pt idx="84">
                  <c:v>0.196996</c:v>
                </c:pt>
                <c:pt idx="85">
                  <c:v>0.196996</c:v>
                </c:pt>
                <c:pt idx="86">
                  <c:v>0.196996</c:v>
                </c:pt>
                <c:pt idx="87">
                  <c:v>0.196996</c:v>
                </c:pt>
                <c:pt idx="88">
                  <c:v>0.196996</c:v>
                </c:pt>
                <c:pt idx="89">
                  <c:v>0.196996</c:v>
                </c:pt>
                <c:pt idx="90">
                  <c:v>0.196996</c:v>
                </c:pt>
                <c:pt idx="91">
                  <c:v>0.196996</c:v>
                </c:pt>
                <c:pt idx="92">
                  <c:v>0.196996</c:v>
                </c:pt>
                <c:pt idx="93">
                  <c:v>0.196996</c:v>
                </c:pt>
                <c:pt idx="94">
                  <c:v>0.196996</c:v>
                </c:pt>
                <c:pt idx="95">
                  <c:v>0.196996</c:v>
                </c:pt>
                <c:pt idx="96">
                  <c:v>0.196996</c:v>
                </c:pt>
                <c:pt idx="97">
                  <c:v>0.196996</c:v>
                </c:pt>
                <c:pt idx="98">
                  <c:v>0.196996</c:v>
                </c:pt>
                <c:pt idx="99">
                  <c:v>0.196996</c:v>
                </c:pt>
                <c:pt idx="100">
                  <c:v>0.196996</c:v>
                </c:pt>
                <c:pt idx="101">
                  <c:v>0.196996</c:v>
                </c:pt>
                <c:pt idx="102">
                  <c:v>0.196996</c:v>
                </c:pt>
                <c:pt idx="103">
                  <c:v>0.196996</c:v>
                </c:pt>
                <c:pt idx="104">
                  <c:v>0.196996</c:v>
                </c:pt>
                <c:pt idx="105">
                  <c:v>0.196996</c:v>
                </c:pt>
                <c:pt idx="106">
                  <c:v>0.196996</c:v>
                </c:pt>
                <c:pt idx="107">
                  <c:v>0.196996</c:v>
                </c:pt>
                <c:pt idx="108">
                  <c:v>0.196996</c:v>
                </c:pt>
                <c:pt idx="109">
                  <c:v>0.196996</c:v>
                </c:pt>
                <c:pt idx="110">
                  <c:v>0.196996</c:v>
                </c:pt>
                <c:pt idx="111">
                  <c:v>0.196996</c:v>
                </c:pt>
                <c:pt idx="112">
                  <c:v>0.196996</c:v>
                </c:pt>
                <c:pt idx="113">
                  <c:v>0.196996</c:v>
                </c:pt>
                <c:pt idx="114">
                  <c:v>0.196996</c:v>
                </c:pt>
                <c:pt idx="115">
                  <c:v>0.196996</c:v>
                </c:pt>
                <c:pt idx="116">
                  <c:v>0.196996</c:v>
                </c:pt>
                <c:pt idx="117">
                  <c:v>0.196996</c:v>
                </c:pt>
                <c:pt idx="118">
                  <c:v>0.196996</c:v>
                </c:pt>
                <c:pt idx="119">
                  <c:v>0.196996</c:v>
                </c:pt>
                <c:pt idx="120">
                  <c:v>0.196996</c:v>
                </c:pt>
                <c:pt idx="121">
                  <c:v>0.196996</c:v>
                </c:pt>
                <c:pt idx="122">
                  <c:v>0.196996</c:v>
                </c:pt>
                <c:pt idx="123">
                  <c:v>0.196996</c:v>
                </c:pt>
                <c:pt idx="124">
                  <c:v>0.196996</c:v>
                </c:pt>
                <c:pt idx="125">
                  <c:v>0.196996</c:v>
                </c:pt>
                <c:pt idx="126">
                  <c:v>0.196996</c:v>
                </c:pt>
                <c:pt idx="127">
                  <c:v>0.196996</c:v>
                </c:pt>
                <c:pt idx="128">
                  <c:v>0.196996</c:v>
                </c:pt>
                <c:pt idx="129">
                  <c:v>0.196996</c:v>
                </c:pt>
                <c:pt idx="130">
                  <c:v>0.196996</c:v>
                </c:pt>
                <c:pt idx="131">
                  <c:v>0.196996</c:v>
                </c:pt>
                <c:pt idx="132">
                  <c:v>0.196996</c:v>
                </c:pt>
                <c:pt idx="133">
                  <c:v>0.196996</c:v>
                </c:pt>
                <c:pt idx="134">
                  <c:v>0.196996</c:v>
                </c:pt>
                <c:pt idx="135">
                  <c:v>0.196996</c:v>
                </c:pt>
                <c:pt idx="136">
                  <c:v>0.196996</c:v>
                </c:pt>
                <c:pt idx="137">
                  <c:v>0.196996</c:v>
                </c:pt>
                <c:pt idx="138">
                  <c:v>0.196996</c:v>
                </c:pt>
                <c:pt idx="139">
                  <c:v>0.196996</c:v>
                </c:pt>
                <c:pt idx="140">
                  <c:v>0.196996</c:v>
                </c:pt>
                <c:pt idx="141">
                  <c:v>0.196996</c:v>
                </c:pt>
                <c:pt idx="142">
                  <c:v>0.196996</c:v>
                </c:pt>
                <c:pt idx="143">
                  <c:v>0.196996</c:v>
                </c:pt>
                <c:pt idx="144">
                  <c:v>0.196996</c:v>
                </c:pt>
                <c:pt idx="145">
                  <c:v>0.196996</c:v>
                </c:pt>
                <c:pt idx="146">
                  <c:v>0.196996</c:v>
                </c:pt>
                <c:pt idx="147">
                  <c:v>0.196996</c:v>
                </c:pt>
                <c:pt idx="148">
                  <c:v>0.196996</c:v>
                </c:pt>
                <c:pt idx="149">
                  <c:v>0.196996</c:v>
                </c:pt>
                <c:pt idx="150">
                  <c:v>0.196996</c:v>
                </c:pt>
                <c:pt idx="151">
                  <c:v>0.196996</c:v>
                </c:pt>
                <c:pt idx="152">
                  <c:v>0.196996</c:v>
                </c:pt>
                <c:pt idx="153">
                  <c:v>0.196996</c:v>
                </c:pt>
                <c:pt idx="154">
                  <c:v>0.196996</c:v>
                </c:pt>
                <c:pt idx="155">
                  <c:v>0.196996</c:v>
                </c:pt>
                <c:pt idx="156">
                  <c:v>0.196996</c:v>
                </c:pt>
                <c:pt idx="157">
                  <c:v>0.196996</c:v>
                </c:pt>
                <c:pt idx="158">
                  <c:v>0.196996</c:v>
                </c:pt>
                <c:pt idx="159">
                  <c:v>0.196996</c:v>
                </c:pt>
                <c:pt idx="160">
                  <c:v>0.196996</c:v>
                </c:pt>
                <c:pt idx="161">
                  <c:v>0.196996</c:v>
                </c:pt>
                <c:pt idx="162">
                  <c:v>0.196996</c:v>
                </c:pt>
                <c:pt idx="163">
                  <c:v>0.196996</c:v>
                </c:pt>
                <c:pt idx="164">
                  <c:v>0.196996</c:v>
                </c:pt>
                <c:pt idx="165">
                  <c:v>0.196996</c:v>
                </c:pt>
                <c:pt idx="166">
                  <c:v>0.196996</c:v>
                </c:pt>
                <c:pt idx="167">
                  <c:v>0.196996</c:v>
                </c:pt>
                <c:pt idx="168">
                  <c:v>0.196996</c:v>
                </c:pt>
                <c:pt idx="169">
                  <c:v>0.196996</c:v>
                </c:pt>
                <c:pt idx="170">
                  <c:v>0.196996</c:v>
                </c:pt>
                <c:pt idx="171">
                  <c:v>0.196996</c:v>
                </c:pt>
                <c:pt idx="172">
                  <c:v>0.196996</c:v>
                </c:pt>
                <c:pt idx="173">
                  <c:v>0.196996</c:v>
                </c:pt>
                <c:pt idx="174">
                  <c:v>0.196996</c:v>
                </c:pt>
                <c:pt idx="175">
                  <c:v>0.196996</c:v>
                </c:pt>
                <c:pt idx="176">
                  <c:v>0.196996</c:v>
                </c:pt>
                <c:pt idx="177">
                  <c:v>0.196996</c:v>
                </c:pt>
                <c:pt idx="178">
                  <c:v>0.196996</c:v>
                </c:pt>
                <c:pt idx="179">
                  <c:v>0.196996</c:v>
                </c:pt>
                <c:pt idx="180">
                  <c:v>0.196996</c:v>
                </c:pt>
                <c:pt idx="181">
                  <c:v>0.196996</c:v>
                </c:pt>
                <c:pt idx="182">
                  <c:v>0.196996</c:v>
                </c:pt>
                <c:pt idx="183">
                  <c:v>0.196996</c:v>
                </c:pt>
                <c:pt idx="184">
                  <c:v>0.196996</c:v>
                </c:pt>
                <c:pt idx="185">
                  <c:v>0.196996</c:v>
                </c:pt>
                <c:pt idx="186">
                  <c:v>0.196996</c:v>
                </c:pt>
                <c:pt idx="187">
                  <c:v>0.196996</c:v>
                </c:pt>
                <c:pt idx="188">
                  <c:v>0.196996</c:v>
                </c:pt>
                <c:pt idx="189">
                  <c:v>0.196996</c:v>
                </c:pt>
                <c:pt idx="190">
                  <c:v>0.196996</c:v>
                </c:pt>
                <c:pt idx="191">
                  <c:v>0.196996</c:v>
                </c:pt>
                <c:pt idx="192">
                  <c:v>0.196996</c:v>
                </c:pt>
                <c:pt idx="193">
                  <c:v>0.196996</c:v>
                </c:pt>
                <c:pt idx="194">
                  <c:v>0.196996</c:v>
                </c:pt>
                <c:pt idx="195">
                  <c:v>0.196996</c:v>
                </c:pt>
                <c:pt idx="196">
                  <c:v>0.196996</c:v>
                </c:pt>
                <c:pt idx="197">
                  <c:v>0.196996</c:v>
                </c:pt>
                <c:pt idx="198">
                  <c:v>0.196996</c:v>
                </c:pt>
                <c:pt idx="199">
                  <c:v>0.196996</c:v>
                </c:pt>
                <c:pt idx="200">
                  <c:v>0.196996</c:v>
                </c:pt>
                <c:pt idx="201">
                  <c:v>0.196996</c:v>
                </c:pt>
                <c:pt idx="202">
                  <c:v>0.196996</c:v>
                </c:pt>
                <c:pt idx="203">
                  <c:v>0.196996</c:v>
                </c:pt>
                <c:pt idx="204">
                  <c:v>0.196996</c:v>
                </c:pt>
                <c:pt idx="205">
                  <c:v>0.196996</c:v>
                </c:pt>
                <c:pt idx="206">
                  <c:v>0.196996</c:v>
                </c:pt>
                <c:pt idx="207">
                  <c:v>0.196996</c:v>
                </c:pt>
                <c:pt idx="208">
                  <c:v>0.196996</c:v>
                </c:pt>
                <c:pt idx="209">
                  <c:v>0.196996</c:v>
                </c:pt>
                <c:pt idx="210">
                  <c:v>0.196996</c:v>
                </c:pt>
                <c:pt idx="211">
                  <c:v>0.196996</c:v>
                </c:pt>
                <c:pt idx="212">
                  <c:v>0.196996</c:v>
                </c:pt>
                <c:pt idx="213">
                  <c:v>0.196996</c:v>
                </c:pt>
                <c:pt idx="214">
                  <c:v>0.196996</c:v>
                </c:pt>
                <c:pt idx="215">
                  <c:v>0.196996</c:v>
                </c:pt>
                <c:pt idx="216">
                  <c:v>0.196996</c:v>
                </c:pt>
                <c:pt idx="217">
                  <c:v>0.196996</c:v>
                </c:pt>
                <c:pt idx="218">
                  <c:v>0.196996</c:v>
                </c:pt>
                <c:pt idx="219">
                  <c:v>0.196996</c:v>
                </c:pt>
                <c:pt idx="220">
                  <c:v>0.196996</c:v>
                </c:pt>
                <c:pt idx="221">
                  <c:v>0.196996</c:v>
                </c:pt>
                <c:pt idx="222">
                  <c:v>0.196996</c:v>
                </c:pt>
                <c:pt idx="223">
                  <c:v>0.196996</c:v>
                </c:pt>
                <c:pt idx="224">
                  <c:v>0.196996</c:v>
                </c:pt>
                <c:pt idx="225">
                  <c:v>0.196996</c:v>
                </c:pt>
                <c:pt idx="226">
                  <c:v>0.196996</c:v>
                </c:pt>
                <c:pt idx="227">
                  <c:v>0.196996</c:v>
                </c:pt>
                <c:pt idx="228">
                  <c:v>0.196996</c:v>
                </c:pt>
                <c:pt idx="229">
                  <c:v>0.196996</c:v>
                </c:pt>
                <c:pt idx="230">
                  <c:v>0.196996</c:v>
                </c:pt>
                <c:pt idx="231">
                  <c:v>0.196996</c:v>
                </c:pt>
                <c:pt idx="232">
                  <c:v>0.196996</c:v>
                </c:pt>
                <c:pt idx="233">
                  <c:v>0.196996</c:v>
                </c:pt>
                <c:pt idx="234">
                  <c:v>0.196996</c:v>
                </c:pt>
                <c:pt idx="235">
                  <c:v>0.196996</c:v>
                </c:pt>
                <c:pt idx="236">
                  <c:v>0.196996</c:v>
                </c:pt>
                <c:pt idx="237">
                  <c:v>0.196996</c:v>
                </c:pt>
                <c:pt idx="238">
                  <c:v>0.196996</c:v>
                </c:pt>
                <c:pt idx="239">
                  <c:v>0.196996</c:v>
                </c:pt>
                <c:pt idx="240">
                  <c:v>0.196996</c:v>
                </c:pt>
                <c:pt idx="241">
                  <c:v>0.196996</c:v>
                </c:pt>
                <c:pt idx="242">
                  <c:v>0.196996</c:v>
                </c:pt>
                <c:pt idx="243">
                  <c:v>0.196996</c:v>
                </c:pt>
                <c:pt idx="244">
                  <c:v>0.196996</c:v>
                </c:pt>
                <c:pt idx="245">
                  <c:v>0.196996</c:v>
                </c:pt>
                <c:pt idx="246">
                  <c:v>0.196996</c:v>
                </c:pt>
                <c:pt idx="247">
                  <c:v>0.196996</c:v>
                </c:pt>
                <c:pt idx="248">
                  <c:v>0.196996</c:v>
                </c:pt>
                <c:pt idx="249">
                  <c:v>0.196996</c:v>
                </c:pt>
                <c:pt idx="250">
                  <c:v>0.196996</c:v>
                </c:pt>
                <c:pt idx="251">
                  <c:v>0.196996</c:v>
                </c:pt>
                <c:pt idx="252">
                  <c:v>0.196996</c:v>
                </c:pt>
                <c:pt idx="253">
                  <c:v>0.196996</c:v>
                </c:pt>
                <c:pt idx="254">
                  <c:v>0.196996</c:v>
                </c:pt>
                <c:pt idx="255">
                  <c:v>0.196996</c:v>
                </c:pt>
                <c:pt idx="256">
                  <c:v>0.196996</c:v>
                </c:pt>
                <c:pt idx="257">
                  <c:v>0.196996</c:v>
                </c:pt>
                <c:pt idx="258">
                  <c:v>0.196996</c:v>
                </c:pt>
                <c:pt idx="259">
                  <c:v>0.196996</c:v>
                </c:pt>
                <c:pt idx="260">
                  <c:v>0.196996</c:v>
                </c:pt>
                <c:pt idx="261">
                  <c:v>0.196996</c:v>
                </c:pt>
                <c:pt idx="262">
                  <c:v>0.196996</c:v>
                </c:pt>
                <c:pt idx="263">
                  <c:v>0.196996</c:v>
                </c:pt>
                <c:pt idx="264">
                  <c:v>0.196996</c:v>
                </c:pt>
                <c:pt idx="265">
                  <c:v>0.196996</c:v>
                </c:pt>
                <c:pt idx="266">
                  <c:v>0.196996</c:v>
                </c:pt>
                <c:pt idx="267">
                  <c:v>0.196996</c:v>
                </c:pt>
                <c:pt idx="268">
                  <c:v>0.196996</c:v>
                </c:pt>
                <c:pt idx="269">
                  <c:v>0.196996</c:v>
                </c:pt>
                <c:pt idx="270">
                  <c:v>0.196996</c:v>
                </c:pt>
                <c:pt idx="271">
                  <c:v>0.196996</c:v>
                </c:pt>
                <c:pt idx="272">
                  <c:v>0.196996</c:v>
                </c:pt>
                <c:pt idx="273">
                  <c:v>0.196996</c:v>
                </c:pt>
                <c:pt idx="274">
                  <c:v>0.196996</c:v>
                </c:pt>
                <c:pt idx="275">
                  <c:v>0.196996</c:v>
                </c:pt>
                <c:pt idx="276">
                  <c:v>0.196996</c:v>
                </c:pt>
                <c:pt idx="277">
                  <c:v>0.196996</c:v>
                </c:pt>
                <c:pt idx="278">
                  <c:v>0.196996</c:v>
                </c:pt>
                <c:pt idx="279">
                  <c:v>0.196996</c:v>
                </c:pt>
                <c:pt idx="280">
                  <c:v>0.196996</c:v>
                </c:pt>
                <c:pt idx="281">
                  <c:v>0.196996</c:v>
                </c:pt>
                <c:pt idx="282">
                  <c:v>0.196996</c:v>
                </c:pt>
                <c:pt idx="283">
                  <c:v>0.196996</c:v>
                </c:pt>
                <c:pt idx="284">
                  <c:v>0.196996</c:v>
                </c:pt>
                <c:pt idx="285">
                  <c:v>0.196996</c:v>
                </c:pt>
                <c:pt idx="286">
                  <c:v>0.196996</c:v>
                </c:pt>
                <c:pt idx="287">
                  <c:v>0.196996</c:v>
                </c:pt>
                <c:pt idx="288">
                  <c:v>0.196996</c:v>
                </c:pt>
                <c:pt idx="289">
                  <c:v>0.196996</c:v>
                </c:pt>
                <c:pt idx="290">
                  <c:v>0.196996</c:v>
                </c:pt>
                <c:pt idx="291">
                  <c:v>0.196996</c:v>
                </c:pt>
                <c:pt idx="292">
                  <c:v>0.196996</c:v>
                </c:pt>
                <c:pt idx="293">
                  <c:v>0.196996</c:v>
                </c:pt>
                <c:pt idx="294">
                  <c:v>0.196996</c:v>
                </c:pt>
                <c:pt idx="295">
                  <c:v>0.196996</c:v>
                </c:pt>
                <c:pt idx="296">
                  <c:v>0.196996</c:v>
                </c:pt>
                <c:pt idx="297">
                  <c:v>0.196996</c:v>
                </c:pt>
                <c:pt idx="298">
                  <c:v>0.196996</c:v>
                </c:pt>
                <c:pt idx="299">
                  <c:v>0.196996</c:v>
                </c:pt>
                <c:pt idx="300">
                  <c:v>0.196996</c:v>
                </c:pt>
                <c:pt idx="301">
                  <c:v>0.196996</c:v>
                </c:pt>
                <c:pt idx="302">
                  <c:v>0.196996</c:v>
                </c:pt>
                <c:pt idx="303">
                  <c:v>0.196996</c:v>
                </c:pt>
                <c:pt idx="304">
                  <c:v>0.196996</c:v>
                </c:pt>
                <c:pt idx="305">
                  <c:v>0.196996</c:v>
                </c:pt>
                <c:pt idx="306">
                  <c:v>0.196996</c:v>
                </c:pt>
                <c:pt idx="307">
                  <c:v>0.196996</c:v>
                </c:pt>
                <c:pt idx="308">
                  <c:v>0.196996</c:v>
                </c:pt>
                <c:pt idx="309">
                  <c:v>0.196996</c:v>
                </c:pt>
                <c:pt idx="310">
                  <c:v>0.196996</c:v>
                </c:pt>
                <c:pt idx="311">
                  <c:v>0.196996</c:v>
                </c:pt>
                <c:pt idx="312">
                  <c:v>0.196996</c:v>
                </c:pt>
                <c:pt idx="313">
                  <c:v>0.196996</c:v>
                </c:pt>
                <c:pt idx="314">
                  <c:v>0.196996</c:v>
                </c:pt>
                <c:pt idx="315">
                  <c:v>0.196996</c:v>
                </c:pt>
                <c:pt idx="316">
                  <c:v>0.196996</c:v>
                </c:pt>
                <c:pt idx="317">
                  <c:v>0.196996</c:v>
                </c:pt>
                <c:pt idx="318">
                  <c:v>0.196996</c:v>
                </c:pt>
                <c:pt idx="319">
                  <c:v>0.196996</c:v>
                </c:pt>
                <c:pt idx="320">
                  <c:v>0.196996</c:v>
                </c:pt>
                <c:pt idx="321">
                  <c:v>0.196996</c:v>
                </c:pt>
                <c:pt idx="322">
                  <c:v>0.196996</c:v>
                </c:pt>
                <c:pt idx="323">
                  <c:v>0.196996</c:v>
                </c:pt>
                <c:pt idx="324">
                  <c:v>0.196996</c:v>
                </c:pt>
                <c:pt idx="325">
                  <c:v>0.196996</c:v>
                </c:pt>
                <c:pt idx="326">
                  <c:v>0.196996</c:v>
                </c:pt>
                <c:pt idx="327">
                  <c:v>0.196996</c:v>
                </c:pt>
                <c:pt idx="328">
                  <c:v>0.196996</c:v>
                </c:pt>
                <c:pt idx="329">
                  <c:v>0.196996</c:v>
                </c:pt>
                <c:pt idx="330">
                  <c:v>0.196996</c:v>
                </c:pt>
                <c:pt idx="331">
                  <c:v>0.196996</c:v>
                </c:pt>
                <c:pt idx="332">
                  <c:v>0.196996</c:v>
                </c:pt>
                <c:pt idx="333">
                  <c:v>0.196996</c:v>
                </c:pt>
                <c:pt idx="334">
                  <c:v>0.196996</c:v>
                </c:pt>
                <c:pt idx="335">
                  <c:v>0.196996</c:v>
                </c:pt>
                <c:pt idx="336">
                  <c:v>0.196996</c:v>
                </c:pt>
                <c:pt idx="337">
                  <c:v>0.196996</c:v>
                </c:pt>
                <c:pt idx="338">
                  <c:v>0.196996</c:v>
                </c:pt>
                <c:pt idx="339">
                  <c:v>0.196996</c:v>
                </c:pt>
                <c:pt idx="340">
                  <c:v>0.196996</c:v>
                </c:pt>
                <c:pt idx="341">
                  <c:v>0.196996</c:v>
                </c:pt>
                <c:pt idx="342">
                  <c:v>0.196996</c:v>
                </c:pt>
                <c:pt idx="343">
                  <c:v>0.196996</c:v>
                </c:pt>
                <c:pt idx="344">
                  <c:v>0.196996</c:v>
                </c:pt>
                <c:pt idx="345">
                  <c:v>0.196996</c:v>
                </c:pt>
                <c:pt idx="346">
                  <c:v>0.196996</c:v>
                </c:pt>
                <c:pt idx="347">
                  <c:v>0.196996</c:v>
                </c:pt>
                <c:pt idx="348">
                  <c:v>0.196996</c:v>
                </c:pt>
                <c:pt idx="349">
                  <c:v>0.196996</c:v>
                </c:pt>
                <c:pt idx="350">
                  <c:v>0.196996</c:v>
                </c:pt>
                <c:pt idx="351">
                  <c:v>0.196996</c:v>
                </c:pt>
                <c:pt idx="352">
                  <c:v>0.196996</c:v>
                </c:pt>
                <c:pt idx="353">
                  <c:v>0.196996</c:v>
                </c:pt>
                <c:pt idx="354">
                  <c:v>0.196996</c:v>
                </c:pt>
                <c:pt idx="355">
                  <c:v>0.196996</c:v>
                </c:pt>
                <c:pt idx="356">
                  <c:v>0.196996</c:v>
                </c:pt>
                <c:pt idx="357">
                  <c:v>0.196996</c:v>
                </c:pt>
                <c:pt idx="358">
                  <c:v>0.196996</c:v>
                </c:pt>
                <c:pt idx="359">
                  <c:v>0.196996</c:v>
                </c:pt>
                <c:pt idx="360">
                  <c:v>0.196996</c:v>
                </c:pt>
                <c:pt idx="361">
                  <c:v>0.196996</c:v>
                </c:pt>
                <c:pt idx="362">
                  <c:v>0.196996</c:v>
                </c:pt>
                <c:pt idx="363">
                  <c:v>0.196996</c:v>
                </c:pt>
                <c:pt idx="364">
                  <c:v>0.196996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C6-478E-8C7A-976291CEF181}"/>
            </c:ext>
          </c:extLst>
        </c:ser>
        <c:ser>
          <c:idx val="3"/>
          <c:order val="3"/>
          <c:tx>
            <c:v>RAW[%]</c:v>
          </c:tx>
          <c:spPr>
            <a:ln w="15875"/>
          </c:spPr>
          <c:marker>
            <c:symbol val="none"/>
          </c:marker>
          <c:cat>
            <c:numRef>
              <c:f>'Bilancio secondo strato'!$B$2:$B$366</c:f>
              <c:numCache>
                <c:formatCode>m/d/yyyy</c:formatCode>
                <c:ptCount val="365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  <c:pt idx="32">
                  <c:v>44229</c:v>
                </c:pt>
                <c:pt idx="33">
                  <c:v>44230</c:v>
                </c:pt>
                <c:pt idx="34">
                  <c:v>44231</c:v>
                </c:pt>
                <c:pt idx="35">
                  <c:v>44232</c:v>
                </c:pt>
                <c:pt idx="36">
                  <c:v>44233</c:v>
                </c:pt>
                <c:pt idx="37">
                  <c:v>44234</c:v>
                </c:pt>
                <c:pt idx="38">
                  <c:v>44235</c:v>
                </c:pt>
                <c:pt idx="39">
                  <c:v>44236</c:v>
                </c:pt>
                <c:pt idx="40">
                  <c:v>44237</c:v>
                </c:pt>
                <c:pt idx="41">
                  <c:v>44238</c:v>
                </c:pt>
                <c:pt idx="42">
                  <c:v>44239</c:v>
                </c:pt>
                <c:pt idx="43">
                  <c:v>44240</c:v>
                </c:pt>
                <c:pt idx="44">
                  <c:v>44241</c:v>
                </c:pt>
                <c:pt idx="45">
                  <c:v>44242</c:v>
                </c:pt>
                <c:pt idx="46">
                  <c:v>44243</c:v>
                </c:pt>
                <c:pt idx="47">
                  <c:v>44244</c:v>
                </c:pt>
                <c:pt idx="48">
                  <c:v>44245</c:v>
                </c:pt>
                <c:pt idx="49">
                  <c:v>44246</c:v>
                </c:pt>
                <c:pt idx="50">
                  <c:v>44247</c:v>
                </c:pt>
                <c:pt idx="51">
                  <c:v>44248</c:v>
                </c:pt>
                <c:pt idx="52">
                  <c:v>44249</c:v>
                </c:pt>
                <c:pt idx="53">
                  <c:v>44250</c:v>
                </c:pt>
                <c:pt idx="54">
                  <c:v>44251</c:v>
                </c:pt>
                <c:pt idx="55">
                  <c:v>44252</c:v>
                </c:pt>
                <c:pt idx="56">
                  <c:v>44253</c:v>
                </c:pt>
                <c:pt idx="57">
                  <c:v>44254</c:v>
                </c:pt>
                <c:pt idx="58">
                  <c:v>44255</c:v>
                </c:pt>
                <c:pt idx="59">
                  <c:v>44256</c:v>
                </c:pt>
                <c:pt idx="60">
                  <c:v>44257</c:v>
                </c:pt>
                <c:pt idx="61">
                  <c:v>44258</c:v>
                </c:pt>
                <c:pt idx="62">
                  <c:v>44259</c:v>
                </c:pt>
                <c:pt idx="63">
                  <c:v>44260</c:v>
                </c:pt>
                <c:pt idx="64">
                  <c:v>44261</c:v>
                </c:pt>
                <c:pt idx="65">
                  <c:v>44262</c:v>
                </c:pt>
                <c:pt idx="66">
                  <c:v>44263</c:v>
                </c:pt>
                <c:pt idx="67">
                  <c:v>44264</c:v>
                </c:pt>
                <c:pt idx="68">
                  <c:v>44265</c:v>
                </c:pt>
                <c:pt idx="69">
                  <c:v>44266</c:v>
                </c:pt>
                <c:pt idx="70">
                  <c:v>44267</c:v>
                </c:pt>
                <c:pt idx="71">
                  <c:v>44268</c:v>
                </c:pt>
                <c:pt idx="72">
                  <c:v>44269</c:v>
                </c:pt>
                <c:pt idx="73">
                  <c:v>44270</c:v>
                </c:pt>
                <c:pt idx="74">
                  <c:v>44271</c:v>
                </c:pt>
                <c:pt idx="75">
                  <c:v>44272</c:v>
                </c:pt>
                <c:pt idx="76">
                  <c:v>44273</c:v>
                </c:pt>
                <c:pt idx="77">
                  <c:v>44274</c:v>
                </c:pt>
                <c:pt idx="78">
                  <c:v>44275</c:v>
                </c:pt>
                <c:pt idx="79">
                  <c:v>44276</c:v>
                </c:pt>
                <c:pt idx="80">
                  <c:v>44277</c:v>
                </c:pt>
                <c:pt idx="81">
                  <c:v>44278</c:v>
                </c:pt>
                <c:pt idx="82">
                  <c:v>44279</c:v>
                </c:pt>
                <c:pt idx="83">
                  <c:v>44280</c:v>
                </c:pt>
                <c:pt idx="84">
                  <c:v>44281</c:v>
                </c:pt>
                <c:pt idx="85">
                  <c:v>44282</c:v>
                </c:pt>
                <c:pt idx="86">
                  <c:v>44283</c:v>
                </c:pt>
                <c:pt idx="87">
                  <c:v>44284</c:v>
                </c:pt>
                <c:pt idx="88">
                  <c:v>44285</c:v>
                </c:pt>
                <c:pt idx="89">
                  <c:v>44286</c:v>
                </c:pt>
                <c:pt idx="90">
                  <c:v>44287</c:v>
                </c:pt>
                <c:pt idx="91">
                  <c:v>44288</c:v>
                </c:pt>
                <c:pt idx="92">
                  <c:v>44289</c:v>
                </c:pt>
                <c:pt idx="93">
                  <c:v>44290</c:v>
                </c:pt>
                <c:pt idx="94">
                  <c:v>44291</c:v>
                </c:pt>
                <c:pt idx="95">
                  <c:v>44292</c:v>
                </c:pt>
                <c:pt idx="96">
                  <c:v>44293</c:v>
                </c:pt>
                <c:pt idx="97">
                  <c:v>44294</c:v>
                </c:pt>
                <c:pt idx="98">
                  <c:v>44295</c:v>
                </c:pt>
                <c:pt idx="99">
                  <c:v>44296</c:v>
                </c:pt>
                <c:pt idx="100">
                  <c:v>44297</c:v>
                </c:pt>
                <c:pt idx="101">
                  <c:v>44298</c:v>
                </c:pt>
                <c:pt idx="102">
                  <c:v>44299</c:v>
                </c:pt>
                <c:pt idx="103">
                  <c:v>44300</c:v>
                </c:pt>
                <c:pt idx="104">
                  <c:v>44301</c:v>
                </c:pt>
                <c:pt idx="105">
                  <c:v>44302</c:v>
                </c:pt>
                <c:pt idx="106">
                  <c:v>44303</c:v>
                </c:pt>
                <c:pt idx="107">
                  <c:v>44304</c:v>
                </c:pt>
                <c:pt idx="108">
                  <c:v>44305</c:v>
                </c:pt>
                <c:pt idx="109">
                  <c:v>44306</c:v>
                </c:pt>
                <c:pt idx="110">
                  <c:v>44307</c:v>
                </c:pt>
                <c:pt idx="111">
                  <c:v>44308</c:v>
                </c:pt>
                <c:pt idx="112">
                  <c:v>44309</c:v>
                </c:pt>
                <c:pt idx="113">
                  <c:v>44310</c:v>
                </c:pt>
                <c:pt idx="114">
                  <c:v>44311</c:v>
                </c:pt>
                <c:pt idx="115">
                  <c:v>44312</c:v>
                </c:pt>
                <c:pt idx="116">
                  <c:v>44313</c:v>
                </c:pt>
                <c:pt idx="117">
                  <c:v>44314</c:v>
                </c:pt>
                <c:pt idx="118">
                  <c:v>44315</c:v>
                </c:pt>
                <c:pt idx="119">
                  <c:v>44316</c:v>
                </c:pt>
                <c:pt idx="120">
                  <c:v>44317</c:v>
                </c:pt>
                <c:pt idx="121">
                  <c:v>44318</c:v>
                </c:pt>
                <c:pt idx="122">
                  <c:v>44319</c:v>
                </c:pt>
                <c:pt idx="123">
                  <c:v>44320</c:v>
                </c:pt>
                <c:pt idx="124">
                  <c:v>44321</c:v>
                </c:pt>
                <c:pt idx="125">
                  <c:v>44322</c:v>
                </c:pt>
                <c:pt idx="126">
                  <c:v>44323</c:v>
                </c:pt>
                <c:pt idx="127">
                  <c:v>44324</c:v>
                </c:pt>
                <c:pt idx="128">
                  <c:v>44325</c:v>
                </c:pt>
                <c:pt idx="129">
                  <c:v>44326</c:v>
                </c:pt>
                <c:pt idx="130">
                  <c:v>44327</c:v>
                </c:pt>
                <c:pt idx="131">
                  <c:v>44328</c:v>
                </c:pt>
                <c:pt idx="132">
                  <c:v>44329</c:v>
                </c:pt>
                <c:pt idx="133">
                  <c:v>44330</c:v>
                </c:pt>
                <c:pt idx="134">
                  <c:v>44331</c:v>
                </c:pt>
                <c:pt idx="135">
                  <c:v>44332</c:v>
                </c:pt>
                <c:pt idx="136">
                  <c:v>44333</c:v>
                </c:pt>
                <c:pt idx="137">
                  <c:v>44334</c:v>
                </c:pt>
                <c:pt idx="138">
                  <c:v>44335</c:v>
                </c:pt>
                <c:pt idx="139">
                  <c:v>44336</c:v>
                </c:pt>
                <c:pt idx="140">
                  <c:v>44337</c:v>
                </c:pt>
                <c:pt idx="141">
                  <c:v>44338</c:v>
                </c:pt>
                <c:pt idx="142">
                  <c:v>44339</c:v>
                </c:pt>
                <c:pt idx="143">
                  <c:v>44340</c:v>
                </c:pt>
                <c:pt idx="144">
                  <c:v>44341</c:v>
                </c:pt>
                <c:pt idx="145">
                  <c:v>44342</c:v>
                </c:pt>
                <c:pt idx="146">
                  <c:v>44343</c:v>
                </c:pt>
                <c:pt idx="147">
                  <c:v>44344</c:v>
                </c:pt>
                <c:pt idx="148">
                  <c:v>44345</c:v>
                </c:pt>
                <c:pt idx="149">
                  <c:v>44346</c:v>
                </c:pt>
                <c:pt idx="150">
                  <c:v>44347</c:v>
                </c:pt>
                <c:pt idx="151">
                  <c:v>44348</c:v>
                </c:pt>
                <c:pt idx="152">
                  <c:v>44349</c:v>
                </c:pt>
                <c:pt idx="153">
                  <c:v>44350</c:v>
                </c:pt>
                <c:pt idx="154">
                  <c:v>44351</c:v>
                </c:pt>
                <c:pt idx="155">
                  <c:v>44352</c:v>
                </c:pt>
                <c:pt idx="156">
                  <c:v>44353</c:v>
                </c:pt>
                <c:pt idx="157">
                  <c:v>44354</c:v>
                </c:pt>
                <c:pt idx="158">
                  <c:v>44355</c:v>
                </c:pt>
                <c:pt idx="159">
                  <c:v>44356</c:v>
                </c:pt>
                <c:pt idx="160">
                  <c:v>44357</c:v>
                </c:pt>
                <c:pt idx="161">
                  <c:v>44358</c:v>
                </c:pt>
                <c:pt idx="162">
                  <c:v>44359</c:v>
                </c:pt>
                <c:pt idx="163">
                  <c:v>44360</c:v>
                </c:pt>
                <c:pt idx="164">
                  <c:v>44361</c:v>
                </c:pt>
                <c:pt idx="165">
                  <c:v>44362</c:v>
                </c:pt>
                <c:pt idx="166">
                  <c:v>44363</c:v>
                </c:pt>
                <c:pt idx="167">
                  <c:v>44364</c:v>
                </c:pt>
                <c:pt idx="168">
                  <c:v>44365</c:v>
                </c:pt>
                <c:pt idx="169">
                  <c:v>44366</c:v>
                </c:pt>
                <c:pt idx="170">
                  <c:v>44367</c:v>
                </c:pt>
                <c:pt idx="171">
                  <c:v>44368</c:v>
                </c:pt>
                <c:pt idx="172">
                  <c:v>44369</c:v>
                </c:pt>
                <c:pt idx="173">
                  <c:v>44370</c:v>
                </c:pt>
                <c:pt idx="174">
                  <c:v>44371</c:v>
                </c:pt>
                <c:pt idx="175">
                  <c:v>44372</c:v>
                </c:pt>
                <c:pt idx="176">
                  <c:v>44373</c:v>
                </c:pt>
                <c:pt idx="177">
                  <c:v>44374</c:v>
                </c:pt>
                <c:pt idx="178">
                  <c:v>44375</c:v>
                </c:pt>
                <c:pt idx="179">
                  <c:v>44376</c:v>
                </c:pt>
                <c:pt idx="180">
                  <c:v>44377</c:v>
                </c:pt>
                <c:pt idx="181">
                  <c:v>44378</c:v>
                </c:pt>
                <c:pt idx="182">
                  <c:v>44379</c:v>
                </c:pt>
                <c:pt idx="183">
                  <c:v>44380</c:v>
                </c:pt>
                <c:pt idx="184">
                  <c:v>44381</c:v>
                </c:pt>
                <c:pt idx="185">
                  <c:v>44382</c:v>
                </c:pt>
                <c:pt idx="186">
                  <c:v>44383</c:v>
                </c:pt>
                <c:pt idx="187">
                  <c:v>44384</c:v>
                </c:pt>
                <c:pt idx="188">
                  <c:v>44385</c:v>
                </c:pt>
                <c:pt idx="189">
                  <c:v>44386</c:v>
                </c:pt>
                <c:pt idx="190">
                  <c:v>44387</c:v>
                </c:pt>
                <c:pt idx="191">
                  <c:v>44388</c:v>
                </c:pt>
                <c:pt idx="192">
                  <c:v>44389</c:v>
                </c:pt>
                <c:pt idx="193">
                  <c:v>44390</c:v>
                </c:pt>
                <c:pt idx="194">
                  <c:v>44391</c:v>
                </c:pt>
                <c:pt idx="195">
                  <c:v>44392</c:v>
                </c:pt>
                <c:pt idx="196">
                  <c:v>44393</c:v>
                </c:pt>
                <c:pt idx="197">
                  <c:v>44394</c:v>
                </c:pt>
                <c:pt idx="198">
                  <c:v>44395</c:v>
                </c:pt>
                <c:pt idx="199">
                  <c:v>44396</c:v>
                </c:pt>
                <c:pt idx="200">
                  <c:v>44397</c:v>
                </c:pt>
                <c:pt idx="201">
                  <c:v>44398</c:v>
                </c:pt>
                <c:pt idx="202">
                  <c:v>44399</c:v>
                </c:pt>
                <c:pt idx="203">
                  <c:v>44400</c:v>
                </c:pt>
                <c:pt idx="204">
                  <c:v>44401</c:v>
                </c:pt>
                <c:pt idx="205">
                  <c:v>44402</c:v>
                </c:pt>
                <c:pt idx="206">
                  <c:v>44403</c:v>
                </c:pt>
                <c:pt idx="207">
                  <c:v>44404</c:v>
                </c:pt>
                <c:pt idx="208">
                  <c:v>44405</c:v>
                </c:pt>
                <c:pt idx="209">
                  <c:v>44406</c:v>
                </c:pt>
                <c:pt idx="210">
                  <c:v>44407</c:v>
                </c:pt>
                <c:pt idx="211">
                  <c:v>44408</c:v>
                </c:pt>
                <c:pt idx="212">
                  <c:v>44409</c:v>
                </c:pt>
                <c:pt idx="213">
                  <c:v>44410</c:v>
                </c:pt>
                <c:pt idx="214">
                  <c:v>44411</c:v>
                </c:pt>
                <c:pt idx="215">
                  <c:v>44412</c:v>
                </c:pt>
                <c:pt idx="216">
                  <c:v>44413</c:v>
                </c:pt>
                <c:pt idx="217">
                  <c:v>44414</c:v>
                </c:pt>
                <c:pt idx="218">
                  <c:v>44415</c:v>
                </c:pt>
                <c:pt idx="219">
                  <c:v>44416</c:v>
                </c:pt>
                <c:pt idx="220">
                  <c:v>44417</c:v>
                </c:pt>
                <c:pt idx="221">
                  <c:v>44418</c:v>
                </c:pt>
                <c:pt idx="222">
                  <c:v>44419</c:v>
                </c:pt>
                <c:pt idx="223">
                  <c:v>44420</c:v>
                </c:pt>
                <c:pt idx="224">
                  <c:v>44421</c:v>
                </c:pt>
                <c:pt idx="225">
                  <c:v>44422</c:v>
                </c:pt>
                <c:pt idx="226">
                  <c:v>44423</c:v>
                </c:pt>
                <c:pt idx="227">
                  <c:v>44424</c:v>
                </c:pt>
                <c:pt idx="228">
                  <c:v>44425</c:v>
                </c:pt>
                <c:pt idx="229">
                  <c:v>44426</c:v>
                </c:pt>
                <c:pt idx="230">
                  <c:v>44427</c:v>
                </c:pt>
                <c:pt idx="231">
                  <c:v>44428</c:v>
                </c:pt>
                <c:pt idx="232">
                  <c:v>44429</c:v>
                </c:pt>
                <c:pt idx="233">
                  <c:v>44430</c:v>
                </c:pt>
                <c:pt idx="234">
                  <c:v>44431</c:v>
                </c:pt>
                <c:pt idx="235">
                  <c:v>44432</c:v>
                </c:pt>
                <c:pt idx="236">
                  <c:v>44433</c:v>
                </c:pt>
                <c:pt idx="237">
                  <c:v>44434</c:v>
                </c:pt>
                <c:pt idx="238">
                  <c:v>44435</c:v>
                </c:pt>
                <c:pt idx="239">
                  <c:v>44436</c:v>
                </c:pt>
                <c:pt idx="240">
                  <c:v>44437</c:v>
                </c:pt>
                <c:pt idx="241">
                  <c:v>44438</c:v>
                </c:pt>
                <c:pt idx="242">
                  <c:v>44439</c:v>
                </c:pt>
                <c:pt idx="243">
                  <c:v>44440</c:v>
                </c:pt>
                <c:pt idx="244">
                  <c:v>44441</c:v>
                </c:pt>
                <c:pt idx="245">
                  <c:v>44442</c:v>
                </c:pt>
                <c:pt idx="246">
                  <c:v>44443</c:v>
                </c:pt>
                <c:pt idx="247">
                  <c:v>44444</c:v>
                </c:pt>
                <c:pt idx="248">
                  <c:v>44445</c:v>
                </c:pt>
                <c:pt idx="249">
                  <c:v>44446</c:v>
                </c:pt>
                <c:pt idx="250">
                  <c:v>44447</c:v>
                </c:pt>
                <c:pt idx="251">
                  <c:v>44448</c:v>
                </c:pt>
                <c:pt idx="252">
                  <c:v>44449</c:v>
                </c:pt>
                <c:pt idx="253">
                  <c:v>44450</c:v>
                </c:pt>
                <c:pt idx="254">
                  <c:v>44451</c:v>
                </c:pt>
                <c:pt idx="255">
                  <c:v>44452</c:v>
                </c:pt>
                <c:pt idx="256">
                  <c:v>44453</c:v>
                </c:pt>
                <c:pt idx="257">
                  <c:v>44454</c:v>
                </c:pt>
                <c:pt idx="258">
                  <c:v>44455</c:v>
                </c:pt>
                <c:pt idx="259">
                  <c:v>44456</c:v>
                </c:pt>
                <c:pt idx="260">
                  <c:v>44457</c:v>
                </c:pt>
                <c:pt idx="261">
                  <c:v>44458</c:v>
                </c:pt>
                <c:pt idx="262">
                  <c:v>44459</c:v>
                </c:pt>
                <c:pt idx="263">
                  <c:v>44460</c:v>
                </c:pt>
                <c:pt idx="264">
                  <c:v>44461</c:v>
                </c:pt>
                <c:pt idx="265">
                  <c:v>44462</c:v>
                </c:pt>
                <c:pt idx="266">
                  <c:v>44463</c:v>
                </c:pt>
                <c:pt idx="267">
                  <c:v>44464</c:v>
                </c:pt>
                <c:pt idx="268">
                  <c:v>44465</c:v>
                </c:pt>
                <c:pt idx="269">
                  <c:v>44466</c:v>
                </c:pt>
                <c:pt idx="270">
                  <c:v>44467</c:v>
                </c:pt>
                <c:pt idx="271">
                  <c:v>44468</c:v>
                </c:pt>
                <c:pt idx="272">
                  <c:v>44469</c:v>
                </c:pt>
                <c:pt idx="273">
                  <c:v>44470</c:v>
                </c:pt>
                <c:pt idx="274">
                  <c:v>44471</c:v>
                </c:pt>
                <c:pt idx="275">
                  <c:v>44472</c:v>
                </c:pt>
                <c:pt idx="276">
                  <c:v>44473</c:v>
                </c:pt>
                <c:pt idx="277">
                  <c:v>44474</c:v>
                </c:pt>
                <c:pt idx="278">
                  <c:v>44475</c:v>
                </c:pt>
                <c:pt idx="279">
                  <c:v>44476</c:v>
                </c:pt>
                <c:pt idx="280">
                  <c:v>44477</c:v>
                </c:pt>
                <c:pt idx="281">
                  <c:v>44478</c:v>
                </c:pt>
                <c:pt idx="282">
                  <c:v>44479</c:v>
                </c:pt>
                <c:pt idx="283">
                  <c:v>44480</c:v>
                </c:pt>
                <c:pt idx="284">
                  <c:v>44481</c:v>
                </c:pt>
                <c:pt idx="285">
                  <c:v>44482</c:v>
                </c:pt>
                <c:pt idx="286">
                  <c:v>44483</c:v>
                </c:pt>
                <c:pt idx="287">
                  <c:v>44484</c:v>
                </c:pt>
                <c:pt idx="288">
                  <c:v>44485</c:v>
                </c:pt>
                <c:pt idx="289">
                  <c:v>44486</c:v>
                </c:pt>
                <c:pt idx="290">
                  <c:v>44487</c:v>
                </c:pt>
                <c:pt idx="291">
                  <c:v>44488</c:v>
                </c:pt>
                <c:pt idx="292">
                  <c:v>44489</c:v>
                </c:pt>
                <c:pt idx="293">
                  <c:v>44490</c:v>
                </c:pt>
                <c:pt idx="294">
                  <c:v>44491</c:v>
                </c:pt>
                <c:pt idx="295">
                  <c:v>44492</c:v>
                </c:pt>
                <c:pt idx="296">
                  <c:v>44493</c:v>
                </c:pt>
                <c:pt idx="297">
                  <c:v>44494</c:v>
                </c:pt>
                <c:pt idx="298">
                  <c:v>44495</c:v>
                </c:pt>
                <c:pt idx="299">
                  <c:v>44496</c:v>
                </c:pt>
                <c:pt idx="300">
                  <c:v>44497</c:v>
                </c:pt>
                <c:pt idx="301">
                  <c:v>44498</c:v>
                </c:pt>
                <c:pt idx="302">
                  <c:v>44499</c:v>
                </c:pt>
                <c:pt idx="303">
                  <c:v>44500</c:v>
                </c:pt>
                <c:pt idx="304">
                  <c:v>44501</c:v>
                </c:pt>
                <c:pt idx="305">
                  <c:v>44502</c:v>
                </c:pt>
                <c:pt idx="306">
                  <c:v>44503</c:v>
                </c:pt>
                <c:pt idx="307">
                  <c:v>44504</c:v>
                </c:pt>
                <c:pt idx="308">
                  <c:v>44505</c:v>
                </c:pt>
                <c:pt idx="309">
                  <c:v>44506</c:v>
                </c:pt>
                <c:pt idx="310">
                  <c:v>44507</c:v>
                </c:pt>
                <c:pt idx="311">
                  <c:v>44508</c:v>
                </c:pt>
                <c:pt idx="312">
                  <c:v>44509</c:v>
                </c:pt>
                <c:pt idx="313">
                  <c:v>44510</c:v>
                </c:pt>
                <c:pt idx="314">
                  <c:v>44511</c:v>
                </c:pt>
                <c:pt idx="315">
                  <c:v>44512</c:v>
                </c:pt>
                <c:pt idx="316">
                  <c:v>44513</c:v>
                </c:pt>
                <c:pt idx="317">
                  <c:v>44514</c:v>
                </c:pt>
                <c:pt idx="318">
                  <c:v>44515</c:v>
                </c:pt>
                <c:pt idx="319">
                  <c:v>44516</c:v>
                </c:pt>
                <c:pt idx="320">
                  <c:v>44517</c:v>
                </c:pt>
                <c:pt idx="321">
                  <c:v>44518</c:v>
                </c:pt>
                <c:pt idx="322">
                  <c:v>44519</c:v>
                </c:pt>
                <c:pt idx="323">
                  <c:v>44520</c:v>
                </c:pt>
                <c:pt idx="324">
                  <c:v>44521</c:v>
                </c:pt>
                <c:pt idx="325">
                  <c:v>44522</c:v>
                </c:pt>
                <c:pt idx="326">
                  <c:v>44523</c:v>
                </c:pt>
                <c:pt idx="327">
                  <c:v>44524</c:v>
                </c:pt>
                <c:pt idx="328">
                  <c:v>44525</c:v>
                </c:pt>
                <c:pt idx="329">
                  <c:v>44526</c:v>
                </c:pt>
                <c:pt idx="330">
                  <c:v>44527</c:v>
                </c:pt>
                <c:pt idx="331">
                  <c:v>44528</c:v>
                </c:pt>
                <c:pt idx="332">
                  <c:v>44529</c:v>
                </c:pt>
                <c:pt idx="333">
                  <c:v>44530</c:v>
                </c:pt>
                <c:pt idx="334">
                  <c:v>44531</c:v>
                </c:pt>
                <c:pt idx="335">
                  <c:v>44532</c:v>
                </c:pt>
                <c:pt idx="336">
                  <c:v>44533</c:v>
                </c:pt>
                <c:pt idx="337">
                  <c:v>44534</c:v>
                </c:pt>
                <c:pt idx="338">
                  <c:v>44535</c:v>
                </c:pt>
                <c:pt idx="339">
                  <c:v>44536</c:v>
                </c:pt>
                <c:pt idx="340">
                  <c:v>44537</c:v>
                </c:pt>
                <c:pt idx="341">
                  <c:v>44538</c:v>
                </c:pt>
                <c:pt idx="342">
                  <c:v>44539</c:v>
                </c:pt>
                <c:pt idx="343">
                  <c:v>44540</c:v>
                </c:pt>
                <c:pt idx="344">
                  <c:v>44541</c:v>
                </c:pt>
                <c:pt idx="345">
                  <c:v>44542</c:v>
                </c:pt>
                <c:pt idx="346">
                  <c:v>44543</c:v>
                </c:pt>
                <c:pt idx="347">
                  <c:v>44544</c:v>
                </c:pt>
                <c:pt idx="348">
                  <c:v>44545</c:v>
                </c:pt>
                <c:pt idx="349">
                  <c:v>44546</c:v>
                </c:pt>
                <c:pt idx="350">
                  <c:v>44547</c:v>
                </c:pt>
                <c:pt idx="351">
                  <c:v>44548</c:v>
                </c:pt>
                <c:pt idx="352">
                  <c:v>44549</c:v>
                </c:pt>
                <c:pt idx="353">
                  <c:v>44550</c:v>
                </c:pt>
                <c:pt idx="354">
                  <c:v>44551</c:v>
                </c:pt>
                <c:pt idx="355">
                  <c:v>44552</c:v>
                </c:pt>
                <c:pt idx="356">
                  <c:v>44553</c:v>
                </c:pt>
                <c:pt idx="357">
                  <c:v>44554</c:v>
                </c:pt>
                <c:pt idx="358">
                  <c:v>44555</c:v>
                </c:pt>
                <c:pt idx="359">
                  <c:v>44556</c:v>
                </c:pt>
                <c:pt idx="360">
                  <c:v>44557</c:v>
                </c:pt>
                <c:pt idx="361">
                  <c:v>44558</c:v>
                </c:pt>
                <c:pt idx="362">
                  <c:v>44559</c:v>
                </c:pt>
                <c:pt idx="363">
                  <c:v>44560</c:v>
                </c:pt>
                <c:pt idx="364">
                  <c:v>44561</c:v>
                </c:pt>
              </c:numCache>
            </c:numRef>
          </c:cat>
          <c:val>
            <c:numRef>
              <c:f>'Bilancio secondo strato'!$T$2:$T$366</c:f>
              <c:numCache>
                <c:formatCode>0.0000</c:formatCode>
                <c:ptCount val="365"/>
                <c:pt idx="0">
                  <c:v>0.12223880042718405</c:v>
                </c:pt>
                <c:pt idx="1">
                  <c:v>0.12344907143698404</c:v>
                </c:pt>
                <c:pt idx="2">
                  <c:v>0.12354119270542004</c:v>
                </c:pt>
                <c:pt idx="3">
                  <c:v>0.12334337810568405</c:v>
                </c:pt>
                <c:pt idx="4">
                  <c:v>0.12343762664364404</c:v>
                </c:pt>
                <c:pt idx="5">
                  <c:v>0.12393315709335603</c:v>
                </c:pt>
                <c:pt idx="6">
                  <c:v>0.12365392549506005</c:v>
                </c:pt>
                <c:pt idx="7">
                  <c:v>0.12399884720616004</c:v>
                </c:pt>
                <c:pt idx="8">
                  <c:v>0.12302336645478805</c:v>
                </c:pt>
                <c:pt idx="9">
                  <c:v>0.12391435362843203</c:v>
                </c:pt>
                <c:pt idx="10">
                  <c:v>0.12421447185442805</c:v>
                </c:pt>
                <c:pt idx="11">
                  <c:v>0.12334427529888004</c:v>
                </c:pt>
                <c:pt idx="12">
                  <c:v>0.12387211762596405</c:v>
                </c:pt>
                <c:pt idx="13">
                  <c:v>0.12527236590424404</c:v>
                </c:pt>
                <c:pt idx="14">
                  <c:v>0.12482743774884404</c:v>
                </c:pt>
                <c:pt idx="15">
                  <c:v>0.12494063243118404</c:v>
                </c:pt>
                <c:pt idx="16">
                  <c:v>0.12418080697853204</c:v>
                </c:pt>
                <c:pt idx="17">
                  <c:v>0.12361615313820803</c:v>
                </c:pt>
                <c:pt idx="18">
                  <c:v>0.12318825360500804</c:v>
                </c:pt>
                <c:pt idx="19">
                  <c:v>0.12347216927586403</c:v>
                </c:pt>
                <c:pt idx="20">
                  <c:v>0.12375537977273203</c:v>
                </c:pt>
                <c:pt idx="21">
                  <c:v>0.12398335366966404</c:v>
                </c:pt>
                <c:pt idx="22">
                  <c:v>0.12395767692097603</c:v>
                </c:pt>
                <c:pt idx="23">
                  <c:v>0.12496220575716403</c:v>
                </c:pt>
                <c:pt idx="24">
                  <c:v>0.12679608370802403</c:v>
                </c:pt>
                <c:pt idx="25">
                  <c:v>0.12631692625986804</c:v>
                </c:pt>
                <c:pt idx="26">
                  <c:v>0.13079711874131206</c:v>
                </c:pt>
                <c:pt idx="27">
                  <c:v>0.12581942424920003</c:v>
                </c:pt>
                <c:pt idx="28">
                  <c:v>0.12483716697124003</c:v>
                </c:pt>
                <c:pt idx="29">
                  <c:v>0.12489129267918404</c:v>
                </c:pt>
                <c:pt idx="30">
                  <c:v>0.12601404853202805</c:v>
                </c:pt>
                <c:pt idx="31">
                  <c:v>0.12584365038782006</c:v>
                </c:pt>
                <c:pt idx="32">
                  <c:v>0.12521162194138405</c:v>
                </c:pt>
                <c:pt idx="33">
                  <c:v>0.12415518757929604</c:v>
                </c:pt>
                <c:pt idx="34">
                  <c:v>0.12426371314051604</c:v>
                </c:pt>
                <c:pt idx="35">
                  <c:v>0.12468175422816005</c:v>
                </c:pt>
                <c:pt idx="36">
                  <c:v>0.12474176706560404</c:v>
                </c:pt>
                <c:pt idx="37">
                  <c:v>0.12472552574351604</c:v>
                </c:pt>
                <c:pt idx="38">
                  <c:v>0.12439406769734004</c:v>
                </c:pt>
                <c:pt idx="39">
                  <c:v>0.12851941669210004</c:v>
                </c:pt>
                <c:pt idx="40">
                  <c:v>0.12564035950279603</c:v>
                </c:pt>
                <c:pt idx="41">
                  <c:v>0.12445137549890004</c:v>
                </c:pt>
                <c:pt idx="42">
                  <c:v>0.12758406079986806</c:v>
                </c:pt>
                <c:pt idx="43">
                  <c:v>0.12775700485392005</c:v>
                </c:pt>
                <c:pt idx="44">
                  <c:v>0.12679833176382405</c:v>
                </c:pt>
                <c:pt idx="45">
                  <c:v>0.12738185848647204</c:v>
                </c:pt>
                <c:pt idx="46">
                  <c:v>0.12706067101161606</c:v>
                </c:pt>
                <c:pt idx="47">
                  <c:v>0.12726132446262403</c:v>
                </c:pt>
                <c:pt idx="48">
                  <c:v>0.12772144531018803</c:v>
                </c:pt>
                <c:pt idx="49">
                  <c:v>0.12701733180646804</c:v>
                </c:pt>
                <c:pt idx="50">
                  <c:v>0.12557458972017604</c:v>
                </c:pt>
                <c:pt idx="51">
                  <c:v>0.12593078001121605</c:v>
                </c:pt>
                <c:pt idx="52">
                  <c:v>0.12745512118324806</c:v>
                </c:pt>
                <c:pt idx="53">
                  <c:v>0.12680192555602005</c:v>
                </c:pt>
                <c:pt idx="54">
                  <c:v>0.12840317383832803</c:v>
                </c:pt>
                <c:pt idx="55">
                  <c:v>0.13054408484259206</c:v>
                </c:pt>
                <c:pt idx="56">
                  <c:v>0.13075236512994004</c:v>
                </c:pt>
                <c:pt idx="57">
                  <c:v>0.13118046458525204</c:v>
                </c:pt>
                <c:pt idx="58">
                  <c:v>0.13232723693616805</c:v>
                </c:pt>
                <c:pt idx="59">
                  <c:v>0.13155924618174403</c:v>
                </c:pt>
                <c:pt idx="60">
                  <c:v>0.13143758449893206</c:v>
                </c:pt>
                <c:pt idx="61">
                  <c:v>0.13126784197536803</c:v>
                </c:pt>
                <c:pt idx="62">
                  <c:v>0.12937381192508005</c:v>
                </c:pt>
                <c:pt idx="63">
                  <c:v>0.12972837464508005</c:v>
                </c:pt>
                <c:pt idx="64">
                  <c:v>0.13202230626882003</c:v>
                </c:pt>
                <c:pt idx="65">
                  <c:v>0.12945960061790004</c:v>
                </c:pt>
                <c:pt idx="66">
                  <c:v>0.13046685478121203</c:v>
                </c:pt>
                <c:pt idx="67">
                  <c:v>0.13085812542233205</c:v>
                </c:pt>
                <c:pt idx="68">
                  <c:v>0.13168225434852404</c:v>
                </c:pt>
                <c:pt idx="69">
                  <c:v>0.13216851138116803</c:v>
                </c:pt>
                <c:pt idx="70">
                  <c:v>0.12814876739741604</c:v>
                </c:pt>
                <c:pt idx="71">
                  <c:v>0.13192423710396003</c:v>
                </c:pt>
                <c:pt idx="72">
                  <c:v>0.13300703544699602</c:v>
                </c:pt>
                <c:pt idx="73">
                  <c:v>0.13971950130876404</c:v>
                </c:pt>
                <c:pt idx="74">
                  <c:v>0.13898062453228804</c:v>
                </c:pt>
                <c:pt idx="75">
                  <c:v>0.14770951367975604</c:v>
                </c:pt>
                <c:pt idx="76">
                  <c:v>0.13977653699411605</c:v>
                </c:pt>
                <c:pt idx="77">
                  <c:v>0.13267966640606804</c:v>
                </c:pt>
                <c:pt idx="78">
                  <c:v>0.13275253929744404</c:v>
                </c:pt>
                <c:pt idx="79">
                  <c:v>0.13354562956817603</c:v>
                </c:pt>
                <c:pt idx="80">
                  <c:v>0.13258299883191205</c:v>
                </c:pt>
                <c:pt idx="81">
                  <c:v>0.13525005923306802</c:v>
                </c:pt>
                <c:pt idx="82">
                  <c:v>0.13636424791079205</c:v>
                </c:pt>
                <c:pt idx="83">
                  <c:v>0.13567276410203205</c:v>
                </c:pt>
                <c:pt idx="84">
                  <c:v>0.13615625618623603</c:v>
                </c:pt>
                <c:pt idx="85">
                  <c:v>0.13568564487438806</c:v>
                </c:pt>
                <c:pt idx="86">
                  <c:v>0.13084957896563604</c:v>
                </c:pt>
                <c:pt idx="87">
                  <c:v>0.13577434236986002</c:v>
                </c:pt>
                <c:pt idx="88">
                  <c:v>0.13772352283571204</c:v>
                </c:pt>
                <c:pt idx="89">
                  <c:v>0.13946760211754405</c:v>
                </c:pt>
                <c:pt idx="90">
                  <c:v>0.14026342860859203</c:v>
                </c:pt>
                <c:pt idx="91">
                  <c:v>0.14274688906440802</c:v>
                </c:pt>
                <c:pt idx="92">
                  <c:v>0.14543011645763598</c:v>
                </c:pt>
                <c:pt idx="93">
                  <c:v>0.141225500374592</c:v>
                </c:pt>
                <c:pt idx="94">
                  <c:v>0.13915441152716798</c:v>
                </c:pt>
                <c:pt idx="95">
                  <c:v>0.139120845437572</c:v>
                </c:pt>
                <c:pt idx="96">
                  <c:v>0.13982396125306001</c:v>
                </c:pt>
                <c:pt idx="97">
                  <c:v>0.14180350531685601</c:v>
                </c:pt>
                <c:pt idx="98">
                  <c:v>0.14035746045746797</c:v>
                </c:pt>
                <c:pt idx="99">
                  <c:v>0.133993394866112</c:v>
                </c:pt>
                <c:pt idx="100">
                  <c:v>0.13215088897320801</c:v>
                </c:pt>
                <c:pt idx="101">
                  <c:v>0.12748763885651196</c:v>
                </c:pt>
                <c:pt idx="102">
                  <c:v>0.12728415830179204</c:v>
                </c:pt>
                <c:pt idx="103">
                  <c:v>0.13577146667396803</c:v>
                </c:pt>
                <c:pt idx="104">
                  <c:v>0.13851135041315601</c:v>
                </c:pt>
                <c:pt idx="105">
                  <c:v>0.135008599884828</c:v>
                </c:pt>
                <c:pt idx="106">
                  <c:v>0.13722819006539599</c:v>
                </c:pt>
                <c:pt idx="107">
                  <c:v>0.13818032008496001</c:v>
                </c:pt>
                <c:pt idx="108">
                  <c:v>0.13757639959815202</c:v>
                </c:pt>
                <c:pt idx="109">
                  <c:v>0.13902566873557601</c:v>
                </c:pt>
                <c:pt idx="110">
                  <c:v>0.14216818460834399</c:v>
                </c:pt>
                <c:pt idx="111">
                  <c:v>0.14141171169572406</c:v>
                </c:pt>
                <c:pt idx="112">
                  <c:v>0.14024245942758404</c:v>
                </c:pt>
                <c:pt idx="113">
                  <c:v>0.14181929830933604</c:v>
                </c:pt>
                <c:pt idx="114">
                  <c:v>0.14405483110358003</c:v>
                </c:pt>
                <c:pt idx="115">
                  <c:v>0.14513573146810402</c:v>
                </c:pt>
                <c:pt idx="116">
                  <c:v>0.13114908663889999</c:v>
                </c:pt>
                <c:pt idx="117">
                  <c:v>0.13124951727691198</c:v>
                </c:pt>
                <c:pt idx="118">
                  <c:v>0.13659758424847598</c:v>
                </c:pt>
                <c:pt idx="119">
                  <c:v>0.12831907850288402</c:v>
                </c:pt>
                <c:pt idx="120">
                  <c:v>0.13277015775395198</c:v>
                </c:pt>
                <c:pt idx="121">
                  <c:v>0.130187320416256</c:v>
                </c:pt>
                <c:pt idx="122">
                  <c:v>0.14394148583888</c:v>
                </c:pt>
                <c:pt idx="123">
                  <c:v>0.14326008015504799</c:v>
                </c:pt>
                <c:pt idx="124">
                  <c:v>0.14430159308681198</c:v>
                </c:pt>
                <c:pt idx="125">
                  <c:v>0.139473930207728</c:v>
                </c:pt>
                <c:pt idx="126">
                  <c:v>0.14116806388385203</c:v>
                </c:pt>
                <c:pt idx="127">
                  <c:v>0.14914512147285999</c:v>
                </c:pt>
                <c:pt idx="128">
                  <c:v>0.14301298112364</c:v>
                </c:pt>
                <c:pt idx="129">
                  <c:v>0.14260290915351601</c:v>
                </c:pt>
                <c:pt idx="130">
                  <c:v>0.14145454949365202</c:v>
                </c:pt>
                <c:pt idx="131">
                  <c:v>0.13038019805050399</c:v>
                </c:pt>
                <c:pt idx="132">
                  <c:v>0.14352887126958797</c:v>
                </c:pt>
                <c:pt idx="133">
                  <c:v>0.14315806509158002</c:v>
                </c:pt>
                <c:pt idx="134">
                  <c:v>0.13903481143434002</c:v>
                </c:pt>
                <c:pt idx="135">
                  <c:v>0.13628994747728398</c:v>
                </c:pt>
                <c:pt idx="136">
                  <c:v>0.13065940166824802</c:v>
                </c:pt>
                <c:pt idx="137">
                  <c:v>0.14957703439974002</c:v>
                </c:pt>
                <c:pt idx="138">
                  <c:v>0.14554254445149201</c:v>
                </c:pt>
                <c:pt idx="139">
                  <c:v>0.14667762498991999</c:v>
                </c:pt>
                <c:pt idx="140">
                  <c:v>0.14749875390967601</c:v>
                </c:pt>
                <c:pt idx="141">
                  <c:v>0.14420117665266799</c:v>
                </c:pt>
                <c:pt idx="142">
                  <c:v>0.13619161698261198</c:v>
                </c:pt>
                <c:pt idx="143">
                  <c:v>0.14618407304290398</c:v>
                </c:pt>
                <c:pt idx="144">
                  <c:v>0.12763013761368</c:v>
                </c:pt>
                <c:pt idx="145">
                  <c:v>0.148094323376468</c:v>
                </c:pt>
                <c:pt idx="146">
                  <c:v>0.14402964732522799</c:v>
                </c:pt>
                <c:pt idx="147">
                  <c:v>0.145780793084788</c:v>
                </c:pt>
                <c:pt idx="148">
                  <c:v>0.145378961173636</c:v>
                </c:pt>
                <c:pt idx="149">
                  <c:v>0.146303561213524</c:v>
                </c:pt>
                <c:pt idx="150">
                  <c:v>0.14801477658945997</c:v>
                </c:pt>
                <c:pt idx="151">
                  <c:v>0.14464513114893601</c:v>
                </c:pt>
                <c:pt idx="152">
                  <c:v>0.14711320700017599</c:v>
                </c:pt>
                <c:pt idx="153">
                  <c:v>0.14384622701076</c:v>
                </c:pt>
                <c:pt idx="154">
                  <c:v>0.14830636405777203</c:v>
                </c:pt>
                <c:pt idx="155">
                  <c:v>0.14816968365348002</c:v>
                </c:pt>
                <c:pt idx="156">
                  <c:v>0.14084925710542801</c:v>
                </c:pt>
                <c:pt idx="157">
                  <c:v>0.147451235243068</c:v>
                </c:pt>
                <c:pt idx="158">
                  <c:v>0.13951429461029599</c:v>
                </c:pt>
                <c:pt idx="159">
                  <c:v>0.14077243949019999</c:v>
                </c:pt>
                <c:pt idx="160">
                  <c:v>0.14740617320484797</c:v>
                </c:pt>
                <c:pt idx="161">
                  <c:v>0.14771531334333202</c:v>
                </c:pt>
                <c:pt idx="162">
                  <c:v>0.148039676824432</c:v>
                </c:pt>
                <c:pt idx="163">
                  <c:v>0.14947901222512</c:v>
                </c:pt>
                <c:pt idx="164">
                  <c:v>0.15496786313048003</c:v>
                </c:pt>
                <c:pt idx="165">
                  <c:v>0.15148406163002401</c:v>
                </c:pt>
                <c:pt idx="166">
                  <c:v>0.15100446781341201</c:v>
                </c:pt>
                <c:pt idx="167">
                  <c:v>0.14472792058289202</c:v>
                </c:pt>
                <c:pt idx="168">
                  <c:v>0.14746941630090402</c:v>
                </c:pt>
                <c:pt idx="169">
                  <c:v>0.15049887205429202</c:v>
                </c:pt>
                <c:pt idx="170">
                  <c:v>0.14689225194995603</c:v>
                </c:pt>
                <c:pt idx="171">
                  <c:v>0.14186884674072001</c:v>
                </c:pt>
                <c:pt idx="172">
                  <c:v>0.14884451486875602</c:v>
                </c:pt>
                <c:pt idx="173">
                  <c:v>0.15013956844626003</c:v>
                </c:pt>
                <c:pt idx="174">
                  <c:v>0.14691037384280803</c:v>
                </c:pt>
                <c:pt idx="175">
                  <c:v>0.14847422216591602</c:v>
                </c:pt>
                <c:pt idx="176">
                  <c:v>0.15200372626700001</c:v>
                </c:pt>
                <c:pt idx="177">
                  <c:v>0.14925904963012801</c:v>
                </c:pt>
                <c:pt idx="178">
                  <c:v>0.14873164452586801</c:v>
                </c:pt>
                <c:pt idx="179">
                  <c:v>0.15137931258895601</c:v>
                </c:pt>
                <c:pt idx="180">
                  <c:v>0.15195258999268801</c:v>
                </c:pt>
                <c:pt idx="181">
                  <c:v>0.14983007310428001</c:v>
                </c:pt>
                <c:pt idx="182">
                  <c:v>0.15357289121537604</c:v>
                </c:pt>
                <c:pt idx="183">
                  <c:v>0.15045465391806401</c:v>
                </c:pt>
                <c:pt idx="184">
                  <c:v>0.14404848667360801</c:v>
                </c:pt>
                <c:pt idx="185">
                  <c:v>0.13346214756215999</c:v>
                </c:pt>
                <c:pt idx="186">
                  <c:v>0.14561154855097203</c:v>
                </c:pt>
                <c:pt idx="187">
                  <c:v>0.14863327334192003</c:v>
                </c:pt>
                <c:pt idx="188">
                  <c:v>0.1500220971181</c:v>
                </c:pt>
                <c:pt idx="189">
                  <c:v>0.142154234808028</c:v>
                </c:pt>
                <c:pt idx="190">
                  <c:v>0.15198418195822402</c:v>
                </c:pt>
                <c:pt idx="191">
                  <c:v>0.14920858777255602</c:v>
                </c:pt>
                <c:pt idx="192">
                  <c:v>0.15096436730376001</c:v>
                </c:pt>
                <c:pt idx="193">
                  <c:v>0.14677419420496002</c:v>
                </c:pt>
                <c:pt idx="194">
                  <c:v>0.146488534982608</c:v>
                </c:pt>
                <c:pt idx="195">
                  <c:v>0.14203222998966802</c:v>
                </c:pt>
                <c:pt idx="196">
                  <c:v>0.14051200815294801</c:v>
                </c:pt>
                <c:pt idx="197">
                  <c:v>0.14505714787422</c:v>
                </c:pt>
                <c:pt idx="198">
                  <c:v>0.14408105507497201</c:v>
                </c:pt>
                <c:pt idx="199">
                  <c:v>0.14460856750921203</c:v>
                </c:pt>
                <c:pt idx="200">
                  <c:v>0.15197806297460803</c:v>
                </c:pt>
                <c:pt idx="201">
                  <c:v>0.15087008811534799</c:v>
                </c:pt>
                <c:pt idx="202">
                  <c:v>0.148538010028368</c:v>
                </c:pt>
                <c:pt idx="203">
                  <c:v>0.14901604344862401</c:v>
                </c:pt>
                <c:pt idx="204">
                  <c:v>0.14647998564242001</c:v>
                </c:pt>
                <c:pt idx="205">
                  <c:v>0.14581042043110801</c:v>
                </c:pt>
                <c:pt idx="206">
                  <c:v>0.14420596591928803</c:v>
                </c:pt>
                <c:pt idx="207">
                  <c:v>0.13966806910273602</c:v>
                </c:pt>
                <c:pt idx="208">
                  <c:v>0.141126365492448</c:v>
                </c:pt>
                <c:pt idx="209">
                  <c:v>0.140429057350236</c:v>
                </c:pt>
                <c:pt idx="210">
                  <c:v>0.14776843548926402</c:v>
                </c:pt>
                <c:pt idx="211">
                  <c:v>0.143885792579248</c:v>
                </c:pt>
                <c:pt idx="212">
                  <c:v>0.14435914897548002</c:v>
                </c:pt>
                <c:pt idx="213">
                  <c:v>0.13939514754610002</c:v>
                </c:pt>
                <c:pt idx="214">
                  <c:v>0.143625030815172</c:v>
                </c:pt>
                <c:pt idx="215">
                  <c:v>0.14195926108868803</c:v>
                </c:pt>
                <c:pt idx="216">
                  <c:v>0.13220760768803203</c:v>
                </c:pt>
                <c:pt idx="217">
                  <c:v>0.14917592485673201</c:v>
                </c:pt>
                <c:pt idx="218">
                  <c:v>0.14552054874733203</c:v>
                </c:pt>
                <c:pt idx="219">
                  <c:v>0.13899075477366402</c:v>
                </c:pt>
                <c:pt idx="220">
                  <c:v>0.142835270336924</c:v>
                </c:pt>
                <c:pt idx="221">
                  <c:v>0.14575761247900801</c:v>
                </c:pt>
                <c:pt idx="222">
                  <c:v>0.14499911802490401</c:v>
                </c:pt>
                <c:pt idx="223">
                  <c:v>0.14670014837311601</c:v>
                </c:pt>
                <c:pt idx="224">
                  <c:v>0.14877372834403602</c:v>
                </c:pt>
                <c:pt idx="225">
                  <c:v>0.148056868310532</c:v>
                </c:pt>
                <c:pt idx="226">
                  <c:v>0.14798661128038001</c:v>
                </c:pt>
                <c:pt idx="227">
                  <c:v>0.14980801417688802</c:v>
                </c:pt>
                <c:pt idx="228">
                  <c:v>0.14850859574006803</c:v>
                </c:pt>
                <c:pt idx="229">
                  <c:v>0.14841985509901201</c:v>
                </c:pt>
                <c:pt idx="230">
                  <c:v>0.148103691307996</c:v>
                </c:pt>
                <c:pt idx="231">
                  <c:v>0.14552633185752803</c:v>
                </c:pt>
                <c:pt idx="232">
                  <c:v>0.146369758180144</c:v>
                </c:pt>
                <c:pt idx="233">
                  <c:v>0.147158034834768</c:v>
                </c:pt>
                <c:pt idx="234">
                  <c:v>0.14655375690174802</c:v>
                </c:pt>
                <c:pt idx="235">
                  <c:v>0.145833696192124</c:v>
                </c:pt>
                <c:pt idx="236">
                  <c:v>0.143997581933024</c:v>
                </c:pt>
                <c:pt idx="237">
                  <c:v>0.14477285072805202</c:v>
                </c:pt>
                <c:pt idx="238">
                  <c:v>0.14637785876354001</c:v>
                </c:pt>
                <c:pt idx="239">
                  <c:v>0.13877505066917201</c:v>
                </c:pt>
                <c:pt idx="240">
                  <c:v>0.143904851179816</c:v>
                </c:pt>
                <c:pt idx="241">
                  <c:v>0.14413924116683599</c:v>
                </c:pt>
                <c:pt idx="242">
                  <c:v>0.14390261038614399</c:v>
                </c:pt>
                <c:pt idx="243">
                  <c:v>0.14271631198125997</c:v>
                </c:pt>
                <c:pt idx="244">
                  <c:v>0.14420262704914399</c:v>
                </c:pt>
                <c:pt idx="245">
                  <c:v>0.14583389857054399</c:v>
                </c:pt>
                <c:pt idx="246">
                  <c:v>0.14320023712324401</c:v>
                </c:pt>
                <c:pt idx="247">
                  <c:v>0.14222409829492</c:v>
                </c:pt>
                <c:pt idx="248">
                  <c:v>0.142997444548356</c:v>
                </c:pt>
                <c:pt idx="249">
                  <c:v>0.14371734719990001</c:v>
                </c:pt>
                <c:pt idx="250">
                  <c:v>0.14292512464666798</c:v>
                </c:pt>
                <c:pt idx="251">
                  <c:v>0.14380031274046001</c:v>
                </c:pt>
                <c:pt idx="252">
                  <c:v>0.14163388582228401</c:v>
                </c:pt>
                <c:pt idx="253">
                  <c:v>0.139041688883148</c:v>
                </c:pt>
                <c:pt idx="254">
                  <c:v>0.14137978054609199</c:v>
                </c:pt>
                <c:pt idx="255">
                  <c:v>0.14141172419085599</c:v>
                </c:pt>
                <c:pt idx="256">
                  <c:v>0.14187880706966</c:v>
                </c:pt>
                <c:pt idx="257">
                  <c:v>0.13707251385658398</c:v>
                </c:pt>
                <c:pt idx="258">
                  <c:v>0.13606853736930799</c:v>
                </c:pt>
                <c:pt idx="259">
                  <c:v>0.13478168006441599</c:v>
                </c:pt>
                <c:pt idx="260">
                  <c:v>0.137972224234304</c:v>
                </c:pt>
                <c:pt idx="261">
                  <c:v>0.13668633802544</c:v>
                </c:pt>
                <c:pt idx="262">
                  <c:v>0.13624222365556002</c:v>
                </c:pt>
                <c:pt idx="263">
                  <c:v>0.13750641735410798</c:v>
                </c:pt>
                <c:pt idx="264">
                  <c:v>0.13659349599079998</c:v>
                </c:pt>
                <c:pt idx="265">
                  <c:v>0.13653992049584798</c:v>
                </c:pt>
                <c:pt idx="266">
                  <c:v>0.13613091360223201</c:v>
                </c:pt>
                <c:pt idx="267">
                  <c:v>0.13678844034124002</c:v>
                </c:pt>
                <c:pt idx="268">
                  <c:v>0.13291555410019198</c:v>
                </c:pt>
                <c:pt idx="269">
                  <c:v>0.12695334103161598</c:v>
                </c:pt>
                <c:pt idx="270">
                  <c:v>0.131973338594084</c:v>
                </c:pt>
                <c:pt idx="271">
                  <c:v>0.13510539305107999</c:v>
                </c:pt>
                <c:pt idx="272">
                  <c:v>0.13720169408459199</c:v>
                </c:pt>
                <c:pt idx="273">
                  <c:v>0.13577699689123601</c:v>
                </c:pt>
                <c:pt idx="274">
                  <c:v>0.13589871538952</c:v>
                </c:pt>
                <c:pt idx="275">
                  <c:v>0.13517567368314801</c:v>
                </c:pt>
                <c:pt idx="276">
                  <c:v>0.12831750187353599</c:v>
                </c:pt>
                <c:pt idx="277">
                  <c:v>0.12848783807606398</c:v>
                </c:pt>
                <c:pt idx="278">
                  <c:v>0.13113649806040001</c:v>
                </c:pt>
                <c:pt idx="279">
                  <c:v>0.12830772939875998</c:v>
                </c:pt>
                <c:pt idx="280">
                  <c:v>0.13050836756116799</c:v>
                </c:pt>
                <c:pt idx="281">
                  <c:v>0.13110344662072801</c:v>
                </c:pt>
                <c:pt idx="282">
                  <c:v>0.13176119944686801</c:v>
                </c:pt>
                <c:pt idx="283">
                  <c:v>0.13116877330674398</c:v>
                </c:pt>
                <c:pt idx="284">
                  <c:v>0.131392448985064</c:v>
                </c:pt>
                <c:pt idx="285">
                  <c:v>0.13098561207937201</c:v>
                </c:pt>
                <c:pt idx="286">
                  <c:v>0.13133989531424001</c:v>
                </c:pt>
                <c:pt idx="287">
                  <c:v>0.131145952603484</c:v>
                </c:pt>
                <c:pt idx="288">
                  <c:v>0.13025974935665999</c:v>
                </c:pt>
                <c:pt idx="289">
                  <c:v>0.13035683856142399</c:v>
                </c:pt>
                <c:pt idx="290">
                  <c:v>0.130080740464564</c:v>
                </c:pt>
                <c:pt idx="291">
                  <c:v>0.12984060143527201</c:v>
                </c:pt>
                <c:pt idx="292">
                  <c:v>0.12884243518437599</c:v>
                </c:pt>
                <c:pt idx="293">
                  <c:v>0.12761742376347202</c:v>
                </c:pt>
                <c:pt idx="294">
                  <c:v>0.12538209462920002</c:v>
                </c:pt>
                <c:pt idx="295">
                  <c:v>0.12842085210059601</c:v>
                </c:pt>
                <c:pt idx="296">
                  <c:v>0.12776702936725601</c:v>
                </c:pt>
                <c:pt idx="297">
                  <c:v>0.12869902823402402</c:v>
                </c:pt>
                <c:pt idx="298">
                  <c:v>0.127683466089484</c:v>
                </c:pt>
                <c:pt idx="299">
                  <c:v>0.12828335951272402</c:v>
                </c:pt>
                <c:pt idx="300">
                  <c:v>0.12887260548155999</c:v>
                </c:pt>
                <c:pt idx="301">
                  <c:v>0.12802333335949601</c:v>
                </c:pt>
                <c:pt idx="302">
                  <c:v>0.127717953508172</c:v>
                </c:pt>
                <c:pt idx="303">
                  <c:v>0.12582387636084799</c:v>
                </c:pt>
                <c:pt idx="304">
                  <c:v>0.12536724176190797</c:v>
                </c:pt>
                <c:pt idx="305">
                  <c:v>0.12451993692896</c:v>
                </c:pt>
                <c:pt idx="306">
                  <c:v>0.125235810381016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C6-478E-8C7A-976291CEF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707264"/>
        <c:axId val="630707840"/>
      </c:lineChart>
      <c:dateAx>
        <c:axId val="630707264"/>
        <c:scaling>
          <c:orientation val="minMax"/>
        </c:scaling>
        <c:delete val="0"/>
        <c:axPos val="b"/>
        <c:numFmt formatCode="dd/mm" sourceLinked="0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it-IT"/>
          </a:p>
        </c:txPr>
        <c:crossAx val="630707840"/>
        <c:crosses val="autoZero"/>
        <c:auto val="1"/>
        <c:lblOffset val="100"/>
        <c:baseTimeUnit val="days"/>
        <c:majorUnit val="1"/>
        <c:majorTimeUnit val="months"/>
      </c:dateAx>
      <c:valAx>
        <c:axId val="630707840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600"/>
            </a:pPr>
            <a:endParaRPr lang="it-IT"/>
          </a:p>
        </c:txPr>
        <c:crossAx val="630707264"/>
        <c:crosses val="autoZero"/>
        <c:crossBetween val="between"/>
      </c:valAx>
    </c:plotArea>
    <c:legend>
      <c:legendPos val="t"/>
      <c:overlay val="0"/>
      <c:spPr>
        <a:solidFill>
          <a:schemeClr val="bg1"/>
        </a:solidFill>
      </c:spPr>
      <c:txPr>
        <a:bodyPr/>
        <a:lstStyle/>
        <a:p>
          <a:pPr>
            <a:defRPr sz="600"/>
          </a:pPr>
          <a:endParaRPr lang="it-IT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Grafico7"/>
  <sheetViews>
    <sheetView zoomScale="13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Grafico9"/>
  <sheetViews>
    <sheetView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179650</xdr:colOff>
      <xdr:row>3</xdr:row>
      <xdr:rowOff>115756</xdr:rowOff>
    </xdr:from>
    <xdr:to>
      <xdr:col>39</xdr:col>
      <xdr:colOff>4101</xdr:colOff>
      <xdr:row>40</xdr:row>
      <xdr:rowOff>21037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BA1AD9EA-2129-AAE6-297C-45F067143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7438292" cy="48533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0.42595</cdr:x>
      <cdr:y>0.05283</cdr:y>
    </cdr:from>
    <cdr:to>
      <cdr:x>0.9261</cdr:x>
      <cdr:y>0.50891</cdr:y>
    </cdr:to>
    <cdr:graphicFrame macro="">
      <cdr:nvGraphicFramePr>
        <cdr:cNvPr id="3" name="Grafico 1">
          <a:extLst xmlns:a="http://schemas.openxmlformats.org/drawingml/2006/main">
            <a:ext uri="{FF2B5EF4-FFF2-40B4-BE49-F238E27FC236}">
              <a16:creationId xmlns:a16="http://schemas.microsoft.com/office/drawing/2014/main" id="{9B9E79C2-3632-4E21-A07E-9FF5AB78F57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7741478" cy="505239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0.34829</cdr:x>
      <cdr:y>0.40999</cdr:y>
    </cdr:from>
    <cdr:to>
      <cdr:x>0.90039</cdr:x>
      <cdr:y>0.84132</cdr:y>
    </cdr:to>
    <cdr:graphicFrame macro="">
      <cdr:nvGraphicFramePr>
        <cdr:cNvPr id="2" name="Grafico 1">
          <a:extLst xmlns:a="http://schemas.openxmlformats.org/drawingml/2006/main">
            <a:ext uri="{FF2B5EF4-FFF2-40B4-BE49-F238E27FC236}">
              <a16:creationId xmlns:a16="http://schemas.microsoft.com/office/drawing/2014/main" id="{7586D188-59D4-42A7-BDA4-944F4FBFE0EC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Anna" id="{A1A91219-DCF8-43B7-95AA-B3E0B3A9CB66}" userId="3692e0ca703a7a81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0-07-10T07:37:45.02" personId="{A1A91219-DCF8-43B7-95AA-B3E0B3A9CB66}" id="{3350645D-B2A1-45F0-AC76-54A5CDA8725F}">
    <text>Fase:
0 se Kcb = Kcbmin colturale
1 se Kcb &gt; Kcbmin e Kcb&lt;Kcbini, in crescita
2 se Kcb &gt; Kcbini e Kcb&lt;Kcbmax, in crescita
3 se Kcb = Kcbmax
4 se Kcb in decrescita</text>
  </threadedComment>
  <threadedComment ref="M1" dT="2020-07-10T08:05:27.44" personId="{A1A91219-DCF8-43B7-95AA-B3E0B3A9CB66}" id="{861729D2-2D40-4029-8C3E-49A253CE1F05}">
    <text>Calcolato solo per i giorni compresi tra TSPlow e TSPhigh:
1 se Tday &lt; Tcrit
0 se Tday&gt;= Tlim
(1-Tcrit)/(Tlim-Tcrit) se Tday compreso tra Tcrit e Tlim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0-10-02T13:47:15.58" personId="{A1A91219-DCF8-43B7-95AA-B3E0B3A9CB66}" id="{B1CCFE7C-AFB1-4E7E-8CE4-90664DD5DB26}">
    <text>H2O disponibile netta non considera le irrigazioni del giorno i-esimo, ma solo la pioggia infiltrata</text>
  </threadedComment>
</ThreadedComment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tabColor theme="9" tint="0.39997558519241921"/>
  </sheetPr>
  <dimension ref="B2:N79"/>
  <sheetViews>
    <sheetView showGridLines="0" zoomScale="121" workbookViewId="0">
      <selection activeCell="E8" sqref="E8"/>
    </sheetView>
  </sheetViews>
  <sheetFormatPr defaultColWidth="9.140625" defaultRowHeight="11.25"/>
  <cols>
    <col min="1" max="1" width="10.7109375" style="1" bestFit="1" customWidth="1"/>
    <col min="2" max="2" width="35.85546875" style="1" bestFit="1" customWidth="1"/>
    <col min="3" max="4" width="15.7109375" style="1" customWidth="1"/>
    <col min="5" max="5" width="17.7109375" style="1" bestFit="1" customWidth="1"/>
    <col min="6" max="7" width="15.7109375" style="1" customWidth="1"/>
    <col min="8" max="16384" width="9.140625" style="1"/>
  </cols>
  <sheetData>
    <row r="2" spans="2:7">
      <c r="B2" s="47" t="s">
        <v>86</v>
      </c>
      <c r="C2" s="47"/>
    </row>
    <row r="3" spans="2:7">
      <c r="B3" s="17" t="s">
        <v>31</v>
      </c>
      <c r="C3" s="29">
        <f>'Paste cellinfo here'!B4</f>
        <v>13</v>
      </c>
      <c r="E3" s="40"/>
    </row>
    <row r="4" spans="2:7">
      <c r="B4" s="17" t="s">
        <v>3</v>
      </c>
      <c r="C4" s="46">
        <f>'Paste cellinfo here'!B25</f>
        <v>2021</v>
      </c>
      <c r="D4" s="10"/>
      <c r="E4" s="10"/>
      <c r="F4" s="10"/>
    </row>
    <row r="5" spans="2:7">
      <c r="B5" s="17" t="s">
        <v>47</v>
      </c>
      <c r="C5" s="46">
        <f>'Paste cellinfo here'!B23</f>
        <v>0.1</v>
      </c>
      <c r="D5" s="4"/>
      <c r="E5" s="4"/>
      <c r="F5" s="4"/>
    </row>
    <row r="6" spans="2:7">
      <c r="B6" s="17" t="s">
        <v>48</v>
      </c>
      <c r="C6" s="17">
        <f>'Paste cellinfo here'!B24</f>
        <v>0.9</v>
      </c>
      <c r="D6" s="4"/>
      <c r="E6" s="4"/>
      <c r="F6" s="4"/>
    </row>
    <row r="7" spans="2:7">
      <c r="B7" s="4"/>
      <c r="C7" s="25"/>
      <c r="D7" s="4"/>
      <c r="E7" s="4"/>
      <c r="F7" s="4"/>
      <c r="G7" s="2"/>
    </row>
    <row r="8" spans="2:7">
      <c r="B8" s="16" t="s">
        <v>82</v>
      </c>
      <c r="C8" s="28" t="str">
        <f>IF(C9="","","Prima coltura")</f>
        <v>Prima coltura</v>
      </c>
      <c r="D8" s="28" t="str">
        <f>IF(D9="","","Seconda coltura")</f>
        <v/>
      </c>
      <c r="E8" s="28" t="str">
        <f>IF(E9="","","Terza coltura")</f>
        <v/>
      </c>
      <c r="F8" s="28" t="str">
        <f>IF(F9="","","Quarta coltura")</f>
        <v/>
      </c>
    </row>
    <row r="9" spans="2:7">
      <c r="B9" s="17" t="s">
        <v>80</v>
      </c>
      <c r="C9" s="17" cm="1">
        <f t="array" ref="C9:F9">IF(ISNUMBER(ii0),ii0+irandom,"")</f>
        <v>93</v>
      </c>
      <c r="D9" s="17" t="str">
        <v/>
      </c>
      <c r="E9" s="17" t="str">
        <v/>
      </c>
      <c r="F9" s="18" t="str">
        <v/>
      </c>
    </row>
    <row r="10" spans="2:7">
      <c r="B10" s="17" t="s">
        <v>81</v>
      </c>
      <c r="C10" s="17" cm="1">
        <f t="array" ref="C10:F10">IF(ISNUMBER(iie),iie+irandom,"")</f>
        <v>235</v>
      </c>
      <c r="D10" s="17" t="str">
        <v/>
      </c>
      <c r="E10" s="17" t="str">
        <v/>
      </c>
      <c r="F10" s="18" t="str">
        <v/>
      </c>
    </row>
    <row r="11" spans="2:7">
      <c r="B11" s="17" t="s">
        <v>88</v>
      </c>
      <c r="C11" s="29" cm="1">
        <f t="array" ref="C11:F11">IF(ISTEXT(_xlfn.ANCHORARRAY(C9)),"",IF(_xlfn.ANCHORARRAY(C10)-_xlfn.ANCHORARRAY(C9)&lt;0,_xlfn.ANCHORARRAY(C10)-_xlfn.ANCHORARRAY(C9)+366,_xlfn.ANCHORARRAY(C10)-_xlfn.ANCHORARRAY(C9)+1))</f>
        <v>143</v>
      </c>
      <c r="D11" s="29" t="str">
        <v/>
      </c>
      <c r="E11" s="29" t="str">
        <v/>
      </c>
      <c r="F11" s="29" t="str">
        <v/>
      </c>
    </row>
    <row r="12" spans="2:7">
      <c r="B12" s="17" t="s">
        <v>1</v>
      </c>
      <c r="C12" s="18" cm="1">
        <f t="array" ref="C12:F12">IF(ISTEXT(_xlfn.ANCHORARRAY(C9)),"",DATE($C$4-1,12,31)+_xlfn.ANCHORARRAY(C9))</f>
        <v>44289</v>
      </c>
      <c r="D12" s="18" t="str">
        <v/>
      </c>
      <c r="E12" s="18" t="str">
        <v/>
      </c>
      <c r="F12" s="18" t="str">
        <v/>
      </c>
    </row>
    <row r="13" spans="2:7">
      <c r="B13" s="17" t="s">
        <v>2</v>
      </c>
      <c r="C13" s="18" cm="1">
        <f t="array" ref="C13:F13">IF(ISTEXT(_xlfn.ANCHORARRAY(C10)),"",DATE($C$4-1,12,31)+_xlfn.ANCHORARRAY(C10))</f>
        <v>44431</v>
      </c>
      <c r="D13" s="18" t="str">
        <v/>
      </c>
      <c r="E13" s="18" t="str">
        <v/>
      </c>
      <c r="F13" s="18" t="str">
        <v/>
      </c>
    </row>
    <row r="14" spans="2:7">
      <c r="B14" s="17" t="s">
        <v>53</v>
      </c>
      <c r="C14" s="26" cm="1">
        <f t="array" ref="C14:F14">IF(Kcbmin="","",Kcbmin)</f>
        <v>0</v>
      </c>
      <c r="D14" s="26" t="str">
        <v> </v>
      </c>
      <c r="E14" s="17" t="str">
        <v/>
      </c>
      <c r="F14" s="17" t="str">
        <v/>
      </c>
    </row>
    <row r="15" spans="2:7">
      <c r="B15" s="17" t="s">
        <v>60</v>
      </c>
      <c r="C15" s="26" cm="1">
        <f t="array" ref="C15:F15">IF(Kcbini="","",Kcbini)</f>
        <v>0.15</v>
      </c>
      <c r="D15" s="26" t="str">
        <v> </v>
      </c>
      <c r="E15" s="17" t="str">
        <v/>
      </c>
      <c r="F15" s="17" t="str">
        <v/>
      </c>
    </row>
    <row r="16" spans="2:7">
      <c r="B16" s="17" t="s">
        <v>61</v>
      </c>
      <c r="C16" s="26" cm="1">
        <f t="array" ref="C16:F16">IF(Kcbmax="","",Kcbmax)</f>
        <v>1.046</v>
      </c>
      <c r="D16" s="26" t="str">
        <v> </v>
      </c>
      <c r="E16" s="17" t="str">
        <v/>
      </c>
      <c r="F16" s="17" t="str">
        <v/>
      </c>
    </row>
    <row r="17" spans="2:8">
      <c r="B17" s="17" t="s">
        <v>77</v>
      </c>
      <c r="C17" s="33" cm="1">
        <f t="array" ref="C17:F17">IF(Tcrit="","",Tcrit)</f>
        <v>32</v>
      </c>
      <c r="D17" s="33" t="str">
        <v> </v>
      </c>
      <c r="E17" s="17" t="str">
        <v/>
      </c>
      <c r="F17" s="17" t="str">
        <v/>
      </c>
    </row>
    <row r="18" spans="2:8">
      <c r="B18" s="17" t="s">
        <v>78</v>
      </c>
      <c r="C18" s="33" cm="1">
        <f t="array" ref="C18:F18">IF(Tlim="","",Tlim)</f>
        <v>40</v>
      </c>
      <c r="D18" s="33" t="str">
        <v> </v>
      </c>
      <c r="E18" s="17" t="str">
        <v/>
      </c>
      <c r="F18" s="17" t="str">
        <v/>
      </c>
    </row>
    <row r="19" spans="2:8">
      <c r="B19" s="17" t="s">
        <v>67</v>
      </c>
      <c r="C19" s="33" cm="1">
        <f t="array" ref="C19:F19">IF(KyT="","",KyT)</f>
        <v>1.25</v>
      </c>
      <c r="D19" s="33" t="str">
        <v> </v>
      </c>
      <c r="E19" s="17" t="str">
        <v/>
      </c>
      <c r="F19" s="17" t="str">
        <v/>
      </c>
    </row>
    <row r="20" spans="2:8">
      <c r="B20" s="17" t="s">
        <v>63</v>
      </c>
      <c r="C20" s="33" cm="1">
        <f t="array" ref="C20:F23">IF(KyP="","",KyP)</f>
        <v>0.4</v>
      </c>
      <c r="D20" s="33" t="str">
        <v> </v>
      </c>
      <c r="E20" s="17" t="str">
        <v/>
      </c>
      <c r="F20" s="17" t="str">
        <v/>
      </c>
    </row>
    <row r="21" spans="2:8">
      <c r="B21" s="17" t="s">
        <v>64</v>
      </c>
      <c r="C21" s="33">
        <v>0.9</v>
      </c>
      <c r="D21" s="33" t="str">
        <v> </v>
      </c>
      <c r="E21" s="17" t="str">
        <v/>
      </c>
      <c r="F21" s="17" t="str">
        <v/>
      </c>
      <c r="H21" s="5"/>
    </row>
    <row r="22" spans="2:8">
      <c r="B22" s="17" t="s">
        <v>65</v>
      </c>
      <c r="C22" s="33">
        <v>1.5</v>
      </c>
      <c r="D22" s="33" t="str">
        <v> </v>
      </c>
      <c r="E22" s="17" t="str">
        <v/>
      </c>
      <c r="F22" s="17" t="str">
        <v/>
      </c>
    </row>
    <row r="23" spans="2:8">
      <c r="B23" s="17" t="s">
        <v>66</v>
      </c>
      <c r="C23" s="33">
        <v>0.5</v>
      </c>
      <c r="D23" s="33" t="str">
        <v> </v>
      </c>
      <c r="E23" s="17" t="str">
        <v/>
      </c>
      <c r="F23" s="17" t="str">
        <v/>
      </c>
    </row>
    <row r="24" spans="2:8">
      <c r="B24" s="17" t="s">
        <v>54</v>
      </c>
      <c r="C24" s="26" cm="1">
        <f t="array" ref="C24:F24">IF(WPadj="","",WPadj)</f>
        <v>0.32500000000000001</v>
      </c>
      <c r="D24" s="26" t="str">
        <v> </v>
      </c>
      <c r="E24" s="17" t="str">
        <v/>
      </c>
      <c r="F24" s="17" t="str">
        <v/>
      </c>
    </row>
    <row r="25" spans="2:8">
      <c r="B25" s="17" t="s">
        <v>56</v>
      </c>
      <c r="C25" s="26" cm="1">
        <f t="array" ref="C25:F25">IF(HI="","",HI)</f>
        <v>0.45</v>
      </c>
      <c r="D25" s="26" t="str">
        <v> </v>
      </c>
      <c r="E25" s="17" t="str">
        <v/>
      </c>
      <c r="F25" s="17" t="str">
        <v/>
      </c>
    </row>
    <row r="26" spans="2:8" s="4" customFormat="1">
      <c r="B26" s="1"/>
      <c r="C26" s="1"/>
      <c r="D26" s="1"/>
      <c r="E26" s="1"/>
      <c r="F26" s="1"/>
    </row>
    <row r="27" spans="2:8" ht="12.75">
      <c r="B27" s="19" t="s">
        <v>84</v>
      </c>
      <c r="C27" s="22" t="s">
        <v>83</v>
      </c>
      <c r="D27" s="22" t="s">
        <v>46</v>
      </c>
    </row>
    <row r="28" spans="2:8">
      <c r="B28" s="20" t="s">
        <v>35</v>
      </c>
      <c r="C28" s="23">
        <f>'Paste cellinfo here'!B11</f>
        <v>0.51802400000000004</v>
      </c>
      <c r="D28" s="23">
        <f>C28*$C$5*1000</f>
        <v>51.802400000000006</v>
      </c>
      <c r="F28" s="38" t="s">
        <v>46</v>
      </c>
      <c r="G28" s="38" t="s">
        <v>109</v>
      </c>
    </row>
    <row r="29" spans="2:8">
      <c r="B29" s="20" t="s">
        <v>36</v>
      </c>
      <c r="C29" s="23">
        <f>'Paste cellinfo here'!B12</f>
        <v>0.229209</v>
      </c>
      <c r="D29" s="23">
        <f>C29*$C$5*1000</f>
        <v>22.9209</v>
      </c>
      <c r="F29" s="23" t="s">
        <v>110</v>
      </c>
      <c r="G29" s="23">
        <f>D29-D30</f>
        <v>14.610899999999999</v>
      </c>
    </row>
    <row r="30" spans="2:8">
      <c r="B30" s="20" t="s">
        <v>37</v>
      </c>
      <c r="C30" s="23">
        <f>'Paste cellinfo here'!B13</f>
        <v>8.3099999999999993E-2</v>
      </c>
      <c r="D30" s="23">
        <f>C30*$C$5*1000</f>
        <v>8.31</v>
      </c>
      <c r="F30" s="23" t="s">
        <v>111</v>
      </c>
      <c r="G30" s="23">
        <f>D33-D34</f>
        <v>96.116400000000027</v>
      </c>
    </row>
    <row r="31" spans="2:8">
      <c r="B31" s="20" t="s">
        <v>38</v>
      </c>
      <c r="C31" s="23">
        <f>'Paste cellinfo here'!B14</f>
        <v>4.8000000000000001E-2</v>
      </c>
      <c r="D31" s="23">
        <f>C31*$C$5*1000</f>
        <v>4.8000000000000007</v>
      </c>
      <c r="F31" s="23" t="s">
        <v>112</v>
      </c>
      <c r="G31" s="24">
        <f>G29+G30</f>
        <v>110.72730000000003</v>
      </c>
    </row>
    <row r="32" spans="2:8">
      <c r="B32" s="20" t="s">
        <v>27</v>
      </c>
      <c r="C32" s="23">
        <f>'Paste cellinfo here'!B15</f>
        <v>0.43318800000000002</v>
      </c>
      <c r="D32" s="23">
        <f>C32*$C$6*1000</f>
        <v>389.86920000000003</v>
      </c>
    </row>
    <row r="33" spans="2:9">
      <c r="B33" s="20" t="s">
        <v>28</v>
      </c>
      <c r="C33" s="23">
        <f>'Paste cellinfo here'!B16</f>
        <v>0.196996</v>
      </c>
      <c r="D33" s="23">
        <f>C33*$C$6*1000</f>
        <v>177.29640000000003</v>
      </c>
    </row>
    <row r="34" spans="2:9">
      <c r="B34" s="20" t="s">
        <v>29</v>
      </c>
      <c r="C34" s="23">
        <f>'Paste cellinfo here'!B17</f>
        <v>9.0200000000000002E-2</v>
      </c>
      <c r="D34" s="23">
        <f>C34*$C$6*1000</f>
        <v>81.180000000000007</v>
      </c>
      <c r="I34" s="1" t="s">
        <v>93</v>
      </c>
    </row>
    <row r="35" spans="2:9">
      <c r="B35" s="20" t="s">
        <v>30</v>
      </c>
      <c r="C35" s="23">
        <f>'Paste cellinfo here'!B18</f>
        <v>6.5299999999999997E-2</v>
      </c>
      <c r="D35" s="23">
        <f>C35*$C$6*1000</f>
        <v>58.769999999999996</v>
      </c>
    </row>
    <row r="36" spans="2:9">
      <c r="B36" s="19" t="s">
        <v>50</v>
      </c>
      <c r="C36" s="24"/>
      <c r="D36" s="24">
        <f>D33-D34</f>
        <v>96.116400000000027</v>
      </c>
      <c r="E36" s="11"/>
    </row>
    <row r="37" spans="2:9">
      <c r="B37" s="4"/>
      <c r="C37" s="11"/>
      <c r="D37" s="11"/>
      <c r="E37" s="11"/>
      <c r="F37" s="11"/>
    </row>
    <row r="38" spans="2:9">
      <c r="B38" s="19" t="s">
        <v>97</v>
      </c>
      <c r="C38" s="22" t="s">
        <v>98</v>
      </c>
      <c r="D38" s="22" t="str">
        <f>IF(C9="","","Prima coltura")</f>
        <v>Prima coltura</v>
      </c>
      <c r="E38" s="22" t="str">
        <f t="shared" ref="E38:F38" si="0">IF(D9="","","Prima coltura")</f>
        <v/>
      </c>
      <c r="F38" s="22" t="str">
        <f t="shared" si="0"/>
        <v/>
      </c>
      <c r="G38" s="22" t="str">
        <f>IF(F9="","","Prima coltura")</f>
        <v/>
      </c>
    </row>
    <row r="39" spans="2:9">
      <c r="B39" s="20" t="s">
        <v>9</v>
      </c>
      <c r="C39" s="23">
        <f>SUM('Paste cell here'!B2:B366)</f>
        <v>668.70319753700016</v>
      </c>
      <c r="D39" s="23">
        <f ca="1">IF(ISTEXT(C9),"",IF(C9&lt;C10,SUM(INDIRECT(ADDRESS(C9+1,2,,,"Paste cell here")):INDIRECT(ADDRESS(C10+1,2,,,"Paste cell here"))),SUM('Paste cell here'!B2:INDIRECT(ADDRESS(C10+1,2,,,"Paste cell here")))+SUM(INDIRECT(ADDRESS(C9+1,2,,,"Paste cell here")):'Paste cell here'!B366)))</f>
        <v>266.30184879000001</v>
      </c>
      <c r="E39" s="23" t="str">
        <f ca="1">IF(ISTEXT(D9),"",IF(D9&lt;D10,SUM(INDIRECT(ADDRESS(D9+1,2,,,"Paste cell here")):INDIRECT(ADDRESS(D10+1,2,,,"Paste cell here"))),SUM('Paste cell here'!C2:INDIRECT(ADDRESS(D10+1,2,,,"Paste cell here")))+SUM(INDIRECT(ADDRESS(D9+1,2,,,"Paste cell here")):'Paste cell here'!C366)))</f>
        <v/>
      </c>
      <c r="F39" s="23" t="str">
        <f ca="1">IF(ISTEXT(E9),"",IF(E9&lt;E10,SUM(INDIRECT(ADDRESS(E9+1,2,,,"Paste cell here")):INDIRECT(ADDRESS(E10+1,2,,,"Paste cell here"))),SUM('Paste cell here'!D2:INDIRECT(ADDRESS(E10+1,2,,,"Paste cell here")))+SUM(INDIRECT(ADDRESS(E9+1,2,,,"Paste cell here")):'Paste cell here'!D366)))</f>
        <v/>
      </c>
      <c r="G39" s="23" t="str">
        <f ca="1">IF(ISTEXT(F9),"",IF(F9&lt;F10,SUM(INDIRECT(ADDRESS(F9+1,2,,,"Paste cell here")):INDIRECT(ADDRESS(F10+1,2,,,"Paste cell here"))),SUM('Paste cell here'!E2:INDIRECT(ADDRESS(F10+1,2,,,"Paste cell here")))+SUM(INDIRECT(ADDRESS(F9+1,2,,,"Paste cell here")):'Paste cell here'!E366)))</f>
        <v/>
      </c>
    </row>
    <row r="40" spans="2:9">
      <c r="B40" s="20" t="s">
        <v>10</v>
      </c>
      <c r="C40" s="23">
        <f>SUM('Paste cell here'!I2:I366)</f>
        <v>1188</v>
      </c>
      <c r="D40" s="23">
        <f ca="1">IF(ISTEXT(C9),"",IF(C9&lt;C10,SUM(INDIRECT(ADDRESS(C9+1,9,,,"Paste cell here")):INDIRECT(ADDRESS(C10+1,9,,,"Paste cell here"))),SUM('Paste cell here'!I2:INDIRECT(ADDRESS(C10+1,9,,,"Paste cell here")))+SUM(INDIRECT(ADDRESS(C9+1,9,,,"Paste cell here")):'Paste cell here'!I366)))</f>
        <v>1188</v>
      </c>
      <c r="E40" s="23" t="str">
        <f ca="1">IF(ISTEXT(D9),"",IF(D9&lt;D10,SUM(INDIRECT(ADDRESS(D9+1,9,,,"Paste cell here")):INDIRECT(ADDRESS(D10+1,9,,,"Paste cell here"))),SUM('Paste cell here'!J2:INDIRECT(ADDRESS(D10+1,9,,,"Paste cell here")))+SUM(INDIRECT(ADDRESS(D9+1,9,,,"Paste cell here")):'Paste cell here'!J366)))</f>
        <v/>
      </c>
      <c r="F40" s="23" t="str">
        <f ca="1">IF(ISTEXT(E9),"",IF(E9&lt;E10,SUM(INDIRECT(ADDRESS(E9+1,9,,,"Paste cell here")):INDIRECT(ADDRESS(E10+1,9,,,"Paste cell here"))),SUM('Paste cell here'!K2:INDIRECT(ADDRESS(E10+1,9,,,"Paste cell here")))+SUM(INDIRECT(ADDRESS(E9+1,9,,,"Paste cell here")):'Paste cell here'!K366)))</f>
        <v/>
      </c>
      <c r="G40" s="23" t="str">
        <f ca="1">IF(ISTEXT(F9),"",IF(F9&lt;F10,SUM(INDIRECT(ADDRESS(F9+1,9,,,"Paste cell here")):INDIRECT(ADDRESS(F10+1,9,,,"Paste cell here"))),SUM('Paste cell here'!L2:INDIRECT(ADDRESS(F10+1,9,,,"Paste cell here")))+SUM(INDIRECT(ADDRESS(F9+1,9,,,"Paste cell here")):'Paste cell here'!L366)))</f>
        <v/>
      </c>
    </row>
    <row r="41" spans="2:9">
      <c r="B41" s="20" t="s">
        <v>21</v>
      </c>
      <c r="C41" s="23">
        <f>SUM('Paste cell here'!M2:M366)</f>
        <v>32.239783047999993</v>
      </c>
      <c r="D41" s="23">
        <f ca="1">IF(ISTEXT(C9),"",IF(C9&lt;C10,SUM(INDIRECT(ADDRESS(C9+1,13,,,"Paste cell here")):INDIRECT(ADDRESS(C10+1,13,,,"Paste cell here"))),SUM('Paste cell here'!M2:INDIRECT(ADDRESS(C10+1,13,,,"Paste cell here")))+SUM(INDIRECT(ADDRESS(C9+1,13,,,"Paste cell here")):'Paste cell here'!M366)))</f>
        <v>32.239783047999993</v>
      </c>
      <c r="E41" s="23" t="str">
        <f ca="1">IF(ISTEXT(D9),"",IF(D9&lt;D10,SUM(INDIRECT(ADDRESS(D9+1,13,,,"Paste cell here")):INDIRECT(ADDRESS(D10+1,13,,,"Paste cell here"))),SUM('Paste cell here'!N2:INDIRECT(ADDRESS(D10+1,13,,,"Paste cell here")))+SUM(INDIRECT(ADDRESS(D9+1,13,,,"Paste cell here")):'Paste cell here'!N366)))</f>
        <v/>
      </c>
      <c r="F41" s="23" t="str">
        <f ca="1">IF(ISTEXT(E9),"",IF(E9&lt;E10,SUM(INDIRECT(ADDRESS(E9+1,13,,,"Paste cell here")):INDIRECT(ADDRESS(E10+1,13,,,"Paste cell here"))),SUM('Paste cell here'!O2:INDIRECT(ADDRESS(E10+1,13,,,"Paste cell here")))+SUM(INDIRECT(ADDRESS(E9+1,13,,,"Paste cell here")):'Paste cell here'!O366)))</f>
        <v/>
      </c>
      <c r="G41" s="23" t="str">
        <f ca="1">IF(ISTEXT(F9),"",IF(F9&lt;F10,SUM(INDIRECT(ADDRESS(F9+1,13,,,"Paste cell here")):INDIRECT(ADDRESS(F10+1,13,,,"Paste cell here"))),SUM('Paste cell here'!P2:INDIRECT(ADDRESS(F10+1,13,,,"Paste cell here")))+SUM(INDIRECT(ADDRESS(F9+1,13,,,"Paste cell here")):'Paste cell here'!P366)))</f>
        <v/>
      </c>
    </row>
    <row r="42" spans="2:9">
      <c r="B42" s="20" t="s">
        <v>14</v>
      </c>
      <c r="C42" s="23">
        <f>SUM('Paste cell here'!N2:N366)</f>
        <v>92.51507371400001</v>
      </c>
      <c r="D42" s="23">
        <f ca="1">IF(ISTEXT(C9),"",IF(C9&lt;C10,SUM(INDIRECT(ADDRESS(C9+1,14,,,"Paste cell here")):INDIRECT(ADDRESS(C10+1,14,,,"Paste cell here"))),SUM('Paste cell here'!N2:INDIRECT(ADDRESS(C10+1,14,,,"Paste cell here")))+SUM(INDIRECT(ADDRESS(C9+1,14,,,"Paste cell here")):'Paste cell here'!N366)))</f>
        <v>13.029335259000002</v>
      </c>
      <c r="E42" s="23" t="str">
        <f ca="1">IF(ISTEXT(D9),"",IF(D9&lt;D10,SUM(INDIRECT(ADDRESS(D9+1,14,,,"Paste cell here")):INDIRECT(ADDRESS(D10+1,14,,,"Paste cell here"))),SUM('Paste cell here'!O2:INDIRECT(ADDRESS(D10+1,14,,,"Paste cell here")))+SUM(INDIRECT(ADDRESS(D9+1,14,,,"Paste cell here")):'Paste cell here'!O366)))</f>
        <v/>
      </c>
      <c r="F42" s="23" t="str">
        <f ca="1">IF(ISTEXT(E9),"",IF(E9&lt;E10,SUM(INDIRECT(ADDRESS(E9+1,14,,,"Paste cell here")):INDIRECT(ADDRESS(E10+1,14,,,"Paste cell here"))),SUM('Paste cell here'!P2:INDIRECT(ADDRESS(E10+1,14,,,"Paste cell here")))+SUM(INDIRECT(ADDRESS(E9+1,14,,,"Paste cell here")):'Paste cell here'!P366)))</f>
        <v/>
      </c>
      <c r="G42" s="23" t="str">
        <f ca="1">IF(ISTEXT(F9),"",IF(F9&lt;F10,SUM(INDIRECT(ADDRESS(F9+1,14,,,"Paste cell here")):INDIRECT(ADDRESS(F10+1,14,,,"Paste cell here"))),SUM('Paste cell here'!Q2:INDIRECT(ADDRESS(F10+1,14,,,"Paste cell here")))+SUM(INDIRECT(ADDRESS(F9+1,14,,,"Paste cell here")):'Paste cell here'!Q366)))</f>
        <v/>
      </c>
    </row>
    <row r="43" spans="2:9">
      <c r="B43" s="20" t="s">
        <v>15</v>
      </c>
      <c r="C43" s="23">
        <f>SUM('Paste cell here'!O2:O366)</f>
        <v>543.94845512300026</v>
      </c>
      <c r="D43" s="23">
        <f ca="1">IF(ISTEXT(C9),"",IF(C9&lt;C10,SUM(INDIRECT(ADDRESS(C9+1,15,,,"Paste cell here")):INDIRECT(ADDRESS(C10+1,15,,,"Paste cell here"))),SUM('Paste cell here'!O2:INDIRECT(ADDRESS(C10+1,15,,,"Paste cell here")))+SUM(INDIRECT(ADDRESS(C9+1,15,,,"Paste cell here")):'Paste cell here'!O366)))</f>
        <v>221.03283271000004</v>
      </c>
      <c r="E43" s="23" t="str">
        <f ca="1">IF(ISTEXT(D9),"",IF(D9&lt;D10,SUM(INDIRECT(ADDRESS(D9+1,15,,,"Paste cell here")):INDIRECT(ADDRESS(D10+1,15,,,"Paste cell here"))),SUM('Paste cell here'!P2:INDIRECT(ADDRESS(D10+1,15,,,"Paste cell here")))+SUM(INDIRECT(ADDRESS(D9+1,15,,,"Paste cell here")):'Paste cell here'!P366)))</f>
        <v/>
      </c>
      <c r="F43" s="23" t="str">
        <f ca="1">IF(ISTEXT(E9),"",IF(E9&lt;E10,SUM(INDIRECT(ADDRESS(E9+1,15,,,"Paste cell here")):INDIRECT(ADDRESS(E10+1,15,,,"Paste cell here"))),SUM('Paste cell here'!Q2:INDIRECT(ADDRESS(E10+1,15,,,"Paste cell here")))+SUM(INDIRECT(ADDRESS(E9+1,15,,,"Paste cell here")):'Paste cell here'!Q366)))</f>
        <v/>
      </c>
      <c r="G43" s="23" t="str">
        <f ca="1">IF(ISTEXT(F9),"",IF(F9&lt;F10,SUM(INDIRECT(ADDRESS(F9+1,15,,,"Paste cell here")):INDIRECT(ADDRESS(F10+1,15,,,"Paste cell here"))),SUM('Paste cell here'!R2:INDIRECT(ADDRESS(F10+1,15,,,"Paste cell here")))+SUM(INDIRECT(ADDRESS(F9+1,15,,,"Paste cell here")):'Paste cell here'!R366)))</f>
        <v/>
      </c>
    </row>
    <row r="44" spans="2:9">
      <c r="B44" s="20" t="s">
        <v>16</v>
      </c>
      <c r="C44" s="23">
        <f>SUM('Paste cell here'!Q2:Q366)</f>
        <v>288.81245644800003</v>
      </c>
      <c r="D44" s="23">
        <f ca="1">IF(ISTEXT(C9),"",IF(C9&lt;C10,SUM(INDIRECT(ADDRESS(C9+1,17,,,"Paste cell here")):INDIRECT(ADDRESS(C10+1,17,,,"Paste cell here"))),SUM('Paste cell here'!Q2:INDIRECT(ADDRESS(C10+1,17,,,"Paste cell here")))+SUM(INDIRECT(ADDRESS(C9+1,17,,,"Paste cell here")):'Paste cell here'!Q366)))</f>
        <v>151.23809136399998</v>
      </c>
      <c r="E44" s="23" t="str">
        <f ca="1">IF(ISTEXT(D9),"",IF(D9&lt;D10,SUM(INDIRECT(ADDRESS(D9+1,17,,,"Paste cell here")):INDIRECT(ADDRESS(D10+1,17,,,"Paste cell here"))),SUM('Paste cell here'!R2:INDIRECT(ADDRESS(D10+1,17,,,"Paste cell here")))+SUM(INDIRECT(ADDRESS(D9+1,17,,,"Paste cell here")):'Paste cell here'!R366)))</f>
        <v/>
      </c>
      <c r="F44" s="23" t="str">
        <f ca="1">IF(ISTEXT(E9),"",IF(E9&lt;E10,SUM(INDIRECT(ADDRESS(E9+1,17,,,"Paste cell here")):INDIRECT(ADDRESS(E10+1,17,,,"Paste cell here"))),SUM('Paste cell here'!S2:INDIRECT(ADDRESS(E10+1,17,,,"Paste cell here")))+SUM(INDIRECT(ADDRESS(E9+1,17,,,"Paste cell here")):'Paste cell here'!S366)))</f>
        <v/>
      </c>
      <c r="G44" s="23" t="str">
        <f ca="1">IF(ISTEXT(F9),"",IF(F9&lt;F10,SUM(INDIRECT(ADDRESS(F9+1,17,,,"Paste cell here")):INDIRECT(ADDRESS(F10+1,17,,,"Paste cell here"))),SUM('Paste cell here'!T2:INDIRECT(ADDRESS(F10+1,17,,,"Paste cell here")))+SUM(INDIRECT(ADDRESS(F9+1,17,,,"Paste cell here")):'Paste cell here'!T366)))</f>
        <v/>
      </c>
    </row>
    <row r="45" spans="2:9">
      <c r="B45" s="20" t="s">
        <v>99</v>
      </c>
      <c r="C45" s="23">
        <f>SUM('Paste cell here'!S2:S366)</f>
        <v>0</v>
      </c>
      <c r="D45" s="23">
        <f ca="1">IF(ISTEXT(C9),"",IF(C9&lt;C10,SUM(INDIRECT(ADDRESS(C9+1,19,,,"Paste cell here")):INDIRECT(ADDRESS(C10+1,19,,,"Paste cell here"))),SUM('Paste cell here'!S2:INDIRECT(ADDRESS(C10+1,19,,,"Paste cell here")))+SUM(INDIRECT(ADDRESS(C9+1,19,,,"Paste cell here")):'Paste cell here'!S366)))</f>
        <v>0</v>
      </c>
      <c r="E45" s="23">
        <f ca="1">D45/(D45+D51)</f>
        <v>0</v>
      </c>
      <c r="F45" s="23" t="str">
        <f ca="1">IF(ISTEXT(E9),"",IF(E9&lt;E10,SUM(INDIRECT(ADDRESS(E9+1,19,,,"Paste cell here")):INDIRECT(ADDRESS(E10+1,19,,,"Paste cell here"))),SUM('Paste cell here'!U2:INDIRECT(ADDRESS(E10+1,19,,,"Paste cell here")))+SUM(INDIRECT(ADDRESS(E9+1,19,,,"Paste cell here")):'Paste cell here'!U366)))</f>
        <v/>
      </c>
      <c r="G45" s="23" t="str">
        <f ca="1">IF(ISTEXT(F9),"",IF(F9&lt;F10,SUM(INDIRECT(ADDRESS(F9+1,19,,,"Paste cell here")):INDIRECT(ADDRESS(F10+1,19,,,"Paste cell here"))),SUM('Paste cell here'!V2:INDIRECT(ADDRESS(F10+1,19,,,"Paste cell here")))+SUM(INDIRECT(ADDRESS(F9+1,19,,,"Paste cell here")):'Paste cell here'!V366)))</f>
        <v/>
      </c>
    </row>
    <row r="46" spans="2:9">
      <c r="B46" s="20" t="s">
        <v>100</v>
      </c>
      <c r="C46" s="23">
        <f>SUM('Paste cell here'!T2:T366)</f>
        <v>1432.375714472138</v>
      </c>
      <c r="D46" s="23">
        <f ca="1">IF(ISTEXT(C9),"",IF(C9&lt;C10,SUM(INDIRECT(ADDRESS(C9+1,20,,,"Paste cell here")):INDIRECT(ADDRESS(C10+1,20,,,"Paste cell here"))),SUM('Paste cell here'!T2:INDIRECT(ADDRESS(C10+1,20,,,"Paste cell here")))+SUM(INDIRECT(ADDRESS(C9+1,20,,,"Paste cell here")):'Paste cell here'!T366)))</f>
        <v>1255.691925170569</v>
      </c>
      <c r="E46" s="23" t="str">
        <f ca="1">IF(ISTEXT(D9),"",IF(D9&lt;D10,SUM(INDIRECT(ADDRESS(D9+1,20,,,"Paste cell here")):INDIRECT(ADDRESS(D10+1,20,,,"Paste cell here"))),SUM('Paste cell here'!U2:INDIRECT(ADDRESS(D10+1,20,,,"Paste cell here")))+SUM(INDIRECT(ADDRESS(D9+1,20,,,"Paste cell here")):'Paste cell here'!U366)))</f>
        <v/>
      </c>
      <c r="F46" s="23" t="str">
        <f ca="1">IF(ISTEXT(E9),"",IF(E9&lt;E10,SUM(INDIRECT(ADDRESS(E9+1,20,,,"Paste cell here")):INDIRECT(ADDRESS(E10+1,20,,,"Paste cell here"))),SUM('Paste cell here'!V2:INDIRECT(ADDRESS(E10+1,20,,,"Paste cell here")))+SUM(INDIRECT(ADDRESS(E9+1,20,,,"Paste cell here")):'Paste cell here'!V366)))</f>
        <v/>
      </c>
      <c r="G46" s="23" t="str">
        <f ca="1">IF(ISTEXT(F9),"",IF(F9&lt;F10,SUM(INDIRECT(ADDRESS(F9+1,20,,,"Paste cell here")):INDIRECT(ADDRESS(F10+1,20,,,"Paste cell here"))),SUM('Paste cell here'!W2:INDIRECT(ADDRESS(F10+1,20,,,"Paste cell here")))+SUM(INDIRECT(ADDRESS(F9+1,20,,,"Paste cell here")):'Paste cell here'!W366)))</f>
        <v/>
      </c>
    </row>
    <row r="47" spans="2:9">
      <c r="B47" s="20" t="s">
        <v>96</v>
      </c>
      <c r="C47" s="23">
        <f>SUM('Paste cell here'!W2:W366)</f>
        <v>0</v>
      </c>
      <c r="D47" s="23">
        <f ca="1">IF(ISTEXT(C9),"",IF(C9&lt;C10,SUM(INDIRECT(ADDRESS(C9+1,23,,,"Paste cell here")):INDIRECT(ADDRESS(C10+1,23,,,"Paste cell here"))),SUM('Paste cell here'!W2:INDIRECT(ADDRESS(C10+1,23,,,"Paste cell here")))+SUM(INDIRECT(ADDRESS(C9+1,23,,,"Paste cell here")):'Paste cell here'!W366)))</f>
        <v>0</v>
      </c>
      <c r="E47" s="23" t="str">
        <f ca="1">IF(ISTEXT(D9),"",IF(D9&lt;D10,SUM(INDIRECT(ADDRESS(D9+1,23,,,"Paste cell here")):INDIRECT(ADDRESS(D10+1,23,,,"Paste cell here"))),SUM('Paste cell here'!X2:INDIRECT(ADDRESS(D10+1,23,,,"Paste cell here")))+SUM(INDIRECT(ADDRESS(D9+1,23,,,"Paste cell here")):'Paste cell here'!X366)))</f>
        <v/>
      </c>
      <c r="F47" s="23" t="str">
        <f ca="1">IF(ISTEXT(E9),"",IF(E9&lt;E10,SUM(INDIRECT(ADDRESS(E9+1,23,,,"Paste cell here")):INDIRECT(ADDRESS(E10+1,23,,,"Paste cell here"))),SUM('Paste cell here'!Y2:INDIRECT(ADDRESS(E10+1,23,,,"Paste cell here")))+SUM(INDIRECT(ADDRESS(E9+1,23,,,"Paste cell here")):'Paste cell here'!Y366)))</f>
        <v/>
      </c>
      <c r="G47" s="23" t="str">
        <f ca="1">IF(ISTEXT(F9),"",IF(F9&lt;F10,SUM(INDIRECT(ADDRESS(F9+1,23,,,"Paste cell here")):INDIRECT(ADDRESS(F10+1,23,,,"Paste cell here"))),SUM('Paste cell here'!Z2:INDIRECT(ADDRESS(F10+1,23,,,"Paste cell here")))+SUM(INDIRECT(ADDRESS(F9+1,23,,,"Paste cell here")):'Paste cell here'!Z366)))</f>
        <v/>
      </c>
    </row>
    <row r="48" spans="2:9">
      <c r="B48" s="19" t="s">
        <v>101</v>
      </c>
      <c r="C48" s="22" t="s">
        <v>98</v>
      </c>
      <c r="D48" s="22" t="str">
        <f>IF(C9="","","Prima coltura")</f>
        <v>Prima coltura</v>
      </c>
      <c r="E48" s="22" t="str">
        <f t="shared" ref="E48:F48" si="1">IF(D9="","","Prima coltura")</f>
        <v/>
      </c>
      <c r="F48" s="22" t="str">
        <f t="shared" si="1"/>
        <v/>
      </c>
      <c r="G48" s="22" t="str">
        <f>IF(F9="","","Prima coltura")</f>
        <v/>
      </c>
    </row>
    <row r="49" spans="2:14">
      <c r="B49" s="20" t="s">
        <v>102</v>
      </c>
      <c r="C49" s="23">
        <f>SUM('Paste cell here'!T2:T366)</f>
        <v>1432.375714472138</v>
      </c>
      <c r="D49" s="23">
        <f ca="1">IF(ISTEXT(C9),"",IF(C9&lt;C10,SUM(INDIRECT(ADDRESS(C9+1,20,,,"Paste cell here")):INDIRECT(ADDRESS(C10+1,20,,,"Paste cell here"))),SUM('Paste cell here'!T2:INDIRECT(ADDRESS(C10+1,20,,,"Paste cell here")))+SUM(INDIRECT(ADDRESS(C9+1,20,,,"Paste cell here")):'Paste cell here'!T366)))</f>
        <v>1255.691925170569</v>
      </c>
      <c r="E49" s="23" t="str">
        <f ca="1">IF(ISTEXT(D9),"",IF(D9&lt;D10,SUM(INDIRECT(ADDRESS(D9+1,20,,,"Paste cell here")):INDIRECT(ADDRESS(D10+1,20,,,"Paste cell here"))),SUM('Paste cell here'!U2:INDIRECT(ADDRESS(D10+1,20,,,"Paste cell here")))+SUM(INDIRECT(ADDRESS(D9+1,20,,,"Paste cell here")):'Paste cell here'!U366)))</f>
        <v/>
      </c>
      <c r="F49" s="23" t="str">
        <f ca="1">IF(ISTEXT(E9),"",IF(E9&lt;E10,SUM(INDIRECT(ADDRESS(E9+1,20,,,"Paste cell here")):INDIRECT(ADDRESS(E10+1,20,,,"Paste cell here"))),SUM('Paste cell here'!V2:INDIRECT(ADDRESS(E10+1,20,,,"Paste cell here")))+SUM(INDIRECT(ADDRESS(E9+1,20,,,"Paste cell here")):'Paste cell here'!V366)))</f>
        <v/>
      </c>
      <c r="G49" s="23" t="str">
        <f ca="1">IF(ISTEXT(F9),"",IF(F9&lt;F10,SUM(INDIRECT(ADDRESS(F9+1,20,,,"Paste cell here")):INDIRECT(ADDRESS(F10+1,20,,,"Paste cell here"))),SUM('Paste cell here'!W2:INDIRECT(ADDRESS(F10+1,20,,,"Paste cell here")))+SUM(INDIRECT(ADDRESS(F9+1,20,,,"Paste cell here")):'Paste cell here'!W366)))</f>
        <v/>
      </c>
    </row>
    <row r="50" spans="2:14">
      <c r="B50" s="20" t="s">
        <v>103</v>
      </c>
      <c r="C50" s="23">
        <f>SUM('Paste cell here'!AC2:AC366)</f>
        <v>0</v>
      </c>
      <c r="D50" s="23">
        <f ca="1">IF(ISTEXT(C9),"",IF(C9&lt;C10,SUM(INDIRECT(ADDRESS(C9+1,29,,,"Paste cell here")):INDIRECT(ADDRESS(C10+1,29,,,"Paste cell here"))),SUM('Paste cell here'!AC2:INDIRECT(ADDRESS(C10+1,29,,,"Paste cell here")))+SUM(INDIRECT(ADDRESS(C9+1,29,,,"Paste cell here")):'Paste cell here'!AC366)))</f>
        <v>0</v>
      </c>
      <c r="E50" s="23" t="str">
        <f ca="1">IF(ISTEXT(D9),"",IF(D9&lt;D10,SUM(INDIRECT(ADDRESS(D9+1,29,,,"Paste cell here")):INDIRECT(ADDRESS(D10+1,29,,,"Paste cell here"))),SUM('Paste cell here'!AD2:INDIRECT(ADDRESS(D10+1,29,,,"Paste cell here")))+SUM(INDIRECT(ADDRESS(D9+1,29,,,"Paste cell here")):'Paste cell here'!AD366)))</f>
        <v/>
      </c>
      <c r="F50" s="23" t="str">
        <f ca="1">IF(ISTEXT(E9),"",IF(E9&lt;E10,SUM(INDIRECT(ADDRESS(E9+1,29,,,"Paste cell here")):INDIRECT(ADDRESS(E10+1,29,,,"Paste cell here"))),SUM('Paste cell here'!AE2:INDIRECT(ADDRESS(E10+1,29,,,"Paste cell here")))+SUM(INDIRECT(ADDRESS(E9+1,29,,,"Paste cell here")):'Paste cell here'!AE366)))</f>
        <v/>
      </c>
      <c r="G50" s="23" t="str">
        <f ca="1">IF(ISTEXT(F9),"",IF(F9&lt;F10,SUM(INDIRECT(ADDRESS(F9+1,29,,,"Paste cell here")):INDIRECT(ADDRESS(F10+1,29,,,"Paste cell here"))),SUM('Paste cell here'!AF2:INDIRECT(ADDRESS(F10+1,29,,,"Paste cell here")))+SUM(INDIRECT(ADDRESS(F9+1,29,,,"Paste cell here")):'Paste cell here'!AF366)))</f>
        <v/>
      </c>
    </row>
    <row r="51" spans="2:14">
      <c r="B51" s="20" t="s">
        <v>104</v>
      </c>
      <c r="C51" s="23">
        <f>SUM('Paste cell here'!Y2:Y366)</f>
        <v>463.70037645399998</v>
      </c>
      <c r="D51" s="23">
        <f ca="1">IF(ISTEXT(C9),"",IF(C9&lt;C10,SUM(INDIRECT(ADDRESS(C9+1,25,,,"Paste cell here")):INDIRECT(ADDRESS(C10+1,25,,,"Paste cell here"))),SUM('Paste cell here'!Y2:INDIRECT(ADDRESS(C10+1,25,,,"Paste cell here")))+SUM(INDIRECT(ADDRESS(C9+1,25,,,"Paste cell here")):'Paste cell here'!Y366)))</f>
        <v>463.70037645399998</v>
      </c>
      <c r="E51" s="23" t="str">
        <f ca="1">IF(ISTEXT(D9),"",IF(D9&lt;D10,SUM(INDIRECT(ADDRESS(D9+1,25,,,"Paste cell here")):INDIRECT(ADDRESS(D10+1,25,,,"Paste cell here"))),SUM('Paste cell here'!Z2:INDIRECT(ADDRESS(D10+1,25,,,"Paste cell here")))+SUM(INDIRECT(ADDRESS(D9+1,25,,,"Paste cell here")):'Paste cell here'!Z366)))</f>
        <v/>
      </c>
      <c r="F51" s="23" t="str">
        <f ca="1">IF(ISTEXT(E9),"",IF(E9&lt;E10,SUM(INDIRECT(ADDRESS(E9+1,25,,,"Paste cell here")):INDIRECT(ADDRESS(E10+1,25,,,"Paste cell here"))),SUM('Paste cell here'!AA2:INDIRECT(ADDRESS(E10+1,25,,,"Paste cell here")))+SUM(INDIRECT(ADDRESS(E9+1,25,,,"Paste cell here")):'Paste cell here'!AA366)))</f>
        <v/>
      </c>
      <c r="G51" s="23" t="str">
        <f ca="1">IF(ISTEXT(F9),"",IF(F9&lt;F10,SUM(INDIRECT(ADDRESS(F9+1,25,,,"Paste cell here")):INDIRECT(ADDRESS(F10+1,25,,,"Paste cell here"))),SUM('Paste cell here'!AB2:INDIRECT(ADDRESS(F10+1,25,,,"Paste cell here")))+SUM(INDIRECT(ADDRESS(F9+1,25,,,"Paste cell here")):'Paste cell here'!AB366)))</f>
        <v/>
      </c>
    </row>
    <row r="52" spans="2:14">
      <c r="B52" s="20" t="s">
        <v>105</v>
      </c>
      <c r="C52" s="23">
        <f>SUM('Paste cell here'!AD2:AD366)</f>
        <v>957.22118835699996</v>
      </c>
      <c r="D52" s="23">
        <f ca="1">IF(ISTEXT(C9),"",IF(C9&lt;C10,SUM(INDIRECT(ADDRESS(C9+1,30,,,"Paste cell here")):INDIRECT(ADDRESS(C10+1,30,,,"Paste cell here"))),SUM('Paste cell here'!AD2:INDIRECT(ADDRESS(C10+1,30,,,"Paste cell here")))+SUM(INDIRECT(ADDRESS(C9+1,30,,,"Paste cell here")):'Paste cell here'!AD366)))</f>
        <v>805.01908210100032</v>
      </c>
      <c r="E52" s="23" t="str">
        <f ca="1">IF(ISTEXT(D9),"",IF(D9&lt;D10,SUM(INDIRECT(ADDRESS(D9+1,30,,,"Paste cell here")):INDIRECT(ADDRESS(D10+1,30,,,"Paste cell here"))),SUM('Paste cell here'!AE2:INDIRECT(ADDRESS(D10+1,30,,,"Paste cell here")))+SUM(INDIRECT(ADDRESS(D9+1,30,,,"Paste cell here")):'Paste cell here'!AE366)))</f>
        <v/>
      </c>
      <c r="F52" s="23" t="str">
        <f ca="1">IF(ISTEXT(E9),"",IF(E9&lt;E10,SUM(INDIRECT(ADDRESS(E9+1,30,,,"Paste cell here")):INDIRECT(ADDRESS(E10+1,30,,,"Paste cell here"))),SUM('Paste cell here'!AF2:INDIRECT(ADDRESS(E10+1,30,,,"Paste cell here")))+SUM(INDIRECT(ADDRESS(E9+1,30,,,"Paste cell here")):'Paste cell here'!AF366)))</f>
        <v/>
      </c>
      <c r="G52" s="23" t="str">
        <f ca="1">IF(ISTEXT(F9),"",IF(F9&lt;F10,SUM(INDIRECT(ADDRESS(F9+1,30,,,"Paste cell here")):INDIRECT(ADDRESS(F10+1,30,,,"Paste cell here"))),SUM('Paste cell here'!AG2:INDIRECT(ADDRESS(F10+1,30,,,"Paste cell here")))+SUM(INDIRECT(ADDRESS(F9+1,30,,,"Paste cell here")):'Paste cell here'!AG366)))</f>
        <v/>
      </c>
    </row>
    <row r="53" spans="2:14">
      <c r="B53" s="20" t="s">
        <v>94</v>
      </c>
      <c r="C53" s="23">
        <f>SUM('Paste cell here'!W2:W366)</f>
        <v>0</v>
      </c>
      <c r="D53" s="23">
        <f ca="1">IF(ISTEXT(C9),"",IF(C9&lt;C10,SUM(INDIRECT(ADDRESS(C9+1,23,,,"Paste cell here")):INDIRECT(ADDRESS(C10+1,23,,,"Paste cell here"))),SUM('Paste cell here'!W2:INDIRECT(ADDRESS(C10+1,23,,,"Paste cell here")))+SUM(INDIRECT(ADDRESS(C9+1,23,,,"Paste cell here")):'Paste cell here'!W366)))</f>
        <v>0</v>
      </c>
      <c r="E53" s="23" t="str">
        <f ca="1">IF(ISTEXT(D9),"",IF(D9&lt;D10,SUM(INDIRECT(ADDRESS(D9+1,23,,,"Paste cell here")):INDIRECT(ADDRESS(D10+1,23,,,"Paste cell here"))),SUM('Paste cell here'!X2:INDIRECT(ADDRESS(D10+1,23,,,"Paste cell here")))+SUM(INDIRECT(ADDRESS(D9+1,23,,,"Paste cell here")):'Paste cell here'!X366)))</f>
        <v/>
      </c>
      <c r="F53" s="23" t="str">
        <f ca="1">IF(ISTEXT(E9),"",IF(E9&lt;E10,SUM(INDIRECT(ADDRESS(E9+1,23,,,"Paste cell here")):INDIRECT(ADDRESS(E10+1,23,,,"Paste cell here"))),SUM('Paste cell here'!Y2:INDIRECT(ADDRESS(E10+1,23,,,"Paste cell here")))+SUM(INDIRECT(ADDRESS(E9+1,23,,,"Paste cell here")):'Paste cell here'!Y366)))</f>
        <v/>
      </c>
      <c r="G53" s="23" t="str">
        <f ca="1">IF(ISTEXT(F9),"",IF(F9&lt;F10,SUM(INDIRECT(ADDRESS(F9+1,23,,,"Paste cell here")):INDIRECT(ADDRESS(F10+1,23,,,"Paste cell here"))),SUM('Paste cell here'!Z2:INDIRECT(ADDRESS(F10+1,23,,,"Paste cell here")))+SUM(INDIRECT(ADDRESS(F9+1,23,,,"Paste cell here")):'Paste cell here'!Z366)))</f>
        <v/>
      </c>
    </row>
    <row r="54" spans="2:14">
      <c r="B54" s="4"/>
      <c r="C54" s="11"/>
      <c r="D54" s="11"/>
      <c r="E54" s="11"/>
      <c r="F54" s="11"/>
    </row>
    <row r="55" spans="2:14">
      <c r="B55" s="35" t="s">
        <v>85</v>
      </c>
      <c r="C55" s="28" t="str">
        <f>IF(C9="","","Prima coltura")</f>
        <v>Prima coltura</v>
      </c>
      <c r="D55" s="28" t="str">
        <f>IF(D9="","","Seconda coltura")</f>
        <v/>
      </c>
      <c r="E55" s="28" t="str">
        <f>IF(E9="","","Terza coltura")</f>
        <v/>
      </c>
      <c r="F55" s="28" t="str">
        <f>IF(F9="","","Quarta coltura")</f>
        <v/>
      </c>
    </row>
    <row r="56" spans="2:14">
      <c r="B56" s="20" t="s">
        <v>4</v>
      </c>
      <c r="C56" s="20">
        <f ca="1">IF(ISTEXT(C9),"",IF(C9&lt;C10,COUNTIF(INDIRECT(ADDRESS(C9+1,9,,,"Paste cell here")):INDIRECT(ADDRESS(C10+1,9,,,"Paste cell here")),"&gt;0"),COUNTIF(INDIRECT(ADDRESS(C9+1,9,,,"Paste cell here")):'Paste cell here'!I366,"&gt;0")+COUNTIF('Paste cell here'!I2:INDIRECT(ADDRESS(C10+1,9,,,"Paste cell here")),"&gt;0")))</f>
        <v>6</v>
      </c>
      <c r="D56" s="20" t="str">
        <f ca="1">IF(ISTEXT(D9),"",IF(D9&lt;D10,COUNTIF(INDIRECT(ADDRESS(D9+1,9,,,"Paste cell here")):INDIRECT(ADDRESS(D10+1,9,,,"Paste cell here")),"&gt;0"),COUNTIF(INDIRECT(ADDRESS(D9+1,9,,,"Paste cell here")):'Paste cell here'!J366,"&gt;0")+COUNTIF('Paste cell here'!J2:INDIRECT(ADDRESS(D10+1,9,,,"Paste cell here")),"&gt;0")))</f>
        <v/>
      </c>
      <c r="E56" s="20" t="str">
        <f ca="1">IF(ISTEXT(E9),"",IF(E9&lt;E10,COUNTIF(INDIRECT(ADDRESS(E9+1,9,,,"Paste cell here")):INDIRECT(ADDRESS(E10+1,9,,,"Paste cell here")),"&gt;0"),COUNTIF(INDIRECT(ADDRESS(E9+1,9,,,"Paste cell here")):'Paste cell here'!K366,"&gt;0")+COUNTIF('Paste cell here'!K2:INDIRECT(ADDRESS(E10+1,9,,,"Paste cell here")),"&gt;0")))</f>
        <v/>
      </c>
      <c r="F56" s="20" t="str">
        <f ca="1">IF(ISTEXT(F9),"",IF(F9&lt;F10,COUNTIF(INDIRECT(ADDRESS(F9+1,9,,,"Paste cell here")):INDIRECT(ADDRESS(F10+1,9,,,"Paste cell here")),"&gt;0"),COUNTIF(INDIRECT(ADDRESS(F9+1,9,,,"Paste cell here")):'Paste cell here'!L366,"&gt;0")+COUNTIF('Paste cell here'!L2:INDIRECT(ADDRESS(F10+1,9,,,"Paste cell here")),"&gt;0")))</f>
        <v/>
      </c>
    </row>
    <row r="57" spans="2:14">
      <c r="B57" s="20" t="s">
        <v>5</v>
      </c>
      <c r="C57" s="21">
        <f ca="1">IF(ISTEXT(C9),"",IF(C9&lt;C10,SUM(INDIRECT(ADDRESS(C9+1,9,,,"Paste cell here")):INDIRECT(ADDRESS(C10+1,9,,,"Paste cell here"))),SUM('Paste cell here'!I2:INDIRECT(ADDRESS(C10+1,9,,,"Paste cell here")))+SUM(INDIRECT(ADDRESS(C9+1,9,,,"Paste cell here")):'Paste cell here'!I366)))</f>
        <v>1188</v>
      </c>
      <c r="D57" s="21" t="str">
        <f ca="1">IF(ISTEXT(D9),"",IF(D9&lt;D10,SUM(INDIRECT(ADDRESS(D9+1,9,,,"Paste cell here")):INDIRECT(ADDRESS(D10+1,9,,,"Paste cell here"))),SUM('Paste cell here'!J2:INDIRECT(ADDRESS(D10+1,9,,,"Paste cell here")))+SUM(INDIRECT(ADDRESS(D9+1,9,,,"Paste cell here")):'Paste cell here'!J366)))</f>
        <v/>
      </c>
      <c r="E57" s="21" t="str">
        <f ca="1">IF(ISTEXT(E9),"",IF(E9&lt;E10,SUM(INDIRECT(ADDRESS(E9+1,9,,,"Paste cell here")):INDIRECT(ADDRESS(E10+1,9,,,"Paste cell here"))),SUM('Paste cell here'!K2:INDIRECT(ADDRESS(E10+1,9,,,"Paste cell here")))+SUM(INDIRECT(ADDRESS(E9+1,9,,,"Paste cell here")):'Paste cell here'!K366)))</f>
        <v/>
      </c>
      <c r="F57" s="21" t="str">
        <f ca="1">IF(ISTEXT(F9),"",IF(F9&lt;F10,SUM(INDIRECT(ADDRESS(F9+1,9,,,"Paste cell here")):INDIRECT(ADDRESS(F10+1,9,,,"Paste cell here"))),SUM('Paste cell here'!L2:INDIRECT(ADDRESS(F10+1,9,,,"Paste cell here")))+SUM(INDIRECT(ADDRESS(F9+1,9,,,"Paste cell here")):'Paste cell here'!L366)))</f>
        <v/>
      </c>
    </row>
    <row r="58" spans="2:14">
      <c r="B58" s="20" t="s">
        <v>6</v>
      </c>
      <c r="C58" s="30">
        <f ca="1">IF(ISTEXT(C9),"",IF(C57=0,"Non irriguo",C57/C56))</f>
        <v>198</v>
      </c>
      <c r="D58" s="30" t="str">
        <f>IF(ISTEXT(D9),"",IF(D57=0,"Non irriguo",D57/D56))</f>
        <v/>
      </c>
      <c r="E58" s="30" t="str">
        <f>IF(ISTEXT(E9),"",IF(E57=0,"Non irriguo",E57/E56))</f>
        <v/>
      </c>
      <c r="F58" s="30" t="str">
        <f>IF(ISTEXT(F9),"",IF(F57=0,"Non irriguo",F57/F56))</f>
        <v/>
      </c>
    </row>
    <row r="59" spans="2:14">
      <c r="B59" s="20" t="s">
        <v>45</v>
      </c>
      <c r="C59" s="30">
        <f ca="1">IF(ISTEXT(C9),"",IF(C57=0,"Non irriguo",(C13-C12)/C56))</f>
        <v>23.666666666666668</v>
      </c>
      <c r="D59" s="30" t="str">
        <f>IF(ISTEXT(D9),"",IF(D57=0,"Non irriguo",(D13-D12)/D56))</f>
        <v/>
      </c>
      <c r="E59" s="30" t="str">
        <f>IF(ISTEXT(E9),"",IF(E57=0,"Non irriguo",(E13-E12)/E56))</f>
        <v/>
      </c>
      <c r="F59" s="30" t="str">
        <f>IF(ISTEXT(F9),"",IF(F57=0,"Non irriguo",(F13-F12)/F56))</f>
        <v/>
      </c>
    </row>
    <row r="60" spans="2:14">
      <c r="B60" s="20" t="s">
        <v>49</v>
      </c>
      <c r="C60" s="27">
        <f ca="1">IF(ISTEXT(C9),"",IF(C9&lt;C10,(SUM(INDIRECT(ADDRESS(C9+1,17,,,"Paste cell here")):INDIRECT(ADDRESS(C10+1,17,,,"Paste cell here")))+SUM(INDIRECT(ADDRESS(C9+1,22,,,"Paste cell here")):INDIRECT(ADDRESS(C10+1,22,,,"Paste cell here"))))/(SUM(INDIRECT(ADDRESS(C9+1,2,,,"Paste cell here")):INDIRECT(ADDRESS(C10+1,2,,,"Paste cell here")))+SUM(INDIRECT(ADDRESS(C9+1,9,,,"Paste cell here")):INDIRECT(ADDRESS(C10+1,9,,,"Paste cell here")))),(SUM('Paste cell here'!Q2:INDIRECT(ADDRESS(C10+1,17,,,"Paste cell here")))+SUM(INDIRECT(ADDRESS(C9+1,17,,,"Paste cell here")):'Paste cell here'!Q366)+SUM('Paste cell here'!X2:INDIRECT(ADDRESS(C10+1,22,,,"Paste cell here")))+SUM(INDIRECT(ADDRESS(C9+1,22,,,"Paste cell here")):'Paste cell here'!X366))/(SUM('Paste cell here'!B2:INDIRECT(ADDRESS(C10+1,2,,,"Paste cell here")))+SUM(INDIRECT(ADDRESS(C9+1,2,,,"Paste cell here")):'Paste cell here'!B366)+SUM('Paste cell here'!I2:INDIRECT(ADDRESS(C10+1,9,,,"Paste cell here")))+SUM(INDIRECT(ADDRESS(C9+1,9,,,"Paste cell here")):'Paste cell here'!I366))))</f>
        <v>0.10399360455316223</v>
      </c>
      <c r="D60" s="27" t="str">
        <f ca="1">IF(ISTEXT(D9),"",IF(D9&lt;D10,(SUM(INDIRECT(ADDRESS(D9+1,17,,,"Paste cell here")):INDIRECT(ADDRESS(D10+1,17,,,"Paste cell here")))+SUM(INDIRECT(ADDRESS(D9+1,22,,,"Paste cell here")):INDIRECT(ADDRESS(D10+1,22,,,"Paste cell here"))))/(SUM(INDIRECT(ADDRESS(D9+1,2,,,"Paste cell here")):INDIRECT(ADDRESS(D10+1,2,,,"Paste cell here")))+SUM(INDIRECT(ADDRESS(D9+1,9,,,"Paste cell here")):INDIRECT(ADDRESS(D10+1,9,,,"Paste cell here")))),(SUM('Paste cell here'!T2:INDIRECT(ADDRESS(D10+1,17,,,"Paste cell here")))+SUM(INDIRECT(ADDRESS(D9+1,17,,,"Paste cell here")):'Paste cell here'!T366)+SUM('Paste cell here'!Y2:INDIRECT(ADDRESS(D10+1,22,,,"Paste cell here")))+SUM(INDIRECT(ADDRESS(D9+1,22,,,"Paste cell here")):'Paste cell here'!Y366))/(SUM('Paste cell here'!C2:INDIRECT(ADDRESS(D10+1,2,,,"Paste cell here")))+SUM(INDIRECT(ADDRESS(D9+1,2,,,"Paste cell here")):'Paste cell here'!C366)+SUM('Paste cell here'!J2:INDIRECT(ADDRESS(D10+1,9,,,"Paste cell here")))+SUM(INDIRECT(ADDRESS(D9+1,9,,,"Paste cell here")):'Paste cell here'!J366))))</f>
        <v/>
      </c>
      <c r="E60" s="27" t="str">
        <f ca="1">IF(ISTEXT(E9),"",IF(E9&lt;E10,(SUM(INDIRECT(ADDRESS(E9+1,17,,,"Paste cell here")):INDIRECT(ADDRESS(E10+1,17,,,"Paste cell here")))+SUM(INDIRECT(ADDRESS(E9+1,22,,,"Paste cell here")):INDIRECT(ADDRESS(E10+1,22,,,"Paste cell here"))))/(SUM(INDIRECT(ADDRESS(E9+1,2,,,"Paste cell here")):INDIRECT(ADDRESS(E10+1,2,,,"Paste cell here")))+SUM(INDIRECT(ADDRESS(E9+1,9,,,"Paste cell here")):INDIRECT(ADDRESS(E10+1,9,,,"Paste cell here")))),(SUM('Paste cell here'!U2:INDIRECT(ADDRESS(E10+1,17,,,"Paste cell here")))+SUM(INDIRECT(ADDRESS(E9+1,17,,,"Paste cell here")):'Paste cell here'!U366)+SUM('Paste cell here'!Z2:INDIRECT(ADDRESS(E10+1,22,,,"Paste cell here")))+SUM(INDIRECT(ADDRESS(E9+1,22,,,"Paste cell here")):'Paste cell here'!Z366))/(SUM('Paste cell here'!D2:INDIRECT(ADDRESS(E10+1,2,,,"Paste cell here")))+SUM(INDIRECT(ADDRESS(E9+1,2,,,"Paste cell here")):'Paste cell here'!D366)+SUM('Paste cell here'!K2:INDIRECT(ADDRESS(E10+1,9,,,"Paste cell here")))+SUM(INDIRECT(ADDRESS(E9+1,9,,,"Paste cell here")):'Paste cell here'!K366))))</f>
        <v/>
      </c>
      <c r="F60" s="27" t="str">
        <f ca="1">IF(ISTEXT(F9),"",IF(F9&lt;F10,(SUM(INDIRECT(ADDRESS(F9+1,17,,,"Paste cell here")):INDIRECT(ADDRESS(F10+1,17,,,"Paste cell here")))+SUM(INDIRECT(ADDRESS(F9+1,22,,,"Paste cell here")):INDIRECT(ADDRESS(F10+1,22,,,"Paste cell here"))))/(SUM(INDIRECT(ADDRESS(F9+1,2,,,"Paste cell here")):INDIRECT(ADDRESS(F10+1,2,,,"Paste cell here")))+SUM(INDIRECT(ADDRESS(F9+1,9,,,"Paste cell here")):INDIRECT(ADDRESS(F10+1,9,,,"Paste cell here")))),(SUM('Paste cell here'!V2:INDIRECT(ADDRESS(F10+1,17,,,"Paste cell here")))+SUM(INDIRECT(ADDRESS(F9+1,17,,,"Paste cell here")):'Paste cell here'!V366)+SUM('Paste cell here'!AA2:INDIRECT(ADDRESS(F10+1,22,,,"Paste cell here")))+SUM(INDIRECT(ADDRESS(F9+1,22,,,"Paste cell here")):'Paste cell here'!AA366))/(SUM('Paste cell here'!E2:INDIRECT(ADDRESS(F10+1,2,,,"Paste cell here")))+SUM(INDIRECT(ADDRESS(F9+1,2,,,"Paste cell here")):'Paste cell here'!E366)+SUM('Paste cell here'!L2:INDIRECT(ADDRESS(F10+1,9,,,"Paste cell here")))+SUM(INDIRECT(ADDRESS(F9+1,9,,,"Paste cell here")):'Paste cell here'!L366))))</f>
        <v/>
      </c>
      <c r="H60" s="50"/>
      <c r="I60" s="51"/>
      <c r="J60" s="49" t="s">
        <v>59</v>
      </c>
      <c r="K60" s="49"/>
      <c r="L60" s="49"/>
      <c r="M60" s="49"/>
      <c r="N60" s="17"/>
    </row>
    <row r="61" spans="2:14">
      <c r="H61" s="52"/>
      <c r="I61" s="53"/>
      <c r="J61" s="17" cm="1">
        <f t="array" ref="J61:M61">_xlfn._xlws.SORT(TRANSPOSE(_xlfn.UNIQUE(_xlfn._xlws.FILTER('Verifica produttività'!$D$2:$D$366,'Verifica produttività'!$D$2:$D$366&lt;&gt;0))),1,1,TRUE)</f>
        <v>1</v>
      </c>
      <c r="K61" s="17">
        <v>2</v>
      </c>
      <c r="L61" s="17">
        <v>3</v>
      </c>
      <c r="M61" s="17">
        <v>4</v>
      </c>
      <c r="N61" s="17" t="s">
        <v>62</v>
      </c>
    </row>
    <row r="62" spans="2:14">
      <c r="B62" s="16" t="s">
        <v>90</v>
      </c>
      <c r="C62" s="28" t="str">
        <f>IF(C9="","","Prima coltura")</f>
        <v>Prima coltura</v>
      </c>
      <c r="D62" s="28" t="str">
        <f>IF(D9="","","Seconda coltura")</f>
        <v/>
      </c>
      <c r="E62" s="28" t="str">
        <f>IF(E9="","","Terza coltura")</f>
        <v/>
      </c>
      <c r="F62" s="28" t="str">
        <f>IF(F9="","","Quarta coltura")</f>
        <v/>
      </c>
      <c r="H62" s="48" t="s">
        <v>91</v>
      </c>
      <c r="I62" s="17" cm="1">
        <f t="array" ref="I62">_xlfn.UNIQUE(_xlfn._xlws.FILTER('Verifica produttività'!$C$2:$C$366,'Verifica produttività'!$C$2:$C$366&lt;&gt;0))</f>
        <v>1</v>
      </c>
      <c r="J62" s="33" cm="1">
        <f t="array" ref="J62">IF(J$61="","",IF($I62="","",(IFERROR((1-INDEX(_xlfn.ANCHORARRAY($C$20),J$61,$I62)*(1-SUMIFS('Verifica produttività'!$J$2:$J$366,'Verifica produttività'!$C$2:$C$366,$I62,'Verifica produttività'!$D$2:$D$366,J$61)/SUMIFS('Verifica produttività'!$I$2:$I$366,'Verifica produttività'!$C$2:$C$366,$I62,'Verifica produttività'!$D$2:$D$366,J$61)))^(COUNTIFS('Verifica produttività'!$C$2:$C$366,$I62,'Verifica produttività'!$D$2:$D$366,J$61)/COUNTIF('Verifica produttività'!$C$2:$C$366,$I62)),""))))</f>
        <v>1</v>
      </c>
      <c r="K62" s="33" cm="1">
        <f t="array" ref="K62">IF(K$61="","",IF($I62="","",(IFERROR((1-INDEX(_xlfn.ANCHORARRAY($C$20),K$61,$I62)*(1-SUMIFS('Verifica produttività'!$J$2:$J$366,'Verifica produttività'!$C$2:$C$366,$I62,'Verifica produttività'!$D$2:$D$366,K$61)/SUMIFS('Verifica produttività'!$I$2:$I$366,'Verifica produttività'!$C$2:$C$366,$I62,'Verifica produttività'!$D$2:$D$366,K$61)))^(COUNTIFS('Verifica produttività'!$C$2:$C$366,$I62,'Verifica produttività'!$D$2:$D$366,K$61)/COUNTIF('Verifica produttività'!$C$2:$C$366,$I62)),""))))</f>
        <v>1</v>
      </c>
      <c r="L62" s="33" cm="1">
        <f t="array" ref="L62">IF(L$61="","",IF($I62="","",(IFERROR((1-INDEX(_xlfn.ANCHORARRAY($C$20),L$61,$I62)*(1-SUMIFS('Verifica produttività'!$J$2:$J$366,'Verifica produttività'!$C$2:$C$366,$I62,'Verifica produttività'!$D$2:$D$366,L$61)/SUMIFS('Verifica produttività'!$I$2:$I$366,'Verifica produttività'!$C$2:$C$366,$I62,'Verifica produttività'!$D$2:$D$366,L$61)))^(COUNTIFS('Verifica produttività'!$C$2:$C$366,$I62,'Verifica produttività'!$D$2:$D$366,L$61)/COUNTIF('Verifica produttività'!$C$2:$C$366,$I62)),""))))</f>
        <v>1</v>
      </c>
      <c r="M62" s="33" cm="1">
        <f t="array" ref="M62">IF(M$61="","",IF($I62="","",(IFERROR((1-INDEX(_xlfn.ANCHORARRAY($C$20),M$61,$I62)*(1-SUMIFS('Verifica produttività'!$J$2:$J$366,'Verifica produttività'!$C$2:$C$366,$I62,'Verifica produttività'!$D$2:$D$366,M$61)/SUMIFS('Verifica produttività'!$I$2:$I$366,'Verifica produttività'!$C$2:$C$366,$I62,'Verifica produttività'!$D$2:$D$366,M$61)))^(COUNTIFS('Verifica produttività'!$C$2:$C$366,$I62,'Verifica produttività'!$D$2:$D$366,M$61)/COUNTIF('Verifica produttività'!$C$2:$C$366,$I62)),""))))</f>
        <v>1</v>
      </c>
      <c r="N62" s="33">
        <f>IF(I62="","",PRODUCT(J62:M62))</f>
        <v>1</v>
      </c>
    </row>
    <row r="63" spans="2:14">
      <c r="B63" s="17" t="s">
        <v>62</v>
      </c>
      <c r="C63" s="26" cm="1">
        <f t="array" ref="C63:F63">TRANSPOSE((N62:N65))</f>
        <v>1</v>
      </c>
      <c r="D63" s="26" t="str">
        <v/>
      </c>
      <c r="E63" s="17" t="str">
        <v/>
      </c>
      <c r="F63" s="17" t="str">
        <v/>
      </c>
      <c r="H63" s="48"/>
      <c r="I63" s="17"/>
      <c r="J63" s="33" t="str" cm="1">
        <f t="array" ref="J63">IF(J$61="","",IF($I63="","",(IFERROR((1-INDEX(_xlfn.ANCHORARRAY($C$20),J$61,$I63)*(1-SUMIFS('Verifica produttività'!$J$2:$J$366,'Verifica produttività'!$C$2:$C$366,$I63,'Verifica produttività'!$D$2:$D$366,J$61)/SUMIFS('Verifica produttività'!$I$2:$I$366,'Verifica produttività'!$C$2:$C$366,$I63,'Verifica produttività'!$D$2:$D$366,J$61)))^(COUNTIFS('Verifica produttività'!$C$2:$C$366,$I63,'Verifica produttività'!$D$2:$D$366,J$61)/COUNTIF('Verifica produttività'!$C$2:$C$366,$I63)),""))))</f>
        <v/>
      </c>
      <c r="K63" s="33" t="str" cm="1">
        <f t="array" ref="K63">IF(K$61="","",IF($I63="","",(IFERROR((1-INDEX(_xlfn.ANCHORARRAY($C$20),K$61,$I63)*(1-SUMIFS('Verifica produttività'!$J$2:$J$366,'Verifica produttività'!$C$2:$C$366,$I63,'Verifica produttività'!$D$2:$D$366,K$61)/SUMIFS('Verifica produttività'!$I$2:$I$366,'Verifica produttività'!$C$2:$C$366,$I63,'Verifica produttività'!$D$2:$D$366,K$61)))^(COUNTIFS('Verifica produttività'!$C$2:$C$366,$I63,'Verifica produttività'!$D$2:$D$366,K$61)/COUNTIF('Verifica produttività'!$C$2:$C$366,$I63)),""))))</f>
        <v/>
      </c>
      <c r="L63" s="33" t="str" cm="1">
        <f t="array" ref="L63">IF(L$61="","",IF($I63="","",(IFERROR((1-INDEX(_xlfn.ANCHORARRAY($C$20),L$61,$I63)*(1-SUMIFS('Verifica produttività'!$J$2:$J$366,'Verifica produttività'!$C$2:$C$366,$I63,'Verifica produttività'!$D$2:$D$366,L$61)/SUMIFS('Verifica produttività'!$I$2:$I$366,'Verifica produttività'!$C$2:$C$366,$I63,'Verifica produttività'!$D$2:$D$366,L$61)))^(COUNTIFS('Verifica produttività'!$C$2:$C$366,$I63,'Verifica produttività'!$D$2:$D$366,L$61)/COUNTIF('Verifica produttività'!$C$2:$C$366,$I63)),""))))</f>
        <v/>
      </c>
      <c r="M63" s="33" t="str" cm="1">
        <f t="array" ref="M63">IF(M$61="","",IF($I63="","",(IFERROR((1-INDEX(_xlfn.ANCHORARRAY($C$20),M$61,$I63)*(1-SUMIFS('Verifica produttività'!$J$2:$J$366,'Verifica produttività'!$C$2:$C$366,$I63,'Verifica produttività'!$D$2:$D$366,M$61)/SUMIFS('Verifica produttività'!$I$2:$I$366,'Verifica produttività'!$C$2:$C$366,$I63,'Verifica produttività'!$D$2:$D$366,M$61)))^(COUNTIFS('Verifica produttività'!$C$2:$C$366,$I63,'Verifica produttività'!$D$2:$D$366,M$61)/COUNTIF('Verifica produttività'!$C$2:$C$366,$I63)),""))))</f>
        <v/>
      </c>
      <c r="N63" s="33" t="str">
        <f t="shared" ref="N63:N65" si="2">IF(I63="","",PRODUCT(J63:M63))</f>
        <v/>
      </c>
    </row>
    <row r="64" spans="2:14">
      <c r="B64" s="33" t="s">
        <v>68</v>
      </c>
      <c r="C64" s="26">
        <f>IFERROR(1-C19*(1-SUMIF('Verifica produttività'!$C$2:$C$366,COLUMN(C64)-COLUMN($C64)+1,'Verifica produttività'!$J$2:$J$366)/SUMIF('Verifica produttività'!$C$2:$C$366,COLUMN(C64)-COLUMN($C64)+1,'Verifica produttività'!$I$2:$I$366)),"")</f>
        <v>1</v>
      </c>
      <c r="D64" s="26" t="str">
        <f>IFERROR(1-D19*(1-SUMIF('Verifica produttività'!$C$2:$C$366,COLUMN(D64)-COLUMN($C64)+1,'Verifica produttività'!$J$2:$J$366)/SUMIF('Verifica produttività'!$C$2:$C$366,COLUMN(D64)-COLUMN($C64)+1,'Verifica produttività'!$I$2:$I$366)),"")</f>
        <v/>
      </c>
      <c r="E64" s="26" t="str">
        <f>IFERROR(1-E19*(1-SUMIF('Verifica produttività'!$C$2:$C$366,COLUMN(E64)-COLUMN($C64)+1,'Verifica produttività'!$J$2:$J$366)/SUMIF('Verifica produttività'!$C$2:$C$366,COLUMN(E64)-COLUMN($C64)+1,'Verifica produttività'!$I$2:$I$366)),"")</f>
        <v/>
      </c>
      <c r="F64" s="26" t="str">
        <f>IFERROR(1-F19*(1-SUMIF('Verifica produttività'!$C$2:$C$366,COLUMN(F64)-COLUMN($C64)+1,'Verifica produttività'!$J$2:$J$366)/SUMIF('Verifica produttività'!$C$2:$C$366,COLUMN(F64)-COLUMN($C64)+1,'Verifica produttività'!$I$2:$I$366)),"")</f>
        <v/>
      </c>
      <c r="H64" s="48"/>
      <c r="I64" s="17"/>
      <c r="J64" s="33" t="str" cm="1">
        <f t="array" ref="J64">IF(J$61="","",IF($I64="","",(IFERROR((1-INDEX(_xlfn.ANCHORARRAY($C$20),J$61,$I64)*(1-SUMIFS('Verifica produttività'!$J$2:$J$366,'Verifica produttività'!$C$2:$C$366,$I64,'Verifica produttività'!$D$2:$D$366,J$61)/SUMIFS('Verifica produttività'!$I$2:$I$366,'Verifica produttività'!$C$2:$C$366,$I64,'Verifica produttività'!$D$2:$D$366,J$61)))^(COUNTIFS('Verifica produttività'!$C$2:$C$366,$I64,'Verifica produttività'!$D$2:$D$366,J$61)/COUNTIF('Verifica produttività'!$C$2:$C$366,$I64)),""))))</f>
        <v/>
      </c>
      <c r="K64" s="33" t="str" cm="1">
        <f t="array" ref="K64">IF(K$61="","",IF($I64="","",(IFERROR((1-INDEX(_xlfn.ANCHORARRAY($C$20),K$61,$I64)*(1-SUMIFS('Verifica produttività'!$J$2:$J$366,'Verifica produttività'!$C$2:$C$366,$I64,'Verifica produttività'!$D$2:$D$366,K$61)/SUMIFS('Verifica produttività'!$I$2:$I$366,'Verifica produttività'!$C$2:$C$366,$I64,'Verifica produttività'!$D$2:$D$366,K$61)))^(COUNTIFS('Verifica produttività'!$C$2:$C$366,$I64,'Verifica produttività'!$D$2:$D$366,K$61)/COUNTIF('Verifica produttività'!$C$2:$C$366,$I64)),""))))</f>
        <v/>
      </c>
      <c r="L64" s="33" t="str" cm="1">
        <f t="array" ref="L64">IF(L$61="","",IF($I64="","",(IFERROR((1-INDEX(_xlfn.ANCHORARRAY($C$20),L$61,$I64)*(1-SUMIFS('Verifica produttività'!$J$2:$J$366,'Verifica produttività'!$C$2:$C$366,$I64,'Verifica produttività'!$D$2:$D$366,L$61)/SUMIFS('Verifica produttività'!$I$2:$I$366,'Verifica produttività'!$C$2:$C$366,$I64,'Verifica produttività'!$D$2:$D$366,L$61)))^(COUNTIFS('Verifica produttività'!$C$2:$C$366,$I64,'Verifica produttività'!$D$2:$D$366,L$61)/COUNTIF('Verifica produttività'!$C$2:$C$366,$I64)),""))))</f>
        <v/>
      </c>
      <c r="M64" s="33" t="str" cm="1">
        <f t="array" ref="M64">IF(M$61="","",IF($I64="","",(IFERROR((1-INDEX(_xlfn.ANCHORARRAY($C$20),M$61,$I64)*(1-SUMIFS('Verifica produttività'!$J$2:$J$366,'Verifica produttività'!$C$2:$C$366,$I64,'Verifica produttività'!$D$2:$D$366,M$61)/SUMIFS('Verifica produttività'!$I$2:$I$366,'Verifica produttività'!$C$2:$C$366,$I64,'Verifica produttività'!$D$2:$D$366,M$61)))^(COUNTIFS('Verifica produttività'!$C$2:$C$366,$I64,'Verifica produttività'!$D$2:$D$366,M$61)/COUNTIF('Verifica produttività'!$C$2:$C$366,$I64)),""))))</f>
        <v/>
      </c>
      <c r="N64" s="33" t="str">
        <f t="shared" si="2"/>
        <v/>
      </c>
    </row>
    <row r="65" spans="2:14">
      <c r="B65" s="17" t="s">
        <v>76</v>
      </c>
      <c r="C65" s="26" cm="1">
        <f t="array" ref="C65">IFERROR((SUMIF('Verifica produttività'!$C$2:$C$366,COLUMN(C65)-COLUMN($C65)+1,'Verifica produttività'!$M$2:$M$366))/(INDEX(IF(ROUND(0.75*_xlfn.ANCHORARRAY($C$11),0)+_xlfn.ANCHORARRAY($C$9)&gt;365,ROUND(0.75*_xlfn.ANCHORARRAY($C$11),0)+_xlfn.ANCHORARRAY($C$9)-365,ROUND(0.75*_xlfn.ANCHORARRAY($C$11),0)+_xlfn.ANCHORARRAY($C$9)+1),1,COLUMN(C65)-COLUMN($C65)+1)-INDEX(IF(ROUND(0.45*_xlfn.ANCHORARRAY($C$11),0)+_xlfn.ANCHORARRAY($C$9)&gt;365,ROUND(0.45*_xlfn.ANCHORARRAY($C$11),0)+_xlfn.ANCHORARRAY($C$9)-365,ROUND(0.45*_xlfn.ANCHORARRAY($C$11),0)+_xlfn.ANCHORARRAY($C$9)+1),1,COLUMN(C65)-COLUMN($C65)+1)),"")</f>
        <v>1</v>
      </c>
      <c r="D65" s="26" t="str" cm="1">
        <f t="array" ref="D65">IFERROR((SUMIF('Verifica produttività'!$C$2:$C$366,COLUMN(D65)-COLUMN($C65)+1,'Verifica produttività'!$M$2:$M$366))/(INDEX(IF(ROUND(0.75*_xlfn.ANCHORARRAY($C$11),0)+_xlfn.ANCHORARRAY($C$9)&gt;365,ROUND(0.75*_xlfn.ANCHORARRAY($C$11),0)+_xlfn.ANCHORARRAY($C$9)-365,ROUND(0.75*_xlfn.ANCHORARRAY($C$11),0)+_xlfn.ANCHORARRAY($C$9)+1),1,COLUMN(D65)-COLUMN($C65)+1)-INDEX(IF(ROUND(0.45*_xlfn.ANCHORARRAY($C$11),0)+_xlfn.ANCHORARRAY($C$9)&gt;365,ROUND(0.45*_xlfn.ANCHORARRAY($C$11),0)+_xlfn.ANCHORARRAY($C$9)-365,ROUND(0.45*_xlfn.ANCHORARRAY($C$11),0)+_xlfn.ANCHORARRAY($C$9)+1),1,COLUMN(D65)-COLUMN($C65)+1)),"")</f>
        <v/>
      </c>
      <c r="E65" s="26" t="str" cm="1">
        <f t="array" ref="E65">IFERROR((SUMIF('Verifica produttività'!$C$2:$C$366,COLUMN(E65)-COLUMN($C65)+1,'Verifica produttività'!$M$2:$M$366))/(INDEX(IF(ROUND(0.75*_xlfn.ANCHORARRAY($C$11),0)+_xlfn.ANCHORARRAY($C$9)&gt;365,ROUND(0.75*_xlfn.ANCHORARRAY($C$11),0)+_xlfn.ANCHORARRAY($C$9)-365,ROUND(0.75*_xlfn.ANCHORARRAY($C$11),0)+_xlfn.ANCHORARRAY($C$9)+1),1,COLUMN(E65)-COLUMN($C65)+1)-INDEX(IF(ROUND(0.45*_xlfn.ANCHORARRAY($C$11),0)+_xlfn.ANCHORARRAY($C$9)&gt;365,ROUND(0.45*_xlfn.ANCHORARRAY($C$11),0)+_xlfn.ANCHORARRAY($C$9)-365,ROUND(0.45*_xlfn.ANCHORARRAY($C$11),0)+_xlfn.ANCHORARRAY($C$9)+1),1,COLUMN(E65)-COLUMN($C65)+1)),"")</f>
        <v/>
      </c>
      <c r="F65" s="26" t="str" cm="1">
        <f t="array" ref="F65">IFERROR((SUMIF('Verifica produttività'!$C$2:$C$366,COLUMN(F65)-COLUMN($C65)+1,'Verifica produttività'!$M$2:$M$366))/(INDEX(IF(ROUND(0.75*_xlfn.ANCHORARRAY($C$11),0)+_xlfn.ANCHORARRAY($C$9)&gt;365,ROUND(0.75*_xlfn.ANCHORARRAY($C$11),0)+_xlfn.ANCHORARRAY($C$9)-365,ROUND(0.75*_xlfn.ANCHORARRAY($C$11),0)+_xlfn.ANCHORARRAY($C$9)+1),1,COLUMN(F65)-COLUMN($C65)+1)-INDEX(IF(ROUND(0.45*_xlfn.ANCHORARRAY($C$11),0)+_xlfn.ANCHORARRAY($C$9)&gt;365,ROUND(0.45*_xlfn.ANCHORARRAY($C$11),0)+_xlfn.ANCHORARRAY($C$9)-365,ROUND(0.45*_xlfn.ANCHORARRAY($C$11),0)+_xlfn.ANCHORARRAY($C$9)+1),1,COLUMN(F65)-COLUMN($C65)+1)),"")</f>
        <v/>
      </c>
      <c r="H65" s="48"/>
      <c r="I65" s="17"/>
      <c r="J65" s="33" t="str" cm="1">
        <f t="array" ref="J65">IF(J$61="","",IF($I65="","",(IFERROR((1-INDEX(_xlfn.ANCHORARRAY($C$20),J$61,$I65)*(1-SUMIFS('Verifica produttività'!$J$2:$J$366,'Verifica produttività'!$C$2:$C$366,$I65,'Verifica produttività'!$D$2:$D$366,J$61)/SUMIFS('Verifica produttività'!$I$2:$I$366,'Verifica produttività'!$C$2:$C$366,$I65,'Verifica produttività'!$D$2:$D$366,J$61)))^(COUNTIFS('Verifica produttività'!$C$2:$C$366,$I65,'Verifica produttività'!$D$2:$D$366,J$61)/COUNTIF('Verifica produttività'!$C$2:$C$366,$I65)),""))))</f>
        <v/>
      </c>
      <c r="K65" s="33" t="str" cm="1">
        <f t="array" ref="K65">IF(K$61="","",IF($I65="","",(IFERROR((1-INDEX(_xlfn.ANCHORARRAY($C$20),K$61,$I65)*(1-SUMIFS('Verifica produttività'!$J$2:$J$366,'Verifica produttività'!$C$2:$C$366,$I65,'Verifica produttività'!$D$2:$D$366,K$61)/SUMIFS('Verifica produttività'!$I$2:$I$366,'Verifica produttività'!$C$2:$C$366,$I65,'Verifica produttività'!$D$2:$D$366,K$61)))^(COUNTIFS('Verifica produttività'!$C$2:$C$366,$I65,'Verifica produttività'!$D$2:$D$366,K$61)/COUNTIF('Verifica produttività'!$C$2:$C$366,$I65)),""))))</f>
        <v/>
      </c>
      <c r="L65" s="33" t="str" cm="1">
        <f t="array" ref="L65">IF(L$61="","",IF($I65="","",(IFERROR((1-INDEX(_xlfn.ANCHORARRAY($C$20),L$61,$I65)*(1-SUMIFS('Verifica produttività'!$J$2:$J$366,'Verifica produttività'!$C$2:$C$366,$I65,'Verifica produttività'!$D$2:$D$366,L$61)/SUMIFS('Verifica produttività'!$I$2:$I$366,'Verifica produttività'!$C$2:$C$366,$I65,'Verifica produttività'!$D$2:$D$366,L$61)))^(COUNTIFS('Verifica produttività'!$C$2:$C$366,$I65,'Verifica produttività'!$D$2:$D$366,L$61)/COUNTIF('Verifica produttività'!$C$2:$C$366,$I65)),""))))</f>
        <v/>
      </c>
      <c r="M65" s="33" t="str" cm="1">
        <f t="array" ref="M65">IF(M$61="","",IF($I65="","",(IFERROR((1-INDEX(_xlfn.ANCHORARRAY($C$20),M$61,$I65)*(1-SUMIFS('Verifica produttività'!$J$2:$J$366,'Verifica produttività'!$C$2:$C$366,$I65,'Verifica produttività'!$D$2:$D$366,M$61)/SUMIFS('Verifica produttività'!$I$2:$I$366,'Verifica produttività'!$C$2:$C$366,$I65,'Verifica produttività'!$D$2:$D$366,M$61)))^(COUNTIFS('Verifica produttività'!$C$2:$C$366,$I65,'Verifica produttività'!$D$2:$D$366,M$61)/COUNTIF('Verifica produttività'!$C$2:$C$366,$I65)),""))))</f>
        <v/>
      </c>
      <c r="N65" s="33" t="str">
        <f t="shared" si="2"/>
        <v/>
      </c>
    </row>
    <row r="66" spans="2:14">
      <c r="B66" s="17" t="s">
        <v>55</v>
      </c>
      <c r="C66" s="26" cm="1">
        <f t="array" ref="C66">IFERROR(INDEX(_xlfn.ANCHORARRAY($C$24),1,COLUMN(C66)-COLUMN($C66)+1)*SUMIFS('Verifica produttività'!$K$2:$K$366,'Verifica produttività'!$C$2:$C$366,COLUMN(C66)-COLUMN($C66)+1),"")</f>
        <v>30.536021403168306</v>
      </c>
      <c r="D66" s="26" t="str" cm="1">
        <f t="array" ref="D66">IFERROR(INDEX(_xlfn.ANCHORARRAY($C$24),1,COLUMN(D66)-COLUMN($C66)+1)*SUMIFS('Verifica produttività'!$K$2:$K$366,'Verifica produttività'!$C$2:$C$366,COLUMN(D66)-COLUMN($C66)+1),"")</f>
        <v/>
      </c>
      <c r="E66" s="26" t="str" cm="1">
        <f t="array" ref="E66">IFERROR(INDEX(_xlfn.ANCHORARRAY($C$24),1,COLUMN(E66)-COLUMN($C66)+1)*SUMIFS('Verifica produttività'!$K$2:$K$366,'Verifica produttività'!$C$2:$C$366,COLUMN(E66)-COLUMN($C66)+1),"")</f>
        <v/>
      </c>
      <c r="F66" s="26" t="str" cm="1">
        <f t="array" ref="F66">IFERROR(INDEX(_xlfn.ANCHORARRAY($C$24),1,COLUMN(F66)-COLUMN($C66)+1)*SUMIFS('Verifica produttività'!$K$2:$K$366,'Verifica produttività'!$C$2:$C$366,COLUMN(F66)-COLUMN($C66)+1),"")</f>
        <v/>
      </c>
    </row>
    <row r="67" spans="2:14">
      <c r="B67" s="17" t="s">
        <v>57</v>
      </c>
      <c r="C67" s="26">
        <f>IFERROR(C25*C66,"")</f>
        <v>13.741209631425738</v>
      </c>
      <c r="D67" s="26" t="str">
        <f>IFERROR(D25*D66,"")</f>
        <v/>
      </c>
      <c r="E67" s="26" t="str">
        <f>IFERROR(E25*E66,"")</f>
        <v/>
      </c>
      <c r="F67" s="26" t="str">
        <f>IFERROR(F25*F66,"")</f>
        <v/>
      </c>
    </row>
    <row r="68" spans="2:14">
      <c r="B68" s="17" t="s">
        <v>79</v>
      </c>
      <c r="C68" s="26">
        <f>IFERROR(C67*MIN(C63,C64)*C65,"")</f>
        <v>13.741209631425738</v>
      </c>
      <c r="D68" s="26" t="str">
        <f t="shared" ref="D68:F68" si="3">IFERROR(D67*MIN(D63,D64)*D65,"")</f>
        <v/>
      </c>
      <c r="E68" s="26" t="str">
        <f t="shared" si="3"/>
        <v/>
      </c>
      <c r="F68" s="26" t="str">
        <f t="shared" si="3"/>
        <v/>
      </c>
    </row>
    <row r="74" spans="2:14">
      <c r="E74" s="12"/>
      <c r="F74" s="12"/>
    </row>
    <row r="75" spans="2:14">
      <c r="E75" s="12"/>
      <c r="F75" s="12"/>
    </row>
    <row r="78" spans="2:14">
      <c r="D78" s="12"/>
      <c r="E78" s="12"/>
      <c r="F78" s="12"/>
    </row>
    <row r="79" spans="2:14">
      <c r="D79" s="12"/>
      <c r="E79" s="12"/>
      <c r="F79" s="12"/>
    </row>
  </sheetData>
  <mergeCells count="4">
    <mergeCell ref="B2:C2"/>
    <mergeCell ref="H62:H65"/>
    <mergeCell ref="J60:M60"/>
    <mergeCell ref="H60:I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tabColor theme="6" tint="0.59996337778862885"/>
  </sheetPr>
  <dimension ref="A1:BU367"/>
  <sheetViews>
    <sheetView zoomScale="115" zoomScaleNormal="115" workbookViewId="0">
      <pane ySplit="1" topLeftCell="A2" activePane="bottomLeft" state="frozen"/>
      <selection pane="bottomLeft" activeCell="AD346" sqref="AD346"/>
    </sheetView>
  </sheetViews>
  <sheetFormatPr defaultRowHeight="15"/>
  <cols>
    <col min="1" max="1" width="11.5703125" bestFit="1" customWidth="1"/>
    <col min="2" max="2" width="9.7109375" bestFit="1" customWidth="1"/>
    <col min="3" max="4" width="10.7109375" bestFit="1" customWidth="1"/>
    <col min="5" max="5" width="12.7109375" bestFit="1" customWidth="1"/>
    <col min="6" max="6" width="5.7109375" bestFit="1" customWidth="1"/>
    <col min="7" max="7" width="8.7109375" bestFit="1" customWidth="1"/>
    <col min="8" max="8" width="12.7109375" bestFit="1" customWidth="1"/>
    <col min="9" max="9" width="9.140625" bestFit="1" customWidth="1"/>
    <col min="10" max="10" width="14.7109375" bestFit="1" customWidth="1"/>
    <col min="11" max="11" width="18.85546875" bestFit="1" customWidth="1"/>
    <col min="12" max="12" width="17.28515625" bestFit="1" customWidth="1"/>
    <col min="13" max="13" width="16.5703125" bestFit="1" customWidth="1"/>
    <col min="14" max="14" width="14.7109375" bestFit="1" customWidth="1"/>
    <col min="15" max="15" width="15.140625" bestFit="1" customWidth="1"/>
    <col min="16" max="16" width="12.7109375" bestFit="1" customWidth="1"/>
    <col min="17" max="17" width="13.7109375" bestFit="1" customWidth="1"/>
    <col min="18" max="18" width="15" bestFit="1" customWidth="1"/>
    <col min="19" max="20" width="15.7109375" bestFit="1" customWidth="1"/>
    <col min="21" max="21" width="11.7109375" bestFit="1" customWidth="1"/>
    <col min="22" max="22" width="12.85546875" bestFit="1" customWidth="1"/>
    <col min="23" max="23" width="8.85546875" bestFit="1" customWidth="1"/>
    <col min="24" max="24" width="15" bestFit="1" customWidth="1"/>
    <col min="25" max="25" width="14.5703125" bestFit="1" customWidth="1"/>
    <col min="26" max="26" width="12.7109375" bestFit="1" customWidth="1"/>
    <col min="27" max="27" width="14.28515625" bestFit="1" customWidth="1"/>
    <col min="28" max="28" width="30" bestFit="1" customWidth="1"/>
    <col min="29" max="30" width="14.7109375" bestFit="1" customWidth="1"/>
    <col min="31" max="31" width="11.7109375" bestFit="1" customWidth="1"/>
    <col min="32" max="32" width="14.140625" bestFit="1" customWidth="1"/>
    <col min="33" max="34" width="11.7109375" bestFit="1" customWidth="1"/>
    <col min="35" max="35" width="19" bestFit="1" customWidth="1"/>
    <col min="36" max="36" width="12.5703125" bestFit="1" customWidth="1"/>
    <col min="37" max="37" width="16.85546875" bestFit="1" customWidth="1"/>
    <col min="38" max="39" width="11.7109375" bestFit="1" customWidth="1"/>
    <col min="40" max="40" width="12" bestFit="1" customWidth="1"/>
    <col min="41" max="42" width="8.7109375" bestFit="1" customWidth="1"/>
    <col min="43" max="43" width="8" bestFit="1" customWidth="1"/>
    <col min="44" max="45" width="8.7109375" bestFit="1" customWidth="1"/>
    <col min="46" max="47" width="9.7109375" bestFit="1" customWidth="1"/>
    <col min="48" max="48" width="11.5703125" customWidth="1"/>
    <col min="73" max="73" width="11.42578125" bestFit="1" customWidth="1"/>
  </cols>
  <sheetData>
    <row r="1" spans="1:73">
      <c r="A1" t="s">
        <v>0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195</v>
      </c>
      <c r="L1" t="s">
        <v>196</v>
      </c>
      <c r="M1" t="s">
        <v>197</v>
      </c>
      <c r="N1" t="s">
        <v>198</v>
      </c>
      <c r="O1" t="s">
        <v>199</v>
      </c>
      <c r="P1" t="s">
        <v>200</v>
      </c>
      <c r="Q1" t="s">
        <v>201</v>
      </c>
      <c r="R1" t="s">
        <v>202</v>
      </c>
      <c r="S1" t="s">
        <v>203</v>
      </c>
      <c r="T1" t="s">
        <v>204</v>
      </c>
      <c r="U1" t="s">
        <v>205</v>
      </c>
      <c r="V1" t="s">
        <v>206</v>
      </c>
      <c r="W1" t="s">
        <v>207</v>
      </c>
      <c r="X1" t="s">
        <v>208</v>
      </c>
      <c r="Y1" t="s">
        <v>209</v>
      </c>
      <c r="Z1" t="s">
        <v>210</v>
      </c>
      <c r="AA1" t="s">
        <v>211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220</v>
      </c>
      <c r="AK1" t="s">
        <v>221</v>
      </c>
      <c r="AL1" t="s">
        <v>222</v>
      </c>
      <c r="AM1" t="s">
        <v>223</v>
      </c>
      <c r="AN1" t="s">
        <v>224</v>
      </c>
      <c r="AO1" t="s">
        <v>225</v>
      </c>
      <c r="AP1" t="s">
        <v>226</v>
      </c>
      <c r="AQ1" t="s">
        <v>227</v>
      </c>
      <c r="AR1" t="s">
        <v>228</v>
      </c>
      <c r="AS1" t="s">
        <v>229</v>
      </c>
      <c r="AT1" t="s">
        <v>230</v>
      </c>
      <c r="AU1" t="s">
        <v>231</v>
      </c>
      <c r="AV1" t="s">
        <v>232</v>
      </c>
    </row>
    <row r="2" spans="1:73">
      <c r="A2">
        <v>1</v>
      </c>
      <c r="B2" s="15">
        <v>16.783060930000001</v>
      </c>
      <c r="C2">
        <v>2.7460746949999999</v>
      </c>
      <c r="D2">
        <v>0.46124940599999997</v>
      </c>
      <c r="E2">
        <v>0.236094791</v>
      </c>
      <c r="F2">
        <v>0</v>
      </c>
      <c r="G2">
        <v>0</v>
      </c>
      <c r="H2">
        <v>0.69999999599999996</v>
      </c>
      <c r="I2">
        <v>0</v>
      </c>
      <c r="J2" s="15">
        <v>16.783060930000001</v>
      </c>
      <c r="K2" s="15">
        <v>16.783060930000001</v>
      </c>
      <c r="L2" s="15">
        <v>12.77820549</v>
      </c>
      <c r="M2">
        <v>0</v>
      </c>
      <c r="N2">
        <v>4.0048554469999997</v>
      </c>
      <c r="O2" s="15">
        <v>12.778205870000001</v>
      </c>
      <c r="P2">
        <v>0.28331375600000003</v>
      </c>
      <c r="Q2">
        <v>0.28331375600000003</v>
      </c>
      <c r="R2">
        <v>0</v>
      </c>
      <c r="S2">
        <v>0</v>
      </c>
      <c r="T2">
        <v>3.1797259210000002</v>
      </c>
      <c r="U2">
        <v>32.236066190000003</v>
      </c>
      <c r="V2">
        <v>0</v>
      </c>
      <c r="W2">
        <v>0</v>
      </c>
      <c r="X2">
        <v>0</v>
      </c>
      <c r="Y2">
        <v>0</v>
      </c>
      <c r="Z2">
        <v>1</v>
      </c>
      <c r="AA2">
        <v>0.9</v>
      </c>
      <c r="AB2">
        <v>99</v>
      </c>
      <c r="AC2">
        <v>0</v>
      </c>
      <c r="AD2">
        <v>0.21086889</v>
      </c>
      <c r="AE2">
        <v>180.26525699999999</v>
      </c>
      <c r="AF2">
        <v>177.29640000000001</v>
      </c>
      <c r="AG2">
        <v>130.2081843</v>
      </c>
      <c r="AH2">
        <v>95.612760210000005</v>
      </c>
      <c r="AI2">
        <v>100</v>
      </c>
      <c r="AJ2">
        <v>0</v>
      </c>
      <c r="AK2">
        <v>0</v>
      </c>
      <c r="AL2">
        <v>1</v>
      </c>
      <c r="AM2">
        <v>1</v>
      </c>
      <c r="AN2">
        <v>0</v>
      </c>
      <c r="AO2">
        <v>0</v>
      </c>
      <c r="AP2">
        <v>1</v>
      </c>
      <c r="AQ2">
        <v>0</v>
      </c>
      <c r="AR2">
        <v>58.795200000000001</v>
      </c>
      <c r="AS2">
        <v>81.197999999999993</v>
      </c>
      <c r="AT2">
        <v>177.29640000000001</v>
      </c>
      <c r="AU2">
        <v>389.86919999999998</v>
      </c>
      <c r="AV2">
        <v>0</v>
      </c>
    </row>
    <row r="3" spans="1:73">
      <c r="A3">
        <v>2</v>
      </c>
      <c r="B3" s="15">
        <v>20.88713147</v>
      </c>
      <c r="C3">
        <v>4.0688511009999999</v>
      </c>
      <c r="D3">
        <v>1.497320274</v>
      </c>
      <c r="E3">
        <v>0.25406542999999998</v>
      </c>
      <c r="F3">
        <v>0</v>
      </c>
      <c r="G3">
        <v>0</v>
      </c>
      <c r="H3">
        <v>0.68866744599999996</v>
      </c>
      <c r="I3">
        <v>0</v>
      </c>
      <c r="J3" s="15">
        <v>20.88713147</v>
      </c>
      <c r="K3" s="15">
        <v>20.88713147</v>
      </c>
      <c r="L3" s="15">
        <v>13.802791859999999</v>
      </c>
      <c r="M3">
        <v>0</v>
      </c>
      <c r="N3">
        <v>7.0843396060000003</v>
      </c>
      <c r="O3" s="15">
        <v>13.802792269999999</v>
      </c>
      <c r="P3">
        <v>0.30487852399999998</v>
      </c>
      <c r="Q3">
        <v>0.30487852399999998</v>
      </c>
      <c r="R3">
        <v>0</v>
      </c>
      <c r="S3">
        <v>0</v>
      </c>
      <c r="T3" s="15">
        <v>12.104180210000001</v>
      </c>
      <c r="U3">
        <v>33.629799730000002</v>
      </c>
      <c r="V3">
        <v>0</v>
      </c>
      <c r="W3">
        <v>0</v>
      </c>
      <c r="X3">
        <v>0</v>
      </c>
      <c r="Y3">
        <v>0</v>
      </c>
      <c r="Z3">
        <v>1</v>
      </c>
      <c r="AA3">
        <v>0.9</v>
      </c>
      <c r="AB3">
        <v>99</v>
      </c>
      <c r="AC3">
        <v>0</v>
      </c>
      <c r="AD3">
        <v>0.36486832499999999</v>
      </c>
      <c r="AE3">
        <v>192.00456890000001</v>
      </c>
      <c r="AF3">
        <v>180.26525699999999</v>
      </c>
      <c r="AG3">
        <v>130.9705122</v>
      </c>
      <c r="AH3">
        <v>96.157280180000001</v>
      </c>
      <c r="AI3">
        <v>100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1</v>
      </c>
      <c r="AQ3">
        <v>0</v>
      </c>
      <c r="AR3">
        <v>58.795200000000001</v>
      </c>
      <c r="AS3">
        <v>81.197999999999993</v>
      </c>
      <c r="AT3">
        <v>177.29640000000001</v>
      </c>
      <c r="AU3">
        <v>389.86919999999998</v>
      </c>
      <c r="AV3">
        <v>0</v>
      </c>
    </row>
    <row r="4" spans="1:73">
      <c r="A4">
        <v>3</v>
      </c>
      <c r="B4">
        <v>4.5169534960000002</v>
      </c>
      <c r="C4">
        <v>8.1612494059999996</v>
      </c>
      <c r="D4">
        <v>2.0300588390000001</v>
      </c>
      <c r="E4">
        <v>0.21547654199999999</v>
      </c>
      <c r="F4">
        <v>0</v>
      </c>
      <c r="G4">
        <v>0</v>
      </c>
      <c r="H4">
        <v>0.68780485499999999</v>
      </c>
      <c r="I4">
        <v>0</v>
      </c>
      <c r="J4">
        <v>4.5169534960000002</v>
      </c>
      <c r="K4">
        <v>4.5169534960000002</v>
      </c>
      <c r="L4">
        <v>4.5142544300000003</v>
      </c>
      <c r="M4">
        <v>0</v>
      </c>
      <c r="N4" s="15">
        <v>2.7000000000000001E-3</v>
      </c>
      <c r="O4">
        <v>4.5142545649999999</v>
      </c>
      <c r="P4">
        <v>0.25857185700000002</v>
      </c>
      <c r="Q4">
        <v>0.25857185700000002</v>
      </c>
      <c r="R4">
        <v>0</v>
      </c>
      <c r="S4">
        <v>0</v>
      </c>
      <c r="T4" s="15">
        <v>7.1943807499999997</v>
      </c>
      <c r="U4">
        <v>30.69110169</v>
      </c>
      <c r="V4">
        <v>0</v>
      </c>
      <c r="W4">
        <v>0</v>
      </c>
      <c r="X4">
        <v>0</v>
      </c>
      <c r="Y4">
        <v>0</v>
      </c>
      <c r="Z4">
        <v>1</v>
      </c>
      <c r="AA4">
        <v>0.9</v>
      </c>
      <c r="AB4">
        <v>99</v>
      </c>
      <c r="AC4">
        <v>0</v>
      </c>
      <c r="AD4">
        <v>0.67606668000000003</v>
      </c>
      <c r="AE4">
        <v>198.52288300000001</v>
      </c>
      <c r="AF4">
        <v>192.00456890000001</v>
      </c>
      <c r="AG4">
        <v>131.02853780000001</v>
      </c>
      <c r="AH4">
        <v>96.198726969999996</v>
      </c>
      <c r="AI4">
        <v>100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1</v>
      </c>
      <c r="AQ4">
        <v>0</v>
      </c>
      <c r="AR4">
        <v>58.795200000000001</v>
      </c>
      <c r="AS4">
        <v>81.197999999999993</v>
      </c>
      <c r="AT4">
        <v>177.29640000000001</v>
      </c>
      <c r="AU4">
        <v>389.86919999999998</v>
      </c>
      <c r="AV4">
        <v>0</v>
      </c>
    </row>
    <row r="5" spans="1:73">
      <c r="A5">
        <v>4</v>
      </c>
      <c r="B5">
        <v>6.3450449080000002</v>
      </c>
      <c r="C5">
        <v>6.7460746949999999</v>
      </c>
      <c r="D5">
        <v>4.3895113319999997</v>
      </c>
      <c r="E5">
        <v>0.233862185</v>
      </c>
      <c r="F5">
        <v>0</v>
      </c>
      <c r="G5">
        <v>0</v>
      </c>
      <c r="H5">
        <v>0.68965712099999998</v>
      </c>
      <c r="I5">
        <v>0</v>
      </c>
      <c r="J5">
        <v>6.3450449080000002</v>
      </c>
      <c r="K5">
        <v>6.3450449080000002</v>
      </c>
      <c r="L5">
        <v>6.1806438269999999</v>
      </c>
      <c r="M5">
        <v>0</v>
      </c>
      <c r="N5">
        <v>0.164401081</v>
      </c>
      <c r="O5">
        <v>6.180644011</v>
      </c>
      <c r="P5">
        <v>0.28063463</v>
      </c>
      <c r="Q5">
        <v>0.28063463</v>
      </c>
      <c r="R5">
        <v>0</v>
      </c>
      <c r="S5">
        <v>0</v>
      </c>
      <c r="T5" s="15">
        <v>5.5225036650000003</v>
      </c>
      <c r="U5">
        <v>31.068607409999998</v>
      </c>
      <c r="V5">
        <v>0</v>
      </c>
      <c r="W5">
        <v>0</v>
      </c>
      <c r="X5">
        <v>0</v>
      </c>
      <c r="Y5">
        <v>0</v>
      </c>
      <c r="Z5">
        <v>1</v>
      </c>
      <c r="AA5">
        <v>0.9</v>
      </c>
      <c r="AB5">
        <v>99</v>
      </c>
      <c r="AC5">
        <v>0</v>
      </c>
      <c r="AD5">
        <v>0.90791603600000004</v>
      </c>
      <c r="AE5">
        <v>203.1374706</v>
      </c>
      <c r="AF5">
        <v>198.52288300000001</v>
      </c>
      <c r="AG5">
        <v>130.90393789999999</v>
      </c>
      <c r="AH5">
        <v>96.109727039999996</v>
      </c>
      <c r="AI5">
        <v>100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1</v>
      </c>
      <c r="AQ5">
        <v>0</v>
      </c>
      <c r="AR5">
        <v>58.795200000000001</v>
      </c>
      <c r="AS5">
        <v>81.197999999999993</v>
      </c>
      <c r="AT5">
        <v>177.29640000000001</v>
      </c>
      <c r="AU5">
        <v>389.86919999999998</v>
      </c>
      <c r="AV5">
        <v>0</v>
      </c>
    </row>
    <row r="6" spans="1:73">
      <c r="A6">
        <v>5</v>
      </c>
      <c r="B6">
        <v>8.610897692</v>
      </c>
      <c r="C6">
        <v>6.9</v>
      </c>
      <c r="D6" s="15">
        <v>2.9820194940000002</v>
      </c>
      <c r="E6">
        <v>0.33052825899999999</v>
      </c>
      <c r="F6">
        <v>0</v>
      </c>
      <c r="G6">
        <v>0</v>
      </c>
      <c r="H6">
        <v>0.68877461100000004</v>
      </c>
      <c r="I6">
        <v>0</v>
      </c>
      <c r="J6">
        <v>8.610897692</v>
      </c>
      <c r="K6">
        <v>8.610897692</v>
      </c>
      <c r="L6">
        <v>7.9041035959999997</v>
      </c>
      <c r="M6">
        <v>0</v>
      </c>
      <c r="N6">
        <v>0.70679409599999998</v>
      </c>
      <c r="O6">
        <v>7.9041038309999996</v>
      </c>
      <c r="P6">
        <v>0.396633921</v>
      </c>
      <c r="Q6">
        <v>0.396633921</v>
      </c>
      <c r="R6">
        <v>0</v>
      </c>
      <c r="S6">
        <v>0</v>
      </c>
      <c r="T6" s="15">
        <v>6.7961810930000004</v>
      </c>
      <c r="U6">
        <v>31.779896229999999</v>
      </c>
      <c r="V6">
        <v>0</v>
      </c>
      <c r="W6">
        <v>0</v>
      </c>
      <c r="X6">
        <v>0</v>
      </c>
      <c r="Y6">
        <v>0</v>
      </c>
      <c r="Z6">
        <v>1</v>
      </c>
      <c r="AA6">
        <v>0.9</v>
      </c>
      <c r="AB6">
        <v>99</v>
      </c>
      <c r="AC6">
        <v>0</v>
      </c>
      <c r="AD6">
        <v>1.2173893490000001</v>
      </c>
      <c r="AE6">
        <v>208.71626240000001</v>
      </c>
      <c r="AF6">
        <v>203.1374706</v>
      </c>
      <c r="AG6">
        <v>130.9633034</v>
      </c>
      <c r="AH6">
        <v>96.152130979999995</v>
      </c>
      <c r="AI6">
        <v>100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1</v>
      </c>
      <c r="AQ6">
        <v>0</v>
      </c>
      <c r="AR6">
        <v>58.795200000000001</v>
      </c>
      <c r="AS6">
        <v>81.197999999999993</v>
      </c>
      <c r="AT6">
        <v>177.29640000000001</v>
      </c>
      <c r="AU6">
        <v>389.86919999999998</v>
      </c>
      <c r="AV6">
        <v>0</v>
      </c>
    </row>
    <row r="7" spans="1:73">
      <c r="A7">
        <v>6</v>
      </c>
      <c r="B7">
        <v>0.76821910699999996</v>
      </c>
      <c r="C7">
        <v>5.802679726</v>
      </c>
      <c r="D7">
        <v>2.4179805060000001</v>
      </c>
      <c r="E7">
        <v>0.27605688299999998</v>
      </c>
      <c r="F7">
        <v>0</v>
      </c>
      <c r="G7">
        <v>0</v>
      </c>
      <c r="H7">
        <v>0.68413463900000004</v>
      </c>
      <c r="I7">
        <v>0</v>
      </c>
      <c r="J7">
        <v>0.76821910699999996</v>
      </c>
      <c r="K7">
        <v>0.76821910699999996</v>
      </c>
      <c r="L7">
        <v>0.76821910699999996</v>
      </c>
      <c r="M7">
        <v>0</v>
      </c>
      <c r="N7">
        <v>0</v>
      </c>
      <c r="O7">
        <v>0.76821912999999997</v>
      </c>
      <c r="P7">
        <v>0.331268269</v>
      </c>
      <c r="Q7">
        <v>0.331268269</v>
      </c>
      <c r="R7">
        <v>0</v>
      </c>
      <c r="S7">
        <v>0</v>
      </c>
      <c r="T7" s="15">
        <v>3.8009933330000001</v>
      </c>
      <c r="U7">
        <v>28.415853760000001</v>
      </c>
      <c r="V7">
        <v>0</v>
      </c>
      <c r="W7">
        <v>0</v>
      </c>
      <c r="X7">
        <v>0</v>
      </c>
      <c r="Y7">
        <v>0</v>
      </c>
      <c r="Z7">
        <v>1</v>
      </c>
      <c r="AA7">
        <v>0.9</v>
      </c>
      <c r="AB7">
        <v>99</v>
      </c>
      <c r="AC7">
        <v>0</v>
      </c>
      <c r="AD7">
        <v>1.549675688</v>
      </c>
      <c r="AE7">
        <v>210.96758</v>
      </c>
      <c r="AF7">
        <v>208.71626240000001</v>
      </c>
      <c r="AG7">
        <v>131.2754291</v>
      </c>
      <c r="AH7">
        <v>96.375077899999994</v>
      </c>
      <c r="AI7">
        <v>100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1</v>
      </c>
      <c r="AQ7">
        <v>0</v>
      </c>
      <c r="AR7">
        <v>58.795200000000001</v>
      </c>
      <c r="AS7">
        <v>81.197999999999993</v>
      </c>
      <c r="AT7">
        <v>177.29640000000001</v>
      </c>
      <c r="AU7">
        <v>389.86919999999998</v>
      </c>
      <c r="AV7">
        <v>0</v>
      </c>
    </row>
    <row r="8" spans="1:73">
      <c r="A8">
        <v>7</v>
      </c>
      <c r="B8">
        <v>0</v>
      </c>
      <c r="C8">
        <v>7.5311488989999997</v>
      </c>
      <c r="D8">
        <v>1.8820194939999999</v>
      </c>
      <c r="E8">
        <v>0.34334282900000002</v>
      </c>
      <c r="F8">
        <v>0</v>
      </c>
      <c r="G8">
        <v>0</v>
      </c>
      <c r="H8">
        <v>0.686749265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0.412011405</v>
      </c>
      <c r="Q8">
        <v>0.412011405</v>
      </c>
      <c r="R8">
        <v>0</v>
      </c>
      <c r="S8">
        <v>0</v>
      </c>
      <c r="T8" s="15">
        <v>1.4983005899999999</v>
      </c>
      <c r="U8">
        <v>26.50554176</v>
      </c>
      <c r="V8">
        <v>0</v>
      </c>
      <c r="W8">
        <v>0</v>
      </c>
      <c r="X8">
        <v>0</v>
      </c>
      <c r="Y8">
        <v>0</v>
      </c>
      <c r="Z8">
        <v>1</v>
      </c>
      <c r="AA8">
        <v>0.9</v>
      </c>
      <c r="AB8">
        <v>99</v>
      </c>
      <c r="AC8">
        <v>0</v>
      </c>
      <c r="AD8">
        <v>1.6163220920000001</v>
      </c>
      <c r="AE8">
        <v>210.8495585</v>
      </c>
      <c r="AF8">
        <v>210.96758</v>
      </c>
      <c r="AG8">
        <v>131.0995461</v>
      </c>
      <c r="AH8">
        <v>96.24944721</v>
      </c>
      <c r="AI8">
        <v>100</v>
      </c>
      <c r="AJ8">
        <v>0</v>
      </c>
      <c r="AK8">
        <v>0</v>
      </c>
      <c r="AL8">
        <v>1</v>
      </c>
      <c r="AM8">
        <v>1</v>
      </c>
      <c r="AN8">
        <v>0</v>
      </c>
      <c r="AO8">
        <v>0</v>
      </c>
      <c r="AP8">
        <v>1</v>
      </c>
      <c r="AQ8">
        <v>0</v>
      </c>
      <c r="AR8">
        <v>58.795200000000001</v>
      </c>
      <c r="AS8">
        <v>81.197999999999993</v>
      </c>
      <c r="AT8">
        <v>177.29640000000001</v>
      </c>
      <c r="AU8">
        <v>389.86919999999998</v>
      </c>
      <c r="AV8">
        <v>0</v>
      </c>
    </row>
    <row r="9" spans="1:73">
      <c r="A9">
        <v>8</v>
      </c>
      <c r="B9">
        <v>1.8182940620000001</v>
      </c>
      <c r="C9">
        <v>6.992675899</v>
      </c>
      <c r="D9">
        <v>-2.7566050309999999</v>
      </c>
      <c r="E9">
        <v>0.15304997300000001</v>
      </c>
      <c r="F9">
        <v>0</v>
      </c>
      <c r="G9">
        <v>0</v>
      </c>
      <c r="H9">
        <v>0.68351954000000004</v>
      </c>
      <c r="I9">
        <v>0</v>
      </c>
      <c r="J9">
        <v>1.8182940620000001</v>
      </c>
      <c r="K9">
        <v>1.8182940620000001</v>
      </c>
      <c r="L9">
        <v>1.8182940620000001</v>
      </c>
      <c r="M9">
        <v>0</v>
      </c>
      <c r="N9">
        <v>0</v>
      </c>
      <c r="O9">
        <v>1.818294117</v>
      </c>
      <c r="P9">
        <v>0.183659972</v>
      </c>
      <c r="Q9">
        <v>0.183659972</v>
      </c>
      <c r="R9">
        <v>0</v>
      </c>
      <c r="S9">
        <v>0</v>
      </c>
      <c r="T9" s="15">
        <v>1.1476926380000001</v>
      </c>
      <c r="U9">
        <v>26.992483270000001</v>
      </c>
      <c r="V9">
        <v>0</v>
      </c>
      <c r="W9">
        <v>0</v>
      </c>
      <c r="X9">
        <v>0</v>
      </c>
      <c r="Y9">
        <v>0</v>
      </c>
      <c r="Z9">
        <v>1</v>
      </c>
      <c r="AA9">
        <v>0.9</v>
      </c>
      <c r="AB9">
        <v>99</v>
      </c>
      <c r="AC9">
        <v>0</v>
      </c>
      <c r="AD9">
        <v>1.5817010819999999</v>
      </c>
      <c r="AE9">
        <v>210.41555009999999</v>
      </c>
      <c r="AF9">
        <v>210.8495585</v>
      </c>
      <c r="AG9">
        <v>131.31680610000001</v>
      </c>
      <c r="AH9">
        <v>96.404632930000005</v>
      </c>
      <c r="AI9">
        <v>100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1</v>
      </c>
      <c r="AQ9">
        <v>0</v>
      </c>
      <c r="AR9">
        <v>58.795200000000001</v>
      </c>
      <c r="AS9">
        <v>81.197999999999993</v>
      </c>
      <c r="AT9">
        <v>177.29640000000001</v>
      </c>
      <c r="AU9">
        <v>389.86919999999998</v>
      </c>
      <c r="AV9">
        <v>0</v>
      </c>
    </row>
    <row r="10" spans="1:73">
      <c r="A10">
        <v>9</v>
      </c>
      <c r="B10" s="15">
        <v>0</v>
      </c>
      <c r="C10">
        <v>5.1073241009999997</v>
      </c>
      <c r="D10">
        <v>-2.374543869</v>
      </c>
      <c r="E10">
        <v>0.32686016400000001</v>
      </c>
      <c r="F10">
        <v>0</v>
      </c>
      <c r="G10">
        <v>0</v>
      </c>
      <c r="H10">
        <v>0.69265359699999995</v>
      </c>
      <c r="I10">
        <v>0</v>
      </c>
      <c r="J10" s="15">
        <v>0</v>
      </c>
      <c r="K10" s="15">
        <v>0</v>
      </c>
      <c r="L10" s="15">
        <v>0</v>
      </c>
      <c r="M10">
        <v>0</v>
      </c>
      <c r="N10">
        <v>0</v>
      </c>
      <c r="O10" s="15">
        <v>0</v>
      </c>
      <c r="P10">
        <v>0.392232207</v>
      </c>
      <c r="Q10">
        <v>0.392232207</v>
      </c>
      <c r="R10">
        <v>0</v>
      </c>
      <c r="S10">
        <v>0</v>
      </c>
      <c r="T10" s="15">
        <v>0.94780998900000002</v>
      </c>
      <c r="U10">
        <v>25.652441069999998</v>
      </c>
      <c r="V10">
        <v>0</v>
      </c>
      <c r="W10">
        <v>0</v>
      </c>
      <c r="X10">
        <v>0</v>
      </c>
      <c r="Y10">
        <v>0</v>
      </c>
      <c r="Z10">
        <v>1</v>
      </c>
      <c r="AA10">
        <v>0.9</v>
      </c>
      <c r="AB10">
        <v>99</v>
      </c>
      <c r="AC10">
        <v>0</v>
      </c>
      <c r="AD10">
        <v>1.5431978909999999</v>
      </c>
      <c r="AE10">
        <v>209.8201622</v>
      </c>
      <c r="AF10">
        <v>210.41555009999999</v>
      </c>
      <c r="AG10">
        <v>130.70236829999999</v>
      </c>
      <c r="AH10">
        <v>95.9657488</v>
      </c>
      <c r="AI10">
        <v>100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1</v>
      </c>
      <c r="AQ10">
        <v>0</v>
      </c>
      <c r="AR10">
        <v>58.795200000000001</v>
      </c>
      <c r="AS10">
        <v>81.197999999999993</v>
      </c>
      <c r="AT10">
        <v>177.29640000000001</v>
      </c>
      <c r="AU10">
        <v>389.86919999999998</v>
      </c>
      <c r="AV10">
        <v>0</v>
      </c>
    </row>
    <row r="11" spans="1:73">
      <c r="A11">
        <v>10</v>
      </c>
      <c r="B11">
        <v>0</v>
      </c>
      <c r="C11">
        <v>4.7926758989999998</v>
      </c>
      <c r="D11">
        <v>-3.3640552010000002</v>
      </c>
      <c r="E11">
        <v>0.38540601000000002</v>
      </c>
      <c r="F11">
        <v>0</v>
      </c>
      <c r="G11">
        <v>0</v>
      </c>
      <c r="H11">
        <v>0.68431070800000005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0.462487223</v>
      </c>
      <c r="Q11">
        <v>0.462487223</v>
      </c>
      <c r="R11">
        <v>0</v>
      </c>
      <c r="S11">
        <v>0</v>
      </c>
      <c r="T11" s="15">
        <v>0.57089934899999994</v>
      </c>
      <c r="U11">
        <v>24.619054500000001</v>
      </c>
      <c r="V11">
        <v>0</v>
      </c>
      <c r="W11">
        <v>0</v>
      </c>
      <c r="X11">
        <v>0</v>
      </c>
      <c r="Y11">
        <v>0</v>
      </c>
      <c r="Z11">
        <v>1</v>
      </c>
      <c r="AA11">
        <v>0.9</v>
      </c>
      <c r="AB11">
        <v>99</v>
      </c>
      <c r="AC11">
        <v>0</v>
      </c>
      <c r="AD11">
        <v>1.47863455</v>
      </c>
      <c r="AE11">
        <v>208.91242700000001</v>
      </c>
      <c r="AF11">
        <v>209.8201622</v>
      </c>
      <c r="AG11">
        <v>131.2635851</v>
      </c>
      <c r="AH11">
        <v>96.366617950000006</v>
      </c>
      <c r="AI11">
        <v>100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58.795200000000001</v>
      </c>
      <c r="AS11">
        <v>81.197999999999993</v>
      </c>
      <c r="AT11">
        <v>177.29640000000001</v>
      </c>
      <c r="AU11">
        <v>389.86919999999998</v>
      </c>
      <c r="AV11">
        <v>0</v>
      </c>
    </row>
    <row r="12" spans="1:73">
      <c r="A12">
        <v>11</v>
      </c>
      <c r="B12" s="15">
        <v>0</v>
      </c>
      <c r="C12">
        <v>5.4</v>
      </c>
      <c r="D12">
        <v>-5.3847154320000001</v>
      </c>
      <c r="E12">
        <v>0.21565158000000001</v>
      </c>
      <c r="F12">
        <v>0</v>
      </c>
      <c r="G12">
        <v>0</v>
      </c>
      <c r="H12">
        <v>0.68150050699999998</v>
      </c>
      <c r="I12">
        <v>0</v>
      </c>
      <c r="J12" s="15">
        <v>0</v>
      </c>
      <c r="K12" s="15">
        <v>0</v>
      </c>
      <c r="L12" s="15">
        <v>0</v>
      </c>
      <c r="M12">
        <v>0</v>
      </c>
      <c r="N12">
        <v>0</v>
      </c>
      <c r="O12" s="15">
        <v>0</v>
      </c>
      <c r="P12">
        <v>0.25878190200000001</v>
      </c>
      <c r="Q12">
        <v>0.25878190200000001</v>
      </c>
      <c r="R12">
        <v>0</v>
      </c>
      <c r="S12">
        <v>0</v>
      </c>
      <c r="T12" s="15">
        <v>0.38888244</v>
      </c>
      <c r="U12">
        <v>23.971390159999999</v>
      </c>
      <c r="V12">
        <v>0</v>
      </c>
      <c r="W12">
        <v>0</v>
      </c>
      <c r="X12">
        <v>0</v>
      </c>
      <c r="Y12">
        <v>0</v>
      </c>
      <c r="Z12">
        <v>1</v>
      </c>
      <c r="AA12">
        <v>0.9</v>
      </c>
      <c r="AB12">
        <v>99</v>
      </c>
      <c r="AC12">
        <v>0</v>
      </c>
      <c r="AD12">
        <v>1.4007359850000001</v>
      </c>
      <c r="AE12">
        <v>207.90057340000001</v>
      </c>
      <c r="AF12">
        <v>208.91242700000001</v>
      </c>
      <c r="AG12">
        <v>131.4526242</v>
      </c>
      <c r="AH12">
        <v>96.501645839999995</v>
      </c>
      <c r="AI12">
        <v>100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58.795200000000001</v>
      </c>
      <c r="AS12">
        <v>81.197999999999993</v>
      </c>
      <c r="AT12">
        <v>177.29640000000001</v>
      </c>
      <c r="AU12">
        <v>389.86919999999998</v>
      </c>
      <c r="AV12">
        <v>0</v>
      </c>
    </row>
    <row r="13" spans="1:73">
      <c r="A13">
        <v>12</v>
      </c>
      <c r="B13">
        <v>0</v>
      </c>
      <c r="C13">
        <v>5.4</v>
      </c>
      <c r="D13">
        <v>-5.1206602319999996</v>
      </c>
      <c r="E13">
        <v>0.31862093699999999</v>
      </c>
      <c r="F13">
        <v>0</v>
      </c>
      <c r="G13">
        <v>0</v>
      </c>
      <c r="H13">
        <v>0.68964871999999999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0.38234513399999998</v>
      </c>
      <c r="Q13">
        <v>0.38234513399999998</v>
      </c>
      <c r="R13">
        <v>0</v>
      </c>
      <c r="S13">
        <v>0</v>
      </c>
      <c r="T13" s="15">
        <v>0.28550772800000002</v>
      </c>
      <c r="U13">
        <v>23.303537290000001</v>
      </c>
      <c r="V13">
        <v>0</v>
      </c>
      <c r="W13">
        <v>0</v>
      </c>
      <c r="X13">
        <v>0</v>
      </c>
      <c r="Y13">
        <v>0</v>
      </c>
      <c r="Z13">
        <v>1</v>
      </c>
      <c r="AA13">
        <v>0.9</v>
      </c>
      <c r="AB13">
        <v>99</v>
      </c>
      <c r="AC13">
        <v>0</v>
      </c>
      <c r="AD13">
        <v>1.322582878</v>
      </c>
      <c r="AE13">
        <v>206.8634983</v>
      </c>
      <c r="AF13">
        <v>207.90057340000001</v>
      </c>
      <c r="AG13">
        <v>130.90450300000001</v>
      </c>
      <c r="AH13">
        <v>96.110130740000002</v>
      </c>
      <c r="AI13">
        <v>100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58.795200000000001</v>
      </c>
      <c r="AS13">
        <v>81.197999999999993</v>
      </c>
      <c r="AT13">
        <v>177.29640000000001</v>
      </c>
      <c r="AU13">
        <v>389.86919999999998</v>
      </c>
      <c r="AV13">
        <v>0</v>
      </c>
      <c r="BU13" s="37"/>
    </row>
    <row r="14" spans="1:73">
      <c r="A14">
        <v>13</v>
      </c>
      <c r="B14" s="15">
        <v>0</v>
      </c>
      <c r="C14">
        <v>12.28666387</v>
      </c>
      <c r="D14">
        <v>-2.831148899</v>
      </c>
      <c r="E14">
        <v>0.59177572499999997</v>
      </c>
      <c r="F14">
        <v>0</v>
      </c>
      <c r="G14">
        <v>0</v>
      </c>
      <c r="H14">
        <v>0.68470619099999996</v>
      </c>
      <c r="I14">
        <v>0</v>
      </c>
      <c r="J14" s="15">
        <v>0</v>
      </c>
      <c r="K14" s="15">
        <v>0</v>
      </c>
      <c r="L14" s="15">
        <v>0</v>
      </c>
      <c r="M14">
        <v>0</v>
      </c>
      <c r="N14">
        <v>0</v>
      </c>
      <c r="O14" s="15">
        <v>0</v>
      </c>
      <c r="P14">
        <v>0.71013088899999999</v>
      </c>
      <c r="Q14">
        <v>0.71013088899999999</v>
      </c>
      <c r="R14">
        <v>0</v>
      </c>
      <c r="S14">
        <v>0</v>
      </c>
      <c r="T14" s="15">
        <v>0.19552836300000001</v>
      </c>
      <c r="U14">
        <v>22.397878039999998</v>
      </c>
      <c r="V14">
        <v>0</v>
      </c>
      <c r="W14">
        <v>0</v>
      </c>
      <c r="X14">
        <v>0</v>
      </c>
      <c r="Y14">
        <v>0</v>
      </c>
      <c r="Z14">
        <v>1</v>
      </c>
      <c r="AA14">
        <v>0.9</v>
      </c>
      <c r="AB14">
        <v>99</v>
      </c>
      <c r="AC14">
        <v>0</v>
      </c>
      <c r="AD14">
        <v>1.2470497</v>
      </c>
      <c r="AE14">
        <v>205.81197689999999</v>
      </c>
      <c r="AF14">
        <v>206.8634983</v>
      </c>
      <c r="AG14">
        <v>131.23698139999999</v>
      </c>
      <c r="AH14">
        <v>96.347615309999995</v>
      </c>
      <c r="AI14">
        <v>100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1</v>
      </c>
      <c r="AQ14">
        <v>0</v>
      </c>
      <c r="AR14">
        <v>58.795200000000001</v>
      </c>
      <c r="AS14">
        <v>81.197999999999993</v>
      </c>
      <c r="AT14">
        <v>177.29640000000001</v>
      </c>
      <c r="AU14">
        <v>389.86919999999998</v>
      </c>
      <c r="AV14">
        <v>0</v>
      </c>
    </row>
    <row r="15" spans="1:73">
      <c r="A15">
        <v>14</v>
      </c>
      <c r="B15" s="15">
        <v>0</v>
      </c>
      <c r="C15">
        <v>8.7633239120000006</v>
      </c>
      <c r="D15">
        <v>-3.11333613</v>
      </c>
      <c r="E15">
        <v>0.50498093200000005</v>
      </c>
      <c r="F15">
        <v>0</v>
      </c>
      <c r="G15">
        <v>0</v>
      </c>
      <c r="H15">
        <v>0.67159476100000004</v>
      </c>
      <c r="I15">
        <v>0</v>
      </c>
      <c r="J15" s="15">
        <v>0</v>
      </c>
      <c r="K15" s="15">
        <v>0</v>
      </c>
      <c r="L15" s="15">
        <v>0</v>
      </c>
      <c r="M15">
        <v>0</v>
      </c>
      <c r="N15">
        <v>0</v>
      </c>
      <c r="O15" s="15">
        <v>0</v>
      </c>
      <c r="P15">
        <v>0.60597713499999994</v>
      </c>
      <c r="Q15">
        <v>0.60597713499999994</v>
      </c>
      <c r="R15">
        <v>0</v>
      </c>
      <c r="S15">
        <v>0</v>
      </c>
      <c r="T15" s="15">
        <v>0.12825503399999999</v>
      </c>
      <c r="U15">
        <v>21.66364587</v>
      </c>
      <c r="V15">
        <v>0</v>
      </c>
      <c r="W15">
        <v>0</v>
      </c>
      <c r="X15">
        <v>0</v>
      </c>
      <c r="Y15">
        <v>0</v>
      </c>
      <c r="Z15">
        <v>1</v>
      </c>
      <c r="AA15">
        <v>0.9</v>
      </c>
      <c r="AB15">
        <v>99</v>
      </c>
      <c r="AC15">
        <v>0</v>
      </c>
      <c r="AD15">
        <v>1.1746966089999999</v>
      </c>
      <c r="AE15">
        <v>204.76553530000001</v>
      </c>
      <c r="AF15">
        <v>205.81197689999999</v>
      </c>
      <c r="AG15">
        <v>132.11897260000001</v>
      </c>
      <c r="AH15">
        <v>96.977609029999996</v>
      </c>
      <c r="AI15">
        <v>100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58.795200000000001</v>
      </c>
      <c r="AS15">
        <v>81.197999999999993</v>
      </c>
      <c r="AT15">
        <v>177.29640000000001</v>
      </c>
      <c r="AU15">
        <v>389.86919999999998</v>
      </c>
      <c r="AV15">
        <v>0</v>
      </c>
    </row>
    <row r="16" spans="1:73">
      <c r="A16">
        <v>15</v>
      </c>
      <c r="B16" s="15">
        <v>1.9599999999999999E-2</v>
      </c>
      <c r="C16">
        <v>6.7460746949999999</v>
      </c>
      <c r="D16">
        <v>-2.1026797259999999</v>
      </c>
      <c r="E16">
        <v>0.527062484</v>
      </c>
      <c r="F16">
        <v>0</v>
      </c>
      <c r="G16">
        <v>0</v>
      </c>
      <c r="H16">
        <v>0.67576091100000002</v>
      </c>
      <c r="I16">
        <v>0</v>
      </c>
      <c r="J16" s="15">
        <v>1.9599999999999999E-2</v>
      </c>
      <c r="K16" s="15">
        <v>1.9599999999999999E-2</v>
      </c>
      <c r="L16" s="15">
        <v>1.9599999999999999E-2</v>
      </c>
      <c r="M16">
        <v>0</v>
      </c>
      <c r="N16">
        <v>0</v>
      </c>
      <c r="O16" s="15">
        <v>1.9599999999999999E-2</v>
      </c>
      <c r="P16">
        <v>0.63247499699999998</v>
      </c>
      <c r="Q16">
        <v>0.63247499699999998</v>
      </c>
      <c r="R16">
        <v>0</v>
      </c>
      <c r="S16">
        <v>0</v>
      </c>
      <c r="T16" s="15">
        <v>8.7300000000000003E-2</v>
      </c>
      <c r="U16">
        <v>20.96343968</v>
      </c>
      <c r="V16">
        <v>0</v>
      </c>
      <c r="W16">
        <v>0</v>
      </c>
      <c r="X16">
        <v>0</v>
      </c>
      <c r="Y16">
        <v>0</v>
      </c>
      <c r="Z16">
        <v>1</v>
      </c>
      <c r="AA16">
        <v>0.9</v>
      </c>
      <c r="AB16">
        <v>99</v>
      </c>
      <c r="AC16">
        <v>0</v>
      </c>
      <c r="AD16">
        <v>1.1072213639999999</v>
      </c>
      <c r="AE16">
        <v>203.74563499999999</v>
      </c>
      <c r="AF16">
        <v>204.76553530000001</v>
      </c>
      <c r="AG16">
        <v>131.8387204</v>
      </c>
      <c r="AH16">
        <v>96.777428850000007</v>
      </c>
      <c r="AI16">
        <v>100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1</v>
      </c>
      <c r="AQ16">
        <v>0</v>
      </c>
      <c r="AR16">
        <v>58.795200000000001</v>
      </c>
      <c r="AS16">
        <v>81.197999999999993</v>
      </c>
      <c r="AT16">
        <v>177.29640000000001</v>
      </c>
      <c r="AU16">
        <v>389.86919999999998</v>
      </c>
      <c r="AV16">
        <v>0</v>
      </c>
    </row>
    <row r="17" spans="1:59">
      <c r="A17">
        <v>16</v>
      </c>
      <c r="B17">
        <v>0</v>
      </c>
      <c r="C17">
        <v>7.3279843329999999</v>
      </c>
      <c r="D17">
        <v>-3.9952041</v>
      </c>
      <c r="E17">
        <v>0.37883879799999998</v>
      </c>
      <c r="F17">
        <v>0</v>
      </c>
      <c r="G17">
        <v>0</v>
      </c>
      <c r="H17">
        <v>0.674700996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0.45460656999999999</v>
      </c>
      <c r="Q17">
        <v>0.45460656999999999</v>
      </c>
      <c r="R17">
        <v>0</v>
      </c>
      <c r="S17">
        <v>0</v>
      </c>
      <c r="T17" s="15">
        <v>6.1800000000000001E-2</v>
      </c>
      <c r="U17">
        <v>20.447050870000002</v>
      </c>
      <c r="V17">
        <v>0</v>
      </c>
      <c r="W17">
        <v>0</v>
      </c>
      <c r="X17">
        <v>0</v>
      </c>
      <c r="Y17">
        <v>0</v>
      </c>
      <c r="Z17">
        <v>1</v>
      </c>
      <c r="AA17">
        <v>0.9</v>
      </c>
      <c r="AB17">
        <v>99</v>
      </c>
      <c r="AC17">
        <v>0</v>
      </c>
      <c r="AD17">
        <v>1.04507331</v>
      </c>
      <c r="AE17">
        <v>202.76234400000001</v>
      </c>
      <c r="AF17">
        <v>203.74563499999999</v>
      </c>
      <c r="AG17">
        <v>131.9100196</v>
      </c>
      <c r="AH17">
        <v>96.828356889999995</v>
      </c>
      <c r="AI17">
        <v>100</v>
      </c>
      <c r="AJ17">
        <v>0</v>
      </c>
      <c r="AK17">
        <v>0</v>
      </c>
      <c r="AL17">
        <v>1</v>
      </c>
      <c r="AM17">
        <v>1</v>
      </c>
      <c r="AN17">
        <v>0</v>
      </c>
      <c r="AO17">
        <v>0</v>
      </c>
      <c r="AP17">
        <v>1</v>
      </c>
      <c r="AQ17">
        <v>0</v>
      </c>
      <c r="AR17">
        <v>58.795200000000001</v>
      </c>
      <c r="AS17">
        <v>81.197999999999993</v>
      </c>
      <c r="AT17">
        <v>177.29640000000001</v>
      </c>
      <c r="AU17">
        <v>389.86919999999998</v>
      </c>
      <c r="AV17">
        <v>0</v>
      </c>
    </row>
    <row r="18" spans="1:59">
      <c r="A18">
        <v>17</v>
      </c>
      <c r="B18">
        <v>0</v>
      </c>
      <c r="C18">
        <v>4.1688511009999996</v>
      </c>
      <c r="D18">
        <v>-2.5926758990000001</v>
      </c>
      <c r="E18">
        <v>0.26868841199999999</v>
      </c>
      <c r="F18">
        <v>0</v>
      </c>
      <c r="G18">
        <v>0</v>
      </c>
      <c r="H18">
        <v>0.68181573299999998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0.32242610300000002</v>
      </c>
      <c r="Q18">
        <v>0.32242610300000002</v>
      </c>
      <c r="R18">
        <v>0</v>
      </c>
      <c r="S18">
        <v>0</v>
      </c>
      <c r="T18" s="15">
        <v>4.7600000000000003E-2</v>
      </c>
      <c r="U18">
        <v>20.07699504</v>
      </c>
      <c r="V18">
        <v>0</v>
      </c>
      <c r="W18">
        <v>0</v>
      </c>
      <c r="X18">
        <v>0</v>
      </c>
      <c r="Y18">
        <v>0</v>
      </c>
      <c r="Z18">
        <v>1</v>
      </c>
      <c r="AA18">
        <v>0.9</v>
      </c>
      <c r="AB18">
        <v>99</v>
      </c>
      <c r="AC18">
        <v>0</v>
      </c>
      <c r="AD18">
        <v>0.98833595200000002</v>
      </c>
      <c r="AE18">
        <v>201.8216377</v>
      </c>
      <c r="AF18">
        <v>202.76234400000001</v>
      </c>
      <c r="AG18">
        <v>131.43141929999999</v>
      </c>
      <c r="AH18">
        <v>96.486499480000006</v>
      </c>
      <c r="AI18">
        <v>100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1</v>
      </c>
      <c r="AQ18">
        <v>0</v>
      </c>
      <c r="AR18">
        <v>58.795200000000001</v>
      </c>
      <c r="AS18">
        <v>81.197999999999993</v>
      </c>
      <c r="AT18">
        <v>177.29640000000001</v>
      </c>
      <c r="AU18">
        <v>389.86919999999998</v>
      </c>
      <c r="AV18">
        <v>0</v>
      </c>
    </row>
    <row r="19" spans="1:59">
      <c r="A19">
        <v>18</v>
      </c>
      <c r="B19">
        <v>0</v>
      </c>
      <c r="C19">
        <v>0.80221412299999995</v>
      </c>
      <c r="D19">
        <v>-4.8594108250000003</v>
      </c>
      <c r="E19">
        <v>0.18521548900000001</v>
      </c>
      <c r="F19">
        <v>0</v>
      </c>
      <c r="G19">
        <v>0</v>
      </c>
      <c r="H19">
        <v>0.68710295200000004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0.222258593</v>
      </c>
      <c r="Q19">
        <v>0.222258593</v>
      </c>
      <c r="R19">
        <v>0</v>
      </c>
      <c r="S19">
        <v>0</v>
      </c>
      <c r="T19" s="15">
        <v>3.9399999999999998E-2</v>
      </c>
      <c r="U19">
        <v>19.815332829999999</v>
      </c>
      <c r="V19">
        <v>0</v>
      </c>
      <c r="W19">
        <v>0</v>
      </c>
      <c r="X19">
        <v>0</v>
      </c>
      <c r="Y19">
        <v>0</v>
      </c>
      <c r="Z19">
        <v>1</v>
      </c>
      <c r="AA19">
        <v>0.9</v>
      </c>
      <c r="AB19">
        <v>99</v>
      </c>
      <c r="AC19">
        <v>0</v>
      </c>
      <c r="AD19">
        <v>0.93670332000000001</v>
      </c>
      <c r="AE19">
        <v>200.92433800000001</v>
      </c>
      <c r="AF19">
        <v>201.8216377</v>
      </c>
      <c r="AG19">
        <v>131.07575399999999</v>
      </c>
      <c r="AH19">
        <v>96.232452850000001</v>
      </c>
      <c r="AI19">
        <v>100</v>
      </c>
      <c r="AJ19">
        <v>0</v>
      </c>
      <c r="AK19">
        <v>0</v>
      </c>
      <c r="AL19">
        <v>1</v>
      </c>
      <c r="AM19">
        <v>1</v>
      </c>
      <c r="AN19">
        <v>0</v>
      </c>
      <c r="AO19">
        <v>0</v>
      </c>
      <c r="AP19">
        <v>1</v>
      </c>
      <c r="AQ19">
        <v>0</v>
      </c>
      <c r="AR19">
        <v>58.795200000000001</v>
      </c>
      <c r="AS19">
        <v>81.197999999999993</v>
      </c>
      <c r="AT19">
        <v>177.29640000000001</v>
      </c>
      <c r="AU19">
        <v>389.86919999999998</v>
      </c>
      <c r="AV19">
        <v>0</v>
      </c>
    </row>
    <row r="20" spans="1:59">
      <c r="A20">
        <v>19</v>
      </c>
      <c r="B20" s="15">
        <v>1.0433467199999999</v>
      </c>
      <c r="C20">
        <v>1.4332650730000001</v>
      </c>
      <c r="D20">
        <v>-3.8</v>
      </c>
      <c r="E20">
        <v>0.24060061399999999</v>
      </c>
      <c r="F20">
        <v>0</v>
      </c>
      <c r="G20">
        <v>0</v>
      </c>
      <c r="H20">
        <v>0.69110965199999996</v>
      </c>
      <c r="I20">
        <v>0</v>
      </c>
      <c r="J20" s="15">
        <v>1.0433467199999999</v>
      </c>
      <c r="K20" s="15">
        <v>1.0433467199999999</v>
      </c>
      <c r="L20" s="15">
        <v>1.0433467199999999</v>
      </c>
      <c r="M20">
        <v>0</v>
      </c>
      <c r="N20">
        <v>0</v>
      </c>
      <c r="O20" s="15">
        <v>1.0433467510000001</v>
      </c>
      <c r="P20">
        <v>0.288720745</v>
      </c>
      <c r="Q20">
        <v>0.288720745</v>
      </c>
      <c r="R20">
        <v>0</v>
      </c>
      <c r="S20">
        <v>0</v>
      </c>
      <c r="T20" s="15">
        <v>4.4900000000000002E-2</v>
      </c>
      <c r="U20">
        <v>20.52503622</v>
      </c>
      <c r="V20">
        <v>0</v>
      </c>
      <c r="W20">
        <v>0</v>
      </c>
      <c r="X20">
        <v>0</v>
      </c>
      <c r="Y20">
        <v>0</v>
      </c>
      <c r="Z20">
        <v>1</v>
      </c>
      <c r="AA20">
        <v>0.9</v>
      </c>
      <c r="AB20">
        <v>99</v>
      </c>
      <c r="AC20">
        <v>0</v>
      </c>
      <c r="AD20">
        <v>0.88988148099999997</v>
      </c>
      <c r="AE20">
        <v>200.07937920000001</v>
      </c>
      <c r="AF20">
        <v>200.92433800000001</v>
      </c>
      <c r="AG20">
        <v>130.80622779999999</v>
      </c>
      <c r="AH20">
        <v>96.039934110000004</v>
      </c>
      <c r="AI20">
        <v>100</v>
      </c>
      <c r="AJ20">
        <v>0</v>
      </c>
      <c r="AK20">
        <v>0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0</v>
      </c>
      <c r="AR20">
        <v>58.795200000000001</v>
      </c>
      <c r="AS20">
        <v>81.197999999999993</v>
      </c>
      <c r="AT20">
        <v>177.29640000000001</v>
      </c>
      <c r="AU20">
        <v>389.86919999999998</v>
      </c>
      <c r="AV20">
        <v>0</v>
      </c>
    </row>
    <row r="21" spans="1:59">
      <c r="A21">
        <v>20</v>
      </c>
      <c r="B21" s="15">
        <v>3.1811167189999998</v>
      </c>
      <c r="C21">
        <v>2.664055201</v>
      </c>
      <c r="D21">
        <v>1.0539253049999999</v>
      </c>
      <c r="E21">
        <v>0.29584818600000001</v>
      </c>
      <c r="F21">
        <v>0</v>
      </c>
      <c r="G21">
        <v>0</v>
      </c>
      <c r="H21">
        <v>0.688451166</v>
      </c>
      <c r="I21">
        <v>0</v>
      </c>
      <c r="J21" s="15">
        <v>3.1811167189999998</v>
      </c>
      <c r="K21" s="15">
        <v>3.1811167189999998</v>
      </c>
      <c r="L21" s="15">
        <v>3.1811167189999998</v>
      </c>
      <c r="M21">
        <v>0</v>
      </c>
      <c r="N21">
        <v>0</v>
      </c>
      <c r="O21" s="15">
        <v>3.181116813</v>
      </c>
      <c r="P21">
        <v>0.35501783199999998</v>
      </c>
      <c r="Q21">
        <v>0.35501783199999998</v>
      </c>
      <c r="R21">
        <v>0</v>
      </c>
      <c r="S21">
        <v>0</v>
      </c>
      <c r="T21">
        <v>0.124570049</v>
      </c>
      <c r="U21">
        <v>23.226565149999999</v>
      </c>
      <c r="V21">
        <v>0</v>
      </c>
      <c r="W21">
        <v>0</v>
      </c>
      <c r="X21">
        <v>0</v>
      </c>
      <c r="Y21">
        <v>0</v>
      </c>
      <c r="Z21">
        <v>1</v>
      </c>
      <c r="AA21">
        <v>0.9</v>
      </c>
      <c r="AB21">
        <v>99</v>
      </c>
      <c r="AC21">
        <v>0</v>
      </c>
      <c r="AD21">
        <v>0.84891106199999999</v>
      </c>
      <c r="AE21">
        <v>199.3550381</v>
      </c>
      <c r="AF21">
        <v>200.07937920000001</v>
      </c>
      <c r="AG21">
        <v>130.9850611</v>
      </c>
      <c r="AH21">
        <v>96.167672229999994</v>
      </c>
      <c r="AI21">
        <v>100</v>
      </c>
      <c r="AJ21">
        <v>0</v>
      </c>
      <c r="AK21">
        <v>0</v>
      </c>
      <c r="AL21">
        <v>1</v>
      </c>
      <c r="AM21">
        <v>1</v>
      </c>
      <c r="AN21">
        <v>0</v>
      </c>
      <c r="AO21">
        <v>0</v>
      </c>
      <c r="AP21">
        <v>1</v>
      </c>
      <c r="AQ21">
        <v>0</v>
      </c>
      <c r="AR21">
        <v>58.795200000000001</v>
      </c>
      <c r="AS21">
        <v>81.197999999999993</v>
      </c>
      <c r="AT21">
        <v>177.29640000000001</v>
      </c>
      <c r="AU21">
        <v>389.86919999999998</v>
      </c>
      <c r="AV21">
        <v>0</v>
      </c>
    </row>
    <row r="22" spans="1:59">
      <c r="A22">
        <v>21</v>
      </c>
      <c r="B22">
        <v>11.35560072</v>
      </c>
      <c r="C22">
        <v>3.8820194940000001</v>
      </c>
      <c r="D22">
        <v>2.4</v>
      </c>
      <c r="E22">
        <v>0.34032040400000002</v>
      </c>
      <c r="F22">
        <v>0</v>
      </c>
      <c r="G22">
        <v>0</v>
      </c>
      <c r="H22">
        <v>0.68579928300000004</v>
      </c>
      <c r="I22">
        <v>0</v>
      </c>
      <c r="J22">
        <v>11.35560072</v>
      </c>
      <c r="K22">
        <v>11.35560072</v>
      </c>
      <c r="L22">
        <v>9.8687768800000004</v>
      </c>
      <c r="M22">
        <v>0</v>
      </c>
      <c r="N22">
        <v>1.486823842</v>
      </c>
      <c r="O22">
        <v>9.8687771739999999</v>
      </c>
      <c r="P22">
        <v>0.40838449599999999</v>
      </c>
      <c r="Q22">
        <v>0.40838449599999999</v>
      </c>
      <c r="R22">
        <v>0</v>
      </c>
      <c r="S22">
        <v>0</v>
      </c>
      <c r="T22">
        <v>1.9675365730000001</v>
      </c>
      <c r="U22">
        <v>30.719421260000001</v>
      </c>
      <c r="V22">
        <v>0</v>
      </c>
      <c r="W22">
        <v>0</v>
      </c>
      <c r="X22">
        <v>0</v>
      </c>
      <c r="Y22">
        <v>0</v>
      </c>
      <c r="Z22">
        <v>1</v>
      </c>
      <c r="AA22">
        <v>0.9</v>
      </c>
      <c r="AB22">
        <v>99</v>
      </c>
      <c r="AC22">
        <v>0</v>
      </c>
      <c r="AD22">
        <v>0.83901685400000003</v>
      </c>
      <c r="AE22">
        <v>200.48355789999999</v>
      </c>
      <c r="AF22">
        <v>199.3550381</v>
      </c>
      <c r="AG22">
        <v>131.16345039999999</v>
      </c>
      <c r="AH22">
        <v>96.295093109999996</v>
      </c>
      <c r="AI22">
        <v>100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58.795200000000001</v>
      </c>
      <c r="AS22">
        <v>81.197999999999993</v>
      </c>
      <c r="AT22">
        <v>177.29640000000001</v>
      </c>
      <c r="AU22">
        <v>389.86919999999998</v>
      </c>
      <c r="AV22">
        <v>0</v>
      </c>
    </row>
    <row r="23" spans="1:59">
      <c r="A23">
        <v>22</v>
      </c>
      <c r="B23">
        <v>22.29129709</v>
      </c>
      <c r="C23">
        <v>4.8820194939999997</v>
      </c>
      <c r="D23">
        <v>3.164055201</v>
      </c>
      <c r="E23">
        <v>0.33531148500000002</v>
      </c>
      <c r="F23">
        <v>0</v>
      </c>
      <c r="G23">
        <v>0</v>
      </c>
      <c r="H23">
        <v>0.68366461599999995</v>
      </c>
      <c r="I23">
        <v>0</v>
      </c>
      <c r="J23">
        <v>22.29129709</v>
      </c>
      <c r="K23">
        <v>22.29129709</v>
      </c>
      <c r="L23">
        <v>14.192416420000001</v>
      </c>
      <c r="M23">
        <v>0</v>
      </c>
      <c r="N23">
        <v>8.0988806689999997</v>
      </c>
      <c r="O23">
        <v>14.19241684</v>
      </c>
      <c r="P23">
        <v>0.40237379200000001</v>
      </c>
      <c r="Q23">
        <v>0.40237379200000001</v>
      </c>
      <c r="R23">
        <v>0</v>
      </c>
      <c r="S23">
        <v>0</v>
      </c>
      <c r="T23">
        <v>10.83818494</v>
      </c>
      <c r="U23">
        <v>33.671279370000001</v>
      </c>
      <c r="V23">
        <v>0</v>
      </c>
      <c r="W23">
        <v>0</v>
      </c>
      <c r="X23">
        <v>0</v>
      </c>
      <c r="Y23">
        <v>0</v>
      </c>
      <c r="Z23">
        <v>1</v>
      </c>
      <c r="AA23">
        <v>0.9</v>
      </c>
      <c r="AB23">
        <v>99</v>
      </c>
      <c r="AC23">
        <v>0</v>
      </c>
      <c r="AD23">
        <v>1.1504660609999999</v>
      </c>
      <c r="AE23">
        <v>210.17127669999999</v>
      </c>
      <c r="AF23">
        <v>200.48355789999999</v>
      </c>
      <c r="AG23">
        <v>131.30704700000001</v>
      </c>
      <c r="AH23">
        <v>96.397662130000001</v>
      </c>
      <c r="AI23">
        <v>100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0</v>
      </c>
      <c r="AR23">
        <v>58.795200000000001</v>
      </c>
      <c r="AS23">
        <v>81.197999999999993</v>
      </c>
      <c r="AT23">
        <v>177.29640000000001</v>
      </c>
      <c r="AU23">
        <v>389.86919999999998</v>
      </c>
      <c r="AV23">
        <v>0</v>
      </c>
      <c r="BG23" s="39"/>
    </row>
    <row r="24" spans="1:59">
      <c r="A24">
        <v>23</v>
      </c>
      <c r="B24" s="15">
        <v>14.612226359999999</v>
      </c>
      <c r="C24">
        <v>10.55071907</v>
      </c>
      <c r="D24">
        <v>1.158679537</v>
      </c>
      <c r="E24">
        <v>0.53127093599999997</v>
      </c>
      <c r="F24">
        <v>0</v>
      </c>
      <c r="G24">
        <v>0</v>
      </c>
      <c r="H24">
        <v>0.68390504399999996</v>
      </c>
      <c r="I24">
        <v>0</v>
      </c>
      <c r="J24" s="15">
        <v>14.612226359999999</v>
      </c>
      <c r="K24" s="15">
        <v>14.612226359999999</v>
      </c>
      <c r="L24" s="15">
        <v>11.15083458</v>
      </c>
      <c r="M24">
        <v>0</v>
      </c>
      <c r="N24">
        <v>3.4613917750000001</v>
      </c>
      <c r="O24" s="15">
        <v>11.15083491</v>
      </c>
      <c r="P24">
        <v>0.63752513899999996</v>
      </c>
      <c r="Q24">
        <v>0.63752513899999996</v>
      </c>
      <c r="R24">
        <v>0</v>
      </c>
      <c r="S24">
        <v>0</v>
      </c>
      <c r="T24">
        <v>11.261518069999999</v>
      </c>
      <c r="U24">
        <v>32.92307108</v>
      </c>
      <c r="V24">
        <v>0</v>
      </c>
      <c r="W24">
        <v>0</v>
      </c>
      <c r="X24">
        <v>0</v>
      </c>
      <c r="Y24">
        <v>0</v>
      </c>
      <c r="Z24">
        <v>1</v>
      </c>
      <c r="AA24">
        <v>0.9</v>
      </c>
      <c r="AB24">
        <v>99</v>
      </c>
      <c r="AC24">
        <v>0</v>
      </c>
      <c r="AD24">
        <v>2.0357184400000001</v>
      </c>
      <c r="AE24">
        <v>219.3970764</v>
      </c>
      <c r="AF24">
        <v>210.17127669999999</v>
      </c>
      <c r="AG24">
        <v>131.2908736</v>
      </c>
      <c r="AH24">
        <v>96.386109750000003</v>
      </c>
      <c r="AI24">
        <v>100</v>
      </c>
      <c r="AJ24">
        <v>0</v>
      </c>
      <c r="AK24">
        <v>0</v>
      </c>
      <c r="AL24">
        <v>1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58.795200000000001</v>
      </c>
      <c r="AS24">
        <v>81.197999999999993</v>
      </c>
      <c r="AT24">
        <v>177.29640000000001</v>
      </c>
      <c r="AU24">
        <v>389.86919999999998</v>
      </c>
      <c r="AV24">
        <v>0</v>
      </c>
    </row>
    <row r="25" spans="1:59">
      <c r="A25">
        <v>24</v>
      </c>
      <c r="B25" s="15">
        <v>0</v>
      </c>
      <c r="C25">
        <v>10.250719070000001</v>
      </c>
      <c r="D25">
        <v>-0.79267589900000002</v>
      </c>
      <c r="E25">
        <v>0.88901645299999998</v>
      </c>
      <c r="F25">
        <v>0</v>
      </c>
      <c r="G25">
        <v>0</v>
      </c>
      <c r="H25">
        <v>0.67449899099999999</v>
      </c>
      <c r="I25">
        <v>0</v>
      </c>
      <c r="J25" s="15">
        <v>0</v>
      </c>
      <c r="K25" s="15">
        <v>0</v>
      </c>
      <c r="L25" s="15">
        <v>0</v>
      </c>
      <c r="M25">
        <v>0</v>
      </c>
      <c r="N25">
        <v>0</v>
      </c>
      <c r="O25" s="15">
        <v>0</v>
      </c>
      <c r="P25">
        <v>1.066819771</v>
      </c>
      <c r="Q25">
        <v>1.066819771</v>
      </c>
      <c r="R25">
        <v>0</v>
      </c>
      <c r="S25">
        <v>0</v>
      </c>
      <c r="T25">
        <v>4.1080493000000002</v>
      </c>
      <c r="U25">
        <v>27.748201999999999</v>
      </c>
      <c r="V25">
        <v>0</v>
      </c>
      <c r="W25">
        <v>0</v>
      </c>
      <c r="X25">
        <v>0</v>
      </c>
      <c r="Y25">
        <v>0</v>
      </c>
      <c r="Z25">
        <v>1</v>
      </c>
      <c r="AA25">
        <v>0.9</v>
      </c>
      <c r="AB25">
        <v>99</v>
      </c>
      <c r="AC25">
        <v>0</v>
      </c>
      <c r="AD25">
        <v>2.714225468</v>
      </c>
      <c r="AE25">
        <v>220.79090020000001</v>
      </c>
      <c r="AF25">
        <v>219.3970764</v>
      </c>
      <c r="AG25">
        <v>131.92360830000001</v>
      </c>
      <c r="AH25">
        <v>96.838063099999999</v>
      </c>
      <c r="AI25">
        <v>100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1</v>
      </c>
      <c r="AQ25">
        <v>0</v>
      </c>
      <c r="AR25">
        <v>58.795200000000001</v>
      </c>
      <c r="AS25">
        <v>81.197999999999993</v>
      </c>
      <c r="AT25">
        <v>177.29640000000001</v>
      </c>
      <c r="AU25">
        <v>389.86919999999998</v>
      </c>
      <c r="AV25">
        <v>0</v>
      </c>
    </row>
    <row r="26" spans="1:59">
      <c r="A26">
        <v>25</v>
      </c>
      <c r="B26" s="15">
        <v>0</v>
      </c>
      <c r="C26">
        <v>8.1332650730000005</v>
      </c>
      <c r="D26">
        <v>-1.727984333</v>
      </c>
      <c r="E26">
        <v>0.79554434399999996</v>
      </c>
      <c r="F26">
        <v>0</v>
      </c>
      <c r="G26">
        <v>0</v>
      </c>
      <c r="H26">
        <v>0.65732720600000005</v>
      </c>
      <c r="I26">
        <v>0</v>
      </c>
      <c r="J26" s="15">
        <v>0</v>
      </c>
      <c r="K26" s="15">
        <v>0</v>
      </c>
      <c r="L26" s="15">
        <v>0</v>
      </c>
      <c r="M26">
        <v>0</v>
      </c>
      <c r="N26">
        <v>0</v>
      </c>
      <c r="O26" s="15">
        <v>0</v>
      </c>
      <c r="P26">
        <v>0.95465323700000004</v>
      </c>
      <c r="Q26">
        <v>0.95465323700000004</v>
      </c>
      <c r="R26">
        <v>0</v>
      </c>
      <c r="S26">
        <v>0</v>
      </c>
      <c r="T26">
        <v>1.1226562899999999</v>
      </c>
      <c r="U26">
        <v>25.670892479999999</v>
      </c>
      <c r="V26">
        <v>0</v>
      </c>
      <c r="W26">
        <v>0</v>
      </c>
      <c r="X26">
        <v>0</v>
      </c>
      <c r="Y26">
        <v>0</v>
      </c>
      <c r="Z26">
        <v>1</v>
      </c>
      <c r="AA26">
        <v>0.9</v>
      </c>
      <c r="AB26">
        <v>99</v>
      </c>
      <c r="AC26">
        <v>0</v>
      </c>
      <c r="AD26">
        <v>2.6262554740000001</v>
      </c>
      <c r="AE26">
        <v>219.28730100000001</v>
      </c>
      <c r="AF26">
        <v>220.79090020000001</v>
      </c>
      <c r="AG26">
        <v>133.07873509999999</v>
      </c>
      <c r="AH26">
        <v>97.663153629999996</v>
      </c>
      <c r="AI26">
        <v>100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1</v>
      </c>
      <c r="AQ26">
        <v>0</v>
      </c>
      <c r="AR26">
        <v>58.795200000000001</v>
      </c>
      <c r="AS26">
        <v>81.197999999999993</v>
      </c>
      <c r="AT26">
        <v>177.29640000000001</v>
      </c>
      <c r="AU26">
        <v>389.86919999999998</v>
      </c>
      <c r="AV26">
        <v>0</v>
      </c>
    </row>
    <row r="27" spans="1:59">
      <c r="A27">
        <v>26</v>
      </c>
      <c r="B27">
        <v>0</v>
      </c>
      <c r="C27">
        <v>10.153925299999999</v>
      </c>
      <c r="D27">
        <v>-0.48787999900000001</v>
      </c>
      <c r="E27">
        <v>1.669522237</v>
      </c>
      <c r="F27">
        <v>0</v>
      </c>
      <c r="G27">
        <v>0</v>
      </c>
      <c r="H27">
        <v>0.661813867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2.0034267360000002</v>
      </c>
      <c r="Q27">
        <v>2.0034267360000002</v>
      </c>
      <c r="R27">
        <v>0</v>
      </c>
      <c r="S27">
        <v>0</v>
      </c>
      <c r="T27">
        <v>0.447981513</v>
      </c>
      <c r="U27">
        <v>23.219484229999999</v>
      </c>
      <c r="V27">
        <v>0</v>
      </c>
      <c r="W27">
        <v>0</v>
      </c>
      <c r="X27">
        <v>0</v>
      </c>
      <c r="Y27">
        <v>0</v>
      </c>
      <c r="Z27">
        <v>1</v>
      </c>
      <c r="AA27">
        <v>0.9</v>
      </c>
      <c r="AB27">
        <v>99</v>
      </c>
      <c r="AC27">
        <v>0</v>
      </c>
      <c r="AD27">
        <v>2.3952150190000001</v>
      </c>
      <c r="AE27">
        <v>217.3400675</v>
      </c>
      <c r="AF27">
        <v>219.28730100000001</v>
      </c>
      <c r="AG27">
        <v>132.77692239999999</v>
      </c>
      <c r="AH27">
        <v>97.447573149999997</v>
      </c>
      <c r="AI27">
        <v>100</v>
      </c>
      <c r="AJ27">
        <v>0</v>
      </c>
      <c r="AK27">
        <v>0</v>
      </c>
      <c r="AL27">
        <v>1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58.795200000000001</v>
      </c>
      <c r="AS27">
        <v>81.197999999999993</v>
      </c>
      <c r="AT27">
        <v>177.29640000000001</v>
      </c>
      <c r="AU27">
        <v>389.86919999999998</v>
      </c>
      <c r="AV27">
        <v>0</v>
      </c>
    </row>
    <row r="28" spans="1:59">
      <c r="A28">
        <v>27</v>
      </c>
      <c r="B28">
        <v>0</v>
      </c>
      <c r="C28">
        <v>8.7720156669999998</v>
      </c>
      <c r="D28">
        <v>-4.7339963620000001</v>
      </c>
      <c r="E28">
        <v>0.698493645</v>
      </c>
      <c r="F28">
        <v>0</v>
      </c>
      <c r="G28">
        <v>0</v>
      </c>
      <c r="H28">
        <v>0.61986292799999998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0.83819239599999995</v>
      </c>
      <c r="Q28">
        <v>0.83819239599999995</v>
      </c>
      <c r="R28">
        <v>0</v>
      </c>
      <c r="S28">
        <v>0</v>
      </c>
      <c r="T28">
        <v>0.18291822399999999</v>
      </c>
      <c r="U28">
        <v>22.198373610000001</v>
      </c>
      <c r="V28">
        <v>0</v>
      </c>
      <c r="W28">
        <v>0</v>
      </c>
      <c r="X28">
        <v>0</v>
      </c>
      <c r="Y28">
        <v>0</v>
      </c>
      <c r="Z28">
        <v>1</v>
      </c>
      <c r="AA28">
        <v>0.9</v>
      </c>
      <c r="AB28">
        <v>99</v>
      </c>
      <c r="AC28">
        <v>0</v>
      </c>
      <c r="AD28">
        <v>2.1568549379999999</v>
      </c>
      <c r="AE28">
        <v>215.36613080000001</v>
      </c>
      <c r="AF28">
        <v>217.3400675</v>
      </c>
      <c r="AG28">
        <v>135.5989151</v>
      </c>
      <c r="AH28">
        <v>99.463282210000003</v>
      </c>
      <c r="AI28">
        <v>100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1</v>
      </c>
      <c r="AQ28">
        <v>0</v>
      </c>
      <c r="AR28">
        <v>58.795200000000001</v>
      </c>
      <c r="AS28">
        <v>81.197999999999993</v>
      </c>
      <c r="AT28">
        <v>177.29640000000001</v>
      </c>
      <c r="AU28">
        <v>389.86919999999998</v>
      </c>
      <c r="AV28">
        <v>0</v>
      </c>
    </row>
    <row r="29" spans="1:59">
      <c r="A29">
        <v>28</v>
      </c>
      <c r="B29">
        <v>0</v>
      </c>
      <c r="C29">
        <v>8.4359447989999996</v>
      </c>
      <c r="D29">
        <v>-1.2339963620000001</v>
      </c>
      <c r="E29">
        <v>0.50687885700000002</v>
      </c>
      <c r="F29">
        <v>0</v>
      </c>
      <c r="G29">
        <v>0</v>
      </c>
      <c r="H29">
        <v>0.66647230000000002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0.60825464399999996</v>
      </c>
      <c r="Q29">
        <v>0.60825464399999996</v>
      </c>
      <c r="R29">
        <v>0</v>
      </c>
      <c r="S29">
        <v>0</v>
      </c>
      <c r="T29">
        <v>0.115731161</v>
      </c>
      <c r="U29">
        <v>21.474387799999999</v>
      </c>
      <c r="V29">
        <v>0</v>
      </c>
      <c r="W29">
        <v>0</v>
      </c>
      <c r="X29">
        <v>0</v>
      </c>
      <c r="Y29">
        <v>0</v>
      </c>
      <c r="Z29">
        <v>1</v>
      </c>
      <c r="AA29">
        <v>0.9</v>
      </c>
      <c r="AB29">
        <v>99</v>
      </c>
      <c r="AC29">
        <v>0</v>
      </c>
      <c r="AD29">
        <v>1.9488990399999999</v>
      </c>
      <c r="AE29">
        <v>213.5329629</v>
      </c>
      <c r="AF29">
        <v>215.36613080000001</v>
      </c>
      <c r="AG29">
        <v>132.4635548</v>
      </c>
      <c r="AH29">
        <v>97.223739140000006</v>
      </c>
      <c r="AI29">
        <v>100</v>
      </c>
      <c r="AJ29">
        <v>0</v>
      </c>
      <c r="AK29">
        <v>0</v>
      </c>
      <c r="AL29">
        <v>1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58.795200000000001</v>
      </c>
      <c r="AS29">
        <v>81.197999999999993</v>
      </c>
      <c r="AT29">
        <v>177.29640000000001</v>
      </c>
      <c r="AU29">
        <v>389.86919999999998</v>
      </c>
      <c r="AV29">
        <v>0</v>
      </c>
    </row>
    <row r="30" spans="1:59">
      <c r="A30">
        <v>29</v>
      </c>
      <c r="B30">
        <v>0</v>
      </c>
      <c r="C30">
        <v>6.6866638700000003</v>
      </c>
      <c r="D30">
        <v>-1.141320463</v>
      </c>
      <c r="E30">
        <v>0.51743748099999998</v>
      </c>
      <c r="F30">
        <v>0</v>
      </c>
      <c r="G30">
        <v>0</v>
      </c>
      <c r="H30">
        <v>0.67566981000000004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0.62092499300000004</v>
      </c>
      <c r="Q30">
        <v>0.62092499300000004</v>
      </c>
      <c r="R30">
        <v>0</v>
      </c>
      <c r="S30">
        <v>0</v>
      </c>
      <c r="T30" s="15">
        <v>7.8700000000000006E-2</v>
      </c>
      <c r="U30">
        <v>20.774787150000002</v>
      </c>
      <c r="V30">
        <v>0</v>
      </c>
      <c r="W30">
        <v>0</v>
      </c>
      <c r="X30">
        <v>0</v>
      </c>
      <c r="Y30">
        <v>0</v>
      </c>
      <c r="Z30">
        <v>1</v>
      </c>
      <c r="AA30">
        <v>0.9</v>
      </c>
      <c r="AB30">
        <v>99</v>
      </c>
      <c r="AC30">
        <v>0</v>
      </c>
      <c r="AD30">
        <v>1.772012036</v>
      </c>
      <c r="AE30">
        <v>211.83962650000001</v>
      </c>
      <c r="AF30">
        <v>213.5329629</v>
      </c>
      <c r="AG30">
        <v>131.84484860000001</v>
      </c>
      <c r="AH30">
        <v>96.781806149999994</v>
      </c>
      <c r="AI30">
        <v>100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58.795200000000001</v>
      </c>
      <c r="AS30">
        <v>81.197999999999993</v>
      </c>
      <c r="AT30">
        <v>177.29640000000001</v>
      </c>
      <c r="AU30">
        <v>389.86919999999998</v>
      </c>
      <c r="AV30">
        <v>0</v>
      </c>
    </row>
    <row r="31" spans="1:59">
      <c r="A31">
        <v>30</v>
      </c>
      <c r="B31">
        <v>1.7677414840000001</v>
      </c>
      <c r="C31">
        <v>10.13005884</v>
      </c>
      <c r="D31" s="15">
        <v>2.1720156670000001</v>
      </c>
      <c r="E31">
        <v>0.736460173</v>
      </c>
      <c r="F31">
        <v>0</v>
      </c>
      <c r="G31">
        <v>0</v>
      </c>
      <c r="H31">
        <v>0.67516299599999996</v>
      </c>
      <c r="I31">
        <v>0</v>
      </c>
      <c r="J31">
        <v>1.7677414840000001</v>
      </c>
      <c r="K31">
        <v>1.7677414840000001</v>
      </c>
      <c r="L31">
        <v>1.7677414840000001</v>
      </c>
      <c r="M31">
        <v>0</v>
      </c>
      <c r="N31">
        <v>0</v>
      </c>
      <c r="O31">
        <v>1.7677415359999999</v>
      </c>
      <c r="P31">
        <v>0.88375223000000003</v>
      </c>
      <c r="Q31">
        <v>0.88375223000000003</v>
      </c>
      <c r="R31">
        <v>0</v>
      </c>
      <c r="S31">
        <v>0</v>
      </c>
      <c r="T31" s="15">
        <v>7.9899999999999999E-2</v>
      </c>
      <c r="U31">
        <v>21.578893690000001</v>
      </c>
      <c r="V31">
        <v>0</v>
      </c>
      <c r="W31">
        <v>0</v>
      </c>
      <c r="X31">
        <v>0</v>
      </c>
      <c r="Y31">
        <v>0</v>
      </c>
      <c r="Z31">
        <v>1</v>
      </c>
      <c r="AA31">
        <v>0.9</v>
      </c>
      <c r="AB31">
        <v>99</v>
      </c>
      <c r="AC31">
        <v>0</v>
      </c>
      <c r="AD31">
        <v>1.621964655</v>
      </c>
      <c r="AE31">
        <v>210.2975447</v>
      </c>
      <c r="AF31">
        <v>211.83962650000001</v>
      </c>
      <c r="AG31">
        <v>131.8789414</v>
      </c>
      <c r="AH31">
        <v>96.806158150000002</v>
      </c>
      <c r="AI31">
        <v>100</v>
      </c>
      <c r="AJ31">
        <v>0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1</v>
      </c>
      <c r="AQ31">
        <v>0</v>
      </c>
      <c r="AR31">
        <v>58.795200000000001</v>
      </c>
      <c r="AS31">
        <v>81.197999999999993</v>
      </c>
      <c r="AT31">
        <v>177.29640000000001</v>
      </c>
      <c r="AU31">
        <v>389.86919999999998</v>
      </c>
      <c r="AV31">
        <v>0</v>
      </c>
    </row>
    <row r="32" spans="1:59">
      <c r="A32">
        <v>31</v>
      </c>
      <c r="B32">
        <v>4.5454105550000001</v>
      </c>
      <c r="C32">
        <v>12.9460747</v>
      </c>
      <c r="D32">
        <v>3.168851101</v>
      </c>
      <c r="E32">
        <v>0.70321959999999994</v>
      </c>
      <c r="F32">
        <v>0</v>
      </c>
      <c r="G32">
        <v>0</v>
      </c>
      <c r="H32">
        <v>0.66464990700000004</v>
      </c>
      <c r="I32">
        <v>0</v>
      </c>
      <c r="J32">
        <v>4.5454105550000001</v>
      </c>
      <c r="K32">
        <v>4.5454105550000001</v>
      </c>
      <c r="L32">
        <v>4.5454105550000001</v>
      </c>
      <c r="M32">
        <v>0</v>
      </c>
      <c r="N32">
        <v>0</v>
      </c>
      <c r="O32">
        <v>4.5454106899999998</v>
      </c>
      <c r="P32">
        <v>0.84386354100000005</v>
      </c>
      <c r="Q32">
        <v>0.84386354100000005</v>
      </c>
      <c r="R32">
        <v>0</v>
      </c>
      <c r="S32">
        <v>0</v>
      </c>
      <c r="T32">
        <v>0.26566567800000002</v>
      </c>
      <c r="U32">
        <v>25.014775159999999</v>
      </c>
      <c r="V32">
        <v>0</v>
      </c>
      <c r="W32">
        <v>0</v>
      </c>
      <c r="X32">
        <v>0</v>
      </c>
      <c r="Y32">
        <v>0</v>
      </c>
      <c r="Z32">
        <v>1</v>
      </c>
      <c r="AA32">
        <v>0.9</v>
      </c>
      <c r="AB32">
        <v>99</v>
      </c>
      <c r="AC32">
        <v>0</v>
      </c>
      <c r="AD32">
        <v>1.499942576</v>
      </c>
      <c r="AE32">
        <v>209.06326780000001</v>
      </c>
      <c r="AF32">
        <v>210.2975447</v>
      </c>
      <c r="AG32">
        <v>132.5861452</v>
      </c>
      <c r="AH32">
        <v>97.311303679999995</v>
      </c>
      <c r="AI32">
        <v>100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1</v>
      </c>
      <c r="AQ32">
        <v>0</v>
      </c>
      <c r="AR32">
        <v>58.795200000000001</v>
      </c>
      <c r="AS32">
        <v>81.197999999999993</v>
      </c>
      <c r="AT32">
        <v>177.29640000000001</v>
      </c>
      <c r="AU32">
        <v>389.86919999999998</v>
      </c>
      <c r="AV32">
        <v>0</v>
      </c>
    </row>
    <row r="33" spans="1:48">
      <c r="A33">
        <v>32</v>
      </c>
      <c r="B33">
        <v>0</v>
      </c>
      <c r="C33">
        <v>9</v>
      </c>
      <c r="D33">
        <v>1.997320274</v>
      </c>
      <c r="E33">
        <v>0.57992602400000004</v>
      </c>
      <c r="F33">
        <v>0</v>
      </c>
      <c r="G33">
        <v>0</v>
      </c>
      <c r="H33">
        <v>0.66624545499999999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0.69591124699999996</v>
      </c>
      <c r="Q33">
        <v>0.69591124699999996</v>
      </c>
      <c r="R33">
        <v>0</v>
      </c>
      <c r="S33">
        <v>0</v>
      </c>
      <c r="T33">
        <v>0.42191334800000002</v>
      </c>
      <c r="U33">
        <v>23.896950560000001</v>
      </c>
      <c r="V33">
        <v>0</v>
      </c>
      <c r="W33">
        <v>0</v>
      </c>
      <c r="X33">
        <v>0</v>
      </c>
      <c r="Y33">
        <v>0</v>
      </c>
      <c r="Z33">
        <v>1</v>
      </c>
      <c r="AA33">
        <v>0.9</v>
      </c>
      <c r="AB33">
        <v>99</v>
      </c>
      <c r="AC33">
        <v>0</v>
      </c>
      <c r="AD33">
        <v>1.414229347</v>
      </c>
      <c r="AE33">
        <v>208.07095179999999</v>
      </c>
      <c r="AF33">
        <v>209.06326780000001</v>
      </c>
      <c r="AG33">
        <v>132.4788145</v>
      </c>
      <c r="AH33">
        <v>97.234638899999993</v>
      </c>
      <c r="AI33">
        <v>100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1</v>
      </c>
      <c r="AQ33">
        <v>0</v>
      </c>
      <c r="AR33">
        <v>58.795200000000001</v>
      </c>
      <c r="AS33">
        <v>81.197999999999993</v>
      </c>
      <c r="AT33">
        <v>177.29640000000001</v>
      </c>
      <c r="AU33">
        <v>389.86919999999998</v>
      </c>
      <c r="AV33">
        <v>0</v>
      </c>
    </row>
    <row r="34" spans="1:48">
      <c r="A34">
        <v>33</v>
      </c>
      <c r="B34" s="15">
        <v>0</v>
      </c>
      <c r="C34">
        <v>6.4660036380000001</v>
      </c>
      <c r="D34">
        <v>-0.24928093000000001</v>
      </c>
      <c r="E34">
        <v>0.37384107599999999</v>
      </c>
      <c r="F34">
        <v>0</v>
      </c>
      <c r="G34">
        <v>0</v>
      </c>
      <c r="H34">
        <v>0.67216354599999995</v>
      </c>
      <c r="I34">
        <v>0</v>
      </c>
      <c r="J34" s="15">
        <v>0</v>
      </c>
      <c r="K34" s="15">
        <v>0</v>
      </c>
      <c r="L34" s="15">
        <v>0</v>
      </c>
      <c r="M34">
        <v>0</v>
      </c>
      <c r="N34">
        <v>0</v>
      </c>
      <c r="O34" s="15">
        <v>0</v>
      </c>
      <c r="P34">
        <v>0.44860930300000001</v>
      </c>
      <c r="Q34">
        <v>0.44860930300000001</v>
      </c>
      <c r="R34">
        <v>0</v>
      </c>
      <c r="S34">
        <v>0</v>
      </c>
      <c r="T34" s="15">
        <v>0.27218584000000001</v>
      </c>
      <c r="U34">
        <v>23.176155420000001</v>
      </c>
      <c r="V34">
        <v>0</v>
      </c>
      <c r="W34">
        <v>0</v>
      </c>
      <c r="X34">
        <v>0</v>
      </c>
      <c r="Y34">
        <v>0</v>
      </c>
      <c r="Z34">
        <v>1</v>
      </c>
      <c r="AA34">
        <v>0.9</v>
      </c>
      <c r="AB34">
        <v>99</v>
      </c>
      <c r="AC34">
        <v>0</v>
      </c>
      <c r="AD34">
        <v>1.3343985140000001</v>
      </c>
      <c r="AE34">
        <v>207.00873910000001</v>
      </c>
      <c r="AF34">
        <v>208.07095179999999</v>
      </c>
      <c r="AG34">
        <v>132.0807111</v>
      </c>
      <c r="AH34">
        <v>96.950279330000001</v>
      </c>
      <c r="AI34">
        <v>100</v>
      </c>
      <c r="AJ34">
        <v>0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1</v>
      </c>
      <c r="AQ34">
        <v>0</v>
      </c>
      <c r="AR34">
        <v>58.795200000000001</v>
      </c>
      <c r="AS34">
        <v>81.197999999999993</v>
      </c>
      <c r="AT34">
        <v>177.29640000000001</v>
      </c>
      <c r="AU34">
        <v>389.86919999999998</v>
      </c>
      <c r="AV34">
        <v>0</v>
      </c>
    </row>
    <row r="35" spans="1:48">
      <c r="A35">
        <v>34</v>
      </c>
      <c r="B35" s="15">
        <v>22.313542989999998</v>
      </c>
      <c r="C35">
        <v>6.5820194939999999</v>
      </c>
      <c r="D35">
        <v>4.6359447989999998</v>
      </c>
      <c r="E35">
        <v>0.39501180899999999</v>
      </c>
      <c r="F35">
        <v>0</v>
      </c>
      <c r="G35">
        <v>0</v>
      </c>
      <c r="H35">
        <v>0.68205562399999997</v>
      </c>
      <c r="I35">
        <v>0</v>
      </c>
      <c r="J35" s="15">
        <v>22.313542989999998</v>
      </c>
      <c r="K35" s="15">
        <v>22.313542989999998</v>
      </c>
      <c r="L35" s="15">
        <v>14.66953299</v>
      </c>
      <c r="M35">
        <v>0</v>
      </c>
      <c r="N35">
        <v>7.6440099999999997</v>
      </c>
      <c r="O35" s="15">
        <v>14.66953343</v>
      </c>
      <c r="P35">
        <v>0.47401418200000001</v>
      </c>
      <c r="Q35">
        <v>0.47401418200000001</v>
      </c>
      <c r="R35">
        <v>0</v>
      </c>
      <c r="S35">
        <v>0</v>
      </c>
      <c r="T35" s="15">
        <v>4.3246250719999999</v>
      </c>
      <c r="U35">
        <v>33.04704959</v>
      </c>
      <c r="V35">
        <v>0</v>
      </c>
      <c r="W35">
        <v>0</v>
      </c>
      <c r="X35">
        <v>0</v>
      </c>
      <c r="Y35">
        <v>0</v>
      </c>
      <c r="Z35">
        <v>1</v>
      </c>
      <c r="AA35">
        <v>0.9</v>
      </c>
      <c r="AB35">
        <v>99</v>
      </c>
      <c r="AC35">
        <v>0</v>
      </c>
      <c r="AD35">
        <v>1.3348337320000001</v>
      </c>
      <c r="AE35">
        <v>209.99853039999999</v>
      </c>
      <c r="AF35">
        <v>207.00873910000001</v>
      </c>
      <c r="AG35">
        <v>131.41528210000001</v>
      </c>
      <c r="AH35">
        <v>96.474972919999999</v>
      </c>
      <c r="AI35">
        <v>100</v>
      </c>
      <c r="AJ35">
        <v>0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1</v>
      </c>
      <c r="AQ35">
        <v>0</v>
      </c>
      <c r="AR35">
        <v>58.795200000000001</v>
      </c>
      <c r="AS35">
        <v>81.197999999999993</v>
      </c>
      <c r="AT35">
        <v>177.29640000000001</v>
      </c>
      <c r="AU35">
        <v>389.86919999999998</v>
      </c>
      <c r="AV35">
        <v>0</v>
      </c>
    </row>
    <row r="36" spans="1:48">
      <c r="A36">
        <v>35</v>
      </c>
      <c r="B36">
        <v>1.2048973620000001</v>
      </c>
      <c r="C36">
        <v>10.16124941</v>
      </c>
      <c r="D36">
        <v>6.007324101</v>
      </c>
      <c r="E36">
        <v>0.47656157700000001</v>
      </c>
      <c r="F36">
        <v>0</v>
      </c>
      <c r="G36">
        <v>0</v>
      </c>
      <c r="H36">
        <v>0.68103942900000003</v>
      </c>
      <c r="I36">
        <v>0</v>
      </c>
      <c r="J36">
        <v>1.2048973620000001</v>
      </c>
      <c r="K36">
        <v>1.2048973620000001</v>
      </c>
      <c r="L36">
        <v>1.2048973620000001</v>
      </c>
      <c r="M36">
        <v>0</v>
      </c>
      <c r="N36">
        <v>0</v>
      </c>
      <c r="O36">
        <v>1.204897398</v>
      </c>
      <c r="P36">
        <v>0.57187390699999996</v>
      </c>
      <c r="Q36">
        <v>0.57187390699999996</v>
      </c>
      <c r="R36">
        <v>0</v>
      </c>
      <c r="S36">
        <v>0</v>
      </c>
      <c r="T36" s="15">
        <v>4.872370257</v>
      </c>
      <c r="U36">
        <v>28.80770283</v>
      </c>
      <c r="V36">
        <v>0</v>
      </c>
      <c r="W36">
        <v>0</v>
      </c>
      <c r="X36">
        <v>0</v>
      </c>
      <c r="Y36">
        <v>0</v>
      </c>
      <c r="Z36">
        <v>1</v>
      </c>
      <c r="AA36">
        <v>0.9</v>
      </c>
      <c r="AB36">
        <v>99</v>
      </c>
      <c r="AC36">
        <v>0</v>
      </c>
      <c r="AD36">
        <v>1.7261209900000001</v>
      </c>
      <c r="AE36">
        <v>213.14477969999999</v>
      </c>
      <c r="AF36">
        <v>209.99853039999999</v>
      </c>
      <c r="AG36">
        <v>131.48364040000001</v>
      </c>
      <c r="AH36">
        <v>96.523800280000003</v>
      </c>
      <c r="AI36">
        <v>100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0</v>
      </c>
      <c r="AP36">
        <v>1</v>
      </c>
      <c r="AQ36">
        <v>0</v>
      </c>
      <c r="AR36">
        <v>58.795200000000001</v>
      </c>
      <c r="AS36">
        <v>81.197999999999993</v>
      </c>
      <c r="AT36">
        <v>177.29640000000001</v>
      </c>
      <c r="AU36">
        <v>389.86919999999998</v>
      </c>
      <c r="AV36">
        <v>0</v>
      </c>
    </row>
    <row r="37" spans="1:48">
      <c r="A37">
        <v>36</v>
      </c>
      <c r="B37" s="15">
        <v>9.0899999999999995E-2</v>
      </c>
      <c r="C37">
        <v>10.81048867</v>
      </c>
      <c r="D37">
        <v>7.3820194939999997</v>
      </c>
      <c r="E37">
        <v>0.48826864399999997</v>
      </c>
      <c r="F37">
        <v>0</v>
      </c>
      <c r="G37">
        <v>0</v>
      </c>
      <c r="H37">
        <v>0.67712503999999996</v>
      </c>
      <c r="I37">
        <v>0</v>
      </c>
      <c r="J37" s="15">
        <v>9.0899999999999995E-2</v>
      </c>
      <c r="K37" s="15">
        <v>9.0899999999999995E-2</v>
      </c>
      <c r="L37" s="15">
        <v>9.0899999999999995E-2</v>
      </c>
      <c r="M37">
        <v>0</v>
      </c>
      <c r="N37">
        <v>0</v>
      </c>
      <c r="O37" s="15">
        <v>9.0899999999999995E-2</v>
      </c>
      <c r="P37">
        <v>0.58592238799999996</v>
      </c>
      <c r="Q37">
        <v>0.58592238799999996</v>
      </c>
      <c r="R37">
        <v>0</v>
      </c>
      <c r="S37">
        <v>0</v>
      </c>
      <c r="T37">
        <v>1.6630873340000001</v>
      </c>
      <c r="U37">
        <v>26.649607809999999</v>
      </c>
      <c r="V37">
        <v>0</v>
      </c>
      <c r="W37">
        <v>0</v>
      </c>
      <c r="X37">
        <v>0</v>
      </c>
      <c r="Y37">
        <v>0</v>
      </c>
      <c r="Z37">
        <v>1</v>
      </c>
      <c r="AA37">
        <v>0.9</v>
      </c>
      <c r="AB37">
        <v>99</v>
      </c>
      <c r="AC37">
        <v>0</v>
      </c>
      <c r="AD37">
        <v>1.8204541409999999</v>
      </c>
      <c r="AE37">
        <v>212.98741290000001</v>
      </c>
      <c r="AF37">
        <v>213.14477969999999</v>
      </c>
      <c r="AG37">
        <v>131.74695700000001</v>
      </c>
      <c r="AH37">
        <v>96.711883540000002</v>
      </c>
      <c r="AI37">
        <v>100</v>
      </c>
      <c r="AJ37">
        <v>0</v>
      </c>
      <c r="AK37">
        <v>0</v>
      </c>
      <c r="AL37">
        <v>1</v>
      </c>
      <c r="AM37">
        <v>1</v>
      </c>
      <c r="AN37">
        <v>0</v>
      </c>
      <c r="AO37">
        <v>0</v>
      </c>
      <c r="AP37">
        <v>1</v>
      </c>
      <c r="AQ37">
        <v>0</v>
      </c>
      <c r="AR37">
        <v>58.795200000000001</v>
      </c>
      <c r="AS37">
        <v>81.197999999999993</v>
      </c>
      <c r="AT37">
        <v>177.29640000000001</v>
      </c>
      <c r="AU37">
        <v>389.86919999999998</v>
      </c>
      <c r="AV37">
        <v>0</v>
      </c>
    </row>
    <row r="38" spans="1:48">
      <c r="A38">
        <v>37</v>
      </c>
      <c r="B38">
        <v>0</v>
      </c>
      <c r="C38">
        <v>10.8926759</v>
      </c>
      <c r="D38">
        <v>8.1179805060000003</v>
      </c>
      <c r="E38">
        <v>0.48510034499999999</v>
      </c>
      <c r="F38">
        <v>0</v>
      </c>
      <c r="G38">
        <v>0</v>
      </c>
      <c r="H38">
        <v>0.67656310099999994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0.58212042900000005</v>
      </c>
      <c r="Q38">
        <v>0.58212042900000005</v>
      </c>
      <c r="R38">
        <v>0</v>
      </c>
      <c r="S38">
        <v>0</v>
      </c>
      <c r="T38">
        <v>0.81373683299999999</v>
      </c>
      <c r="U38">
        <v>25.253750549999999</v>
      </c>
      <c r="V38">
        <v>0</v>
      </c>
      <c r="W38">
        <v>0</v>
      </c>
      <c r="X38">
        <v>0</v>
      </c>
      <c r="Y38">
        <v>0</v>
      </c>
      <c r="Z38">
        <v>1</v>
      </c>
      <c r="AA38">
        <v>0.9</v>
      </c>
      <c r="AB38">
        <v>99</v>
      </c>
      <c r="AC38">
        <v>0</v>
      </c>
      <c r="AD38">
        <v>1.7592604030000001</v>
      </c>
      <c r="AE38">
        <v>212.04188930000001</v>
      </c>
      <c r="AF38">
        <v>212.98741290000001</v>
      </c>
      <c r="AG38">
        <v>131.78475800000001</v>
      </c>
      <c r="AH38">
        <v>96.73888427</v>
      </c>
      <c r="AI38">
        <v>100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0</v>
      </c>
      <c r="AP38">
        <v>1</v>
      </c>
      <c r="AQ38">
        <v>0</v>
      </c>
      <c r="AR38">
        <v>58.795200000000001</v>
      </c>
      <c r="AS38">
        <v>81.197999999999993</v>
      </c>
      <c r="AT38">
        <v>177.29640000000001</v>
      </c>
      <c r="AU38">
        <v>389.86919999999998</v>
      </c>
      <c r="AV38">
        <v>0</v>
      </c>
    </row>
    <row r="39" spans="1:48">
      <c r="A39">
        <v>38</v>
      </c>
      <c r="B39">
        <v>33.062226529999997</v>
      </c>
      <c r="C39">
        <v>9.0640552010000004</v>
      </c>
      <c r="D39">
        <v>7.2640552009999997</v>
      </c>
      <c r="E39">
        <v>0.42044084199999998</v>
      </c>
      <c r="F39">
        <v>0</v>
      </c>
      <c r="G39">
        <v>0</v>
      </c>
      <c r="H39">
        <v>0.676715179</v>
      </c>
      <c r="I39">
        <v>0</v>
      </c>
      <c r="J39">
        <v>33.062226529999997</v>
      </c>
      <c r="K39">
        <v>33.062226529999997</v>
      </c>
      <c r="L39">
        <v>17.154644059999999</v>
      </c>
      <c r="M39">
        <v>0</v>
      </c>
      <c r="N39">
        <v>15.907582469999999</v>
      </c>
      <c r="O39">
        <v>17.154644569999999</v>
      </c>
      <c r="P39">
        <v>0.50452902300000002</v>
      </c>
      <c r="Q39">
        <v>0.50452902300000002</v>
      </c>
      <c r="R39">
        <v>0</v>
      </c>
      <c r="S39">
        <v>0</v>
      </c>
      <c r="T39">
        <v>7.8040874039999997</v>
      </c>
      <c r="U39">
        <v>34.099778700000002</v>
      </c>
      <c r="V39">
        <v>0</v>
      </c>
      <c r="W39">
        <v>0</v>
      </c>
      <c r="X39">
        <v>0</v>
      </c>
      <c r="Y39">
        <v>0</v>
      </c>
      <c r="Z39">
        <v>1</v>
      </c>
      <c r="AA39">
        <v>0.9</v>
      </c>
      <c r="AB39">
        <v>99</v>
      </c>
      <c r="AC39">
        <v>0</v>
      </c>
      <c r="AD39">
        <v>1.871235867</v>
      </c>
      <c r="AE39">
        <v>217.9747409</v>
      </c>
      <c r="AF39">
        <v>212.04188930000001</v>
      </c>
      <c r="AG39">
        <v>131.77452779999999</v>
      </c>
      <c r="AH39">
        <v>96.731577029999997</v>
      </c>
      <c r="AI39">
        <v>100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58.795200000000001</v>
      </c>
      <c r="AS39">
        <v>81.197999999999993</v>
      </c>
      <c r="AT39">
        <v>177.29640000000001</v>
      </c>
      <c r="AU39">
        <v>389.86919999999998</v>
      </c>
      <c r="AV39">
        <v>0</v>
      </c>
    </row>
    <row r="40" spans="1:48">
      <c r="A40">
        <v>39</v>
      </c>
      <c r="B40" s="15">
        <v>0.29090438000000002</v>
      </c>
      <c r="C40">
        <v>13.71048867</v>
      </c>
      <c r="D40">
        <v>4.0895113319999998</v>
      </c>
      <c r="E40">
        <v>1.225197308</v>
      </c>
      <c r="F40">
        <v>0</v>
      </c>
      <c r="G40">
        <v>0</v>
      </c>
      <c r="H40">
        <v>0.67981883499999995</v>
      </c>
      <c r="I40">
        <v>0</v>
      </c>
      <c r="J40" s="15">
        <v>0.29090438000000002</v>
      </c>
      <c r="K40" s="15">
        <v>0.29090438000000002</v>
      </c>
      <c r="L40" s="15">
        <v>0.29090438000000002</v>
      </c>
      <c r="M40">
        <v>0</v>
      </c>
      <c r="N40">
        <v>0</v>
      </c>
      <c r="O40" s="15">
        <v>0.29090438899999999</v>
      </c>
      <c r="P40">
        <v>1.470236806</v>
      </c>
      <c r="Q40">
        <v>1.470236806</v>
      </c>
      <c r="R40">
        <v>0</v>
      </c>
      <c r="S40">
        <v>0</v>
      </c>
      <c r="T40">
        <v>5.0096719409999997</v>
      </c>
      <c r="U40">
        <v>27.91077434</v>
      </c>
      <c r="V40">
        <v>0</v>
      </c>
      <c r="W40">
        <v>0</v>
      </c>
      <c r="X40">
        <v>0</v>
      </c>
      <c r="Y40">
        <v>0</v>
      </c>
      <c r="Z40">
        <v>1</v>
      </c>
      <c r="AA40">
        <v>0.9</v>
      </c>
      <c r="AB40">
        <v>99</v>
      </c>
      <c r="AC40">
        <v>0</v>
      </c>
      <c r="AD40">
        <v>2.6255563359999998</v>
      </c>
      <c r="AE40">
        <v>220.3588565</v>
      </c>
      <c r="AF40">
        <v>217.9747409</v>
      </c>
      <c r="AG40">
        <v>131.56574839999999</v>
      </c>
      <c r="AH40">
        <v>96.582448830000004</v>
      </c>
      <c r="AI40">
        <v>100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0</v>
      </c>
      <c r="AP40">
        <v>1</v>
      </c>
      <c r="AQ40">
        <v>0</v>
      </c>
      <c r="AR40">
        <v>58.795200000000001</v>
      </c>
      <c r="AS40">
        <v>81.197999999999993</v>
      </c>
      <c r="AT40">
        <v>177.29640000000001</v>
      </c>
      <c r="AU40">
        <v>389.86919999999998</v>
      </c>
      <c r="AV40">
        <v>0</v>
      </c>
    </row>
    <row r="41" spans="1:48">
      <c r="A41">
        <v>40</v>
      </c>
      <c r="B41" s="15">
        <v>2.7938365869999999</v>
      </c>
      <c r="C41">
        <v>11.68201949</v>
      </c>
      <c r="D41">
        <v>7</v>
      </c>
      <c r="E41">
        <v>0.66356243599999998</v>
      </c>
      <c r="F41">
        <v>0</v>
      </c>
      <c r="G41">
        <v>0</v>
      </c>
      <c r="H41">
        <v>0.64119052499999996</v>
      </c>
      <c r="I41">
        <v>0</v>
      </c>
      <c r="J41" s="15">
        <v>2.7938365869999999</v>
      </c>
      <c r="K41" s="15">
        <v>2.7938365869999999</v>
      </c>
      <c r="L41" s="15">
        <v>2.7938365869999999</v>
      </c>
      <c r="M41">
        <v>0</v>
      </c>
      <c r="N41">
        <v>0</v>
      </c>
      <c r="O41" s="15">
        <v>2.7938366710000002</v>
      </c>
      <c r="P41">
        <v>0.79627494399999998</v>
      </c>
      <c r="Q41">
        <v>0.79627494399999998</v>
      </c>
      <c r="R41">
        <v>0</v>
      </c>
      <c r="S41">
        <v>0</v>
      </c>
      <c r="T41">
        <v>1.86089412</v>
      </c>
      <c r="U41">
        <v>28.04744195</v>
      </c>
      <c r="V41">
        <v>0</v>
      </c>
      <c r="W41">
        <v>0</v>
      </c>
      <c r="X41">
        <v>0</v>
      </c>
      <c r="Y41">
        <v>0</v>
      </c>
      <c r="Z41">
        <v>1</v>
      </c>
      <c r="AA41">
        <v>0.9</v>
      </c>
      <c r="AB41">
        <v>99</v>
      </c>
      <c r="AC41">
        <v>0</v>
      </c>
      <c r="AD41">
        <v>2.6086284210000001</v>
      </c>
      <c r="AE41">
        <v>219.61112220000001</v>
      </c>
      <c r="AF41">
        <v>220.3588565</v>
      </c>
      <c r="AG41">
        <v>134.1642315</v>
      </c>
      <c r="AH41">
        <v>98.438508249999998</v>
      </c>
      <c r="AI41">
        <v>100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0</v>
      </c>
      <c r="AP41">
        <v>1</v>
      </c>
      <c r="AQ41">
        <v>0</v>
      </c>
      <c r="AR41">
        <v>58.795200000000001</v>
      </c>
      <c r="AS41">
        <v>81.197999999999993</v>
      </c>
      <c r="AT41">
        <v>177.29640000000001</v>
      </c>
      <c r="AU41">
        <v>389.86919999999998</v>
      </c>
      <c r="AV41">
        <v>0</v>
      </c>
    </row>
    <row r="42" spans="1:48">
      <c r="A42">
        <v>41</v>
      </c>
      <c r="B42">
        <v>14.38476088</v>
      </c>
      <c r="C42">
        <v>8.6539253049999996</v>
      </c>
      <c r="D42">
        <v>4.0227347379999996</v>
      </c>
      <c r="E42">
        <v>0.43162021099999998</v>
      </c>
      <c r="F42">
        <v>0</v>
      </c>
      <c r="G42">
        <v>0</v>
      </c>
      <c r="H42">
        <v>0.66814899900000002</v>
      </c>
      <c r="I42">
        <v>0</v>
      </c>
      <c r="J42">
        <v>14.38476088</v>
      </c>
      <c r="K42">
        <v>14.38476088</v>
      </c>
      <c r="L42">
        <v>11.246330889999999</v>
      </c>
      <c r="M42">
        <v>0</v>
      </c>
      <c r="N42">
        <v>3.1384299879999999</v>
      </c>
      <c r="O42">
        <v>11.246331229999999</v>
      </c>
      <c r="P42">
        <v>0.51794426699999996</v>
      </c>
      <c r="Q42">
        <v>0.51794426699999996</v>
      </c>
      <c r="R42">
        <v>0</v>
      </c>
      <c r="S42">
        <v>0</v>
      </c>
      <c r="T42">
        <v>6.1522375800000004</v>
      </c>
      <c r="U42">
        <v>32.623591329999996</v>
      </c>
      <c r="V42">
        <v>0</v>
      </c>
      <c r="W42">
        <v>0</v>
      </c>
      <c r="X42">
        <v>0</v>
      </c>
      <c r="Y42">
        <v>0</v>
      </c>
      <c r="Z42">
        <v>1</v>
      </c>
      <c r="AA42">
        <v>0.9</v>
      </c>
      <c r="AB42">
        <v>99</v>
      </c>
      <c r="AC42">
        <v>0</v>
      </c>
      <c r="AD42">
        <v>2.708845926</v>
      </c>
      <c r="AE42">
        <v>223.0545138</v>
      </c>
      <c r="AF42">
        <v>219.61112220000001</v>
      </c>
      <c r="AG42">
        <v>132.35076520000001</v>
      </c>
      <c r="AH42">
        <v>97.143175139999997</v>
      </c>
      <c r="AI42">
        <v>100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58.795200000000001</v>
      </c>
      <c r="AS42">
        <v>81.197999999999993</v>
      </c>
      <c r="AT42">
        <v>177.29640000000001</v>
      </c>
      <c r="AU42">
        <v>389.86919999999998</v>
      </c>
      <c r="AV42">
        <v>0</v>
      </c>
    </row>
    <row r="43" spans="1:48">
      <c r="A43">
        <v>42</v>
      </c>
      <c r="B43">
        <v>0.35261719800000002</v>
      </c>
      <c r="C43">
        <v>14.20267973</v>
      </c>
      <c r="D43">
        <v>0.422734738</v>
      </c>
      <c r="E43">
        <v>1.042731836</v>
      </c>
      <c r="F43">
        <v>0</v>
      </c>
      <c r="G43">
        <v>0</v>
      </c>
      <c r="H43">
        <v>0.67928222500000002</v>
      </c>
      <c r="I43">
        <v>0</v>
      </c>
      <c r="J43">
        <v>0.35261719800000002</v>
      </c>
      <c r="K43">
        <v>0.35261719800000002</v>
      </c>
      <c r="L43">
        <v>0.35261719800000002</v>
      </c>
      <c r="M43">
        <v>0</v>
      </c>
      <c r="N43">
        <v>0</v>
      </c>
      <c r="O43">
        <v>0.35261720800000002</v>
      </c>
      <c r="P43">
        <v>1.2512782339999999</v>
      </c>
      <c r="Q43">
        <v>1.2512782339999999</v>
      </c>
      <c r="R43">
        <v>0</v>
      </c>
      <c r="S43">
        <v>0</v>
      </c>
      <c r="T43">
        <v>3.9434464500000002</v>
      </c>
      <c r="U43">
        <v>27.781483850000001</v>
      </c>
      <c r="V43">
        <v>0</v>
      </c>
      <c r="W43">
        <v>0</v>
      </c>
      <c r="X43">
        <v>0</v>
      </c>
      <c r="Y43">
        <v>0</v>
      </c>
      <c r="Z43">
        <v>1</v>
      </c>
      <c r="AA43">
        <v>0.9</v>
      </c>
      <c r="AB43">
        <v>99</v>
      </c>
      <c r="AC43">
        <v>0</v>
      </c>
      <c r="AD43">
        <v>3.2074661529999999</v>
      </c>
      <c r="AE43">
        <v>223.79049409999999</v>
      </c>
      <c r="AF43">
        <v>223.0545138</v>
      </c>
      <c r="AG43">
        <v>131.6018455</v>
      </c>
      <c r="AH43">
        <v>96.6082325</v>
      </c>
      <c r="AI43">
        <v>100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1</v>
      </c>
      <c r="AQ43">
        <v>0</v>
      </c>
      <c r="AR43">
        <v>58.795200000000001</v>
      </c>
      <c r="AS43">
        <v>81.197999999999993</v>
      </c>
      <c r="AT43">
        <v>177.29640000000001</v>
      </c>
      <c r="AU43">
        <v>389.86919999999998</v>
      </c>
      <c r="AV43">
        <v>0</v>
      </c>
    </row>
    <row r="44" spans="1:48">
      <c r="A44">
        <v>43</v>
      </c>
      <c r="B44" s="15">
        <v>0</v>
      </c>
      <c r="C44">
        <v>5.664055201</v>
      </c>
      <c r="D44">
        <v>-0.17933976800000001</v>
      </c>
      <c r="E44">
        <v>1.0764690669999999</v>
      </c>
      <c r="F44">
        <v>0</v>
      </c>
      <c r="G44">
        <v>0</v>
      </c>
      <c r="H44">
        <v>0.64994886699999999</v>
      </c>
      <c r="I44">
        <v>0</v>
      </c>
      <c r="J44" s="15">
        <v>0</v>
      </c>
      <c r="K44" s="15">
        <v>0</v>
      </c>
      <c r="L44" s="15">
        <v>0</v>
      </c>
      <c r="M44">
        <v>0</v>
      </c>
      <c r="N44">
        <v>0</v>
      </c>
      <c r="O44" s="15">
        <v>0</v>
      </c>
      <c r="P44">
        <v>1.291762912</v>
      </c>
      <c r="Q44">
        <v>1.291762912</v>
      </c>
      <c r="R44">
        <v>0</v>
      </c>
      <c r="S44">
        <v>0</v>
      </c>
      <c r="T44">
        <v>1.083057932</v>
      </c>
      <c r="U44">
        <v>25.406663009999999</v>
      </c>
      <c r="V44">
        <v>0</v>
      </c>
      <c r="W44">
        <v>0</v>
      </c>
      <c r="X44">
        <v>0</v>
      </c>
      <c r="Y44">
        <v>0</v>
      </c>
      <c r="Z44">
        <v>1</v>
      </c>
      <c r="AA44">
        <v>0.9</v>
      </c>
      <c r="AB44">
        <v>99</v>
      </c>
      <c r="AC44">
        <v>0</v>
      </c>
      <c r="AD44">
        <v>3.0285131789999999</v>
      </c>
      <c r="AE44">
        <v>221.84503889999999</v>
      </c>
      <c r="AF44">
        <v>223.79049409999999</v>
      </c>
      <c r="AG44">
        <v>133.57506760000001</v>
      </c>
      <c r="AH44">
        <v>98.017676890000004</v>
      </c>
      <c r="AI44">
        <v>100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0</v>
      </c>
      <c r="AP44">
        <v>1</v>
      </c>
      <c r="AQ44">
        <v>0</v>
      </c>
      <c r="AR44">
        <v>58.795200000000001</v>
      </c>
      <c r="AS44">
        <v>81.197999999999993</v>
      </c>
      <c r="AT44">
        <v>177.29640000000001</v>
      </c>
      <c r="AU44">
        <v>389.86919999999998</v>
      </c>
      <c r="AV44">
        <v>0</v>
      </c>
    </row>
    <row r="45" spans="1:48">
      <c r="A45">
        <v>44</v>
      </c>
      <c r="B45" s="15">
        <v>0</v>
      </c>
      <c r="C45">
        <v>2.5745438690000002</v>
      </c>
      <c r="D45">
        <v>-2.9640552009999999</v>
      </c>
      <c r="E45">
        <v>0.88945498300000003</v>
      </c>
      <c r="F45">
        <v>0</v>
      </c>
      <c r="G45">
        <v>0</v>
      </c>
      <c r="H45">
        <v>0.64832948000000001</v>
      </c>
      <c r="I45">
        <v>0</v>
      </c>
      <c r="J45" s="15">
        <v>0</v>
      </c>
      <c r="K45" s="15">
        <v>0</v>
      </c>
      <c r="L45" s="15">
        <v>0</v>
      </c>
      <c r="M45">
        <v>0</v>
      </c>
      <c r="N45">
        <v>0</v>
      </c>
      <c r="O45" s="15">
        <v>0</v>
      </c>
      <c r="P45">
        <v>1.0673460050000001</v>
      </c>
      <c r="Q45">
        <v>1.0673460050000001</v>
      </c>
      <c r="R45">
        <v>0</v>
      </c>
      <c r="S45">
        <v>0</v>
      </c>
      <c r="T45" s="15">
        <v>0.46439235899999998</v>
      </c>
      <c r="U45">
        <v>23.874924650000001</v>
      </c>
      <c r="V45">
        <v>0</v>
      </c>
      <c r="W45">
        <v>0</v>
      </c>
      <c r="X45">
        <v>0</v>
      </c>
      <c r="Y45">
        <v>0</v>
      </c>
      <c r="Z45">
        <v>1</v>
      </c>
      <c r="AA45">
        <v>0.9</v>
      </c>
      <c r="AB45">
        <v>99</v>
      </c>
      <c r="AC45">
        <v>0</v>
      </c>
      <c r="AD45">
        <v>2.710465058</v>
      </c>
      <c r="AE45">
        <v>219.59896620000001</v>
      </c>
      <c r="AF45">
        <v>221.84503889999999</v>
      </c>
      <c r="AG45">
        <v>133.68400199999999</v>
      </c>
      <c r="AH45">
        <v>98.095487140000003</v>
      </c>
      <c r="AI45">
        <v>100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1</v>
      </c>
      <c r="AQ45">
        <v>0</v>
      </c>
      <c r="AR45">
        <v>58.795200000000001</v>
      </c>
      <c r="AS45">
        <v>81.197999999999993</v>
      </c>
      <c r="AT45">
        <v>177.29640000000001</v>
      </c>
      <c r="AU45">
        <v>389.86919999999998</v>
      </c>
      <c r="AV45">
        <v>0</v>
      </c>
    </row>
    <row r="46" spans="1:48">
      <c r="A46">
        <v>45</v>
      </c>
      <c r="B46">
        <v>0</v>
      </c>
      <c r="C46">
        <v>6.789511332</v>
      </c>
      <c r="D46">
        <v>-5.7206602320000002</v>
      </c>
      <c r="E46">
        <v>1.003287029</v>
      </c>
      <c r="F46">
        <v>0</v>
      </c>
      <c r="G46">
        <v>0</v>
      </c>
      <c r="H46">
        <v>0.65730615599999997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1.2039444640000001</v>
      </c>
      <c r="Q46">
        <v>1.2039444640000001</v>
      </c>
      <c r="R46">
        <v>0</v>
      </c>
      <c r="S46">
        <v>0</v>
      </c>
      <c r="T46">
        <v>0.23217138600000001</v>
      </c>
      <c r="U46">
        <v>22.4388088</v>
      </c>
      <c r="V46">
        <v>0</v>
      </c>
      <c r="W46">
        <v>0</v>
      </c>
      <c r="X46">
        <v>0</v>
      </c>
      <c r="Y46">
        <v>0</v>
      </c>
      <c r="Z46">
        <v>1</v>
      </c>
      <c r="AA46">
        <v>0.9</v>
      </c>
      <c r="AB46">
        <v>99</v>
      </c>
      <c r="AC46">
        <v>0</v>
      </c>
      <c r="AD46">
        <v>2.4145403980000002</v>
      </c>
      <c r="AE46">
        <v>217.41659709999999</v>
      </c>
      <c r="AF46">
        <v>219.59896620000001</v>
      </c>
      <c r="AG46">
        <v>133.080151</v>
      </c>
      <c r="AH46">
        <v>97.664165030000007</v>
      </c>
      <c r="AI46">
        <v>100</v>
      </c>
      <c r="AJ46">
        <v>0</v>
      </c>
      <c r="AK46">
        <v>0</v>
      </c>
      <c r="AL46">
        <v>1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58.795200000000001</v>
      </c>
      <c r="AS46">
        <v>81.197999999999993</v>
      </c>
      <c r="AT46">
        <v>177.29640000000001</v>
      </c>
      <c r="AU46">
        <v>389.86919999999998</v>
      </c>
      <c r="AV46">
        <v>0</v>
      </c>
    </row>
    <row r="47" spans="1:48">
      <c r="A47">
        <v>46</v>
      </c>
      <c r="B47">
        <v>0</v>
      </c>
      <c r="C47">
        <v>8.664055201</v>
      </c>
      <c r="D47">
        <v>-5.5311488989999997</v>
      </c>
      <c r="E47">
        <v>0.94063107300000004</v>
      </c>
      <c r="F47">
        <v>0</v>
      </c>
      <c r="G47">
        <v>0</v>
      </c>
      <c r="H47">
        <v>0.65184221799999997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1.1287573129999999</v>
      </c>
      <c r="Q47">
        <v>1.1287573129999999</v>
      </c>
      <c r="R47">
        <v>0</v>
      </c>
      <c r="S47">
        <v>0</v>
      </c>
      <c r="T47">
        <v>0.116985573</v>
      </c>
      <c r="U47">
        <v>21.193065910000001</v>
      </c>
      <c r="V47">
        <v>0</v>
      </c>
      <c r="W47">
        <v>0</v>
      </c>
      <c r="X47">
        <v>0</v>
      </c>
      <c r="Y47">
        <v>0</v>
      </c>
      <c r="Z47">
        <v>1</v>
      </c>
      <c r="AA47">
        <v>0.9</v>
      </c>
      <c r="AB47">
        <v>99</v>
      </c>
      <c r="AC47">
        <v>0</v>
      </c>
      <c r="AD47">
        <v>2.1605399140000001</v>
      </c>
      <c r="AE47">
        <v>215.37304280000001</v>
      </c>
      <c r="AF47">
        <v>217.41659709999999</v>
      </c>
      <c r="AG47">
        <v>133.44770410000001</v>
      </c>
      <c r="AH47">
        <v>97.926702899999995</v>
      </c>
      <c r="AI47">
        <v>100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0</v>
      </c>
      <c r="AP47">
        <v>1</v>
      </c>
      <c r="AQ47">
        <v>0</v>
      </c>
      <c r="AR47">
        <v>58.795200000000001</v>
      </c>
      <c r="AS47">
        <v>81.197999999999993</v>
      </c>
      <c r="AT47">
        <v>177.29640000000001</v>
      </c>
      <c r="AU47">
        <v>389.86919999999998</v>
      </c>
      <c r="AV47">
        <v>0</v>
      </c>
    </row>
    <row r="48" spans="1:48">
      <c r="A48">
        <v>47</v>
      </c>
      <c r="B48">
        <v>0</v>
      </c>
      <c r="C48">
        <v>11.60267973</v>
      </c>
      <c r="D48">
        <v>-2.7952040999999999</v>
      </c>
      <c r="E48">
        <v>0.97977373099999998</v>
      </c>
      <c r="F48">
        <v>0</v>
      </c>
      <c r="G48">
        <v>0</v>
      </c>
      <c r="H48">
        <v>0.65484970399999998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1.1757285040000001</v>
      </c>
      <c r="Q48">
        <v>1.1757285040000001</v>
      </c>
      <c r="R48">
        <v>0</v>
      </c>
      <c r="S48">
        <v>0</v>
      </c>
      <c r="T48" s="15">
        <v>5.96E-2</v>
      </c>
      <c r="U48">
        <v>19.957753199999999</v>
      </c>
      <c r="V48">
        <v>0</v>
      </c>
      <c r="W48">
        <v>0</v>
      </c>
      <c r="X48">
        <v>0</v>
      </c>
      <c r="Y48">
        <v>0</v>
      </c>
      <c r="Z48">
        <v>1</v>
      </c>
      <c r="AA48">
        <v>0.9</v>
      </c>
      <c r="AB48">
        <v>99</v>
      </c>
      <c r="AC48">
        <v>0</v>
      </c>
      <c r="AD48">
        <v>1.9468265229999999</v>
      </c>
      <c r="AE48">
        <v>213.48580050000001</v>
      </c>
      <c r="AF48">
        <v>215.37304280000001</v>
      </c>
      <c r="AG48">
        <v>133.24539379999999</v>
      </c>
      <c r="AH48">
        <v>97.782195599999994</v>
      </c>
      <c r="AI48">
        <v>100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1</v>
      </c>
      <c r="AQ48">
        <v>0</v>
      </c>
      <c r="AR48">
        <v>58.795200000000001</v>
      </c>
      <c r="AS48">
        <v>81.197999999999993</v>
      </c>
      <c r="AT48">
        <v>177.29640000000001</v>
      </c>
      <c r="AU48">
        <v>389.86919999999998</v>
      </c>
      <c r="AV48">
        <v>0</v>
      </c>
    </row>
    <row r="49" spans="1:48">
      <c r="A49">
        <v>48</v>
      </c>
      <c r="B49">
        <v>0</v>
      </c>
      <c r="C49">
        <v>14.12545613</v>
      </c>
      <c r="D49">
        <v>4.0973202740000003</v>
      </c>
      <c r="E49">
        <v>1.0695322570000001</v>
      </c>
      <c r="F49">
        <v>0</v>
      </c>
      <c r="G49">
        <v>0</v>
      </c>
      <c r="H49">
        <v>0.65297085600000004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1.283438737</v>
      </c>
      <c r="Q49">
        <v>1.283438737</v>
      </c>
      <c r="R49">
        <v>0</v>
      </c>
      <c r="S49">
        <v>0</v>
      </c>
      <c r="T49" s="15">
        <v>2.8199999999999999E-2</v>
      </c>
      <c r="U49">
        <v>18.646076690000001</v>
      </c>
      <c r="V49">
        <v>0</v>
      </c>
      <c r="W49">
        <v>0</v>
      </c>
      <c r="X49">
        <v>0</v>
      </c>
      <c r="Y49">
        <v>0</v>
      </c>
      <c r="Z49">
        <v>1</v>
      </c>
      <c r="AA49">
        <v>0.9</v>
      </c>
      <c r="AB49">
        <v>99</v>
      </c>
      <c r="AC49">
        <v>0</v>
      </c>
      <c r="AD49">
        <v>1.7653464510000001</v>
      </c>
      <c r="AE49">
        <v>211.74869179999999</v>
      </c>
      <c r="AF49">
        <v>213.48580050000001</v>
      </c>
      <c r="AG49">
        <v>133.37178180000001</v>
      </c>
      <c r="AH49">
        <v>97.872472729999998</v>
      </c>
      <c r="AI49">
        <v>100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0</v>
      </c>
      <c r="AP49">
        <v>1</v>
      </c>
      <c r="AQ49">
        <v>0</v>
      </c>
      <c r="AR49">
        <v>58.795200000000001</v>
      </c>
      <c r="AS49">
        <v>81.197999999999993</v>
      </c>
      <c r="AT49">
        <v>177.29640000000001</v>
      </c>
      <c r="AU49">
        <v>389.86919999999998</v>
      </c>
      <c r="AV49">
        <v>0</v>
      </c>
    </row>
    <row r="50" spans="1:48">
      <c r="A50">
        <v>49</v>
      </c>
      <c r="B50" s="15">
        <v>1.3129702350000001</v>
      </c>
      <c r="C50">
        <v>11.246074699999999</v>
      </c>
      <c r="D50">
        <v>5.3047959000000002</v>
      </c>
      <c r="E50">
        <v>0.93217662800000001</v>
      </c>
      <c r="F50">
        <v>0</v>
      </c>
      <c r="G50">
        <v>0</v>
      </c>
      <c r="H50">
        <v>0.64866244699999998</v>
      </c>
      <c r="I50">
        <v>0</v>
      </c>
      <c r="J50" s="15">
        <v>1.3129702350000001</v>
      </c>
      <c r="K50" s="15">
        <v>1.3129702350000001</v>
      </c>
      <c r="L50" s="15">
        <v>1.3129702350000001</v>
      </c>
      <c r="M50">
        <v>0</v>
      </c>
      <c r="N50">
        <v>0</v>
      </c>
      <c r="O50" s="15">
        <v>1.312970274</v>
      </c>
      <c r="P50">
        <v>1.1186119779999999</v>
      </c>
      <c r="Q50">
        <v>1.1186119779999999</v>
      </c>
      <c r="R50">
        <v>0</v>
      </c>
      <c r="S50">
        <v>0</v>
      </c>
      <c r="T50" s="15">
        <v>1.8499999999999999E-2</v>
      </c>
      <c r="U50">
        <v>18.821900840000001</v>
      </c>
      <c r="V50">
        <v>0</v>
      </c>
      <c r="W50">
        <v>0</v>
      </c>
      <c r="X50">
        <v>0</v>
      </c>
      <c r="Y50">
        <v>0</v>
      </c>
      <c r="Z50">
        <v>1</v>
      </c>
      <c r="AA50">
        <v>0.9</v>
      </c>
      <c r="AB50">
        <v>99</v>
      </c>
      <c r="AC50">
        <v>0</v>
      </c>
      <c r="AD50">
        <v>1.6118396930000001</v>
      </c>
      <c r="AE50">
        <v>210.1553863</v>
      </c>
      <c r="AF50">
        <v>211.74869179999999</v>
      </c>
      <c r="AG50">
        <v>133.6616037</v>
      </c>
      <c r="AH50">
        <v>98.079488339999997</v>
      </c>
      <c r="AI50">
        <v>100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58.795200000000001</v>
      </c>
      <c r="AS50">
        <v>81.197999999999993</v>
      </c>
      <c r="AT50">
        <v>177.29640000000001</v>
      </c>
      <c r="AU50">
        <v>389.86919999999998</v>
      </c>
      <c r="AV50">
        <v>0</v>
      </c>
    </row>
    <row r="51" spans="1:48">
      <c r="A51">
        <v>50</v>
      </c>
      <c r="B51" s="15">
        <v>0</v>
      </c>
      <c r="C51">
        <v>11.6640552</v>
      </c>
      <c r="D51">
        <v>7.2254561309999996</v>
      </c>
      <c r="E51">
        <v>0.650732333</v>
      </c>
      <c r="F51">
        <v>0</v>
      </c>
      <c r="G51">
        <v>0</v>
      </c>
      <c r="H51">
        <v>0.65525551699999995</v>
      </c>
      <c r="I51">
        <v>0</v>
      </c>
      <c r="J51" s="15">
        <v>0</v>
      </c>
      <c r="K51" s="15">
        <v>0</v>
      </c>
      <c r="L51" s="15">
        <v>0</v>
      </c>
      <c r="M51">
        <v>0</v>
      </c>
      <c r="N51">
        <v>0</v>
      </c>
      <c r="O51" s="15">
        <v>0</v>
      </c>
      <c r="P51">
        <v>0.780878815</v>
      </c>
      <c r="Q51">
        <v>0.780878815</v>
      </c>
      <c r="R51">
        <v>0</v>
      </c>
      <c r="S51">
        <v>0</v>
      </c>
      <c r="T51" s="15">
        <v>1.55E-2</v>
      </c>
      <c r="U51">
        <v>18.025560070000001</v>
      </c>
      <c r="V51">
        <v>0</v>
      </c>
      <c r="W51">
        <v>0</v>
      </c>
      <c r="X51">
        <v>0</v>
      </c>
      <c r="Y51">
        <v>0</v>
      </c>
      <c r="Z51">
        <v>1</v>
      </c>
      <c r="AA51">
        <v>0.9</v>
      </c>
      <c r="AB51">
        <v>99</v>
      </c>
      <c r="AC51">
        <v>0</v>
      </c>
      <c r="AD51">
        <v>1.4815278359999999</v>
      </c>
      <c r="AE51">
        <v>208.68932040000001</v>
      </c>
      <c r="AF51">
        <v>210.1553863</v>
      </c>
      <c r="AG51">
        <v>133.21809519999999</v>
      </c>
      <c r="AH51">
        <v>97.762696590000004</v>
      </c>
      <c r="AI51">
        <v>100</v>
      </c>
      <c r="AJ51">
        <v>0</v>
      </c>
      <c r="AK51">
        <v>0</v>
      </c>
      <c r="AL51">
        <v>1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58.795200000000001</v>
      </c>
      <c r="AS51">
        <v>81.197999999999993</v>
      </c>
      <c r="AT51">
        <v>177.29640000000001</v>
      </c>
      <c r="AU51">
        <v>389.86919999999998</v>
      </c>
      <c r="AV51">
        <v>0</v>
      </c>
    </row>
    <row r="52" spans="1:48">
      <c r="A52">
        <v>51</v>
      </c>
      <c r="B52" s="15">
        <v>0</v>
      </c>
      <c r="C52">
        <v>12.617980510000001</v>
      </c>
      <c r="D52">
        <v>7.8433949690000002</v>
      </c>
      <c r="E52">
        <v>0.72021648699999996</v>
      </c>
      <c r="F52">
        <v>0</v>
      </c>
      <c r="G52">
        <v>0</v>
      </c>
      <c r="H52">
        <v>0.66876484400000002</v>
      </c>
      <c r="I52">
        <v>0</v>
      </c>
      <c r="J52" s="15">
        <v>0</v>
      </c>
      <c r="K52" s="15">
        <v>0</v>
      </c>
      <c r="L52" s="15">
        <v>0</v>
      </c>
      <c r="M52">
        <v>0</v>
      </c>
      <c r="N52">
        <v>0</v>
      </c>
      <c r="O52" s="15">
        <v>0</v>
      </c>
      <c r="P52">
        <v>0.86425980199999997</v>
      </c>
      <c r="Q52">
        <v>0.86425980199999997</v>
      </c>
      <c r="R52">
        <v>0</v>
      </c>
      <c r="S52">
        <v>0</v>
      </c>
      <c r="T52" s="15">
        <v>8.8000000000000005E-3</v>
      </c>
      <c r="U52">
        <v>17.15250215</v>
      </c>
      <c r="V52">
        <v>0</v>
      </c>
      <c r="W52">
        <v>0</v>
      </c>
      <c r="X52">
        <v>0</v>
      </c>
      <c r="Y52">
        <v>0</v>
      </c>
      <c r="Z52">
        <v>1</v>
      </c>
      <c r="AA52">
        <v>0.9</v>
      </c>
      <c r="AB52">
        <v>99</v>
      </c>
      <c r="AC52">
        <v>0</v>
      </c>
      <c r="AD52">
        <v>1.369394778</v>
      </c>
      <c r="AE52">
        <v>207.32872370000001</v>
      </c>
      <c r="AF52">
        <v>208.68932040000001</v>
      </c>
      <c r="AG52">
        <v>132.309338</v>
      </c>
      <c r="AH52">
        <v>97.113584279999998</v>
      </c>
      <c r="AI52">
        <v>100</v>
      </c>
      <c r="AJ52">
        <v>0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1</v>
      </c>
      <c r="AQ52">
        <v>0</v>
      </c>
      <c r="AR52">
        <v>58.795200000000001</v>
      </c>
      <c r="AS52">
        <v>81.197999999999993</v>
      </c>
      <c r="AT52">
        <v>177.29640000000001</v>
      </c>
      <c r="AU52">
        <v>389.86919999999998</v>
      </c>
      <c r="AV52">
        <v>0</v>
      </c>
    </row>
    <row r="53" spans="1:48">
      <c r="A53">
        <v>52</v>
      </c>
      <c r="B53">
        <v>0</v>
      </c>
      <c r="C53">
        <v>14.54339497</v>
      </c>
      <c r="D53">
        <v>6.0047959000000004</v>
      </c>
      <c r="E53">
        <v>1.0175788189999999</v>
      </c>
      <c r="F53">
        <v>0</v>
      </c>
      <c r="G53">
        <v>0</v>
      </c>
      <c r="H53">
        <v>0.66542960399999995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1.2210946060000001</v>
      </c>
      <c r="Q53">
        <v>1.2210946060000001</v>
      </c>
      <c r="R53">
        <v>0</v>
      </c>
      <c r="S53">
        <v>0</v>
      </c>
      <c r="T53" s="15">
        <v>4.2399999999999998E-3</v>
      </c>
      <c r="U53">
        <v>15.927167819999999</v>
      </c>
      <c r="V53">
        <v>0</v>
      </c>
      <c r="W53">
        <v>0</v>
      </c>
      <c r="X53">
        <v>0</v>
      </c>
      <c r="Y53">
        <v>0</v>
      </c>
      <c r="Z53">
        <v>1</v>
      </c>
      <c r="AA53">
        <v>0.9</v>
      </c>
      <c r="AB53">
        <v>99</v>
      </c>
      <c r="AC53">
        <v>0</v>
      </c>
      <c r="AD53">
        <v>1.2719113529999999</v>
      </c>
      <c r="AE53">
        <v>206.06105210000001</v>
      </c>
      <c r="AF53">
        <v>207.32872370000001</v>
      </c>
      <c r="AG53">
        <v>132.5336958</v>
      </c>
      <c r="AH53">
        <v>97.273839859999995</v>
      </c>
      <c r="AI53">
        <v>100</v>
      </c>
      <c r="AJ53">
        <v>0</v>
      </c>
      <c r="AK53">
        <v>0</v>
      </c>
      <c r="AL53">
        <v>1</v>
      </c>
      <c r="AM53">
        <v>1</v>
      </c>
      <c r="AN53">
        <v>0</v>
      </c>
      <c r="AO53">
        <v>0</v>
      </c>
      <c r="AP53">
        <v>1</v>
      </c>
      <c r="AQ53">
        <v>0</v>
      </c>
      <c r="AR53">
        <v>58.795200000000001</v>
      </c>
      <c r="AS53">
        <v>81.197999999999993</v>
      </c>
      <c r="AT53">
        <v>177.29640000000001</v>
      </c>
      <c r="AU53">
        <v>389.86919999999998</v>
      </c>
      <c r="AV53">
        <v>0</v>
      </c>
    </row>
    <row r="54" spans="1:48">
      <c r="A54">
        <v>53</v>
      </c>
      <c r="B54">
        <v>0</v>
      </c>
      <c r="C54">
        <v>13.26124941</v>
      </c>
      <c r="D54">
        <v>3.4454830240000001</v>
      </c>
      <c r="E54">
        <v>0.89015605499999995</v>
      </c>
      <c r="F54">
        <v>0</v>
      </c>
      <c r="G54">
        <v>0</v>
      </c>
      <c r="H54">
        <v>0.65115621199999996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1.068187285</v>
      </c>
      <c r="Q54">
        <v>1.054714639</v>
      </c>
      <c r="R54">
        <v>0</v>
      </c>
      <c r="S54">
        <v>0</v>
      </c>
      <c r="T54" s="15">
        <v>1.66E-3</v>
      </c>
      <c r="U54">
        <v>14.87079527</v>
      </c>
      <c r="V54">
        <v>0</v>
      </c>
      <c r="W54">
        <v>0</v>
      </c>
      <c r="X54">
        <v>0</v>
      </c>
      <c r="Y54">
        <v>0</v>
      </c>
      <c r="Z54">
        <v>1</v>
      </c>
      <c r="AA54">
        <v>0.9</v>
      </c>
      <c r="AB54">
        <v>99</v>
      </c>
      <c r="AC54">
        <v>0</v>
      </c>
      <c r="AD54">
        <v>1.1865007240000001</v>
      </c>
      <c r="AE54">
        <v>204.8762093</v>
      </c>
      <c r="AF54">
        <v>206.06105210000001</v>
      </c>
      <c r="AG54">
        <v>133.49385090000001</v>
      </c>
      <c r="AH54">
        <v>97.959664919999994</v>
      </c>
      <c r="AI54">
        <v>100</v>
      </c>
      <c r="AJ54">
        <v>0</v>
      </c>
      <c r="AK54">
        <v>0</v>
      </c>
      <c r="AL54">
        <v>1</v>
      </c>
      <c r="AM54">
        <v>1</v>
      </c>
      <c r="AN54">
        <v>0</v>
      </c>
      <c r="AO54">
        <v>0</v>
      </c>
      <c r="AP54">
        <v>1</v>
      </c>
      <c r="AQ54">
        <v>0</v>
      </c>
      <c r="AR54">
        <v>58.795200000000001</v>
      </c>
      <c r="AS54">
        <v>81.197999999999993</v>
      </c>
      <c r="AT54">
        <v>177.29640000000001</v>
      </c>
      <c r="AU54">
        <v>389.86919999999998</v>
      </c>
      <c r="AV54">
        <v>0</v>
      </c>
    </row>
    <row r="55" spans="1:48">
      <c r="A55">
        <v>54</v>
      </c>
      <c r="B55">
        <v>0</v>
      </c>
      <c r="C55">
        <v>17.927984330000001</v>
      </c>
      <c r="D55">
        <v>2.609538224</v>
      </c>
      <c r="E55">
        <v>1.2025211149999999</v>
      </c>
      <c r="F55">
        <v>0</v>
      </c>
      <c r="G55">
        <v>0</v>
      </c>
      <c r="H55">
        <v>0.65727250500000001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1.4430253609999999</v>
      </c>
      <c r="Q55">
        <v>1.2890019939999999</v>
      </c>
      <c r="R55">
        <v>0</v>
      </c>
      <c r="S55">
        <v>0</v>
      </c>
      <c r="T55" s="15">
        <v>6.02E-4</v>
      </c>
      <c r="U55">
        <v>13.581191090000001</v>
      </c>
      <c r="V55">
        <v>0</v>
      </c>
      <c r="W55">
        <v>0</v>
      </c>
      <c r="X55">
        <v>0</v>
      </c>
      <c r="Y55">
        <v>0</v>
      </c>
      <c r="Z55">
        <v>1</v>
      </c>
      <c r="AA55">
        <v>0.9</v>
      </c>
      <c r="AB55">
        <v>99</v>
      </c>
      <c r="AC55">
        <v>0</v>
      </c>
      <c r="AD55">
        <v>1.1111868030000001</v>
      </c>
      <c r="AE55">
        <v>203.76562469999999</v>
      </c>
      <c r="AF55">
        <v>204.8762093</v>
      </c>
      <c r="AG55">
        <v>133.08241469999999</v>
      </c>
      <c r="AH55">
        <v>97.665781949999996</v>
      </c>
      <c r="AI55">
        <v>100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1</v>
      </c>
      <c r="AQ55">
        <v>0</v>
      </c>
      <c r="AR55">
        <v>58.795200000000001</v>
      </c>
      <c r="AS55">
        <v>81.197999999999993</v>
      </c>
      <c r="AT55">
        <v>177.29640000000001</v>
      </c>
      <c r="AU55">
        <v>389.86919999999998</v>
      </c>
      <c r="AV55">
        <v>0</v>
      </c>
    </row>
    <row r="56" spans="1:48">
      <c r="A56">
        <v>55</v>
      </c>
      <c r="B56">
        <v>0</v>
      </c>
      <c r="C56">
        <v>21.117980509999999</v>
      </c>
      <c r="D56">
        <v>1.781553892</v>
      </c>
      <c r="E56">
        <v>1.6201614289999999</v>
      </c>
      <c r="F56">
        <v>0</v>
      </c>
      <c r="G56">
        <v>0</v>
      </c>
      <c r="H56">
        <v>0.642278982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1.9441937419999999</v>
      </c>
      <c r="Q56">
        <v>1.4948263470000001</v>
      </c>
      <c r="R56">
        <v>0</v>
      </c>
      <c r="S56">
        <v>0</v>
      </c>
      <c r="T56" s="15">
        <v>1.56E-4</v>
      </c>
      <c r="U56">
        <v>12.086209009999999</v>
      </c>
      <c r="V56">
        <v>0</v>
      </c>
      <c r="W56">
        <v>0</v>
      </c>
      <c r="X56">
        <v>0</v>
      </c>
      <c r="Y56">
        <v>0</v>
      </c>
      <c r="Z56">
        <v>1</v>
      </c>
      <c r="AA56">
        <v>0.9</v>
      </c>
      <c r="AB56">
        <v>99</v>
      </c>
      <c r="AC56">
        <v>0</v>
      </c>
      <c r="AD56">
        <v>1.0443511489999999</v>
      </c>
      <c r="AE56">
        <v>202.72142919999999</v>
      </c>
      <c r="AF56">
        <v>203.76562469999999</v>
      </c>
      <c r="AG56">
        <v>134.09101219999999</v>
      </c>
      <c r="AH56">
        <v>98.386208719999999</v>
      </c>
      <c r="AI56">
        <v>100</v>
      </c>
      <c r="AJ56">
        <v>0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1</v>
      </c>
      <c r="AQ56">
        <v>0</v>
      </c>
      <c r="AR56">
        <v>58.795200000000001</v>
      </c>
      <c r="AS56">
        <v>81.197999999999993</v>
      </c>
      <c r="AT56">
        <v>177.29640000000001</v>
      </c>
      <c r="AU56">
        <v>389.86919999999998</v>
      </c>
      <c r="AV56">
        <v>0</v>
      </c>
    </row>
    <row r="57" spans="1:48">
      <c r="A57">
        <v>56</v>
      </c>
      <c r="B57">
        <v>0</v>
      </c>
      <c r="C57">
        <v>21.346074699999999</v>
      </c>
      <c r="D57">
        <v>2.430058839</v>
      </c>
      <c r="E57">
        <v>1.660791895</v>
      </c>
      <c r="F57">
        <v>0</v>
      </c>
      <c r="G57">
        <v>0</v>
      </c>
      <c r="H57">
        <v>0.62223224799999999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1.992950298</v>
      </c>
      <c r="Q57">
        <v>1.286575265</v>
      </c>
      <c r="R57">
        <v>0</v>
      </c>
      <c r="S57">
        <v>0</v>
      </c>
      <c r="T57" s="15">
        <v>2.8200000000000001E-5</v>
      </c>
      <c r="U57">
        <v>10.799605550000001</v>
      </c>
      <c r="V57">
        <v>0</v>
      </c>
      <c r="W57">
        <v>0</v>
      </c>
      <c r="X57">
        <v>0</v>
      </c>
      <c r="Y57">
        <v>0</v>
      </c>
      <c r="Z57">
        <v>1</v>
      </c>
      <c r="AA57">
        <v>0.9</v>
      </c>
      <c r="AB57">
        <v>99</v>
      </c>
      <c r="AC57">
        <v>0</v>
      </c>
      <c r="AD57">
        <v>0.98468378400000001</v>
      </c>
      <c r="AE57">
        <v>201.73677369999999</v>
      </c>
      <c r="AF57">
        <v>202.72142919999999</v>
      </c>
      <c r="AG57">
        <v>135.4395336</v>
      </c>
      <c r="AH57">
        <v>99.349438289999995</v>
      </c>
      <c r="AI57">
        <v>100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1</v>
      </c>
      <c r="AQ57">
        <v>0</v>
      </c>
      <c r="AR57">
        <v>58.795200000000001</v>
      </c>
      <c r="AS57">
        <v>81.197999999999993</v>
      </c>
      <c r="AT57">
        <v>177.29640000000001</v>
      </c>
      <c r="AU57">
        <v>389.86919999999998</v>
      </c>
      <c r="AV57">
        <v>0</v>
      </c>
    </row>
    <row r="58" spans="1:48">
      <c r="A58">
        <v>57</v>
      </c>
      <c r="B58">
        <v>0</v>
      </c>
      <c r="C58">
        <v>20.864055199999999</v>
      </c>
      <c r="D58">
        <v>2.9660036380000001</v>
      </c>
      <c r="E58">
        <v>1.7443038319999999</v>
      </c>
      <c r="F58">
        <v>0</v>
      </c>
      <c r="G58">
        <v>0</v>
      </c>
      <c r="H58">
        <v>0.62028198499999998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2.0931646189999999</v>
      </c>
      <c r="Q58">
        <v>1.127172324</v>
      </c>
      <c r="R58">
        <v>0</v>
      </c>
      <c r="S58">
        <v>0</v>
      </c>
      <c r="T58" s="15">
        <v>4.7099999999999998E-6</v>
      </c>
      <c r="U58">
        <v>9.6724285079999994</v>
      </c>
      <c r="V58">
        <v>0</v>
      </c>
      <c r="W58">
        <v>0</v>
      </c>
      <c r="X58">
        <v>0</v>
      </c>
      <c r="Y58">
        <v>0</v>
      </c>
      <c r="Z58">
        <v>1</v>
      </c>
      <c r="AA58">
        <v>0.9</v>
      </c>
      <c r="AB58">
        <v>99</v>
      </c>
      <c r="AC58">
        <v>0</v>
      </c>
      <c r="AD58">
        <v>0.931118695</v>
      </c>
      <c r="AE58">
        <v>200.80565970000001</v>
      </c>
      <c r="AF58">
        <v>201.73677369999999</v>
      </c>
      <c r="AG58">
        <v>135.5707256</v>
      </c>
      <c r="AH58">
        <v>99.443146830000003</v>
      </c>
      <c r="AI58">
        <v>100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1</v>
      </c>
      <c r="AQ58">
        <v>0</v>
      </c>
      <c r="AR58">
        <v>58.795200000000001</v>
      </c>
      <c r="AS58">
        <v>81.197999999999993</v>
      </c>
      <c r="AT58">
        <v>177.29640000000001</v>
      </c>
      <c r="AU58">
        <v>389.86919999999998</v>
      </c>
      <c r="AV58">
        <v>0</v>
      </c>
    </row>
    <row r="59" spans="1:48">
      <c r="A59">
        <v>58</v>
      </c>
      <c r="B59">
        <v>0</v>
      </c>
      <c r="C59">
        <v>19.438750590000001</v>
      </c>
      <c r="D59">
        <v>4.5022141229999999</v>
      </c>
      <c r="E59">
        <v>1.968011569</v>
      </c>
      <c r="F59">
        <v>0</v>
      </c>
      <c r="G59">
        <v>0</v>
      </c>
      <c r="H59">
        <v>0.61627341300000005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2.3616138979999999</v>
      </c>
      <c r="Q59">
        <v>1.0438743720000001</v>
      </c>
      <c r="R59">
        <v>0</v>
      </c>
      <c r="S59">
        <v>0</v>
      </c>
      <c r="T59" s="15">
        <v>6.7599999999999997E-7</v>
      </c>
      <c r="U59">
        <v>8.6285534599999991</v>
      </c>
      <c r="V59">
        <v>0</v>
      </c>
      <c r="W59">
        <v>0</v>
      </c>
      <c r="X59">
        <v>0</v>
      </c>
      <c r="Y59">
        <v>0</v>
      </c>
      <c r="Z59">
        <v>1</v>
      </c>
      <c r="AA59">
        <v>0.9</v>
      </c>
      <c r="AB59">
        <v>99</v>
      </c>
      <c r="AC59">
        <v>0</v>
      </c>
      <c r="AD59">
        <v>0.88278336199999996</v>
      </c>
      <c r="AE59">
        <v>199.922877</v>
      </c>
      <c r="AF59">
        <v>200.80565970000001</v>
      </c>
      <c r="AG59">
        <v>135.8403778</v>
      </c>
      <c r="AH59">
        <v>99.635755540000005</v>
      </c>
      <c r="AI59">
        <v>100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0</v>
      </c>
      <c r="AP59">
        <v>1</v>
      </c>
      <c r="AQ59">
        <v>0</v>
      </c>
      <c r="AR59">
        <v>58.795200000000001</v>
      </c>
      <c r="AS59">
        <v>81.197999999999993</v>
      </c>
      <c r="AT59">
        <v>177.29640000000001</v>
      </c>
      <c r="AU59">
        <v>389.86919999999998</v>
      </c>
      <c r="AV59">
        <v>0</v>
      </c>
    </row>
    <row r="60" spans="1:48">
      <c r="A60">
        <v>59</v>
      </c>
      <c r="B60">
        <v>0</v>
      </c>
      <c r="C60">
        <v>14.27454387</v>
      </c>
      <c r="D60">
        <v>2.7559998110000001</v>
      </c>
      <c r="E60">
        <v>1.8181950280000001</v>
      </c>
      <c r="F60">
        <v>0</v>
      </c>
      <c r="G60">
        <v>0</v>
      </c>
      <c r="H60">
        <v>0.60553544199999998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2.1818340410000001</v>
      </c>
      <c r="Q60">
        <v>0.78805408899999996</v>
      </c>
      <c r="R60">
        <v>0</v>
      </c>
      <c r="S60">
        <v>0</v>
      </c>
      <c r="T60" s="15">
        <v>7.6899999999999994E-8</v>
      </c>
      <c r="U60">
        <v>7.8404992929999997</v>
      </c>
      <c r="V60">
        <v>0</v>
      </c>
      <c r="W60">
        <v>0</v>
      </c>
      <c r="X60">
        <v>0</v>
      </c>
      <c r="Y60">
        <v>0</v>
      </c>
      <c r="Z60">
        <v>1</v>
      </c>
      <c r="AA60">
        <v>0.9</v>
      </c>
      <c r="AB60">
        <v>99</v>
      </c>
      <c r="AC60">
        <v>0</v>
      </c>
      <c r="AD60">
        <v>0.83896108999999996</v>
      </c>
      <c r="AE60">
        <v>199.08391599999999</v>
      </c>
      <c r="AF60">
        <v>199.922877</v>
      </c>
      <c r="AG60">
        <v>136.56270900000001</v>
      </c>
      <c r="AH60">
        <v>100.1517065</v>
      </c>
      <c r="AI60">
        <v>100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1</v>
      </c>
      <c r="AQ60">
        <v>0</v>
      </c>
      <c r="AR60">
        <v>58.795200000000001</v>
      </c>
      <c r="AS60">
        <v>81.197999999999993</v>
      </c>
      <c r="AT60">
        <v>177.29640000000001</v>
      </c>
      <c r="AU60">
        <v>389.86919999999998</v>
      </c>
      <c r="AV60">
        <v>0</v>
      </c>
    </row>
    <row r="61" spans="1:48">
      <c r="A61">
        <v>60</v>
      </c>
      <c r="B61">
        <v>0</v>
      </c>
      <c r="C61">
        <v>17.174543870000001</v>
      </c>
      <c r="D61">
        <v>0.16600363800000001</v>
      </c>
      <c r="E61">
        <v>1.7944617570000001</v>
      </c>
      <c r="F61">
        <v>0</v>
      </c>
      <c r="G61">
        <v>0</v>
      </c>
      <c r="H61">
        <v>0.61272663599999999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2.1533541070000002</v>
      </c>
      <c r="Q61">
        <v>0.64158398299999997</v>
      </c>
      <c r="R61">
        <v>0</v>
      </c>
      <c r="S61">
        <v>0</v>
      </c>
      <c r="T61" s="15">
        <v>9.3999999999999998E-9</v>
      </c>
      <c r="U61">
        <v>7.1989153010000004</v>
      </c>
      <c r="V61">
        <v>0</v>
      </c>
      <c r="W61">
        <v>0</v>
      </c>
      <c r="X61">
        <v>0</v>
      </c>
      <c r="Y61">
        <v>0</v>
      </c>
      <c r="Z61">
        <v>1</v>
      </c>
      <c r="AA61">
        <v>0.9</v>
      </c>
      <c r="AB61">
        <v>99</v>
      </c>
      <c r="AC61">
        <v>0</v>
      </c>
      <c r="AD61">
        <v>0.79905903899999997</v>
      </c>
      <c r="AE61">
        <v>198.28485699999999</v>
      </c>
      <c r="AF61">
        <v>199.08391599999999</v>
      </c>
      <c r="AG61">
        <v>136.07896550000001</v>
      </c>
      <c r="AH61">
        <v>99.806175330000002</v>
      </c>
      <c r="AI61">
        <v>100</v>
      </c>
      <c r="AJ61">
        <v>0</v>
      </c>
      <c r="AK61">
        <v>0</v>
      </c>
      <c r="AL61">
        <v>1</v>
      </c>
      <c r="AM61">
        <v>1</v>
      </c>
      <c r="AN61">
        <v>0</v>
      </c>
      <c r="AO61">
        <v>0</v>
      </c>
      <c r="AP61">
        <v>1</v>
      </c>
      <c r="AQ61">
        <v>0</v>
      </c>
      <c r="AR61">
        <v>58.795200000000001</v>
      </c>
      <c r="AS61">
        <v>81.197999999999993</v>
      </c>
      <c r="AT61">
        <v>177.29640000000001</v>
      </c>
      <c r="AU61">
        <v>389.86919999999998</v>
      </c>
      <c r="AV61">
        <v>0</v>
      </c>
    </row>
    <row r="62" spans="1:48">
      <c r="A62">
        <v>61</v>
      </c>
      <c r="B62">
        <v>0</v>
      </c>
      <c r="C62">
        <v>17.174543870000001</v>
      </c>
      <c r="D62">
        <v>-0.15180913100000001</v>
      </c>
      <c r="E62">
        <v>1.761349082</v>
      </c>
      <c r="F62">
        <v>0</v>
      </c>
      <c r="G62">
        <v>0</v>
      </c>
      <c r="H62">
        <v>0.61386583299999997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2.113618888</v>
      </c>
      <c r="Q62">
        <v>0.520978096</v>
      </c>
      <c r="R62">
        <v>0</v>
      </c>
      <c r="S62">
        <v>0</v>
      </c>
      <c r="T62" s="15">
        <v>1.08E-9</v>
      </c>
      <c r="U62">
        <v>6.677937204</v>
      </c>
      <c r="V62">
        <v>0</v>
      </c>
      <c r="W62">
        <v>0</v>
      </c>
      <c r="X62">
        <v>0</v>
      </c>
      <c r="Y62">
        <v>0</v>
      </c>
      <c r="Z62">
        <v>1</v>
      </c>
      <c r="AA62">
        <v>0.9</v>
      </c>
      <c r="AB62">
        <v>99</v>
      </c>
      <c r="AC62">
        <v>0</v>
      </c>
      <c r="AD62">
        <v>0.76258292299999997</v>
      </c>
      <c r="AE62">
        <v>197.52227400000001</v>
      </c>
      <c r="AF62">
        <v>198.28485699999999</v>
      </c>
      <c r="AG62">
        <v>136.0023329</v>
      </c>
      <c r="AH62">
        <v>99.751437809999999</v>
      </c>
      <c r="AI62">
        <v>100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1</v>
      </c>
      <c r="AQ62">
        <v>0</v>
      </c>
      <c r="AR62">
        <v>58.795200000000001</v>
      </c>
      <c r="AS62">
        <v>81.197999999999993</v>
      </c>
      <c r="AT62">
        <v>177.29640000000001</v>
      </c>
      <c r="AU62">
        <v>389.86919999999998</v>
      </c>
      <c r="AV62">
        <v>0</v>
      </c>
    </row>
    <row r="63" spans="1:48">
      <c r="A63">
        <v>62</v>
      </c>
      <c r="B63" s="15">
        <v>0</v>
      </c>
      <c r="C63">
        <v>15.246074699999999</v>
      </c>
      <c r="D63">
        <v>2.4660036380000001</v>
      </c>
      <c r="E63">
        <v>1.391869333</v>
      </c>
      <c r="F63">
        <v>0</v>
      </c>
      <c r="G63">
        <v>0</v>
      </c>
      <c r="H63">
        <v>0.61545524200000001</v>
      </c>
      <c r="I63">
        <v>0</v>
      </c>
      <c r="J63" s="15">
        <v>0</v>
      </c>
      <c r="K63" s="15">
        <v>0</v>
      </c>
      <c r="L63" s="15">
        <v>0</v>
      </c>
      <c r="M63">
        <v>0</v>
      </c>
      <c r="N63">
        <v>0</v>
      </c>
      <c r="O63" s="15">
        <v>0</v>
      </c>
      <c r="P63">
        <v>1.6702431820000001</v>
      </c>
      <c r="Q63">
        <v>0.34778215299999998</v>
      </c>
      <c r="R63">
        <v>0</v>
      </c>
      <c r="S63">
        <v>0</v>
      </c>
      <c r="T63" s="15">
        <v>1.2400000000000001E-10</v>
      </c>
      <c r="U63">
        <v>6.3301550510000002</v>
      </c>
      <c r="V63">
        <v>0</v>
      </c>
      <c r="W63">
        <v>0</v>
      </c>
      <c r="X63">
        <v>0</v>
      </c>
      <c r="Y63">
        <v>0</v>
      </c>
      <c r="Z63">
        <v>1</v>
      </c>
      <c r="AA63">
        <v>0.9</v>
      </c>
      <c r="AB63">
        <v>99</v>
      </c>
      <c r="AC63">
        <v>0</v>
      </c>
      <c r="AD63">
        <v>0.72911747999999998</v>
      </c>
      <c r="AE63">
        <v>196.7931566</v>
      </c>
      <c r="AF63">
        <v>197.52227400000001</v>
      </c>
      <c r="AG63">
        <v>135.8954152</v>
      </c>
      <c r="AH63">
        <v>99.675067990000002</v>
      </c>
      <c r="AI63">
        <v>100</v>
      </c>
      <c r="AJ63">
        <v>0</v>
      </c>
      <c r="AK63">
        <v>0</v>
      </c>
      <c r="AL63">
        <v>1</v>
      </c>
      <c r="AM63">
        <v>1</v>
      </c>
      <c r="AN63">
        <v>0</v>
      </c>
      <c r="AO63">
        <v>0</v>
      </c>
      <c r="AP63">
        <v>1</v>
      </c>
      <c r="AQ63">
        <v>0</v>
      </c>
      <c r="AR63">
        <v>58.795200000000001</v>
      </c>
      <c r="AS63">
        <v>81.197999999999993</v>
      </c>
      <c r="AT63">
        <v>177.29640000000001</v>
      </c>
      <c r="AU63">
        <v>389.86919999999998</v>
      </c>
      <c r="AV63">
        <v>0</v>
      </c>
    </row>
    <row r="64" spans="1:48">
      <c r="A64">
        <v>63</v>
      </c>
      <c r="B64">
        <v>0</v>
      </c>
      <c r="C64">
        <v>15.22798433</v>
      </c>
      <c r="D64">
        <v>0.52753063700000002</v>
      </c>
      <c r="E64">
        <v>1.4610360090000001</v>
      </c>
      <c r="F64">
        <v>0</v>
      </c>
      <c r="G64">
        <v>0</v>
      </c>
      <c r="H64">
        <v>0.63319027000000006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1.7532431820000001</v>
      </c>
      <c r="Q64">
        <v>0.31359823999999997</v>
      </c>
      <c r="R64">
        <v>0</v>
      </c>
      <c r="S64">
        <v>0</v>
      </c>
      <c r="T64" s="15">
        <v>1.8500000000000001E-11</v>
      </c>
      <c r="U64">
        <v>6.0165568110000001</v>
      </c>
      <c r="V64">
        <v>0</v>
      </c>
      <c r="W64">
        <v>0</v>
      </c>
      <c r="X64">
        <v>0</v>
      </c>
      <c r="Y64">
        <v>0</v>
      </c>
      <c r="Z64">
        <v>1</v>
      </c>
      <c r="AA64">
        <v>0.9</v>
      </c>
      <c r="AB64">
        <v>99</v>
      </c>
      <c r="AC64">
        <v>0</v>
      </c>
      <c r="AD64">
        <v>0.69831137799999998</v>
      </c>
      <c r="AE64">
        <v>196.09484520000001</v>
      </c>
      <c r="AF64">
        <v>196.7931566</v>
      </c>
      <c r="AG64">
        <v>134.7023997</v>
      </c>
      <c r="AH64">
        <v>98.822914089999998</v>
      </c>
      <c r="AI64">
        <v>100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1</v>
      </c>
      <c r="AQ64">
        <v>0</v>
      </c>
      <c r="AR64">
        <v>58.795200000000001</v>
      </c>
      <c r="AS64">
        <v>81.197999999999993</v>
      </c>
      <c r="AT64">
        <v>177.29640000000001</v>
      </c>
      <c r="AU64">
        <v>389.86919999999998</v>
      </c>
      <c r="AV64">
        <v>0</v>
      </c>
    </row>
    <row r="65" spans="1:48">
      <c r="A65">
        <v>64</v>
      </c>
      <c r="B65" s="15">
        <v>0</v>
      </c>
      <c r="C65">
        <v>17.564055199999999</v>
      </c>
      <c r="D65">
        <v>5.8720156670000003</v>
      </c>
      <c r="E65">
        <v>1.9085269650000001</v>
      </c>
      <c r="F65">
        <v>0</v>
      </c>
      <c r="G65">
        <v>0</v>
      </c>
      <c r="H65">
        <v>0.62987026999999995</v>
      </c>
      <c r="I65">
        <v>0</v>
      </c>
      <c r="J65" s="15">
        <v>0</v>
      </c>
      <c r="K65" s="15">
        <v>0</v>
      </c>
      <c r="L65" s="15">
        <v>0</v>
      </c>
      <c r="M65">
        <v>0</v>
      </c>
      <c r="N65">
        <v>0</v>
      </c>
      <c r="O65" s="15">
        <v>0</v>
      </c>
      <c r="P65">
        <v>2.290232305</v>
      </c>
      <c r="Q65">
        <v>0.34257134700000003</v>
      </c>
      <c r="R65">
        <v>0</v>
      </c>
      <c r="S65">
        <v>0</v>
      </c>
      <c r="T65" s="15">
        <v>2.0400000000000002E-12</v>
      </c>
      <c r="U65">
        <v>5.6739854630000002</v>
      </c>
      <c r="V65">
        <v>0</v>
      </c>
      <c r="W65">
        <v>0</v>
      </c>
      <c r="X65">
        <v>0</v>
      </c>
      <c r="Y65">
        <v>0</v>
      </c>
      <c r="Z65">
        <v>1</v>
      </c>
      <c r="AA65">
        <v>0.9</v>
      </c>
      <c r="AB65">
        <v>99</v>
      </c>
      <c r="AC65">
        <v>0</v>
      </c>
      <c r="AD65">
        <v>0.66986542400000004</v>
      </c>
      <c r="AE65">
        <v>195.42497969999999</v>
      </c>
      <c r="AF65">
        <v>196.09484520000001</v>
      </c>
      <c r="AG65">
        <v>134.92573239999999</v>
      </c>
      <c r="AH65">
        <v>98.982437430000004</v>
      </c>
      <c r="AI65">
        <v>100</v>
      </c>
      <c r="AJ65">
        <v>0</v>
      </c>
      <c r="AK65">
        <v>0</v>
      </c>
      <c r="AL65">
        <v>1</v>
      </c>
      <c r="AM65">
        <v>1</v>
      </c>
      <c r="AN65">
        <v>0</v>
      </c>
      <c r="AO65">
        <v>0</v>
      </c>
      <c r="AP65">
        <v>1</v>
      </c>
      <c r="AQ65">
        <v>0</v>
      </c>
      <c r="AR65">
        <v>58.795200000000001</v>
      </c>
      <c r="AS65">
        <v>81.197999999999993</v>
      </c>
      <c r="AT65">
        <v>177.29640000000001</v>
      </c>
      <c r="AU65">
        <v>389.86919999999998</v>
      </c>
      <c r="AV65">
        <v>0</v>
      </c>
    </row>
    <row r="66" spans="1:48">
      <c r="A66">
        <v>65</v>
      </c>
      <c r="B66">
        <v>0</v>
      </c>
      <c r="C66">
        <v>10.1460747</v>
      </c>
      <c r="D66" s="15">
        <v>3.3047958999999998</v>
      </c>
      <c r="E66">
        <v>1.4086046619999999</v>
      </c>
      <c r="F66">
        <v>0</v>
      </c>
      <c r="G66">
        <v>0</v>
      </c>
      <c r="H66">
        <v>0.60839070500000003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1.6903255420000001</v>
      </c>
      <c r="Q66">
        <v>0.211807579</v>
      </c>
      <c r="R66">
        <v>0</v>
      </c>
      <c r="S66">
        <v>0</v>
      </c>
      <c r="T66" s="15">
        <v>1.06E-13</v>
      </c>
      <c r="U66">
        <v>5.4621778839999999</v>
      </c>
      <c r="V66">
        <v>0</v>
      </c>
      <c r="W66">
        <v>0</v>
      </c>
      <c r="X66">
        <v>0</v>
      </c>
      <c r="Y66">
        <v>0</v>
      </c>
      <c r="Z66">
        <v>1</v>
      </c>
      <c r="AA66">
        <v>0.9</v>
      </c>
      <c r="AB66">
        <v>99</v>
      </c>
      <c r="AC66">
        <v>0</v>
      </c>
      <c r="AD66">
        <v>0.64352328999999997</v>
      </c>
      <c r="AE66">
        <v>194.78145649999999</v>
      </c>
      <c r="AF66">
        <v>195.42497969999999</v>
      </c>
      <c r="AG66">
        <v>136.37063860000001</v>
      </c>
      <c r="AH66">
        <v>100.0145133</v>
      </c>
      <c r="AI66">
        <v>100</v>
      </c>
      <c r="AJ66">
        <v>0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1</v>
      </c>
      <c r="AQ66">
        <v>0</v>
      </c>
      <c r="AR66">
        <v>58.795200000000001</v>
      </c>
      <c r="AS66">
        <v>81.197999999999993</v>
      </c>
      <c r="AT66">
        <v>177.29640000000001</v>
      </c>
      <c r="AU66">
        <v>389.86919999999998</v>
      </c>
      <c r="AV66">
        <v>0</v>
      </c>
    </row>
    <row r="67" spans="1:48">
      <c r="A67">
        <v>66</v>
      </c>
      <c r="B67">
        <v>0</v>
      </c>
      <c r="C67">
        <v>13.05660503</v>
      </c>
      <c r="D67">
        <v>-1.523339958</v>
      </c>
      <c r="E67">
        <v>1.6050957699999999</v>
      </c>
      <c r="F67">
        <v>0</v>
      </c>
      <c r="G67">
        <v>0</v>
      </c>
      <c r="H67">
        <v>0.63238697499999996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1.926114847</v>
      </c>
      <c r="Q67">
        <v>0.20559682300000001</v>
      </c>
      <c r="R67">
        <v>0</v>
      </c>
      <c r="S67">
        <v>0</v>
      </c>
      <c r="T67" s="15">
        <v>7.7900000000000008E-15</v>
      </c>
      <c r="U67">
        <v>5.2565810610000003</v>
      </c>
      <c r="V67">
        <v>0</v>
      </c>
      <c r="W67">
        <v>0</v>
      </c>
      <c r="X67">
        <v>0</v>
      </c>
      <c r="Y67">
        <v>0</v>
      </c>
      <c r="Z67">
        <v>1</v>
      </c>
      <c r="AA67">
        <v>0.9</v>
      </c>
      <c r="AB67">
        <v>99</v>
      </c>
      <c r="AC67">
        <v>0</v>
      </c>
      <c r="AD67">
        <v>0.61906414300000001</v>
      </c>
      <c r="AE67">
        <v>194.16239229999999</v>
      </c>
      <c r="AF67">
        <v>194.78145649999999</v>
      </c>
      <c r="AG67">
        <v>134.75643640000001</v>
      </c>
      <c r="AH67">
        <v>98.861511739999997</v>
      </c>
      <c r="AI67">
        <v>100</v>
      </c>
      <c r="AJ67">
        <v>0</v>
      </c>
      <c r="AK67">
        <v>0</v>
      </c>
      <c r="AL67">
        <v>1</v>
      </c>
      <c r="AM67">
        <v>1</v>
      </c>
      <c r="AN67">
        <v>0</v>
      </c>
      <c r="AO67">
        <v>0</v>
      </c>
      <c r="AP67">
        <v>1</v>
      </c>
      <c r="AQ67">
        <v>0</v>
      </c>
      <c r="AR67">
        <v>58.795200000000001</v>
      </c>
      <c r="AS67">
        <v>81.197999999999993</v>
      </c>
      <c r="AT67">
        <v>177.29640000000001</v>
      </c>
      <c r="AU67">
        <v>389.86919999999998</v>
      </c>
      <c r="AV67">
        <v>0</v>
      </c>
    </row>
    <row r="68" spans="1:48">
      <c r="A68">
        <v>67</v>
      </c>
      <c r="B68">
        <v>0</v>
      </c>
      <c r="C68">
        <v>13.73875059</v>
      </c>
      <c r="D68">
        <v>-0.96184107799999996</v>
      </c>
      <c r="E68">
        <v>1.6814233000000001</v>
      </c>
      <c r="F68">
        <v>0</v>
      </c>
      <c r="G68">
        <v>0</v>
      </c>
      <c r="H68">
        <v>0.62295540299999996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2.0177078580000001</v>
      </c>
      <c r="Q68">
        <v>0.180768241</v>
      </c>
      <c r="R68">
        <v>0</v>
      </c>
      <c r="S68">
        <v>0</v>
      </c>
      <c r="T68" s="15">
        <v>2.4400000000000002E-16</v>
      </c>
      <c r="U68">
        <v>5.0758128200000003</v>
      </c>
      <c r="V68">
        <v>0</v>
      </c>
      <c r="W68">
        <v>0</v>
      </c>
      <c r="X68">
        <v>0</v>
      </c>
      <c r="Y68">
        <v>0</v>
      </c>
      <c r="Z68">
        <v>1</v>
      </c>
      <c r="AA68">
        <v>0.9</v>
      </c>
      <c r="AB68">
        <v>99</v>
      </c>
      <c r="AC68">
        <v>0</v>
      </c>
      <c r="AD68">
        <v>0.59629673299999997</v>
      </c>
      <c r="AE68">
        <v>193.56609560000001</v>
      </c>
      <c r="AF68">
        <v>194.16239229999999</v>
      </c>
      <c r="AG68">
        <v>135.39088770000001</v>
      </c>
      <c r="AH68">
        <v>99.314691229999994</v>
      </c>
      <c r="AI68">
        <v>100</v>
      </c>
      <c r="AJ68">
        <v>0</v>
      </c>
      <c r="AK68">
        <v>0</v>
      </c>
      <c r="AL68">
        <v>1</v>
      </c>
      <c r="AM68">
        <v>1</v>
      </c>
      <c r="AN68">
        <v>0</v>
      </c>
      <c r="AO68">
        <v>0</v>
      </c>
      <c r="AP68">
        <v>1</v>
      </c>
      <c r="AQ68">
        <v>0</v>
      </c>
      <c r="AR68">
        <v>58.795200000000001</v>
      </c>
      <c r="AS68">
        <v>81.197999999999993</v>
      </c>
      <c r="AT68">
        <v>177.29640000000001</v>
      </c>
      <c r="AU68">
        <v>389.86919999999998</v>
      </c>
      <c r="AV68">
        <v>0</v>
      </c>
    </row>
    <row r="69" spans="1:48">
      <c r="A69">
        <v>68</v>
      </c>
      <c r="B69">
        <v>0</v>
      </c>
      <c r="C69">
        <v>14.802679729999999</v>
      </c>
      <c r="D69" s="15">
        <v>7.3499999999999996E-2</v>
      </c>
      <c r="E69">
        <v>1.8421910889999999</v>
      </c>
      <c r="F69">
        <v>0</v>
      </c>
      <c r="G69">
        <v>0</v>
      </c>
      <c r="H69">
        <v>0.61929168300000004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2.2106291690000002</v>
      </c>
      <c r="Q69">
        <v>0.16417212</v>
      </c>
      <c r="R69">
        <v>0</v>
      </c>
      <c r="S69">
        <v>0</v>
      </c>
      <c r="T69" s="15">
        <v>2.2200000000000001E-18</v>
      </c>
      <c r="U69">
        <v>4.9116406990000003</v>
      </c>
      <c r="V69">
        <v>0</v>
      </c>
      <c r="W69">
        <v>0</v>
      </c>
      <c r="X69">
        <v>0</v>
      </c>
      <c r="Y69">
        <v>0</v>
      </c>
      <c r="Z69">
        <v>1</v>
      </c>
      <c r="AA69">
        <v>0.9</v>
      </c>
      <c r="AB69">
        <v>99</v>
      </c>
      <c r="AC69">
        <v>0</v>
      </c>
      <c r="AD69">
        <v>0.57505463099999998</v>
      </c>
      <c r="AE69">
        <v>192.991041</v>
      </c>
      <c r="AF69">
        <v>193.56609560000001</v>
      </c>
      <c r="AG69">
        <v>135.63734210000001</v>
      </c>
      <c r="AH69">
        <v>99.490730060000004</v>
      </c>
      <c r="AI69">
        <v>100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0</v>
      </c>
      <c r="AP69">
        <v>1</v>
      </c>
      <c r="AQ69">
        <v>0</v>
      </c>
      <c r="AR69">
        <v>58.795200000000001</v>
      </c>
      <c r="AS69">
        <v>81.197999999999993</v>
      </c>
      <c r="AT69">
        <v>177.29640000000001</v>
      </c>
      <c r="AU69">
        <v>389.86919999999998</v>
      </c>
      <c r="AV69">
        <v>0</v>
      </c>
    </row>
    <row r="70" spans="1:48">
      <c r="A70">
        <v>69</v>
      </c>
      <c r="B70">
        <v>0</v>
      </c>
      <c r="C70">
        <v>15.55660503</v>
      </c>
      <c r="D70">
        <v>1.158679537</v>
      </c>
      <c r="E70">
        <v>1.9370481799999999</v>
      </c>
      <c r="F70">
        <v>0</v>
      </c>
      <c r="G70">
        <v>0</v>
      </c>
      <c r="H70">
        <v>0.61157483099999999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2.3244576399999999</v>
      </c>
      <c r="Q70">
        <v>0.141133745</v>
      </c>
      <c r="R70">
        <v>0</v>
      </c>
      <c r="S70">
        <v>0</v>
      </c>
      <c r="T70" s="15">
        <v>4.5399999999999996E-22</v>
      </c>
      <c r="U70">
        <v>4.770506954</v>
      </c>
      <c r="V70">
        <v>0</v>
      </c>
      <c r="W70">
        <v>0</v>
      </c>
      <c r="X70">
        <v>0</v>
      </c>
      <c r="Y70">
        <v>0</v>
      </c>
      <c r="Z70">
        <v>1</v>
      </c>
      <c r="AA70">
        <v>0.9</v>
      </c>
      <c r="AB70">
        <v>99</v>
      </c>
      <c r="AC70">
        <v>0</v>
      </c>
      <c r="AD70">
        <v>0.55519234799999995</v>
      </c>
      <c r="AE70">
        <v>192.43584860000001</v>
      </c>
      <c r="AF70">
        <v>192.991041</v>
      </c>
      <c r="AG70">
        <v>136.15644610000001</v>
      </c>
      <c r="AH70">
        <v>99.86151864</v>
      </c>
      <c r="AI70">
        <v>100</v>
      </c>
      <c r="AJ70">
        <v>0</v>
      </c>
      <c r="AK70">
        <v>0</v>
      </c>
      <c r="AL70">
        <v>1</v>
      </c>
      <c r="AM70">
        <v>1</v>
      </c>
      <c r="AN70">
        <v>0</v>
      </c>
      <c r="AO70">
        <v>0</v>
      </c>
      <c r="AP70">
        <v>1</v>
      </c>
      <c r="AQ70">
        <v>0</v>
      </c>
      <c r="AR70">
        <v>58.795200000000001</v>
      </c>
      <c r="AS70">
        <v>81.197999999999993</v>
      </c>
      <c r="AT70">
        <v>177.29640000000001</v>
      </c>
      <c r="AU70">
        <v>389.86919999999998</v>
      </c>
      <c r="AV70">
        <v>0</v>
      </c>
    </row>
    <row r="71" spans="1:48">
      <c r="A71">
        <v>70</v>
      </c>
      <c r="B71">
        <v>0</v>
      </c>
      <c r="C71">
        <v>12.117980510000001</v>
      </c>
      <c r="D71">
        <v>1.738158922</v>
      </c>
      <c r="E71">
        <v>1.152892668</v>
      </c>
      <c r="F71">
        <v>0</v>
      </c>
      <c r="G71">
        <v>0</v>
      </c>
      <c r="H71">
        <v>0.607021692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1.383471076</v>
      </c>
      <c r="Q71" s="15">
        <v>7.1300000000000002E-2</v>
      </c>
      <c r="R71">
        <v>0</v>
      </c>
      <c r="S71">
        <v>0</v>
      </c>
      <c r="T71" s="15">
        <v>0</v>
      </c>
      <c r="U71">
        <v>4.6991921290000001</v>
      </c>
      <c r="V71">
        <v>0</v>
      </c>
      <c r="W71">
        <v>0</v>
      </c>
      <c r="X71">
        <v>0</v>
      </c>
      <c r="Y71">
        <v>0</v>
      </c>
      <c r="Z71">
        <v>1</v>
      </c>
      <c r="AA71">
        <v>0.9</v>
      </c>
      <c r="AB71">
        <v>99</v>
      </c>
      <c r="AC71">
        <v>0</v>
      </c>
      <c r="AD71">
        <v>0.53658215799999998</v>
      </c>
      <c r="AE71">
        <v>191.89926639999999</v>
      </c>
      <c r="AF71">
        <v>192.43584860000001</v>
      </c>
      <c r="AG71">
        <v>136.46273059999999</v>
      </c>
      <c r="AH71">
        <v>100.08029329999999</v>
      </c>
      <c r="AI71">
        <v>100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58.795200000000001</v>
      </c>
      <c r="AS71">
        <v>81.197999999999993</v>
      </c>
      <c r="AT71">
        <v>177.29640000000001</v>
      </c>
      <c r="AU71">
        <v>389.86919999999998</v>
      </c>
      <c r="AV71">
        <v>0</v>
      </c>
    </row>
    <row r="72" spans="1:48">
      <c r="A72">
        <v>71</v>
      </c>
      <c r="B72">
        <v>0</v>
      </c>
      <c r="C72">
        <v>17.572015669999999</v>
      </c>
      <c r="D72">
        <v>4.2866638699999999</v>
      </c>
      <c r="E72">
        <v>1.889396206</v>
      </c>
      <c r="F72">
        <v>0</v>
      </c>
      <c r="G72">
        <v>0</v>
      </c>
      <c r="H72">
        <v>0.64466115400000001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2.2672751999999998</v>
      </c>
      <c r="Q72" s="15">
        <v>9.9299999999999999E-2</v>
      </c>
      <c r="R72">
        <v>0</v>
      </c>
      <c r="S72">
        <v>0</v>
      </c>
      <c r="T72" s="15">
        <v>0</v>
      </c>
      <c r="U72">
        <v>4.5999002449999997</v>
      </c>
      <c r="V72">
        <v>0</v>
      </c>
      <c r="W72">
        <v>0</v>
      </c>
      <c r="X72">
        <v>0</v>
      </c>
      <c r="Y72">
        <v>0</v>
      </c>
      <c r="Z72">
        <v>1</v>
      </c>
      <c r="AA72">
        <v>0.9</v>
      </c>
      <c r="AB72">
        <v>99</v>
      </c>
      <c r="AC72">
        <v>0</v>
      </c>
      <c r="AD72">
        <v>0.51911148399999996</v>
      </c>
      <c r="AE72">
        <v>191.380155</v>
      </c>
      <c r="AF72">
        <v>191.89926639999999</v>
      </c>
      <c r="AG72">
        <v>133.93076619999999</v>
      </c>
      <c r="AH72">
        <v>98.271747289999993</v>
      </c>
      <c r="AI72">
        <v>100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0</v>
      </c>
      <c r="AP72">
        <v>1</v>
      </c>
      <c r="AQ72">
        <v>0</v>
      </c>
      <c r="AR72">
        <v>58.795200000000001</v>
      </c>
      <c r="AS72">
        <v>81.197999999999993</v>
      </c>
      <c r="AT72">
        <v>177.29640000000001</v>
      </c>
      <c r="AU72">
        <v>389.86919999999998</v>
      </c>
      <c r="AV72">
        <v>0</v>
      </c>
    </row>
    <row r="73" spans="1:48">
      <c r="A73">
        <v>72</v>
      </c>
      <c r="B73">
        <v>0</v>
      </c>
      <c r="C73">
        <v>17.302679730000001</v>
      </c>
      <c r="D73">
        <v>1.2914597699999999</v>
      </c>
      <c r="E73">
        <v>2.100624206</v>
      </c>
      <c r="F73">
        <v>0</v>
      </c>
      <c r="G73">
        <v>0</v>
      </c>
      <c r="H73">
        <v>0.60930899000000005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2.5207487230000001</v>
      </c>
      <c r="Q73" s="15">
        <v>8.9300000000000004E-2</v>
      </c>
      <c r="R73">
        <v>0</v>
      </c>
      <c r="S73">
        <v>0</v>
      </c>
      <c r="T73" s="15">
        <v>0</v>
      </c>
      <c r="U73">
        <v>4.5106403339999996</v>
      </c>
      <c r="V73">
        <v>0</v>
      </c>
      <c r="W73">
        <v>0</v>
      </c>
      <c r="X73">
        <v>0</v>
      </c>
      <c r="Y73">
        <v>0</v>
      </c>
      <c r="Z73">
        <v>1</v>
      </c>
      <c r="AA73">
        <v>0.9</v>
      </c>
      <c r="AB73">
        <v>99</v>
      </c>
      <c r="AC73">
        <v>0</v>
      </c>
      <c r="AD73">
        <v>0.50268072900000005</v>
      </c>
      <c r="AE73">
        <v>190.87747419999999</v>
      </c>
      <c r="AF73">
        <v>191.380155</v>
      </c>
      <c r="AG73">
        <v>136.30886670000001</v>
      </c>
      <c r="AH73">
        <v>99.970390499999993</v>
      </c>
      <c r="AI73">
        <v>100</v>
      </c>
      <c r="AJ73">
        <v>0</v>
      </c>
      <c r="AK73">
        <v>0</v>
      </c>
      <c r="AL73">
        <v>1</v>
      </c>
      <c r="AM73">
        <v>1</v>
      </c>
      <c r="AN73">
        <v>0</v>
      </c>
      <c r="AO73">
        <v>0</v>
      </c>
      <c r="AP73">
        <v>1</v>
      </c>
      <c r="AQ73">
        <v>0</v>
      </c>
      <c r="AR73">
        <v>58.795200000000001</v>
      </c>
      <c r="AS73">
        <v>81.197999999999993</v>
      </c>
      <c r="AT73">
        <v>177.29640000000001</v>
      </c>
      <c r="AU73">
        <v>389.86919999999998</v>
      </c>
      <c r="AV73">
        <v>0</v>
      </c>
    </row>
    <row r="74" spans="1:48">
      <c r="A74">
        <v>73</v>
      </c>
      <c r="B74">
        <v>0</v>
      </c>
      <c r="C74">
        <v>16.249280930000001</v>
      </c>
      <c r="D74">
        <v>1.845483024</v>
      </c>
      <c r="E74">
        <v>3.410065264</v>
      </c>
      <c r="F74">
        <v>0</v>
      </c>
      <c r="G74">
        <v>0</v>
      </c>
      <c r="H74">
        <v>0.59917004900000004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4.0920776999999999</v>
      </c>
      <c r="Q74">
        <v>0.10822684</v>
      </c>
      <c r="R74">
        <v>0</v>
      </c>
      <c r="S74">
        <v>0</v>
      </c>
      <c r="T74" s="15">
        <v>0</v>
      </c>
      <c r="U74">
        <v>4.4024134940000001</v>
      </c>
      <c r="V74">
        <v>0</v>
      </c>
      <c r="W74">
        <v>0</v>
      </c>
      <c r="X74">
        <v>0</v>
      </c>
      <c r="Y74">
        <v>0</v>
      </c>
      <c r="Z74">
        <v>1</v>
      </c>
      <c r="AA74">
        <v>0.9</v>
      </c>
      <c r="AB74">
        <v>99</v>
      </c>
      <c r="AC74">
        <v>0</v>
      </c>
      <c r="AD74">
        <v>0.487201465</v>
      </c>
      <c r="AE74">
        <v>190.39027279999999</v>
      </c>
      <c r="AF74">
        <v>190.87747419999999</v>
      </c>
      <c r="AG74">
        <v>136.99090190000001</v>
      </c>
      <c r="AH74">
        <v>100.4575585</v>
      </c>
      <c r="AI74">
        <v>100</v>
      </c>
      <c r="AJ74">
        <v>0</v>
      </c>
      <c r="AK74">
        <v>0</v>
      </c>
      <c r="AL74">
        <v>1</v>
      </c>
      <c r="AM74">
        <v>1</v>
      </c>
      <c r="AN74">
        <v>0</v>
      </c>
      <c r="AO74">
        <v>0</v>
      </c>
      <c r="AP74">
        <v>1</v>
      </c>
      <c r="AQ74">
        <v>0</v>
      </c>
      <c r="AR74">
        <v>58.795200000000001</v>
      </c>
      <c r="AS74">
        <v>81.197999999999993</v>
      </c>
      <c r="AT74">
        <v>177.29640000000001</v>
      </c>
      <c r="AU74">
        <v>389.86919999999998</v>
      </c>
      <c r="AV74">
        <v>0</v>
      </c>
    </row>
    <row r="75" spans="1:48">
      <c r="A75">
        <v>74</v>
      </c>
      <c r="B75">
        <v>0</v>
      </c>
      <c r="C75">
        <v>17.238750589999999</v>
      </c>
      <c r="D75">
        <v>-1.2545169759999999</v>
      </c>
      <c r="E75">
        <v>3.2659282150000002</v>
      </c>
      <c r="F75">
        <v>0</v>
      </c>
      <c r="G75">
        <v>0</v>
      </c>
      <c r="H75">
        <v>0.53631689100000002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3.9191131669999999</v>
      </c>
      <c r="Q75" s="15">
        <v>7.2599999999999998E-2</v>
      </c>
      <c r="R75">
        <v>0</v>
      </c>
      <c r="S75">
        <v>0</v>
      </c>
      <c r="T75" s="15">
        <v>0</v>
      </c>
      <c r="U75">
        <v>4.3298198650000002</v>
      </c>
      <c r="V75">
        <v>0</v>
      </c>
      <c r="W75">
        <v>0</v>
      </c>
      <c r="X75">
        <v>0</v>
      </c>
      <c r="Y75">
        <v>0</v>
      </c>
      <c r="Z75">
        <v>1</v>
      </c>
      <c r="AA75">
        <v>0.9</v>
      </c>
      <c r="AB75">
        <v>99</v>
      </c>
      <c r="AC75">
        <v>0</v>
      </c>
      <c r="AD75">
        <v>0.472594923</v>
      </c>
      <c r="AE75">
        <v>189.91767780000001</v>
      </c>
      <c r="AF75">
        <v>190.39027279999999</v>
      </c>
      <c r="AG75">
        <v>141.21896340000001</v>
      </c>
      <c r="AH75">
        <v>103.47760239999999</v>
      </c>
      <c r="AI75">
        <v>100</v>
      </c>
      <c r="AJ75">
        <v>0</v>
      </c>
      <c r="AK75">
        <v>0</v>
      </c>
      <c r="AL75">
        <v>1</v>
      </c>
      <c r="AM75">
        <v>1</v>
      </c>
      <c r="AN75">
        <v>0</v>
      </c>
      <c r="AO75">
        <v>0</v>
      </c>
      <c r="AP75">
        <v>1</v>
      </c>
      <c r="AQ75">
        <v>0</v>
      </c>
      <c r="AR75">
        <v>58.795200000000001</v>
      </c>
      <c r="AS75">
        <v>81.197999999999993</v>
      </c>
      <c r="AT75">
        <v>177.29640000000001</v>
      </c>
      <c r="AU75">
        <v>389.86919999999998</v>
      </c>
      <c r="AV75">
        <v>0</v>
      </c>
    </row>
    <row r="76" spans="1:48">
      <c r="A76">
        <v>75</v>
      </c>
      <c r="B76">
        <v>0</v>
      </c>
      <c r="C76">
        <v>16.841320459999999</v>
      </c>
      <c r="D76">
        <v>7.197320274</v>
      </c>
      <c r="E76">
        <v>4.9687252290000004</v>
      </c>
      <c r="F76">
        <v>0</v>
      </c>
      <c r="G76">
        <v>0</v>
      </c>
      <c r="H76">
        <v>0.543235472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5.9624690539999996</v>
      </c>
      <c r="Q76" s="15">
        <v>7.1599999999999997E-2</v>
      </c>
      <c r="R76">
        <v>0</v>
      </c>
      <c r="S76">
        <v>0</v>
      </c>
      <c r="T76" s="15">
        <v>0</v>
      </c>
      <c r="U76">
        <v>4.2582035879999998</v>
      </c>
      <c r="V76">
        <v>0</v>
      </c>
      <c r="W76">
        <v>0</v>
      </c>
      <c r="X76">
        <v>0</v>
      </c>
      <c r="Y76">
        <v>0</v>
      </c>
      <c r="Z76">
        <v>1</v>
      </c>
      <c r="AA76">
        <v>0.9</v>
      </c>
      <c r="AB76">
        <v>99</v>
      </c>
      <c r="AC76">
        <v>0</v>
      </c>
      <c r="AD76">
        <v>0.45879071100000002</v>
      </c>
      <c r="AE76">
        <v>189.4588871</v>
      </c>
      <c r="AF76">
        <v>189.91767780000001</v>
      </c>
      <c r="AG76">
        <v>140.75355819999999</v>
      </c>
      <c r="AH76">
        <v>103.1451701</v>
      </c>
      <c r="AI76">
        <v>100</v>
      </c>
      <c r="AJ76">
        <v>0</v>
      </c>
      <c r="AK76">
        <v>0</v>
      </c>
      <c r="AL76">
        <v>1</v>
      </c>
      <c r="AM76">
        <v>1</v>
      </c>
      <c r="AN76">
        <v>0</v>
      </c>
      <c r="AO76">
        <v>0</v>
      </c>
      <c r="AP76">
        <v>1</v>
      </c>
      <c r="AQ76">
        <v>0</v>
      </c>
      <c r="AR76">
        <v>58.795200000000001</v>
      </c>
      <c r="AS76">
        <v>81.197999999999993</v>
      </c>
      <c r="AT76">
        <v>177.29640000000001</v>
      </c>
      <c r="AU76">
        <v>389.86919999999998</v>
      </c>
      <c r="AV76">
        <v>0</v>
      </c>
    </row>
    <row r="77" spans="1:48">
      <c r="A77">
        <v>76</v>
      </c>
      <c r="B77">
        <v>0</v>
      </c>
      <c r="C77">
        <v>16.913336130000001</v>
      </c>
      <c r="D77">
        <v>2.9766600419999998</v>
      </c>
      <c r="E77">
        <v>3.4211918610000001</v>
      </c>
      <c r="F77">
        <v>0</v>
      </c>
      <c r="G77">
        <v>0</v>
      </c>
      <c r="H77">
        <v>0.46150123900000001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4.1054292610000003</v>
      </c>
      <c r="Q77" s="15">
        <v>3.15E-2</v>
      </c>
      <c r="R77">
        <v>0</v>
      </c>
      <c r="S77">
        <v>0</v>
      </c>
      <c r="T77" s="15">
        <v>0</v>
      </c>
      <c r="U77">
        <v>4.2266720099999997</v>
      </c>
      <c r="V77">
        <v>0</v>
      </c>
      <c r="W77">
        <v>0</v>
      </c>
      <c r="X77">
        <v>0</v>
      </c>
      <c r="Y77">
        <v>0</v>
      </c>
      <c r="Z77">
        <v>1</v>
      </c>
      <c r="AA77">
        <v>0.9</v>
      </c>
      <c r="AB77">
        <v>99</v>
      </c>
      <c r="AC77">
        <v>0</v>
      </c>
      <c r="AD77">
        <v>0.44572573999999998</v>
      </c>
      <c r="AE77">
        <v>189.0131614</v>
      </c>
      <c r="AF77">
        <v>189.4588871</v>
      </c>
      <c r="AG77">
        <v>146.25172860000001</v>
      </c>
      <c r="AH77">
        <v>107.0724347</v>
      </c>
      <c r="AI77">
        <v>100</v>
      </c>
      <c r="AJ77">
        <v>0</v>
      </c>
      <c r="AK77">
        <v>0</v>
      </c>
      <c r="AL77">
        <v>1</v>
      </c>
      <c r="AM77">
        <v>1</v>
      </c>
      <c r="AN77">
        <v>0</v>
      </c>
      <c r="AO77">
        <v>0</v>
      </c>
      <c r="AP77">
        <v>1</v>
      </c>
      <c r="AQ77">
        <v>0</v>
      </c>
      <c r="AR77">
        <v>58.795200000000001</v>
      </c>
      <c r="AS77">
        <v>81.197999999999993</v>
      </c>
      <c r="AT77">
        <v>177.29640000000001</v>
      </c>
      <c r="AU77">
        <v>389.86919999999998</v>
      </c>
      <c r="AV77">
        <v>0</v>
      </c>
    </row>
    <row r="78" spans="1:48">
      <c r="A78">
        <v>77</v>
      </c>
      <c r="B78">
        <v>1.163617519</v>
      </c>
      <c r="C78">
        <v>12.26673493</v>
      </c>
      <c r="D78">
        <v>0.44548302400000001</v>
      </c>
      <c r="E78">
        <v>2.0367626470000002</v>
      </c>
      <c r="F78">
        <v>0</v>
      </c>
      <c r="G78">
        <v>0</v>
      </c>
      <c r="H78">
        <v>0.53578282899999996</v>
      </c>
      <c r="I78">
        <v>0</v>
      </c>
      <c r="J78">
        <v>1.163617519</v>
      </c>
      <c r="K78">
        <v>1.163617519</v>
      </c>
      <c r="L78">
        <v>1.163617519</v>
      </c>
      <c r="M78">
        <v>0</v>
      </c>
      <c r="N78">
        <v>0</v>
      </c>
      <c r="O78">
        <v>1.163617554</v>
      </c>
      <c r="P78">
        <v>2.4441145089999998</v>
      </c>
      <c r="Q78">
        <v>0.12850803499999999</v>
      </c>
      <c r="R78">
        <v>0</v>
      </c>
      <c r="S78">
        <v>0</v>
      </c>
      <c r="T78" s="15">
        <v>1.83E-17</v>
      </c>
      <c r="U78">
        <v>5.2617815290000003</v>
      </c>
      <c r="V78">
        <v>0</v>
      </c>
      <c r="W78">
        <v>0</v>
      </c>
      <c r="X78">
        <v>0</v>
      </c>
      <c r="Y78">
        <v>0</v>
      </c>
      <c r="Z78">
        <v>1</v>
      </c>
      <c r="AA78">
        <v>0.9</v>
      </c>
      <c r="AB78">
        <v>99</v>
      </c>
      <c r="AC78">
        <v>0</v>
      </c>
      <c r="AD78">
        <v>0.43334330399999998</v>
      </c>
      <c r="AE78">
        <v>188.57981810000001</v>
      </c>
      <c r="AF78">
        <v>189.0131614</v>
      </c>
      <c r="AG78">
        <v>141.25488920000001</v>
      </c>
      <c r="AH78">
        <v>103.50326370000001</v>
      </c>
      <c r="AI78">
        <v>100</v>
      </c>
      <c r="AJ78">
        <v>0</v>
      </c>
      <c r="AK78">
        <v>0</v>
      </c>
      <c r="AL78">
        <v>1</v>
      </c>
      <c r="AM78">
        <v>1</v>
      </c>
      <c r="AN78">
        <v>0</v>
      </c>
      <c r="AO78">
        <v>0</v>
      </c>
      <c r="AP78">
        <v>1</v>
      </c>
      <c r="AQ78">
        <v>0</v>
      </c>
      <c r="AR78">
        <v>58.795200000000001</v>
      </c>
      <c r="AS78">
        <v>81.197999999999993</v>
      </c>
      <c r="AT78">
        <v>177.29640000000001</v>
      </c>
      <c r="AU78">
        <v>389.86919999999998</v>
      </c>
      <c r="AV78">
        <v>0</v>
      </c>
    </row>
    <row r="79" spans="1:48">
      <c r="A79">
        <v>78</v>
      </c>
      <c r="B79">
        <v>0</v>
      </c>
      <c r="C79">
        <v>11.44339497</v>
      </c>
      <c r="D79">
        <v>0.86885110099999996</v>
      </c>
      <c r="E79">
        <v>2.0509784949999998</v>
      </c>
      <c r="F79">
        <v>0</v>
      </c>
      <c r="G79">
        <v>0</v>
      </c>
      <c r="H79">
        <v>0.60223541700000005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2.461173423</v>
      </c>
      <c r="Q79">
        <v>0.21722571800000001</v>
      </c>
      <c r="R79">
        <v>0</v>
      </c>
      <c r="S79">
        <v>0</v>
      </c>
      <c r="T79" s="15">
        <v>2.5600000000000002E-16</v>
      </c>
      <c r="U79">
        <v>5.0445558119999996</v>
      </c>
      <c r="V79">
        <v>0</v>
      </c>
      <c r="W79">
        <v>0</v>
      </c>
      <c r="X79">
        <v>0</v>
      </c>
      <c r="Y79">
        <v>0</v>
      </c>
      <c r="Z79">
        <v>1</v>
      </c>
      <c r="AA79">
        <v>0.9</v>
      </c>
      <c r="AB79">
        <v>99</v>
      </c>
      <c r="AC79">
        <v>0</v>
      </c>
      <c r="AD79">
        <v>0.421592297</v>
      </c>
      <c r="AE79">
        <v>188.1582258</v>
      </c>
      <c r="AF79">
        <v>188.57981810000001</v>
      </c>
      <c r="AG79">
        <v>136.78469799999999</v>
      </c>
      <c r="AH79">
        <v>100.31027</v>
      </c>
      <c r="AI79">
        <v>100</v>
      </c>
      <c r="AJ79">
        <v>0</v>
      </c>
      <c r="AK79">
        <v>0</v>
      </c>
      <c r="AL79">
        <v>1</v>
      </c>
      <c r="AM79">
        <v>1</v>
      </c>
      <c r="AN79">
        <v>0</v>
      </c>
      <c r="AO79">
        <v>0</v>
      </c>
      <c r="AP79">
        <v>1</v>
      </c>
      <c r="AQ79">
        <v>0</v>
      </c>
      <c r="AR79">
        <v>58.795200000000001</v>
      </c>
      <c r="AS79">
        <v>81.197999999999993</v>
      </c>
      <c r="AT79">
        <v>177.29640000000001</v>
      </c>
      <c r="AU79">
        <v>389.86919999999998</v>
      </c>
      <c r="AV79">
        <v>0</v>
      </c>
    </row>
    <row r="80" spans="1:48">
      <c r="A80">
        <v>79</v>
      </c>
      <c r="B80">
        <v>0</v>
      </c>
      <c r="C80">
        <v>12.95660503</v>
      </c>
      <c r="D80">
        <v>-2.2133361300000001</v>
      </c>
      <c r="E80">
        <v>2.2056915039999998</v>
      </c>
      <c r="F80">
        <v>0</v>
      </c>
      <c r="G80">
        <v>0</v>
      </c>
      <c r="H80">
        <v>0.60155306099999994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2.6468288549999999</v>
      </c>
      <c r="Q80">
        <v>0.18633611999999999</v>
      </c>
      <c r="R80">
        <v>0</v>
      </c>
      <c r="S80">
        <v>0</v>
      </c>
      <c r="T80" s="15">
        <v>6.8800000000000002E-19</v>
      </c>
      <c r="U80">
        <v>4.8582196910000004</v>
      </c>
      <c r="V80">
        <v>0</v>
      </c>
      <c r="W80">
        <v>0</v>
      </c>
      <c r="X80">
        <v>0</v>
      </c>
      <c r="Y80">
        <v>0</v>
      </c>
      <c r="Z80">
        <v>1</v>
      </c>
      <c r="AA80">
        <v>0.9</v>
      </c>
      <c r="AB80">
        <v>99</v>
      </c>
      <c r="AC80">
        <v>0</v>
      </c>
      <c r="AD80">
        <v>0.41042654299999998</v>
      </c>
      <c r="AE80">
        <v>187.7477993</v>
      </c>
      <c r="AF80">
        <v>188.1582258</v>
      </c>
      <c r="AG80">
        <v>136.83059929999999</v>
      </c>
      <c r="AH80">
        <v>100.34305670000001</v>
      </c>
      <c r="AI80">
        <v>100</v>
      </c>
      <c r="AJ80">
        <v>0</v>
      </c>
      <c r="AK80">
        <v>0</v>
      </c>
      <c r="AL80">
        <v>1</v>
      </c>
      <c r="AM80">
        <v>1</v>
      </c>
      <c r="AN80">
        <v>0</v>
      </c>
      <c r="AO80">
        <v>0</v>
      </c>
      <c r="AP80">
        <v>1</v>
      </c>
      <c r="AQ80">
        <v>0</v>
      </c>
      <c r="AR80">
        <v>58.795200000000001</v>
      </c>
      <c r="AS80">
        <v>81.197999999999993</v>
      </c>
      <c r="AT80">
        <v>177.29640000000001</v>
      </c>
      <c r="AU80">
        <v>389.86919999999998</v>
      </c>
      <c r="AV80">
        <v>0</v>
      </c>
    </row>
    <row r="81" spans="1:48">
      <c r="A81">
        <v>80</v>
      </c>
      <c r="B81">
        <v>0</v>
      </c>
      <c r="C81">
        <v>11.54928093</v>
      </c>
      <c r="D81">
        <v>-2.8339963620000002</v>
      </c>
      <c r="E81">
        <v>2.0179054019999998</v>
      </c>
      <c r="F81">
        <v>0</v>
      </c>
      <c r="G81">
        <v>0</v>
      </c>
      <c r="H81">
        <v>0.59412684400000004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2.4214854909999999</v>
      </c>
      <c r="Q81">
        <v>0.13608115000000001</v>
      </c>
      <c r="R81">
        <v>0</v>
      </c>
      <c r="S81">
        <v>0</v>
      </c>
      <c r="T81" s="15">
        <v>8.2800000000000004E-25</v>
      </c>
      <c r="U81">
        <v>4.7221385409999996</v>
      </c>
      <c r="V81">
        <v>0</v>
      </c>
      <c r="W81">
        <v>0</v>
      </c>
      <c r="X81">
        <v>0</v>
      </c>
      <c r="Y81">
        <v>0</v>
      </c>
      <c r="Z81">
        <v>1</v>
      </c>
      <c r="AA81">
        <v>0.9</v>
      </c>
      <c r="AB81">
        <v>99</v>
      </c>
      <c r="AC81">
        <v>0</v>
      </c>
      <c r="AD81">
        <v>0.39980421900000002</v>
      </c>
      <c r="AE81">
        <v>187.347995</v>
      </c>
      <c r="AF81">
        <v>187.7477993</v>
      </c>
      <c r="AG81">
        <v>137.33015259999999</v>
      </c>
      <c r="AH81">
        <v>100.69988050000001</v>
      </c>
      <c r="AI81">
        <v>100</v>
      </c>
      <c r="AJ81">
        <v>0</v>
      </c>
      <c r="AK81">
        <v>0</v>
      </c>
      <c r="AL81">
        <v>1</v>
      </c>
      <c r="AM81">
        <v>1</v>
      </c>
      <c r="AN81">
        <v>0</v>
      </c>
      <c r="AO81">
        <v>0</v>
      </c>
      <c r="AP81">
        <v>1</v>
      </c>
      <c r="AQ81">
        <v>0</v>
      </c>
      <c r="AR81">
        <v>58.795200000000001</v>
      </c>
      <c r="AS81">
        <v>81.197999999999993</v>
      </c>
      <c r="AT81">
        <v>177.29640000000001</v>
      </c>
      <c r="AU81">
        <v>389.86919999999998</v>
      </c>
      <c r="AV81">
        <v>0</v>
      </c>
    </row>
    <row r="82" spans="1:48">
      <c r="A82">
        <v>81</v>
      </c>
      <c r="B82">
        <v>0</v>
      </c>
      <c r="C82">
        <v>16.974543870000002</v>
      </c>
      <c r="D82">
        <v>-2.9265326429999998</v>
      </c>
      <c r="E82">
        <v>2.538185168</v>
      </c>
      <c r="F82">
        <v>0</v>
      </c>
      <c r="G82">
        <v>0</v>
      </c>
      <c r="H82">
        <v>0.60314057799999998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3.0458207829999999</v>
      </c>
      <c r="Q82">
        <v>0.13441793499999999</v>
      </c>
      <c r="R82">
        <v>0</v>
      </c>
      <c r="S82">
        <v>0</v>
      </c>
      <c r="T82" s="15">
        <v>0</v>
      </c>
      <c r="U82">
        <v>4.5877206060000004</v>
      </c>
      <c r="V82">
        <v>0</v>
      </c>
      <c r="W82">
        <v>0</v>
      </c>
      <c r="X82">
        <v>0</v>
      </c>
      <c r="Y82">
        <v>0</v>
      </c>
      <c r="Z82">
        <v>1</v>
      </c>
      <c r="AA82">
        <v>0.9</v>
      </c>
      <c r="AB82">
        <v>99</v>
      </c>
      <c r="AC82">
        <v>0</v>
      </c>
      <c r="AD82">
        <v>0.38968735500000001</v>
      </c>
      <c r="AE82">
        <v>186.95830770000001</v>
      </c>
      <c r="AF82">
        <v>187.347995</v>
      </c>
      <c r="AG82">
        <v>136.7238088</v>
      </c>
      <c r="AH82">
        <v>100.26677770000001</v>
      </c>
      <c r="AI82">
        <v>100</v>
      </c>
      <c r="AJ82">
        <v>0</v>
      </c>
      <c r="AK82">
        <v>0</v>
      </c>
      <c r="AL82">
        <v>1</v>
      </c>
      <c r="AM82">
        <v>1</v>
      </c>
      <c r="AN82">
        <v>0</v>
      </c>
      <c r="AO82">
        <v>0</v>
      </c>
      <c r="AP82">
        <v>1</v>
      </c>
      <c r="AQ82">
        <v>0</v>
      </c>
      <c r="AR82">
        <v>58.795200000000001</v>
      </c>
      <c r="AS82">
        <v>81.197999999999993</v>
      </c>
      <c r="AT82">
        <v>177.29640000000001</v>
      </c>
      <c r="AU82">
        <v>389.86919999999998</v>
      </c>
      <c r="AV82">
        <v>0</v>
      </c>
    </row>
    <row r="83" spans="1:48">
      <c r="A83">
        <v>82</v>
      </c>
      <c r="B83">
        <v>0</v>
      </c>
      <c r="C83">
        <v>15.574543869999999</v>
      </c>
      <c r="D83">
        <v>1.481553892</v>
      </c>
      <c r="E83">
        <v>2.7555368919999998</v>
      </c>
      <c r="F83">
        <v>0</v>
      </c>
      <c r="G83">
        <v>0</v>
      </c>
      <c r="H83">
        <v>0.57816716700000004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3.3066425220000002</v>
      </c>
      <c r="Q83">
        <v>0.11007641999999999</v>
      </c>
      <c r="R83">
        <v>0</v>
      </c>
      <c r="S83">
        <v>0</v>
      </c>
      <c r="T83" s="15">
        <v>0</v>
      </c>
      <c r="U83">
        <v>4.477644186</v>
      </c>
      <c r="V83">
        <v>0</v>
      </c>
      <c r="W83">
        <v>0</v>
      </c>
      <c r="X83">
        <v>0</v>
      </c>
      <c r="Y83">
        <v>0</v>
      </c>
      <c r="Z83">
        <v>1</v>
      </c>
      <c r="AA83">
        <v>0.9</v>
      </c>
      <c r="AB83">
        <v>99</v>
      </c>
      <c r="AC83">
        <v>0</v>
      </c>
      <c r="AD83">
        <v>0.380041405</v>
      </c>
      <c r="AE83">
        <v>186.5782663</v>
      </c>
      <c r="AF83">
        <v>186.95830770000001</v>
      </c>
      <c r="AG83">
        <v>138.40374220000001</v>
      </c>
      <c r="AH83">
        <v>101.4667302</v>
      </c>
      <c r="AI83">
        <v>100</v>
      </c>
      <c r="AJ83">
        <v>0</v>
      </c>
      <c r="AK83">
        <v>0</v>
      </c>
      <c r="AL83">
        <v>1</v>
      </c>
      <c r="AM83">
        <v>1</v>
      </c>
      <c r="AN83">
        <v>0</v>
      </c>
      <c r="AO83">
        <v>0</v>
      </c>
      <c r="AP83">
        <v>1</v>
      </c>
      <c r="AQ83">
        <v>0</v>
      </c>
      <c r="AR83">
        <v>58.795200000000001</v>
      </c>
      <c r="AS83">
        <v>81.197999999999993</v>
      </c>
      <c r="AT83">
        <v>177.29640000000001</v>
      </c>
      <c r="AU83">
        <v>389.86919999999998</v>
      </c>
      <c r="AV83">
        <v>0</v>
      </c>
    </row>
    <row r="84" spans="1:48">
      <c r="A84">
        <v>83</v>
      </c>
      <c r="B84">
        <v>0</v>
      </c>
      <c r="C84">
        <v>18.846074699999999</v>
      </c>
      <c r="D84">
        <v>0.37666004199999997</v>
      </c>
      <c r="E84">
        <v>2.6206451240000002</v>
      </c>
      <c r="F84">
        <v>0</v>
      </c>
      <c r="G84">
        <v>0</v>
      </c>
      <c r="H84">
        <v>0.56773429799999997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3.1447722659999999</v>
      </c>
      <c r="Q84" s="15">
        <v>7.8600000000000003E-2</v>
      </c>
      <c r="R84">
        <v>0</v>
      </c>
      <c r="S84">
        <v>0</v>
      </c>
      <c r="T84" s="15">
        <v>0</v>
      </c>
      <c r="U84">
        <v>4.3990268180000003</v>
      </c>
      <c r="V84">
        <v>0</v>
      </c>
      <c r="W84">
        <v>0</v>
      </c>
      <c r="X84">
        <v>0</v>
      </c>
      <c r="Y84">
        <v>0</v>
      </c>
      <c r="Z84">
        <v>1</v>
      </c>
      <c r="AA84">
        <v>0.9</v>
      </c>
      <c r="AB84">
        <v>99</v>
      </c>
      <c r="AC84">
        <v>0</v>
      </c>
      <c r="AD84">
        <v>0.37083487100000001</v>
      </c>
      <c r="AE84">
        <v>186.20743139999999</v>
      </c>
      <c r="AF84">
        <v>186.5782663</v>
      </c>
      <c r="AG84">
        <v>139.10554970000001</v>
      </c>
      <c r="AH84">
        <v>101.9680212</v>
      </c>
      <c r="AI84">
        <v>100</v>
      </c>
      <c r="AJ84">
        <v>0</v>
      </c>
      <c r="AK84">
        <v>0</v>
      </c>
      <c r="AL84">
        <v>1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58.795200000000001</v>
      </c>
      <c r="AS84">
        <v>81.197999999999993</v>
      </c>
      <c r="AT84">
        <v>177.29640000000001</v>
      </c>
      <c r="AU84">
        <v>389.86919999999998</v>
      </c>
      <c r="AV84">
        <v>0</v>
      </c>
    </row>
    <row r="85" spans="1:48">
      <c r="A85">
        <v>84</v>
      </c>
      <c r="B85">
        <v>0</v>
      </c>
      <c r="C85">
        <v>19.87454387</v>
      </c>
      <c r="D85">
        <v>1.938158922</v>
      </c>
      <c r="E85">
        <v>2.7149630739999999</v>
      </c>
      <c r="F85">
        <v>0</v>
      </c>
      <c r="G85">
        <v>0</v>
      </c>
      <c r="H85">
        <v>0.57420910800000002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3.2579534859999999</v>
      </c>
      <c r="Q85" s="15">
        <v>6.13E-2</v>
      </c>
      <c r="R85">
        <v>0</v>
      </c>
      <c r="S85">
        <v>0</v>
      </c>
      <c r="T85" s="15">
        <v>0</v>
      </c>
      <c r="U85">
        <v>4.3377023929999998</v>
      </c>
      <c r="V85">
        <v>0</v>
      </c>
      <c r="W85">
        <v>0</v>
      </c>
      <c r="X85">
        <v>0</v>
      </c>
      <c r="Y85">
        <v>0</v>
      </c>
      <c r="Z85">
        <v>1</v>
      </c>
      <c r="AA85">
        <v>0.9</v>
      </c>
      <c r="AB85">
        <v>99</v>
      </c>
      <c r="AC85">
        <v>0</v>
      </c>
      <c r="AD85">
        <v>0.36203897400000001</v>
      </c>
      <c r="AE85">
        <v>185.84539240000001</v>
      </c>
      <c r="AF85">
        <v>186.20743139999999</v>
      </c>
      <c r="AG85">
        <v>138.6699964</v>
      </c>
      <c r="AH85">
        <v>101.65691169999999</v>
      </c>
      <c r="AI85">
        <v>100</v>
      </c>
      <c r="AJ85">
        <v>0</v>
      </c>
      <c r="AK85">
        <v>0</v>
      </c>
      <c r="AL85">
        <v>1</v>
      </c>
      <c r="AM85">
        <v>1</v>
      </c>
      <c r="AN85">
        <v>0</v>
      </c>
      <c r="AO85">
        <v>0</v>
      </c>
      <c r="AP85">
        <v>1</v>
      </c>
      <c r="AQ85">
        <v>0</v>
      </c>
      <c r="AR85">
        <v>58.795200000000001</v>
      </c>
      <c r="AS85">
        <v>81.197999999999993</v>
      </c>
      <c r="AT85">
        <v>177.29640000000001</v>
      </c>
      <c r="AU85">
        <v>389.86919999999998</v>
      </c>
      <c r="AV85">
        <v>0</v>
      </c>
    </row>
    <row r="86" spans="1:48">
      <c r="A86">
        <v>85</v>
      </c>
      <c r="B86">
        <v>0</v>
      </c>
      <c r="C86">
        <v>19.984715430000001</v>
      </c>
      <c r="D86">
        <v>3.0914597700000002</v>
      </c>
      <c r="E86">
        <v>2.6231582809999998</v>
      </c>
      <c r="F86">
        <v>0</v>
      </c>
      <c r="G86">
        <v>0</v>
      </c>
      <c r="H86">
        <v>0.56968185900000001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3.1477875389999999</v>
      </c>
      <c r="Q86" s="15">
        <v>4.4600000000000001E-2</v>
      </c>
      <c r="R86">
        <v>0</v>
      </c>
      <c r="S86">
        <v>0</v>
      </c>
      <c r="T86" s="15">
        <v>0</v>
      </c>
      <c r="U86">
        <v>4.2930599599999999</v>
      </c>
      <c r="V86">
        <v>0</v>
      </c>
      <c r="W86">
        <v>0</v>
      </c>
      <c r="X86">
        <v>0</v>
      </c>
      <c r="Y86">
        <v>0</v>
      </c>
      <c r="Z86">
        <v>1</v>
      </c>
      <c r="AA86">
        <v>0.9</v>
      </c>
      <c r="AB86">
        <v>99</v>
      </c>
      <c r="AC86">
        <v>0</v>
      </c>
      <c r="AD86">
        <v>0.35362737399999999</v>
      </c>
      <c r="AE86">
        <v>185.49176510000001</v>
      </c>
      <c r="AF86">
        <v>185.84539240000001</v>
      </c>
      <c r="AG86">
        <v>138.9745394</v>
      </c>
      <c r="AH86">
        <v>101.87444240000001</v>
      </c>
      <c r="AI86">
        <v>100</v>
      </c>
      <c r="AJ86">
        <v>0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1</v>
      </c>
      <c r="AQ86">
        <v>0</v>
      </c>
      <c r="AR86">
        <v>58.795200000000001</v>
      </c>
      <c r="AS86">
        <v>81.197999999999993</v>
      </c>
      <c r="AT86">
        <v>177.29640000000001</v>
      </c>
      <c r="AU86">
        <v>389.86919999999998</v>
      </c>
      <c r="AV86">
        <v>0</v>
      </c>
    </row>
    <row r="87" spans="1:48">
      <c r="A87">
        <v>86</v>
      </c>
      <c r="B87" s="15">
        <v>0</v>
      </c>
      <c r="C87">
        <v>17.0926759</v>
      </c>
      <c r="D87">
        <v>7.4067188809999998</v>
      </c>
      <c r="E87">
        <v>1.679757446</v>
      </c>
      <c r="F87">
        <v>0</v>
      </c>
      <c r="G87">
        <v>0</v>
      </c>
      <c r="H87">
        <v>0.57408849699999998</v>
      </c>
      <c r="I87">
        <v>0</v>
      </c>
      <c r="J87" s="15">
        <v>0</v>
      </c>
      <c r="K87" s="15">
        <v>0</v>
      </c>
      <c r="L87" s="15">
        <v>0</v>
      </c>
      <c r="M87">
        <v>0</v>
      </c>
      <c r="N87">
        <v>0</v>
      </c>
      <c r="O87" s="15">
        <v>0</v>
      </c>
      <c r="P87">
        <v>2.0157072070000002</v>
      </c>
      <c r="Q87" s="15">
        <v>2.2599999999999999E-2</v>
      </c>
      <c r="R87">
        <v>0</v>
      </c>
      <c r="S87">
        <v>0</v>
      </c>
      <c r="T87" s="15">
        <v>0</v>
      </c>
      <c r="U87">
        <v>4.2704786260000001</v>
      </c>
      <c r="V87">
        <v>0</v>
      </c>
      <c r="W87">
        <v>0</v>
      </c>
      <c r="X87">
        <v>0</v>
      </c>
      <c r="Y87">
        <v>0</v>
      </c>
      <c r="Z87">
        <v>1</v>
      </c>
      <c r="AA87">
        <v>0.9</v>
      </c>
      <c r="AB87">
        <v>99</v>
      </c>
      <c r="AC87">
        <v>0</v>
      </c>
      <c r="AD87">
        <v>0.34557590999999999</v>
      </c>
      <c r="AE87">
        <v>185.14618909999999</v>
      </c>
      <c r="AF87">
        <v>185.49176510000001</v>
      </c>
      <c r="AG87">
        <v>138.67810979999999</v>
      </c>
      <c r="AH87">
        <v>101.662707</v>
      </c>
      <c r="AI87">
        <v>100</v>
      </c>
      <c r="AJ87">
        <v>0</v>
      </c>
      <c r="AK87">
        <v>0</v>
      </c>
      <c r="AL87">
        <v>1</v>
      </c>
      <c r="AM87">
        <v>1</v>
      </c>
      <c r="AN87">
        <v>0</v>
      </c>
      <c r="AO87">
        <v>0</v>
      </c>
      <c r="AP87">
        <v>1</v>
      </c>
      <c r="AQ87">
        <v>0</v>
      </c>
      <c r="AR87">
        <v>58.795200000000001</v>
      </c>
      <c r="AS87">
        <v>81.197999999999993</v>
      </c>
      <c r="AT87">
        <v>177.29640000000001</v>
      </c>
      <c r="AU87">
        <v>389.86919999999998</v>
      </c>
      <c r="AV87">
        <v>0</v>
      </c>
    </row>
    <row r="88" spans="1:48">
      <c r="A88">
        <v>87</v>
      </c>
      <c r="B88">
        <v>0</v>
      </c>
      <c r="C88">
        <v>20.910488669999999</v>
      </c>
      <c r="D88">
        <v>5.4895113320000002</v>
      </c>
      <c r="E88">
        <v>2.640461561</v>
      </c>
      <c r="F88">
        <v>0</v>
      </c>
      <c r="G88">
        <v>0</v>
      </c>
      <c r="H88">
        <v>0.61937170900000005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3.1685508260000002</v>
      </c>
      <c r="Q88" s="15">
        <v>2.8299999999999999E-2</v>
      </c>
      <c r="R88">
        <v>0</v>
      </c>
      <c r="S88">
        <v>0</v>
      </c>
      <c r="T88" s="15">
        <v>0</v>
      </c>
      <c r="U88">
        <v>4.2421878279999996</v>
      </c>
      <c r="V88">
        <v>0</v>
      </c>
      <c r="W88">
        <v>0</v>
      </c>
      <c r="X88">
        <v>0</v>
      </c>
      <c r="Y88">
        <v>0</v>
      </c>
      <c r="Z88">
        <v>1</v>
      </c>
      <c r="AA88">
        <v>0.9</v>
      </c>
      <c r="AB88">
        <v>99</v>
      </c>
      <c r="AC88">
        <v>0</v>
      </c>
      <c r="AD88">
        <v>0.33786238899999999</v>
      </c>
      <c r="AE88">
        <v>184.8083268</v>
      </c>
      <c r="AF88">
        <v>185.14618909999999</v>
      </c>
      <c r="AG88">
        <v>135.63195880000001</v>
      </c>
      <c r="AH88">
        <v>99.486884880000005</v>
      </c>
      <c r="AI88">
        <v>100</v>
      </c>
      <c r="AJ88">
        <v>0</v>
      </c>
      <c r="AK88">
        <v>0</v>
      </c>
      <c r="AL88">
        <v>1</v>
      </c>
      <c r="AM88">
        <v>1</v>
      </c>
      <c r="AN88">
        <v>0</v>
      </c>
      <c r="AO88">
        <v>0</v>
      </c>
      <c r="AP88">
        <v>1</v>
      </c>
      <c r="AQ88">
        <v>0</v>
      </c>
      <c r="AR88">
        <v>58.795200000000001</v>
      </c>
      <c r="AS88">
        <v>81.197999999999993</v>
      </c>
      <c r="AT88">
        <v>177.29640000000001</v>
      </c>
      <c r="AU88">
        <v>389.86919999999998</v>
      </c>
      <c r="AV88">
        <v>0</v>
      </c>
    </row>
    <row r="89" spans="1:48">
      <c r="A89">
        <v>88</v>
      </c>
      <c r="B89">
        <v>0</v>
      </c>
      <c r="C89">
        <v>23.55660503</v>
      </c>
      <c r="D89">
        <v>4.5275306369999999</v>
      </c>
      <c r="E89">
        <v>3.0207005539999998</v>
      </c>
      <c r="F89">
        <v>0</v>
      </c>
      <c r="G89">
        <v>0</v>
      </c>
      <c r="H89">
        <v>0.57325796500000004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3.6248367589999999</v>
      </c>
      <c r="Q89" s="15">
        <v>2.3900000000000001E-2</v>
      </c>
      <c r="R89">
        <v>0</v>
      </c>
      <c r="S89">
        <v>0</v>
      </c>
      <c r="T89" s="15">
        <v>0</v>
      </c>
      <c r="U89">
        <v>4.2182628160000002</v>
      </c>
      <c r="V89">
        <v>0</v>
      </c>
      <c r="W89">
        <v>0</v>
      </c>
      <c r="X89">
        <v>0</v>
      </c>
      <c r="Y89">
        <v>0</v>
      </c>
      <c r="Z89">
        <v>1</v>
      </c>
      <c r="AA89">
        <v>0.9</v>
      </c>
      <c r="AB89">
        <v>99</v>
      </c>
      <c r="AC89">
        <v>0</v>
      </c>
      <c r="AD89">
        <v>0.33046638499999997</v>
      </c>
      <c r="AE89">
        <v>184.4778604</v>
      </c>
      <c r="AF89">
        <v>184.8083268</v>
      </c>
      <c r="AG89">
        <v>138.73397869999999</v>
      </c>
      <c r="AH89">
        <v>101.7026134</v>
      </c>
      <c r="AI89">
        <v>100</v>
      </c>
      <c r="AJ89">
        <v>0</v>
      </c>
      <c r="AK89">
        <v>0</v>
      </c>
      <c r="AL89">
        <v>1</v>
      </c>
      <c r="AM89">
        <v>1</v>
      </c>
      <c r="AN89">
        <v>0</v>
      </c>
      <c r="AO89">
        <v>0</v>
      </c>
      <c r="AP89">
        <v>1</v>
      </c>
      <c r="AQ89">
        <v>0</v>
      </c>
      <c r="AR89">
        <v>58.795200000000001</v>
      </c>
      <c r="AS89">
        <v>81.197999999999993</v>
      </c>
      <c r="AT89">
        <v>177.29640000000001</v>
      </c>
      <c r="AU89">
        <v>389.86919999999998</v>
      </c>
      <c r="AV89">
        <v>0</v>
      </c>
    </row>
    <row r="90" spans="1:48">
      <c r="A90">
        <v>89</v>
      </c>
      <c r="B90">
        <v>0</v>
      </c>
      <c r="C90">
        <v>25.0926759</v>
      </c>
      <c r="D90">
        <v>7.5815538919999996</v>
      </c>
      <c r="E90">
        <v>3.3609293180000002</v>
      </c>
      <c r="F90">
        <v>0</v>
      </c>
      <c r="G90">
        <v>0</v>
      </c>
      <c r="H90">
        <v>0.55500652800000005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4.0331103209999997</v>
      </c>
      <c r="Q90" s="15">
        <v>1.89E-2</v>
      </c>
      <c r="R90">
        <v>0</v>
      </c>
      <c r="S90">
        <v>0</v>
      </c>
      <c r="T90" s="15">
        <v>0</v>
      </c>
      <c r="U90">
        <v>4.1993413950000003</v>
      </c>
      <c r="V90">
        <v>0</v>
      </c>
      <c r="W90">
        <v>0</v>
      </c>
      <c r="X90">
        <v>0</v>
      </c>
      <c r="Y90">
        <v>0</v>
      </c>
      <c r="Z90">
        <v>1</v>
      </c>
      <c r="AA90">
        <v>0.9</v>
      </c>
      <c r="AB90">
        <v>99</v>
      </c>
      <c r="AC90">
        <v>0</v>
      </c>
      <c r="AD90">
        <v>0.32336906999999998</v>
      </c>
      <c r="AE90">
        <v>184.15449129999999</v>
      </c>
      <c r="AF90">
        <v>184.4778604</v>
      </c>
      <c r="AG90">
        <v>139.96173239999999</v>
      </c>
      <c r="AH90">
        <v>102.5795803</v>
      </c>
      <c r="AI90">
        <v>100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1</v>
      </c>
      <c r="AQ90">
        <v>0</v>
      </c>
      <c r="AR90">
        <v>58.795200000000001</v>
      </c>
      <c r="AS90">
        <v>81.197999999999993</v>
      </c>
      <c r="AT90">
        <v>177.29640000000001</v>
      </c>
      <c r="AU90">
        <v>389.86919999999998</v>
      </c>
      <c r="AV90">
        <v>0</v>
      </c>
    </row>
    <row r="91" spans="1:48">
      <c r="A91">
        <v>90</v>
      </c>
      <c r="B91">
        <v>0</v>
      </c>
      <c r="C91">
        <v>26.456605029999999</v>
      </c>
      <c r="D91">
        <v>8.1839841440000001</v>
      </c>
      <c r="E91">
        <v>3.516176626</v>
      </c>
      <c r="F91">
        <v>0</v>
      </c>
      <c r="G91">
        <v>0</v>
      </c>
      <c r="H91">
        <v>0.53867558599999998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4.219406277</v>
      </c>
      <c r="Q91" s="15">
        <v>1.37E-2</v>
      </c>
      <c r="R91">
        <v>0</v>
      </c>
      <c r="S91">
        <v>0</v>
      </c>
      <c r="T91" s="15">
        <v>0</v>
      </c>
      <c r="U91">
        <v>4.1856596980000003</v>
      </c>
      <c r="V91">
        <v>0</v>
      </c>
      <c r="W91">
        <v>0</v>
      </c>
      <c r="X91">
        <v>0</v>
      </c>
      <c r="Y91">
        <v>0</v>
      </c>
      <c r="Z91">
        <v>1</v>
      </c>
      <c r="AA91">
        <v>0.9</v>
      </c>
      <c r="AB91">
        <v>99</v>
      </c>
      <c r="AC91">
        <v>0</v>
      </c>
      <c r="AD91">
        <v>0.31655306300000002</v>
      </c>
      <c r="AE91">
        <v>183.8379382</v>
      </c>
      <c r="AF91">
        <v>184.15449129999999</v>
      </c>
      <c r="AG91">
        <v>141.06029659999999</v>
      </c>
      <c r="AH91">
        <v>103.36426899999999</v>
      </c>
      <c r="AI91">
        <v>100</v>
      </c>
      <c r="AJ91">
        <v>0</v>
      </c>
      <c r="AK91">
        <v>0</v>
      </c>
      <c r="AL91">
        <v>1</v>
      </c>
      <c r="AM91">
        <v>1</v>
      </c>
      <c r="AN91">
        <v>0</v>
      </c>
      <c r="AO91">
        <v>0</v>
      </c>
      <c r="AP91">
        <v>1</v>
      </c>
      <c r="AQ91">
        <v>0</v>
      </c>
      <c r="AR91">
        <v>58.795200000000001</v>
      </c>
      <c r="AS91">
        <v>81.197999999999993</v>
      </c>
      <c r="AT91">
        <v>177.29640000000001</v>
      </c>
      <c r="AU91">
        <v>389.86919999999998</v>
      </c>
      <c r="AV91">
        <v>0</v>
      </c>
    </row>
    <row r="92" spans="1:48">
      <c r="A92">
        <v>91</v>
      </c>
      <c r="B92">
        <v>0</v>
      </c>
      <c r="C92">
        <v>27.692675900000001</v>
      </c>
      <c r="D92">
        <v>8.4300588390000009</v>
      </c>
      <c r="E92">
        <v>4.000641355</v>
      </c>
      <c r="F92">
        <v>0</v>
      </c>
      <c r="G92">
        <v>0</v>
      </c>
      <c r="H92">
        <v>0.53122374800000005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4.8007624340000001</v>
      </c>
      <c r="Q92" s="15">
        <v>1.04E-2</v>
      </c>
      <c r="R92">
        <v>0</v>
      </c>
      <c r="S92">
        <v>0</v>
      </c>
      <c r="T92" s="15">
        <v>0</v>
      </c>
      <c r="U92">
        <v>4.1752455670000002</v>
      </c>
      <c r="V92">
        <v>0</v>
      </c>
      <c r="W92">
        <v>0</v>
      </c>
      <c r="X92">
        <v>0</v>
      </c>
      <c r="Y92">
        <v>0</v>
      </c>
      <c r="Z92">
        <v>1</v>
      </c>
      <c r="AA92">
        <v>0.9</v>
      </c>
      <c r="AB92">
        <v>99</v>
      </c>
      <c r="AC92">
        <v>0</v>
      </c>
      <c r="AD92">
        <v>0.31000228899999999</v>
      </c>
      <c r="AE92">
        <v>183.52793600000001</v>
      </c>
      <c r="AF92">
        <v>183.8379382</v>
      </c>
      <c r="AG92">
        <v>141.56157339999999</v>
      </c>
      <c r="AH92">
        <v>103.72232390000001</v>
      </c>
      <c r="AI92">
        <v>100</v>
      </c>
      <c r="AJ92">
        <v>0</v>
      </c>
      <c r="AK92">
        <v>0</v>
      </c>
      <c r="AL92">
        <v>1</v>
      </c>
      <c r="AM92">
        <v>1</v>
      </c>
      <c r="AN92">
        <v>0</v>
      </c>
      <c r="AO92">
        <v>0</v>
      </c>
      <c r="AP92">
        <v>1</v>
      </c>
      <c r="AQ92">
        <v>0</v>
      </c>
      <c r="AR92">
        <v>58.795200000000001</v>
      </c>
      <c r="AS92">
        <v>81.197999999999993</v>
      </c>
      <c r="AT92">
        <v>177.29640000000001</v>
      </c>
      <c r="AU92">
        <v>389.86919999999998</v>
      </c>
      <c r="AV92">
        <v>0</v>
      </c>
    </row>
    <row r="93" spans="1:48">
      <c r="A93">
        <v>92</v>
      </c>
      <c r="B93">
        <v>0</v>
      </c>
      <c r="C93">
        <v>27.992675899999998</v>
      </c>
      <c r="D93">
        <v>8.0992687120000006</v>
      </c>
      <c r="E93">
        <v>4.5240761129999996</v>
      </c>
      <c r="F93">
        <v>0</v>
      </c>
      <c r="G93">
        <v>0</v>
      </c>
      <c r="H93">
        <v>0.50796950200000002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5.4288822909999999</v>
      </c>
      <c r="Q93" s="15">
        <v>7.4599999999999996E-3</v>
      </c>
      <c r="R93">
        <v>0</v>
      </c>
      <c r="S93">
        <v>0</v>
      </c>
      <c r="T93" s="15">
        <v>0</v>
      </c>
      <c r="U93">
        <v>4.1677847249999997</v>
      </c>
      <c r="V93">
        <v>0</v>
      </c>
      <c r="W93">
        <v>0</v>
      </c>
      <c r="X93">
        <v>0</v>
      </c>
      <c r="Y93">
        <v>0</v>
      </c>
      <c r="Z93">
        <v>1</v>
      </c>
      <c r="AA93">
        <v>0.9</v>
      </c>
      <c r="AB93">
        <v>99</v>
      </c>
      <c r="AC93">
        <v>0</v>
      </c>
      <c r="AD93">
        <v>0.30370186700000001</v>
      </c>
      <c r="AE93">
        <v>183.22423409999999</v>
      </c>
      <c r="AF93">
        <v>183.52793600000001</v>
      </c>
      <c r="AG93">
        <v>143.12586049999999</v>
      </c>
      <c r="AH93">
        <v>104.8396718</v>
      </c>
      <c r="AI93">
        <v>100</v>
      </c>
      <c r="AJ93">
        <v>0</v>
      </c>
      <c r="AK93">
        <v>0</v>
      </c>
      <c r="AL93">
        <v>1</v>
      </c>
      <c r="AM93">
        <v>1</v>
      </c>
      <c r="AN93">
        <v>0</v>
      </c>
      <c r="AO93">
        <v>0</v>
      </c>
      <c r="AP93">
        <v>1</v>
      </c>
      <c r="AQ93">
        <v>0</v>
      </c>
      <c r="AR93">
        <v>58.795200000000001</v>
      </c>
      <c r="AS93">
        <v>81.197999999999993</v>
      </c>
      <c r="AT93">
        <v>177.29640000000001</v>
      </c>
      <c r="AU93">
        <v>389.86919999999998</v>
      </c>
      <c r="AV93">
        <v>0</v>
      </c>
    </row>
    <row r="94" spans="1:48">
      <c r="A94">
        <v>93</v>
      </c>
      <c r="B94">
        <v>0</v>
      </c>
      <c r="C94">
        <v>21.049280929999998</v>
      </c>
      <c r="D94">
        <v>11.464055200000001</v>
      </c>
      <c r="E94">
        <v>3.695703655</v>
      </c>
      <c r="F94" s="15">
        <v>7.4999999999999997E-2</v>
      </c>
      <c r="G94" s="15">
        <v>2.5000000000000001E-2</v>
      </c>
      <c r="H94">
        <v>0.48284470899999998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4.1674415400000004</v>
      </c>
      <c r="Q94" s="15">
        <v>3.6900000000000001E-3</v>
      </c>
      <c r="R94">
        <v>0</v>
      </c>
      <c r="S94">
        <v>0</v>
      </c>
      <c r="T94">
        <v>0</v>
      </c>
      <c r="U94">
        <v>4.1640917140000004</v>
      </c>
      <c r="V94">
        <v>0</v>
      </c>
      <c r="W94">
        <v>0</v>
      </c>
      <c r="X94">
        <v>0.27717724999999999</v>
      </c>
      <c r="Y94">
        <v>0.27717724999999999</v>
      </c>
      <c r="Z94">
        <v>1</v>
      </c>
      <c r="AA94">
        <v>0.2</v>
      </c>
      <c r="AB94">
        <v>99.7</v>
      </c>
      <c r="AC94">
        <v>0</v>
      </c>
      <c r="AD94">
        <v>0.276875023</v>
      </c>
      <c r="AE94">
        <v>40.162444190000002</v>
      </c>
      <c r="AF94">
        <v>40.716496460000002</v>
      </c>
      <c r="AG94">
        <v>32.181328270000002</v>
      </c>
      <c r="AH94">
        <v>23.56597734</v>
      </c>
      <c r="AI94">
        <v>100</v>
      </c>
      <c r="AJ94">
        <v>0</v>
      </c>
      <c r="AK94">
        <v>0</v>
      </c>
      <c r="AL94">
        <v>1</v>
      </c>
      <c r="AM94">
        <v>1</v>
      </c>
      <c r="AN94">
        <v>0</v>
      </c>
      <c r="AO94">
        <v>0</v>
      </c>
      <c r="AP94">
        <v>1</v>
      </c>
      <c r="AQ94">
        <v>0</v>
      </c>
      <c r="AR94">
        <v>13.0656</v>
      </c>
      <c r="AS94">
        <v>18.044</v>
      </c>
      <c r="AT94">
        <v>39.3992</v>
      </c>
      <c r="AU94">
        <v>86.637600000000006</v>
      </c>
      <c r="AV94">
        <v>0</v>
      </c>
    </row>
    <row r="95" spans="1:48">
      <c r="A95">
        <v>94</v>
      </c>
      <c r="B95">
        <v>0</v>
      </c>
      <c r="C95">
        <v>17.138750590000001</v>
      </c>
      <c r="D95">
        <v>6.2121200009999997</v>
      </c>
      <c r="E95">
        <v>3.2711809449999998</v>
      </c>
      <c r="F95">
        <v>0.15</v>
      </c>
      <c r="G95" s="15">
        <v>0.05</v>
      </c>
      <c r="H95">
        <v>0.52221524799999997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3.469119058</v>
      </c>
      <c r="Q95" s="15">
        <v>2.1800000000000001E-3</v>
      </c>
      <c r="R95">
        <v>0</v>
      </c>
      <c r="S95">
        <v>0</v>
      </c>
      <c r="T95">
        <v>0</v>
      </c>
      <c r="U95">
        <v>4.161916433</v>
      </c>
      <c r="V95">
        <v>0</v>
      </c>
      <c r="W95">
        <v>0</v>
      </c>
      <c r="X95">
        <v>0.490676116</v>
      </c>
      <c r="Y95">
        <v>0.490676116</v>
      </c>
      <c r="Z95">
        <v>1</v>
      </c>
      <c r="AA95">
        <v>0.2</v>
      </c>
      <c r="AB95">
        <v>99.7</v>
      </c>
      <c r="AC95">
        <v>0</v>
      </c>
      <c r="AD95">
        <v>0.22797864300000001</v>
      </c>
      <c r="AE95">
        <v>39.443789430000002</v>
      </c>
      <c r="AF95">
        <v>40.162444190000002</v>
      </c>
      <c r="AG95">
        <v>31.59279226</v>
      </c>
      <c r="AH95">
        <v>23.145594469999999</v>
      </c>
      <c r="AI95">
        <v>100</v>
      </c>
      <c r="AJ95">
        <v>0</v>
      </c>
      <c r="AK95">
        <v>0</v>
      </c>
      <c r="AL95">
        <v>1</v>
      </c>
      <c r="AM95">
        <v>1</v>
      </c>
      <c r="AN95">
        <v>0</v>
      </c>
      <c r="AO95">
        <v>0</v>
      </c>
      <c r="AP95">
        <v>1</v>
      </c>
      <c r="AQ95">
        <v>0</v>
      </c>
      <c r="AR95">
        <v>13.0656</v>
      </c>
      <c r="AS95">
        <v>18.044</v>
      </c>
      <c r="AT95">
        <v>39.3992</v>
      </c>
      <c r="AU95">
        <v>86.637600000000006</v>
      </c>
      <c r="AV95">
        <v>0</v>
      </c>
    </row>
    <row r="96" spans="1:48">
      <c r="A96">
        <v>95</v>
      </c>
      <c r="B96">
        <v>0</v>
      </c>
      <c r="C96">
        <v>17.864055199999999</v>
      </c>
      <c r="D96">
        <v>4.430058839</v>
      </c>
      <c r="E96">
        <v>3.2545668499999998</v>
      </c>
      <c r="F96">
        <v>0.15</v>
      </c>
      <c r="G96" s="15">
        <v>6.6000000000000003E-2</v>
      </c>
      <c r="H96">
        <v>0.54160819199999999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3.4637537589999998</v>
      </c>
      <c r="Q96" s="15">
        <v>1.5900000000000001E-3</v>
      </c>
      <c r="R96">
        <v>0</v>
      </c>
      <c r="S96">
        <v>0</v>
      </c>
      <c r="T96" s="15">
        <v>0</v>
      </c>
      <c r="U96">
        <v>4.1603241090000003</v>
      </c>
      <c r="V96">
        <v>0</v>
      </c>
      <c r="W96">
        <v>0</v>
      </c>
      <c r="X96">
        <v>0.4881839</v>
      </c>
      <c r="Y96">
        <v>0.4881839</v>
      </c>
      <c r="Z96">
        <v>1</v>
      </c>
      <c r="AA96">
        <v>0.20699999999999999</v>
      </c>
      <c r="AB96">
        <v>99.692999999999998</v>
      </c>
      <c r="AC96">
        <v>0</v>
      </c>
      <c r="AD96">
        <v>0.18354227400000001</v>
      </c>
      <c r="AE96">
        <v>40.15103526</v>
      </c>
      <c r="AF96">
        <v>40.82276143</v>
      </c>
      <c r="AG96">
        <v>32.398495410000002</v>
      </c>
      <c r="AH96">
        <v>23.741372720000001</v>
      </c>
      <c r="AI96">
        <v>100</v>
      </c>
      <c r="AJ96">
        <v>0</v>
      </c>
      <c r="AK96">
        <v>0</v>
      </c>
      <c r="AL96">
        <v>1</v>
      </c>
      <c r="AM96">
        <v>1</v>
      </c>
      <c r="AN96">
        <v>0</v>
      </c>
      <c r="AO96">
        <v>0</v>
      </c>
      <c r="AP96">
        <v>1</v>
      </c>
      <c r="AQ96">
        <v>0</v>
      </c>
      <c r="AR96">
        <v>13.522895999999999</v>
      </c>
      <c r="AS96">
        <v>18.675540000000002</v>
      </c>
      <c r="AT96">
        <v>40.778171999999998</v>
      </c>
      <c r="AU96">
        <v>89.669916000000001</v>
      </c>
      <c r="AV96">
        <v>0</v>
      </c>
    </row>
    <row r="97" spans="1:48">
      <c r="A97">
        <v>96</v>
      </c>
      <c r="B97">
        <v>0</v>
      </c>
      <c r="C97">
        <v>16.561841080000001</v>
      </c>
      <c r="D97">
        <v>0.51992894300000003</v>
      </c>
      <c r="E97">
        <v>3.327481202</v>
      </c>
      <c r="F97">
        <v>0.15</v>
      </c>
      <c r="G97" s="15">
        <v>8.2000000000000003E-2</v>
      </c>
      <c r="H97">
        <v>0.54192249299999995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3.617409941</v>
      </c>
      <c r="Q97" s="15">
        <v>1.2099999999999999E-3</v>
      </c>
      <c r="R97">
        <v>0</v>
      </c>
      <c r="S97">
        <v>0</v>
      </c>
      <c r="T97" s="15">
        <v>0</v>
      </c>
      <c r="U97">
        <v>4.1591121869999998</v>
      </c>
      <c r="V97">
        <v>0</v>
      </c>
      <c r="W97">
        <v>0</v>
      </c>
      <c r="X97">
        <v>0.499120909</v>
      </c>
      <c r="Y97">
        <v>0.499120909</v>
      </c>
      <c r="Z97">
        <v>1</v>
      </c>
      <c r="AA97">
        <v>0.214</v>
      </c>
      <c r="AB97">
        <v>99.686000000000007</v>
      </c>
      <c r="AC97">
        <v>0</v>
      </c>
      <c r="AD97">
        <v>0.150699747</v>
      </c>
      <c r="AE97">
        <v>40.880186600000002</v>
      </c>
      <c r="AF97">
        <v>41.530007259999998</v>
      </c>
      <c r="AG97">
        <v>33.489069450000002</v>
      </c>
      <c r="AH97">
        <v>24.540630180000001</v>
      </c>
      <c r="AI97">
        <v>100</v>
      </c>
      <c r="AJ97">
        <v>0</v>
      </c>
      <c r="AK97">
        <v>0</v>
      </c>
      <c r="AL97">
        <v>1</v>
      </c>
      <c r="AM97">
        <v>1</v>
      </c>
      <c r="AN97">
        <v>0</v>
      </c>
      <c r="AO97">
        <v>0</v>
      </c>
      <c r="AP97">
        <v>1</v>
      </c>
      <c r="AQ97">
        <v>0</v>
      </c>
      <c r="AR97">
        <v>13.980192000000001</v>
      </c>
      <c r="AS97">
        <v>19.307079999999999</v>
      </c>
      <c r="AT97">
        <v>42.157144000000002</v>
      </c>
      <c r="AU97">
        <v>92.702231999999995</v>
      </c>
      <c r="AV97">
        <v>0</v>
      </c>
    </row>
    <row r="98" spans="1:48">
      <c r="A98">
        <v>97</v>
      </c>
      <c r="B98">
        <v>0</v>
      </c>
      <c r="C98">
        <v>12.6952041</v>
      </c>
      <c r="D98">
        <v>0.39732027399999997</v>
      </c>
      <c r="E98">
        <v>3.625501045</v>
      </c>
      <c r="F98">
        <v>0.15</v>
      </c>
      <c r="G98" s="15">
        <v>9.8000000000000004E-2</v>
      </c>
      <c r="H98">
        <v>0.53533876499999999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4.0361009970000001</v>
      </c>
      <c r="Q98" s="15">
        <v>9.6199999999999996E-4</v>
      </c>
      <c r="R98">
        <v>0</v>
      </c>
      <c r="S98">
        <v>0</v>
      </c>
      <c r="T98" s="15">
        <v>0</v>
      </c>
      <c r="U98">
        <v>4.1581502280000002</v>
      </c>
      <c r="V98">
        <v>0</v>
      </c>
      <c r="W98">
        <v>0</v>
      </c>
      <c r="X98">
        <v>0.54382363099999997</v>
      </c>
      <c r="Y98">
        <v>0.54382363099999997</v>
      </c>
      <c r="Z98">
        <v>1</v>
      </c>
      <c r="AA98">
        <v>0.221</v>
      </c>
      <c r="AB98">
        <v>99.679000000000002</v>
      </c>
      <c r="AC98">
        <v>0</v>
      </c>
      <c r="AD98">
        <v>0.12485307900000001</v>
      </c>
      <c r="AE98">
        <v>41.59048189</v>
      </c>
      <c r="AF98">
        <v>42.259158599999999</v>
      </c>
      <c r="AG98">
        <v>34.693257940000002</v>
      </c>
      <c r="AH98">
        <v>25.421040810000001</v>
      </c>
      <c r="AI98">
        <v>100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1</v>
      </c>
      <c r="AQ98">
        <v>0</v>
      </c>
      <c r="AR98">
        <v>14.437488</v>
      </c>
      <c r="AS98">
        <v>19.93862</v>
      </c>
      <c r="AT98">
        <v>43.536116</v>
      </c>
      <c r="AU98">
        <v>95.734548000000004</v>
      </c>
      <c r="AV98">
        <v>0</v>
      </c>
    </row>
    <row r="99" spans="1:48">
      <c r="A99">
        <v>98</v>
      </c>
      <c r="B99">
        <v>0</v>
      </c>
      <c r="C99">
        <v>17.456605029999999</v>
      </c>
      <c r="D99">
        <v>-2.5724693630000002</v>
      </c>
      <c r="E99">
        <v>3.4518915410000002</v>
      </c>
      <c r="F99">
        <v>0.15</v>
      </c>
      <c r="G99">
        <v>0.114</v>
      </c>
      <c r="H99">
        <v>0.51680301399999995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3.723636178</v>
      </c>
      <c r="Q99" s="15">
        <v>6.29E-4</v>
      </c>
      <c r="R99">
        <v>0</v>
      </c>
      <c r="S99">
        <v>0</v>
      </c>
      <c r="T99" s="15">
        <v>0</v>
      </c>
      <c r="U99">
        <v>4.1575209830000004</v>
      </c>
      <c r="V99">
        <v>0</v>
      </c>
      <c r="W99">
        <v>0</v>
      </c>
      <c r="X99">
        <v>0.51778213399999995</v>
      </c>
      <c r="Y99">
        <v>0.51778213399999995</v>
      </c>
      <c r="Z99">
        <v>1</v>
      </c>
      <c r="AA99">
        <v>0.22900000000000001</v>
      </c>
      <c r="AB99">
        <v>99.671000000000006</v>
      </c>
      <c r="AC99">
        <v>0</v>
      </c>
      <c r="AD99">
        <v>0.104882341</v>
      </c>
      <c r="AE99">
        <v>42.543785419999999</v>
      </c>
      <c r="AF99">
        <v>43.166449890000003</v>
      </c>
      <c r="AG99">
        <v>36.266383959999999</v>
      </c>
      <c r="AH99">
        <v>26.567874830000001</v>
      </c>
      <c r="AI99">
        <v>100</v>
      </c>
      <c r="AJ99">
        <v>0</v>
      </c>
      <c r="AK99">
        <v>0</v>
      </c>
      <c r="AL99">
        <v>1</v>
      </c>
      <c r="AM99">
        <v>1</v>
      </c>
      <c r="AN99">
        <v>0</v>
      </c>
      <c r="AO99">
        <v>0</v>
      </c>
      <c r="AP99">
        <v>1</v>
      </c>
      <c r="AQ99">
        <v>0</v>
      </c>
      <c r="AR99">
        <v>14.960112000000001</v>
      </c>
      <c r="AS99">
        <v>20.66038</v>
      </c>
      <c r="AT99">
        <v>45.112084000000003</v>
      </c>
      <c r="AU99">
        <v>99.200051999999999</v>
      </c>
      <c r="AV99">
        <v>0</v>
      </c>
    </row>
    <row r="100" spans="1:48">
      <c r="A100">
        <v>99</v>
      </c>
      <c r="B100">
        <v>0</v>
      </c>
      <c r="C100">
        <v>16.302679730000001</v>
      </c>
      <c r="D100">
        <v>2.5321468930000002</v>
      </c>
      <c r="E100">
        <v>2.3014525190000001</v>
      </c>
      <c r="F100">
        <v>0.15</v>
      </c>
      <c r="G100" s="15">
        <v>0.13</v>
      </c>
      <c r="H100">
        <v>0.53034326700000001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2.4064300529999998</v>
      </c>
      <c r="Q100" s="15">
        <v>3.0600000000000001E-4</v>
      </c>
      <c r="R100">
        <v>0</v>
      </c>
      <c r="S100">
        <v>0</v>
      </c>
      <c r="T100" s="15">
        <v>0</v>
      </c>
      <c r="U100">
        <v>4.1572154680000004</v>
      </c>
      <c r="V100">
        <v>0</v>
      </c>
      <c r="W100">
        <v>0</v>
      </c>
      <c r="X100">
        <v>0.34521670799999998</v>
      </c>
      <c r="Y100">
        <v>0.34521670799999998</v>
      </c>
      <c r="Z100">
        <v>1</v>
      </c>
      <c r="AA100">
        <v>0.23599999999999999</v>
      </c>
      <c r="AB100">
        <v>99.664000000000001</v>
      </c>
      <c r="AC100">
        <v>0</v>
      </c>
      <c r="AD100" s="15">
        <v>9.1499999999999998E-2</v>
      </c>
      <c r="AE100">
        <v>43.486041530000001</v>
      </c>
      <c r="AF100">
        <v>43.922757420000003</v>
      </c>
      <c r="AG100">
        <v>37.136121520000003</v>
      </c>
      <c r="AH100">
        <v>27.209391950000001</v>
      </c>
      <c r="AI100">
        <v>100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0</v>
      </c>
      <c r="AP100">
        <v>1</v>
      </c>
      <c r="AQ100">
        <v>0</v>
      </c>
      <c r="AR100">
        <v>15.417408</v>
      </c>
      <c r="AS100">
        <v>21.291920000000001</v>
      </c>
      <c r="AT100">
        <v>46.491056</v>
      </c>
      <c r="AU100">
        <v>102.23236799999999</v>
      </c>
      <c r="AV100">
        <v>0</v>
      </c>
    </row>
    <row r="101" spans="1:48">
      <c r="A101">
        <v>100</v>
      </c>
      <c r="B101">
        <v>1.9796382800000001</v>
      </c>
      <c r="C101">
        <v>15.913336129999999</v>
      </c>
      <c r="D101">
        <v>7.2047958999999997</v>
      </c>
      <c r="E101">
        <v>1.9480087340000001</v>
      </c>
      <c r="F101">
        <v>0.15</v>
      </c>
      <c r="G101" s="15">
        <v>0.14599999999999999</v>
      </c>
      <c r="H101">
        <v>0.589934128</v>
      </c>
      <c r="I101">
        <v>0</v>
      </c>
      <c r="J101">
        <v>1.933756558</v>
      </c>
      <c r="K101">
        <v>1.9796382800000001</v>
      </c>
      <c r="L101">
        <v>1.933756558</v>
      </c>
      <c r="M101" s="15">
        <v>4.5900000000000003E-2</v>
      </c>
      <c r="N101">
        <v>0</v>
      </c>
      <c r="O101">
        <v>1.9337566159999999</v>
      </c>
      <c r="P101">
        <v>2.028132163</v>
      </c>
      <c r="Q101">
        <v>0.161182837</v>
      </c>
      <c r="R101">
        <v>0</v>
      </c>
      <c r="S101">
        <v>0</v>
      </c>
      <c r="T101" s="15">
        <v>1.06E-13</v>
      </c>
      <c r="U101">
        <v>5.9297892470000004</v>
      </c>
      <c r="V101">
        <v>0</v>
      </c>
      <c r="W101">
        <v>0</v>
      </c>
      <c r="X101">
        <v>0.29220022400000001</v>
      </c>
      <c r="Y101">
        <v>0.29220022400000001</v>
      </c>
      <c r="Z101">
        <v>1</v>
      </c>
      <c r="AA101">
        <v>0.24299999999999999</v>
      </c>
      <c r="AB101">
        <v>99.656999999999996</v>
      </c>
      <c r="AC101">
        <v>0</v>
      </c>
      <c r="AD101" s="15">
        <v>8.3299999999999999E-2</v>
      </c>
      <c r="AE101">
        <v>44.489494610000001</v>
      </c>
      <c r="AF101">
        <v>44.865013529999999</v>
      </c>
      <c r="AG101">
        <v>37.155291830000003</v>
      </c>
      <c r="AH101">
        <v>27.243361019999998</v>
      </c>
      <c r="AI101">
        <v>100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1</v>
      </c>
      <c r="AQ101">
        <v>0</v>
      </c>
      <c r="AR101">
        <v>15.874703999999999</v>
      </c>
      <c r="AS101">
        <v>21.923459999999999</v>
      </c>
      <c r="AT101">
        <v>47.870027999999998</v>
      </c>
      <c r="AU101">
        <v>105.264684</v>
      </c>
      <c r="AV101">
        <v>0</v>
      </c>
    </row>
    <row r="102" spans="1:48">
      <c r="A102">
        <v>101</v>
      </c>
      <c r="B102">
        <v>7.3786207069999996</v>
      </c>
      <c r="C102">
        <v>12.135944800000001</v>
      </c>
      <c r="D102">
        <v>8.710488668</v>
      </c>
      <c r="E102">
        <v>1.079877679</v>
      </c>
      <c r="F102">
        <v>0.15</v>
      </c>
      <c r="G102" s="15">
        <v>0.16300000000000001</v>
      </c>
      <c r="H102">
        <v>0.60718670200000002</v>
      </c>
      <c r="I102">
        <v>0</v>
      </c>
      <c r="J102">
        <v>7.3000000590000003</v>
      </c>
      <c r="K102">
        <v>7.3786207069999996</v>
      </c>
      <c r="L102">
        <v>7.3000000590000003</v>
      </c>
      <c r="M102" s="15">
        <v>7.8600000000000003E-2</v>
      </c>
      <c r="N102">
        <v>0</v>
      </c>
      <c r="O102">
        <v>7.3000002769999996</v>
      </c>
      <c r="P102">
        <v>1.066725712</v>
      </c>
      <c r="Q102">
        <v>0.49207340300000002</v>
      </c>
      <c r="R102">
        <v>0</v>
      </c>
      <c r="S102">
        <v>0</v>
      </c>
      <c r="T102" s="15">
        <v>1.11E-5</v>
      </c>
      <c r="U102">
        <v>12.73770506</v>
      </c>
      <c r="V102">
        <v>0</v>
      </c>
      <c r="W102">
        <v>0</v>
      </c>
      <c r="X102">
        <v>0.16198099199999999</v>
      </c>
      <c r="Y102">
        <v>0.16198099199999999</v>
      </c>
      <c r="Z102">
        <v>1</v>
      </c>
      <c r="AA102">
        <v>0.25</v>
      </c>
      <c r="AB102">
        <v>99.65</v>
      </c>
      <c r="AC102">
        <v>0</v>
      </c>
      <c r="AD102" s="15">
        <v>7.8299999999999995E-2</v>
      </c>
      <c r="AE102">
        <v>45.628175910000003</v>
      </c>
      <c r="AF102">
        <v>45.868466609999999</v>
      </c>
      <c r="AG102">
        <v>37.903230720000003</v>
      </c>
      <c r="AH102">
        <v>27.797879089999999</v>
      </c>
      <c r="AI102">
        <v>100</v>
      </c>
      <c r="AJ102">
        <v>0</v>
      </c>
      <c r="AK102">
        <v>0</v>
      </c>
      <c r="AL102">
        <v>1</v>
      </c>
      <c r="AM102">
        <v>1</v>
      </c>
      <c r="AN102">
        <v>0</v>
      </c>
      <c r="AO102">
        <v>0</v>
      </c>
      <c r="AP102">
        <v>1</v>
      </c>
      <c r="AQ102">
        <v>0</v>
      </c>
      <c r="AR102">
        <v>16.332000000000001</v>
      </c>
      <c r="AS102">
        <v>22.555</v>
      </c>
      <c r="AT102">
        <v>49.249000000000002</v>
      </c>
      <c r="AU102">
        <v>108.297</v>
      </c>
      <c r="AV102">
        <v>0</v>
      </c>
    </row>
    <row r="103" spans="1:48">
      <c r="A103">
        <v>102</v>
      </c>
      <c r="B103">
        <v>7.0435778119999997</v>
      </c>
      <c r="C103">
        <v>12.2</v>
      </c>
      <c r="D103">
        <v>9.374543869</v>
      </c>
      <c r="E103">
        <v>1.052353168</v>
      </c>
      <c r="F103">
        <v>0.15</v>
      </c>
      <c r="G103">
        <v>0.17899999999999999</v>
      </c>
      <c r="H103">
        <v>0.65085172800000002</v>
      </c>
      <c r="I103">
        <v>0</v>
      </c>
      <c r="J103">
        <v>6.9580377430000002</v>
      </c>
      <c r="K103">
        <v>7.0435778119999997</v>
      </c>
      <c r="L103">
        <v>6.9580377430000002</v>
      </c>
      <c r="M103" s="15">
        <v>8.5500000000000007E-2</v>
      </c>
      <c r="N103">
        <v>0</v>
      </c>
      <c r="O103">
        <v>6.9580379499999996</v>
      </c>
      <c r="P103">
        <v>1.023221433</v>
      </c>
      <c r="Q103">
        <v>1.0163839429999999</v>
      </c>
      <c r="R103">
        <v>0</v>
      </c>
      <c r="S103">
        <v>0</v>
      </c>
      <c r="T103" s="15">
        <v>3.64E-3</v>
      </c>
      <c r="U103">
        <v>18.675718499999999</v>
      </c>
      <c r="V103">
        <v>0</v>
      </c>
      <c r="W103">
        <v>0</v>
      </c>
      <c r="X103">
        <v>0.15785227199999999</v>
      </c>
      <c r="Y103">
        <v>0.15785227199999999</v>
      </c>
      <c r="Z103">
        <v>1</v>
      </c>
      <c r="AA103">
        <v>0.25700000000000001</v>
      </c>
      <c r="AB103">
        <v>99.643000000000001</v>
      </c>
      <c r="AC103">
        <v>0</v>
      </c>
      <c r="AD103" s="15">
        <v>7.5399999999999995E-2</v>
      </c>
      <c r="AE103">
        <v>46.777552530000001</v>
      </c>
      <c r="AF103">
        <v>47.00714791</v>
      </c>
      <c r="AG103">
        <v>38.125759590000001</v>
      </c>
      <c r="AH103">
        <v>27.977104279999999</v>
      </c>
      <c r="AI103">
        <v>100</v>
      </c>
      <c r="AJ103">
        <v>0</v>
      </c>
      <c r="AK103">
        <v>0</v>
      </c>
      <c r="AL103">
        <v>1</v>
      </c>
      <c r="AM103">
        <v>1</v>
      </c>
      <c r="AN103">
        <v>0</v>
      </c>
      <c r="AO103">
        <v>0</v>
      </c>
      <c r="AP103">
        <v>1</v>
      </c>
      <c r="AQ103">
        <v>0</v>
      </c>
      <c r="AR103">
        <v>16.789296</v>
      </c>
      <c r="AS103">
        <v>23.186540000000001</v>
      </c>
      <c r="AT103">
        <v>50.627972</v>
      </c>
      <c r="AU103">
        <v>111.32931600000001</v>
      </c>
      <c r="AV103">
        <v>0</v>
      </c>
    </row>
    <row r="104" spans="1:48">
      <c r="A104">
        <v>103</v>
      </c>
      <c r="B104">
        <v>1.8789038650000001</v>
      </c>
      <c r="C104">
        <v>15.410488669999999</v>
      </c>
      <c r="D104">
        <v>5.782019494</v>
      </c>
      <c r="E104">
        <v>2.6665198640000001</v>
      </c>
      <c r="F104">
        <v>0.15</v>
      </c>
      <c r="G104">
        <v>0.19500000000000001</v>
      </c>
      <c r="H104">
        <v>0.65275704800000001</v>
      </c>
      <c r="I104">
        <v>0</v>
      </c>
      <c r="J104">
        <v>1.8191491769999999</v>
      </c>
      <c r="K104">
        <v>1.8789038650000001</v>
      </c>
      <c r="L104">
        <v>1.8191491769999999</v>
      </c>
      <c r="M104" s="15">
        <v>5.9799999999999999E-2</v>
      </c>
      <c r="N104">
        <v>0</v>
      </c>
      <c r="O104">
        <v>1.8191492309999999</v>
      </c>
      <c r="P104">
        <v>2.767901626</v>
      </c>
      <c r="Q104">
        <v>2.767901626</v>
      </c>
      <c r="R104">
        <v>0</v>
      </c>
      <c r="S104">
        <v>0</v>
      </c>
      <c r="T104" s="15">
        <v>1.43E-2</v>
      </c>
      <c r="U104">
        <v>17.71263798</v>
      </c>
      <c r="V104">
        <v>0</v>
      </c>
      <c r="W104">
        <v>0</v>
      </c>
      <c r="X104">
        <v>0.39997603300000001</v>
      </c>
      <c r="Y104">
        <v>0.39997603300000001</v>
      </c>
      <c r="Z104">
        <v>1</v>
      </c>
      <c r="AA104">
        <v>0.26400000000000001</v>
      </c>
      <c r="AB104">
        <v>99.635999999999996</v>
      </c>
      <c r="AC104">
        <v>0</v>
      </c>
      <c r="AD104" s="15">
        <v>7.0800000000000002E-2</v>
      </c>
      <c r="AE104">
        <v>47.700113289999997</v>
      </c>
      <c r="AF104">
        <v>48.156524529999999</v>
      </c>
      <c r="AG104">
        <v>39.126608240000003</v>
      </c>
      <c r="AH104">
        <v>28.712272169999999</v>
      </c>
      <c r="AI104">
        <v>100</v>
      </c>
      <c r="AJ104">
        <v>0</v>
      </c>
      <c r="AK104">
        <v>0</v>
      </c>
      <c r="AL104">
        <v>1</v>
      </c>
      <c r="AM104">
        <v>1</v>
      </c>
      <c r="AN104">
        <v>0</v>
      </c>
      <c r="AO104">
        <v>0</v>
      </c>
      <c r="AP104">
        <v>1</v>
      </c>
      <c r="AQ104">
        <v>0</v>
      </c>
      <c r="AR104">
        <v>17.246592</v>
      </c>
      <c r="AS104">
        <v>23.818079999999998</v>
      </c>
      <c r="AT104">
        <v>52.006943999999997</v>
      </c>
      <c r="AU104">
        <v>114.361632</v>
      </c>
      <c r="AV104">
        <v>0</v>
      </c>
    </row>
    <row r="105" spans="1:48">
      <c r="A105">
        <v>104</v>
      </c>
      <c r="B105">
        <v>0</v>
      </c>
      <c r="C105">
        <v>15.584715429999999</v>
      </c>
      <c r="D105">
        <v>2.5973202739999999</v>
      </c>
      <c r="E105">
        <v>3.1070125270000002</v>
      </c>
      <c r="F105">
        <v>0.15</v>
      </c>
      <c r="G105">
        <v>0.21099999999999999</v>
      </c>
      <c r="H105">
        <v>0.57328489199999999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3.3432108409999999</v>
      </c>
      <c r="Q105">
        <v>3.2995870009999999</v>
      </c>
      <c r="R105">
        <v>0</v>
      </c>
      <c r="S105">
        <v>0</v>
      </c>
      <c r="T105" s="15">
        <v>4.4200000000000003E-3</v>
      </c>
      <c r="U105">
        <v>14.408635889999999</v>
      </c>
      <c r="V105">
        <v>0</v>
      </c>
      <c r="W105">
        <v>0</v>
      </c>
      <c r="X105">
        <v>0.46604940500000003</v>
      </c>
      <c r="Y105">
        <v>0.46604940500000003</v>
      </c>
      <c r="Z105">
        <v>1</v>
      </c>
      <c r="AA105">
        <v>0.27100000000000002</v>
      </c>
      <c r="AB105">
        <v>99.629000000000005</v>
      </c>
      <c r="AC105">
        <v>0</v>
      </c>
      <c r="AD105" s="15">
        <v>6.3899999999999998E-2</v>
      </c>
      <c r="AE105">
        <v>48.553530840000001</v>
      </c>
      <c r="AF105">
        <v>49.079085290000002</v>
      </c>
      <c r="AG105">
        <v>41.773797070000001</v>
      </c>
      <c r="AH105">
        <v>30.62339734</v>
      </c>
      <c r="AI105">
        <v>100</v>
      </c>
      <c r="AJ105">
        <v>0</v>
      </c>
      <c r="AK105">
        <v>0</v>
      </c>
      <c r="AL105">
        <v>1</v>
      </c>
      <c r="AM105">
        <v>1</v>
      </c>
      <c r="AN105">
        <v>0</v>
      </c>
      <c r="AO105">
        <v>0</v>
      </c>
      <c r="AP105">
        <v>1</v>
      </c>
      <c r="AQ105">
        <v>0</v>
      </c>
      <c r="AR105">
        <v>17.703887999999999</v>
      </c>
      <c r="AS105">
        <v>24.449619999999999</v>
      </c>
      <c r="AT105">
        <v>53.385916000000002</v>
      </c>
      <c r="AU105">
        <v>117.39394799999999</v>
      </c>
      <c r="AV105">
        <v>0</v>
      </c>
    </row>
    <row r="106" spans="1:48">
      <c r="A106">
        <v>105</v>
      </c>
      <c r="B106">
        <v>0</v>
      </c>
      <c r="C106">
        <v>11.856605030000001</v>
      </c>
      <c r="D106">
        <v>3.3047958999999998</v>
      </c>
      <c r="E106">
        <v>2.4919289099999999</v>
      </c>
      <c r="F106">
        <v>0.15</v>
      </c>
      <c r="G106">
        <v>0.22700000000000001</v>
      </c>
      <c r="H106">
        <v>0.54762958900000003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2.615510102</v>
      </c>
      <c r="Q106" s="15">
        <v>2.1253929600000001</v>
      </c>
      <c r="R106">
        <v>0</v>
      </c>
      <c r="S106">
        <v>0</v>
      </c>
      <c r="T106" s="15">
        <v>3.1100000000000002E-4</v>
      </c>
      <c r="U106">
        <v>12.28293197</v>
      </c>
      <c r="V106">
        <v>0</v>
      </c>
      <c r="W106">
        <v>0</v>
      </c>
      <c r="X106">
        <v>0.373787174</v>
      </c>
      <c r="Y106">
        <v>0.373787174</v>
      </c>
      <c r="Z106">
        <v>1</v>
      </c>
      <c r="AA106">
        <v>0.27900000000000003</v>
      </c>
      <c r="AB106">
        <v>99.620999999999995</v>
      </c>
      <c r="AC106">
        <v>0</v>
      </c>
      <c r="AD106" s="15">
        <v>5.8400000000000001E-2</v>
      </c>
      <c r="AE106">
        <v>49.697665919999999</v>
      </c>
      <c r="AF106">
        <v>50.129498839999997</v>
      </c>
      <c r="AG106">
        <v>43.541970970000001</v>
      </c>
      <c r="AH106">
        <v>31.909551270000001</v>
      </c>
      <c r="AI106">
        <v>100</v>
      </c>
      <c r="AJ106">
        <v>0</v>
      </c>
      <c r="AK106">
        <v>0</v>
      </c>
      <c r="AL106">
        <v>1</v>
      </c>
      <c r="AM106">
        <v>1</v>
      </c>
      <c r="AN106">
        <v>0</v>
      </c>
      <c r="AO106">
        <v>0</v>
      </c>
      <c r="AP106">
        <v>1</v>
      </c>
      <c r="AQ106">
        <v>0</v>
      </c>
      <c r="AR106">
        <v>18.226512</v>
      </c>
      <c r="AS106">
        <v>25.171379999999999</v>
      </c>
      <c r="AT106">
        <v>54.961883999999998</v>
      </c>
      <c r="AU106">
        <v>120.859452</v>
      </c>
      <c r="AV106">
        <v>0</v>
      </c>
    </row>
    <row r="107" spans="1:48">
      <c r="A107">
        <v>106</v>
      </c>
      <c r="B107">
        <v>0.72731762499999997</v>
      </c>
      <c r="C107">
        <v>15.37454387</v>
      </c>
      <c r="D107">
        <v>2.161249406</v>
      </c>
      <c r="E107">
        <v>2.8927464669999998</v>
      </c>
      <c r="F107">
        <v>0.15</v>
      </c>
      <c r="G107">
        <v>0.24299999999999999</v>
      </c>
      <c r="H107">
        <v>0.58042810700000003</v>
      </c>
      <c r="I107">
        <v>0</v>
      </c>
      <c r="J107">
        <v>0.68535894600000002</v>
      </c>
      <c r="K107">
        <v>0.72731762499999997</v>
      </c>
      <c r="L107">
        <v>0.68535894600000002</v>
      </c>
      <c r="M107" s="15">
        <v>4.2000000000000003E-2</v>
      </c>
      <c r="N107">
        <v>0</v>
      </c>
      <c r="O107">
        <v>0.68535896600000001</v>
      </c>
      <c r="P107">
        <v>3.0749744909999999</v>
      </c>
      <c r="Q107" s="15">
        <v>2.0257140850000002</v>
      </c>
      <c r="R107">
        <v>0</v>
      </c>
      <c r="S107">
        <v>0</v>
      </c>
      <c r="T107" s="15">
        <v>3.79E-5</v>
      </c>
      <c r="U107">
        <v>10.942538920000001</v>
      </c>
      <c r="V107">
        <v>0</v>
      </c>
      <c r="W107">
        <v>0</v>
      </c>
      <c r="X107">
        <v>0.433909239</v>
      </c>
      <c r="Y107">
        <v>0.433909239</v>
      </c>
      <c r="Z107">
        <v>1</v>
      </c>
      <c r="AA107">
        <v>0.28599999999999998</v>
      </c>
      <c r="AB107">
        <v>99.614000000000004</v>
      </c>
      <c r="AC107">
        <v>0</v>
      </c>
      <c r="AD107" s="15">
        <v>5.3600000000000002E-2</v>
      </c>
      <c r="AE107">
        <v>50.589198809999999</v>
      </c>
      <c r="AF107">
        <v>51.076637920000003</v>
      </c>
      <c r="AG107">
        <v>43.933302529999999</v>
      </c>
      <c r="AH107">
        <v>32.209349809999999</v>
      </c>
      <c r="AI107">
        <v>100</v>
      </c>
      <c r="AJ107">
        <v>0</v>
      </c>
      <c r="AK107">
        <v>0</v>
      </c>
      <c r="AL107">
        <v>1</v>
      </c>
      <c r="AM107">
        <v>1</v>
      </c>
      <c r="AN107">
        <v>0</v>
      </c>
      <c r="AO107">
        <v>0</v>
      </c>
      <c r="AP107">
        <v>1</v>
      </c>
      <c r="AQ107">
        <v>0</v>
      </c>
      <c r="AR107">
        <v>18.683807999999999</v>
      </c>
      <c r="AS107">
        <v>25.80292</v>
      </c>
      <c r="AT107">
        <v>56.340856000000002</v>
      </c>
      <c r="AU107">
        <v>123.891768</v>
      </c>
      <c r="AV107">
        <v>0</v>
      </c>
    </row>
    <row r="108" spans="1:48">
      <c r="A108">
        <v>107</v>
      </c>
      <c r="B108">
        <v>0</v>
      </c>
      <c r="C108">
        <v>16.5926759</v>
      </c>
      <c r="D108">
        <v>1.8179805060000001</v>
      </c>
      <c r="E108">
        <v>3.1125543310000001</v>
      </c>
      <c r="F108">
        <v>0.15</v>
      </c>
      <c r="G108">
        <v>0.25900000000000001</v>
      </c>
      <c r="H108">
        <v>0.55964464899999999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3.2648890060000002</v>
      </c>
      <c r="Q108">
        <v>1.708456711</v>
      </c>
      <c r="R108" s="15">
        <v>0</v>
      </c>
      <c r="S108" s="15">
        <v>0</v>
      </c>
      <c r="T108" s="15">
        <v>4.8600000000000001E-6</v>
      </c>
      <c r="U108">
        <v>9.2340773479999996</v>
      </c>
      <c r="V108">
        <v>0</v>
      </c>
      <c r="W108">
        <v>0</v>
      </c>
      <c r="X108">
        <v>0.46687995700000001</v>
      </c>
      <c r="Y108">
        <v>0.46687995700000001</v>
      </c>
      <c r="Z108">
        <v>1</v>
      </c>
      <c r="AA108">
        <v>0.29299999999999998</v>
      </c>
      <c r="AB108">
        <v>99.606999999999999</v>
      </c>
      <c r="AC108">
        <v>0</v>
      </c>
      <c r="AD108" s="15">
        <v>4.8800000000000003E-2</v>
      </c>
      <c r="AE108">
        <v>51.452497630000003</v>
      </c>
      <c r="AF108">
        <v>51.968170809999997</v>
      </c>
      <c r="AG108">
        <v>45.463745840000001</v>
      </c>
      <c r="AH108">
        <v>33.322799600000003</v>
      </c>
      <c r="AI108">
        <v>100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1</v>
      </c>
      <c r="AQ108">
        <v>0</v>
      </c>
      <c r="AR108">
        <v>19.141103999999999</v>
      </c>
      <c r="AS108">
        <v>26.434460000000001</v>
      </c>
      <c r="AT108">
        <v>57.719828</v>
      </c>
      <c r="AU108">
        <v>126.92408399999999</v>
      </c>
      <c r="AV108">
        <v>0</v>
      </c>
    </row>
    <row r="109" spans="1:48">
      <c r="A109">
        <v>108</v>
      </c>
      <c r="B109">
        <v>0</v>
      </c>
      <c r="C109">
        <v>16.538750589999999</v>
      </c>
      <c r="D109">
        <v>7.6</v>
      </c>
      <c r="E109">
        <v>2.9914836220000001</v>
      </c>
      <c r="F109">
        <v>0.15</v>
      </c>
      <c r="G109">
        <v>0.27500000000000002</v>
      </c>
      <c r="H109">
        <v>0.55072924000000001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3.141677294</v>
      </c>
      <c r="Q109">
        <v>1.2365520409999999</v>
      </c>
      <c r="R109">
        <v>0</v>
      </c>
      <c r="S109">
        <v>0</v>
      </c>
      <c r="T109" s="15">
        <v>2.5199999999999998E-7</v>
      </c>
      <c r="U109">
        <v>7.9975250549999997</v>
      </c>
      <c r="V109">
        <v>0</v>
      </c>
      <c r="W109">
        <v>0</v>
      </c>
      <c r="X109">
        <v>0.44871921399999998</v>
      </c>
      <c r="Y109">
        <v>0.44871921399999998</v>
      </c>
      <c r="Z109">
        <v>1</v>
      </c>
      <c r="AA109">
        <v>0.3</v>
      </c>
      <c r="AB109">
        <v>99.6</v>
      </c>
      <c r="AC109">
        <v>0</v>
      </c>
      <c r="AD109" s="15">
        <v>4.4600000000000001E-2</v>
      </c>
      <c r="AE109">
        <v>52.33819716</v>
      </c>
      <c r="AF109">
        <v>52.831469630000001</v>
      </c>
      <c r="AG109">
        <v>46.749820270000001</v>
      </c>
      <c r="AH109">
        <v>34.2617002</v>
      </c>
      <c r="AI109">
        <v>100</v>
      </c>
      <c r="AJ109">
        <v>0</v>
      </c>
      <c r="AK109">
        <v>0</v>
      </c>
      <c r="AL109">
        <v>1</v>
      </c>
      <c r="AM109">
        <v>1</v>
      </c>
      <c r="AN109">
        <v>0</v>
      </c>
      <c r="AO109">
        <v>0</v>
      </c>
      <c r="AP109">
        <v>1</v>
      </c>
      <c r="AQ109">
        <v>0</v>
      </c>
      <c r="AR109">
        <v>19.598400000000002</v>
      </c>
      <c r="AS109">
        <v>27.065999999999999</v>
      </c>
      <c r="AT109">
        <v>59.098799999999997</v>
      </c>
      <c r="AU109">
        <v>129.9564</v>
      </c>
      <c r="AV109">
        <v>0</v>
      </c>
    </row>
    <row r="110" spans="1:48">
      <c r="A110">
        <v>109</v>
      </c>
      <c r="B110">
        <v>0</v>
      </c>
      <c r="C110">
        <v>19.102679729999998</v>
      </c>
      <c r="D110">
        <v>5.717980506</v>
      </c>
      <c r="E110">
        <v>3.251160407</v>
      </c>
      <c r="F110">
        <v>0.15</v>
      </c>
      <c r="G110">
        <v>0.29099999999999998</v>
      </c>
      <c r="H110">
        <v>0.55638413799999997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3.441987498</v>
      </c>
      <c r="Q110">
        <v>1.0120417749999999</v>
      </c>
      <c r="R110">
        <v>0</v>
      </c>
      <c r="S110">
        <v>0</v>
      </c>
      <c r="T110" s="15">
        <v>1.2299999999999999E-8</v>
      </c>
      <c r="U110">
        <v>6.9854832680000003</v>
      </c>
      <c r="V110">
        <v>0</v>
      </c>
      <c r="W110">
        <v>0</v>
      </c>
      <c r="X110">
        <v>0.487670139</v>
      </c>
      <c r="Y110">
        <v>0.487670139</v>
      </c>
      <c r="Z110">
        <v>1</v>
      </c>
      <c r="AA110">
        <v>0.307</v>
      </c>
      <c r="AB110">
        <v>99.593000000000004</v>
      </c>
      <c r="AC110">
        <v>0</v>
      </c>
      <c r="AD110" s="15">
        <v>4.0800000000000003E-2</v>
      </c>
      <c r="AE110">
        <v>53.188737740000001</v>
      </c>
      <c r="AF110">
        <v>53.717169159999997</v>
      </c>
      <c r="AG110">
        <v>47.710891199999999</v>
      </c>
      <c r="AH110">
        <v>34.968455429999999</v>
      </c>
      <c r="AI110">
        <v>100</v>
      </c>
      <c r="AJ110">
        <v>0</v>
      </c>
      <c r="AK110">
        <v>0</v>
      </c>
      <c r="AL110">
        <v>1</v>
      </c>
      <c r="AM110">
        <v>1</v>
      </c>
      <c r="AN110">
        <v>0</v>
      </c>
      <c r="AO110">
        <v>0</v>
      </c>
      <c r="AP110">
        <v>1</v>
      </c>
      <c r="AQ110">
        <v>0</v>
      </c>
      <c r="AR110">
        <v>20.055696000000001</v>
      </c>
      <c r="AS110">
        <v>27.69754</v>
      </c>
      <c r="AT110">
        <v>60.477772000000002</v>
      </c>
      <c r="AU110">
        <v>132.98871600000001</v>
      </c>
      <c r="AV110">
        <v>0</v>
      </c>
    </row>
    <row r="111" spans="1:48">
      <c r="A111">
        <v>110</v>
      </c>
      <c r="B111">
        <v>0</v>
      </c>
      <c r="C111">
        <v>21.566734929999999</v>
      </c>
      <c r="D111">
        <v>3.8507190699999998</v>
      </c>
      <c r="E111">
        <v>3.8039172419999998</v>
      </c>
      <c r="F111">
        <v>0.15</v>
      </c>
      <c r="G111">
        <v>0.307</v>
      </c>
      <c r="H111">
        <v>0.54281369400000001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4.0947102280000003</v>
      </c>
      <c r="Q111">
        <v>0.86286882600000003</v>
      </c>
      <c r="R111">
        <v>0</v>
      </c>
      <c r="S111" s="15">
        <v>0</v>
      </c>
      <c r="T111" s="15">
        <v>3.59E-10</v>
      </c>
      <c r="U111">
        <v>6.1226144409999996</v>
      </c>
      <c r="V111">
        <v>0</v>
      </c>
      <c r="W111">
        <v>0</v>
      </c>
      <c r="X111">
        <v>0.57058262000000004</v>
      </c>
      <c r="Y111">
        <v>0.57058262000000004</v>
      </c>
      <c r="Z111">
        <v>1</v>
      </c>
      <c r="AA111">
        <v>0.314</v>
      </c>
      <c r="AB111">
        <v>99.585999999999999</v>
      </c>
      <c r="AC111">
        <v>0</v>
      </c>
      <c r="AD111" s="15">
        <v>3.6900000000000002E-2</v>
      </c>
      <c r="AE111">
        <v>53.960230940000002</v>
      </c>
      <c r="AF111">
        <v>54.567709739999998</v>
      </c>
      <c r="AG111">
        <v>49.117251410000001</v>
      </c>
      <c r="AH111">
        <v>35.99327443</v>
      </c>
      <c r="AI111">
        <v>100</v>
      </c>
      <c r="AJ111">
        <v>0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1</v>
      </c>
      <c r="AQ111">
        <v>0</v>
      </c>
      <c r="AR111">
        <v>20.512992000000001</v>
      </c>
      <c r="AS111">
        <v>28.329080000000001</v>
      </c>
      <c r="AT111">
        <v>61.856743999999999</v>
      </c>
      <c r="AU111">
        <v>136.02103199999999</v>
      </c>
      <c r="AV111">
        <v>0</v>
      </c>
    </row>
    <row r="112" spans="1:48">
      <c r="A112">
        <v>111</v>
      </c>
      <c r="B112">
        <v>0</v>
      </c>
      <c r="C112">
        <v>20.77726526</v>
      </c>
      <c r="D112">
        <v>6.2707995380000003</v>
      </c>
      <c r="E112">
        <v>3.69034357</v>
      </c>
      <c r="F112">
        <v>0.15</v>
      </c>
      <c r="G112">
        <v>0.32300000000000001</v>
      </c>
      <c r="H112">
        <v>0.51338828599999997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3.934662898</v>
      </c>
      <c r="Q112">
        <v>0.58021723999999997</v>
      </c>
      <c r="R112">
        <v>0</v>
      </c>
      <c r="S112">
        <v>0</v>
      </c>
      <c r="T112" s="15">
        <v>3.6399999999999998E-12</v>
      </c>
      <c r="U112">
        <v>5.542397201</v>
      </c>
      <c r="V112">
        <v>0</v>
      </c>
      <c r="W112">
        <v>0</v>
      </c>
      <c r="X112">
        <v>0.55354632800000003</v>
      </c>
      <c r="Y112">
        <v>0.55354632800000003</v>
      </c>
      <c r="Z112">
        <v>1</v>
      </c>
      <c r="AA112">
        <v>0.32100000000000001</v>
      </c>
      <c r="AB112">
        <v>99.578999999999994</v>
      </c>
      <c r="AC112">
        <v>0</v>
      </c>
      <c r="AD112" s="15">
        <v>3.32E-2</v>
      </c>
      <c r="AE112">
        <v>54.7524157</v>
      </c>
      <c r="AF112">
        <v>55.33920294</v>
      </c>
      <c r="AG112">
        <v>50.918213049999999</v>
      </c>
      <c r="AH112">
        <v>37.299951610000001</v>
      </c>
      <c r="AI112">
        <v>100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1</v>
      </c>
      <c r="AQ112">
        <v>0</v>
      </c>
      <c r="AR112">
        <v>20.970288</v>
      </c>
      <c r="AS112">
        <v>28.960619999999999</v>
      </c>
      <c r="AT112">
        <v>63.235715999999996</v>
      </c>
      <c r="AU112">
        <v>139.053348</v>
      </c>
      <c r="AV112">
        <v>0</v>
      </c>
    </row>
    <row r="113" spans="1:48">
      <c r="A113">
        <v>112</v>
      </c>
      <c r="B113">
        <v>0</v>
      </c>
      <c r="C113">
        <v>20.820660230000001</v>
      </c>
      <c r="D113">
        <v>7.5539253049999999</v>
      </c>
      <c r="E113">
        <v>3.533060925</v>
      </c>
      <c r="F113">
        <v>0.15</v>
      </c>
      <c r="G113">
        <v>0.33900000000000002</v>
      </c>
      <c r="H113">
        <v>0.52047163100000005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3.68454383</v>
      </c>
      <c r="Q113">
        <v>0.38706717000000002</v>
      </c>
      <c r="R113">
        <v>0</v>
      </c>
      <c r="S113">
        <v>0</v>
      </c>
      <c r="T113" s="15">
        <v>1.81E-14</v>
      </c>
      <c r="U113">
        <v>5.1553300310000001</v>
      </c>
      <c r="V113">
        <v>0</v>
      </c>
      <c r="W113">
        <v>0</v>
      </c>
      <c r="X113">
        <v>0.52995375600000005</v>
      </c>
      <c r="Y113">
        <v>0.52995375600000005</v>
      </c>
      <c r="Z113">
        <v>1</v>
      </c>
      <c r="AA113">
        <v>0.32900000000000001</v>
      </c>
      <c r="AB113">
        <v>99.570999999999998</v>
      </c>
      <c r="AC113">
        <v>0</v>
      </c>
      <c r="AD113" s="15">
        <v>3.04E-2</v>
      </c>
      <c r="AE113">
        <v>55.768019750000001</v>
      </c>
      <c r="AF113">
        <v>56.328383700000003</v>
      </c>
      <c r="AG113">
        <v>52.013019710000002</v>
      </c>
      <c r="AH113">
        <v>38.105128929999999</v>
      </c>
      <c r="AI113">
        <v>100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1</v>
      </c>
      <c r="AQ113">
        <v>0</v>
      </c>
      <c r="AR113">
        <v>21.492912</v>
      </c>
      <c r="AS113">
        <v>29.682379999999998</v>
      </c>
      <c r="AT113">
        <v>64.811684</v>
      </c>
      <c r="AU113">
        <v>142.51885200000001</v>
      </c>
      <c r="AV113">
        <v>0</v>
      </c>
    </row>
    <row r="114" spans="1:48">
      <c r="A114">
        <v>113</v>
      </c>
      <c r="B114">
        <v>0</v>
      </c>
      <c r="C114">
        <v>22.549280929999998</v>
      </c>
      <c r="D114">
        <v>7.3405891749999999</v>
      </c>
      <c r="E114">
        <v>3.8133075490000001</v>
      </c>
      <c r="F114">
        <v>0.15</v>
      </c>
      <c r="G114">
        <v>0.35499999999999998</v>
      </c>
      <c r="H114">
        <v>0.53142009599999995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4.0116317800000001</v>
      </c>
      <c r="Q114">
        <v>0.29974199899999998</v>
      </c>
      <c r="R114">
        <v>0</v>
      </c>
      <c r="S114">
        <v>0</v>
      </c>
      <c r="T114" s="15">
        <v>1.9499999999999999E-17</v>
      </c>
      <c r="U114">
        <v>4.855588032</v>
      </c>
      <c r="V114">
        <v>0</v>
      </c>
      <c r="W114">
        <v>0</v>
      </c>
      <c r="X114">
        <v>0.57198986900000004</v>
      </c>
      <c r="Y114">
        <v>0.57198986900000004</v>
      </c>
      <c r="Z114">
        <v>1</v>
      </c>
      <c r="AA114">
        <v>0.33600000000000002</v>
      </c>
      <c r="AB114">
        <v>99.563999999999993</v>
      </c>
      <c r="AC114">
        <v>0</v>
      </c>
      <c r="AD114" s="15">
        <v>2.7699999999999999E-2</v>
      </c>
      <c r="AE114">
        <v>56.547301189999999</v>
      </c>
      <c r="AF114">
        <v>57.146991749999998</v>
      </c>
      <c r="AG114">
        <v>52.84472306</v>
      </c>
      <c r="AH114">
        <v>38.719478760000001</v>
      </c>
      <c r="AI114">
        <v>100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1</v>
      </c>
      <c r="AQ114">
        <v>0</v>
      </c>
      <c r="AR114">
        <v>21.950208</v>
      </c>
      <c r="AS114">
        <v>30.31392</v>
      </c>
      <c r="AT114">
        <v>66.190656000000004</v>
      </c>
      <c r="AU114">
        <v>145.55116799999999</v>
      </c>
      <c r="AV114">
        <v>0</v>
      </c>
    </row>
    <row r="115" spans="1:48">
      <c r="A115">
        <v>114</v>
      </c>
      <c r="B115">
        <v>0</v>
      </c>
      <c r="C115">
        <v>24.084715429999999</v>
      </c>
      <c r="D115">
        <v>8.5507190699999995</v>
      </c>
      <c r="E115">
        <v>4.1925160339999996</v>
      </c>
      <c r="F115">
        <v>0.15</v>
      </c>
      <c r="G115">
        <v>0.371</v>
      </c>
      <c r="H115">
        <v>0.51665513399999996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4.4780701440000001</v>
      </c>
      <c r="Q115">
        <v>0.22975105400000001</v>
      </c>
      <c r="R115">
        <v>0</v>
      </c>
      <c r="S115">
        <v>0</v>
      </c>
      <c r="T115" s="15">
        <v>4.2499999999999999E-25</v>
      </c>
      <c r="U115">
        <v>4.6258369779999997</v>
      </c>
      <c r="V115">
        <v>0</v>
      </c>
      <c r="W115">
        <v>0</v>
      </c>
      <c r="X115">
        <v>0.62886999099999996</v>
      </c>
      <c r="Y115">
        <v>0.62886999099999996</v>
      </c>
      <c r="Z115">
        <v>1</v>
      </c>
      <c r="AA115">
        <v>0.34300000000000003</v>
      </c>
      <c r="AB115">
        <v>99.557000000000002</v>
      </c>
      <c r="AC115">
        <v>0</v>
      </c>
      <c r="AD115" s="15">
        <v>2.5000000000000001E-2</v>
      </c>
      <c r="AE115">
        <v>57.272374820000003</v>
      </c>
      <c r="AF115">
        <v>57.926273190000003</v>
      </c>
      <c r="AG115">
        <v>54.324182909999998</v>
      </c>
      <c r="AH115">
        <v>39.796511789999997</v>
      </c>
      <c r="AI115">
        <v>100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1</v>
      </c>
      <c r="AQ115">
        <v>0</v>
      </c>
      <c r="AR115">
        <v>22.407503999999999</v>
      </c>
      <c r="AS115">
        <v>30.945460000000001</v>
      </c>
      <c r="AT115">
        <v>67.569627999999994</v>
      </c>
      <c r="AU115">
        <v>148.583484</v>
      </c>
      <c r="AV115">
        <v>0</v>
      </c>
    </row>
    <row r="116" spans="1:48">
      <c r="A116">
        <v>115</v>
      </c>
      <c r="B116">
        <v>0</v>
      </c>
      <c r="C116">
        <v>25.920660229999999</v>
      </c>
      <c r="D116">
        <v>8.5586795369999997</v>
      </c>
      <c r="E116">
        <v>4.3916991830000001</v>
      </c>
      <c r="F116">
        <v>0.15</v>
      </c>
      <c r="G116">
        <v>0.38800000000000001</v>
      </c>
      <c r="H116">
        <v>0.49572239499999998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4.7012228299999999</v>
      </c>
      <c r="Q116">
        <v>0.16056629</v>
      </c>
      <c r="R116" s="15">
        <v>0</v>
      </c>
      <c r="S116" s="15">
        <v>0</v>
      </c>
      <c r="T116">
        <v>0</v>
      </c>
      <c r="U116">
        <v>4.4652706880000004</v>
      </c>
      <c r="V116">
        <v>0</v>
      </c>
      <c r="W116">
        <v>0</v>
      </c>
      <c r="X116">
        <v>0.65874652600000005</v>
      </c>
      <c r="Y116">
        <v>0.65874652600000005</v>
      </c>
      <c r="Z116">
        <v>1</v>
      </c>
      <c r="AA116">
        <v>0.35</v>
      </c>
      <c r="AB116">
        <v>99.55</v>
      </c>
      <c r="AC116">
        <v>0</v>
      </c>
      <c r="AD116" s="15">
        <v>2.2499999999999999E-2</v>
      </c>
      <c r="AE116">
        <v>57.970142010000004</v>
      </c>
      <c r="AF116">
        <v>58.651346820000001</v>
      </c>
      <c r="AG116">
        <v>55.980442670000002</v>
      </c>
      <c r="AH116">
        <v>40.99983048</v>
      </c>
      <c r="AI116">
        <v>100</v>
      </c>
      <c r="AJ116">
        <v>0</v>
      </c>
      <c r="AK116">
        <v>0</v>
      </c>
      <c r="AL116">
        <v>1</v>
      </c>
      <c r="AM116">
        <v>1</v>
      </c>
      <c r="AN116">
        <v>0</v>
      </c>
      <c r="AO116">
        <v>0</v>
      </c>
      <c r="AP116">
        <v>1</v>
      </c>
      <c r="AQ116">
        <v>0</v>
      </c>
      <c r="AR116">
        <v>22.864799999999999</v>
      </c>
      <c r="AS116">
        <v>31.577000000000002</v>
      </c>
      <c r="AT116">
        <v>68.948599999999999</v>
      </c>
      <c r="AU116">
        <v>151.61580000000001</v>
      </c>
      <c r="AV116">
        <v>0</v>
      </c>
    </row>
    <row r="117" spans="1:48">
      <c r="A117">
        <v>116</v>
      </c>
      <c r="B117">
        <v>0</v>
      </c>
      <c r="C117">
        <v>17.346074699999999</v>
      </c>
      <c r="D117">
        <v>11.746074699999999</v>
      </c>
      <c r="E117">
        <v>1.796859177</v>
      </c>
      <c r="F117">
        <v>0.15</v>
      </c>
      <c r="G117">
        <v>0.40400000000000003</v>
      </c>
      <c r="H117">
        <v>0.485601226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1.8162940999999999</v>
      </c>
      <c r="Q117" s="15">
        <v>4.6300000000000001E-2</v>
      </c>
      <c r="R117" s="15">
        <v>0</v>
      </c>
      <c r="S117" s="15">
        <v>0</v>
      </c>
      <c r="T117">
        <v>0</v>
      </c>
      <c r="U117">
        <v>4.419012801</v>
      </c>
      <c r="V117">
        <v>0</v>
      </c>
      <c r="W117">
        <v>0</v>
      </c>
      <c r="X117">
        <v>0.26952520699999999</v>
      </c>
      <c r="Y117">
        <v>0.26952520699999999</v>
      </c>
      <c r="Z117">
        <v>1</v>
      </c>
      <c r="AA117">
        <v>0.35699999999999998</v>
      </c>
      <c r="AB117">
        <v>99.543000000000006</v>
      </c>
      <c r="AC117">
        <v>0</v>
      </c>
      <c r="AD117" s="15">
        <v>2.1000000000000001E-2</v>
      </c>
      <c r="AE117">
        <v>59.058562240000001</v>
      </c>
      <c r="AF117">
        <v>59.349114010000001</v>
      </c>
      <c r="AG117">
        <v>57.370117929999999</v>
      </c>
      <c r="AH117">
        <v>42.01273166</v>
      </c>
      <c r="AI117">
        <v>100</v>
      </c>
      <c r="AJ117">
        <v>0</v>
      </c>
      <c r="AK117">
        <v>0</v>
      </c>
      <c r="AL117">
        <v>1</v>
      </c>
      <c r="AM117">
        <v>1</v>
      </c>
      <c r="AN117">
        <v>0</v>
      </c>
      <c r="AO117">
        <v>0</v>
      </c>
      <c r="AP117">
        <v>1</v>
      </c>
      <c r="AQ117">
        <v>0</v>
      </c>
      <c r="AR117">
        <v>23.322095999999998</v>
      </c>
      <c r="AS117">
        <v>32.208539999999999</v>
      </c>
      <c r="AT117">
        <v>70.327572000000004</v>
      </c>
      <c r="AU117">
        <v>154.64811599999999</v>
      </c>
      <c r="AV117">
        <v>0</v>
      </c>
    </row>
    <row r="118" spans="1:48">
      <c r="A118">
        <v>117</v>
      </c>
      <c r="B118">
        <v>0.25834851399999997</v>
      </c>
      <c r="C118">
        <v>16.28201949</v>
      </c>
      <c r="D118">
        <v>10.292675900000001</v>
      </c>
      <c r="E118">
        <v>1.8571452930000001</v>
      </c>
      <c r="F118">
        <v>0.15</v>
      </c>
      <c r="G118">
        <v>0.42</v>
      </c>
      <c r="H118">
        <v>0.61656722500000005</v>
      </c>
      <c r="I118">
        <v>0</v>
      </c>
      <c r="J118">
        <v>0.22671935900000001</v>
      </c>
      <c r="K118">
        <v>0.25834851399999997</v>
      </c>
      <c r="L118">
        <v>0.22671935900000001</v>
      </c>
      <c r="M118" s="15">
        <v>3.1600000000000003E-2</v>
      </c>
      <c r="N118">
        <v>0</v>
      </c>
      <c r="O118">
        <v>0.22671936600000001</v>
      </c>
      <c r="P118">
        <v>1.830761509</v>
      </c>
      <c r="Q118" s="15">
        <v>5.6500000000000002E-2</v>
      </c>
      <c r="R118" s="15">
        <v>0</v>
      </c>
      <c r="S118" s="15">
        <v>0</v>
      </c>
      <c r="T118">
        <v>0</v>
      </c>
      <c r="U118">
        <v>4.589198841</v>
      </c>
      <c r="V118">
        <v>0</v>
      </c>
      <c r="W118">
        <v>0</v>
      </c>
      <c r="X118" s="15">
        <v>0.27856772600000002</v>
      </c>
      <c r="Y118" s="15">
        <v>0.27856772600000002</v>
      </c>
      <c r="Z118">
        <v>1</v>
      </c>
      <c r="AA118">
        <v>0.36399999999999999</v>
      </c>
      <c r="AB118">
        <v>99.536000000000001</v>
      </c>
      <c r="AC118">
        <v>0</v>
      </c>
      <c r="AD118" s="15">
        <v>2.07E-2</v>
      </c>
      <c r="AE118">
        <v>60.138304980000001</v>
      </c>
      <c r="AF118">
        <v>60.437534239999998</v>
      </c>
      <c r="AG118">
        <v>54.931892499999996</v>
      </c>
      <c r="AH118">
        <v>40.291418069999999</v>
      </c>
      <c r="AI118">
        <v>100</v>
      </c>
      <c r="AJ118">
        <v>0</v>
      </c>
      <c r="AK118">
        <v>0</v>
      </c>
      <c r="AL118">
        <v>1</v>
      </c>
      <c r="AM118">
        <v>1</v>
      </c>
      <c r="AN118">
        <v>0</v>
      </c>
      <c r="AO118">
        <v>0</v>
      </c>
      <c r="AP118">
        <v>1</v>
      </c>
      <c r="AQ118">
        <v>0</v>
      </c>
      <c r="AR118">
        <v>23.779392000000001</v>
      </c>
      <c r="AS118">
        <v>32.84008</v>
      </c>
      <c r="AT118">
        <v>71.706543999999994</v>
      </c>
      <c r="AU118">
        <v>157.680432</v>
      </c>
      <c r="AV118">
        <v>0</v>
      </c>
    </row>
    <row r="119" spans="1:48">
      <c r="A119">
        <v>118</v>
      </c>
      <c r="B119">
        <v>0.51518331799999995</v>
      </c>
      <c r="C119">
        <v>20.0926759</v>
      </c>
      <c r="D119">
        <v>11.37201567</v>
      </c>
      <c r="E119">
        <v>2.8718703990000001</v>
      </c>
      <c r="F119">
        <v>0.15</v>
      </c>
      <c r="G119">
        <v>0.436</v>
      </c>
      <c r="H119">
        <v>0.61562682800000001</v>
      </c>
      <c r="I119">
        <v>0</v>
      </c>
      <c r="J119">
        <v>0.45697110000000002</v>
      </c>
      <c r="K119">
        <v>0.51518331799999995</v>
      </c>
      <c r="L119">
        <v>0.45697110000000002</v>
      </c>
      <c r="M119" s="15">
        <v>5.8200000000000002E-2</v>
      </c>
      <c r="N119">
        <v>0</v>
      </c>
      <c r="O119">
        <v>0.45697111299999998</v>
      </c>
      <c r="P119">
        <v>2.9304906759999998</v>
      </c>
      <c r="Q119">
        <v>0.15233486099999999</v>
      </c>
      <c r="R119">
        <v>0</v>
      </c>
      <c r="S119">
        <v>0</v>
      </c>
      <c r="T119" s="15">
        <v>2.3799999999999999E-24</v>
      </c>
      <c r="U119">
        <v>4.8938350929999999</v>
      </c>
      <c r="V119">
        <v>0</v>
      </c>
      <c r="W119">
        <v>0</v>
      </c>
      <c r="X119">
        <v>0.43077381999999997</v>
      </c>
      <c r="Y119">
        <v>0.43077381999999997</v>
      </c>
      <c r="Z119">
        <v>1</v>
      </c>
      <c r="AA119">
        <v>0.371</v>
      </c>
      <c r="AB119">
        <v>99.528999999999996</v>
      </c>
      <c r="AC119">
        <v>0</v>
      </c>
      <c r="AD119" s="15">
        <v>0.02</v>
      </c>
      <c r="AE119">
        <v>61.066535289999997</v>
      </c>
      <c r="AF119">
        <v>61.517276979999998</v>
      </c>
      <c r="AG119">
        <v>56.014352000000002</v>
      </c>
      <c r="AH119">
        <v>41.084879430000001</v>
      </c>
      <c r="AI119">
        <v>100</v>
      </c>
      <c r="AJ119">
        <v>0</v>
      </c>
      <c r="AK119">
        <v>0</v>
      </c>
      <c r="AL119">
        <v>1</v>
      </c>
      <c r="AM119">
        <v>1</v>
      </c>
      <c r="AN119">
        <v>0</v>
      </c>
      <c r="AO119">
        <v>0</v>
      </c>
      <c r="AP119">
        <v>1</v>
      </c>
      <c r="AQ119">
        <v>0</v>
      </c>
      <c r="AR119">
        <v>24.236688000000001</v>
      </c>
      <c r="AS119">
        <v>33.471620000000001</v>
      </c>
      <c r="AT119">
        <v>73.085515999999998</v>
      </c>
      <c r="AU119">
        <v>160.712748</v>
      </c>
      <c r="AV119">
        <v>0</v>
      </c>
    </row>
    <row r="120" spans="1:48">
      <c r="A120">
        <v>119</v>
      </c>
      <c r="B120">
        <v>6.8497257600000001</v>
      </c>
      <c r="C120">
        <v>16.102679729999998</v>
      </c>
      <c r="D120">
        <v>13.246074699999999</v>
      </c>
      <c r="E120">
        <v>1.2998012919999999</v>
      </c>
      <c r="F120">
        <v>0.15</v>
      </c>
      <c r="G120">
        <v>0.45200000000000001</v>
      </c>
      <c r="H120">
        <v>0.565549419</v>
      </c>
      <c r="I120">
        <v>0</v>
      </c>
      <c r="J120">
        <v>6.6349622310000003</v>
      </c>
      <c r="K120">
        <v>6.8497257600000001</v>
      </c>
      <c r="L120">
        <v>6.6349622310000003</v>
      </c>
      <c r="M120">
        <v>0.21476352900000001</v>
      </c>
      <c r="N120">
        <v>0</v>
      </c>
      <c r="O120">
        <v>6.6349624289999998</v>
      </c>
      <c r="P120">
        <v>1.228372469</v>
      </c>
      <c r="Q120">
        <v>0.42141537299999998</v>
      </c>
      <c r="R120">
        <v>0</v>
      </c>
      <c r="S120">
        <v>0</v>
      </c>
      <c r="T120" s="15">
        <v>1.17E-6</v>
      </c>
      <c r="U120">
        <v>11.10738098</v>
      </c>
      <c r="V120">
        <v>0</v>
      </c>
      <c r="W120">
        <v>0</v>
      </c>
      <c r="X120">
        <v>0.19496693000000001</v>
      </c>
      <c r="Y120">
        <v>0.19496693000000001</v>
      </c>
      <c r="Z120">
        <v>1</v>
      </c>
      <c r="AA120">
        <v>0.379</v>
      </c>
      <c r="AB120">
        <v>99.521000000000001</v>
      </c>
      <c r="AC120">
        <v>0</v>
      </c>
      <c r="AD120" s="15">
        <v>1.9599999999999999E-2</v>
      </c>
      <c r="AE120">
        <v>62.427934909999998</v>
      </c>
      <c r="AF120">
        <v>62.642503290000001</v>
      </c>
      <c r="AG120">
        <v>58.640785110000003</v>
      </c>
      <c r="AH120">
        <v>42.984075650000001</v>
      </c>
      <c r="AI120">
        <v>100</v>
      </c>
      <c r="AJ120">
        <v>0</v>
      </c>
      <c r="AK120">
        <v>0</v>
      </c>
      <c r="AL120">
        <v>1</v>
      </c>
      <c r="AM120">
        <v>1</v>
      </c>
      <c r="AN120">
        <v>0</v>
      </c>
      <c r="AO120">
        <v>0</v>
      </c>
      <c r="AP120">
        <v>1</v>
      </c>
      <c r="AQ120">
        <v>0</v>
      </c>
      <c r="AR120">
        <v>24.759312000000001</v>
      </c>
      <c r="AS120">
        <v>34.193379999999998</v>
      </c>
      <c r="AT120">
        <v>74.661484000000002</v>
      </c>
      <c r="AU120">
        <v>164.17825199999999</v>
      </c>
      <c r="AV120">
        <v>0</v>
      </c>
    </row>
    <row r="121" spans="1:48">
      <c r="A121">
        <v>120</v>
      </c>
      <c r="B121">
        <v>3.2102438750000002</v>
      </c>
      <c r="C121">
        <v>20.038750589999999</v>
      </c>
      <c r="D121">
        <v>12.82066023</v>
      </c>
      <c r="E121">
        <v>2.1881122660000001</v>
      </c>
      <c r="F121">
        <v>0.15</v>
      </c>
      <c r="G121">
        <v>0.46800000000000003</v>
      </c>
      <c r="H121">
        <v>0.643066421</v>
      </c>
      <c r="I121">
        <v>0</v>
      </c>
      <c r="J121">
        <v>3.0303251919999998</v>
      </c>
      <c r="K121">
        <v>3.2102438750000002</v>
      </c>
      <c r="L121">
        <v>3.0303251919999998</v>
      </c>
      <c r="M121">
        <v>0.179918683</v>
      </c>
      <c r="N121">
        <v>0</v>
      </c>
      <c r="O121">
        <v>3.0303252820000002</v>
      </c>
      <c r="P121">
        <v>2.1370867690000002</v>
      </c>
      <c r="Q121">
        <v>1.4666600510000001</v>
      </c>
      <c r="R121">
        <v>0</v>
      </c>
      <c r="S121">
        <v>0</v>
      </c>
      <c r="T121" s="15">
        <v>4.21E-5</v>
      </c>
      <c r="U121">
        <v>12.67100407</v>
      </c>
      <c r="V121">
        <v>0</v>
      </c>
      <c r="W121">
        <v>0</v>
      </c>
      <c r="X121">
        <v>0.32821096900000002</v>
      </c>
      <c r="Y121">
        <v>0.32821096900000002</v>
      </c>
      <c r="Z121">
        <v>1</v>
      </c>
      <c r="AA121">
        <v>0.38600000000000001</v>
      </c>
      <c r="AB121">
        <v>99.513999999999996</v>
      </c>
      <c r="AC121">
        <v>0</v>
      </c>
      <c r="AD121" s="15">
        <v>1.9400000000000001E-2</v>
      </c>
      <c r="AE121">
        <v>63.459366209999999</v>
      </c>
      <c r="AF121">
        <v>63.806906910000002</v>
      </c>
      <c r="AG121">
        <v>57.48742695</v>
      </c>
      <c r="AH121">
        <v>42.180524390000002</v>
      </c>
      <c r="AI121">
        <v>100</v>
      </c>
      <c r="AJ121">
        <v>0</v>
      </c>
      <c r="AK121">
        <v>0</v>
      </c>
      <c r="AL121">
        <v>1</v>
      </c>
      <c r="AM121">
        <v>1</v>
      </c>
      <c r="AN121">
        <v>0</v>
      </c>
      <c r="AO121">
        <v>0</v>
      </c>
      <c r="AP121">
        <v>1</v>
      </c>
      <c r="AQ121">
        <v>0</v>
      </c>
      <c r="AR121">
        <v>25.216608000000001</v>
      </c>
      <c r="AS121">
        <v>34.824919999999999</v>
      </c>
      <c r="AT121">
        <v>76.040456000000006</v>
      </c>
      <c r="AU121">
        <v>167.21056799999999</v>
      </c>
      <c r="AV121">
        <v>0</v>
      </c>
    </row>
    <row r="122" spans="1:48">
      <c r="A122">
        <v>121</v>
      </c>
      <c r="B122">
        <v>14.583699279999999</v>
      </c>
      <c r="C122">
        <v>18.905375660000001</v>
      </c>
      <c r="D122">
        <v>11.425456130000001</v>
      </c>
      <c r="E122">
        <v>1.669758514</v>
      </c>
      <c r="F122">
        <v>0.15</v>
      </c>
      <c r="G122">
        <v>0.48399999999999999</v>
      </c>
      <c r="H122">
        <v>0.60138808799999999</v>
      </c>
      <c r="I122">
        <v>0</v>
      </c>
      <c r="J122">
        <v>14.32520416</v>
      </c>
      <c r="K122">
        <v>14.583699279999999</v>
      </c>
      <c r="L122">
        <v>14.32520416</v>
      </c>
      <c r="M122">
        <v>0.25849511800000002</v>
      </c>
      <c r="N122">
        <v>0</v>
      </c>
      <c r="O122">
        <v>14.32520459</v>
      </c>
      <c r="P122">
        <v>1.6102193380000001</v>
      </c>
      <c r="Q122">
        <v>1.609769537</v>
      </c>
      <c r="R122" s="15">
        <v>0</v>
      </c>
      <c r="S122" s="15">
        <v>0</v>
      </c>
      <c r="T122" s="15">
        <v>9.1499999999999998E-2</v>
      </c>
      <c r="U122">
        <v>25.294981150000002</v>
      </c>
      <c r="V122">
        <v>0</v>
      </c>
      <c r="W122">
        <v>0</v>
      </c>
      <c r="X122">
        <v>0.25045899599999999</v>
      </c>
      <c r="Y122">
        <v>0.25045899599999999</v>
      </c>
      <c r="Z122">
        <v>1</v>
      </c>
      <c r="AA122">
        <v>0.39300000000000002</v>
      </c>
      <c r="AB122">
        <v>99.507000000000005</v>
      </c>
      <c r="AC122">
        <v>0</v>
      </c>
      <c r="AD122" s="15">
        <v>1.9099999999999999E-2</v>
      </c>
      <c r="AE122">
        <v>64.660266070000006</v>
      </c>
      <c r="AF122">
        <v>64.838338210000003</v>
      </c>
      <c r="AG122">
        <v>59.754207630000003</v>
      </c>
      <c r="AH122">
        <v>43.819929449999997</v>
      </c>
      <c r="AI122">
        <v>100</v>
      </c>
      <c r="AJ122">
        <v>0</v>
      </c>
      <c r="AK122">
        <v>0</v>
      </c>
      <c r="AL122">
        <v>1</v>
      </c>
      <c r="AM122">
        <v>1</v>
      </c>
      <c r="AN122">
        <v>0</v>
      </c>
      <c r="AO122">
        <v>0</v>
      </c>
      <c r="AP122">
        <v>1</v>
      </c>
      <c r="AQ122">
        <v>0</v>
      </c>
      <c r="AR122">
        <v>25.673904</v>
      </c>
      <c r="AS122">
        <v>35.45646</v>
      </c>
      <c r="AT122">
        <v>77.419427999999996</v>
      </c>
      <c r="AU122">
        <v>170.242884</v>
      </c>
      <c r="AV122">
        <v>0</v>
      </c>
    </row>
    <row r="123" spans="1:48">
      <c r="A123">
        <v>122</v>
      </c>
      <c r="B123">
        <v>0.42426861500000002</v>
      </c>
      <c r="C123">
        <v>22.684715430000001</v>
      </c>
      <c r="D123">
        <v>10.65660503</v>
      </c>
      <c r="E123">
        <v>4.1847400370000001</v>
      </c>
      <c r="F123">
        <v>0.15</v>
      </c>
      <c r="G123">
        <v>0.5</v>
      </c>
      <c r="H123">
        <v>0.62557286400000001</v>
      </c>
      <c r="I123">
        <v>0</v>
      </c>
      <c r="J123">
        <v>0.36704504700000001</v>
      </c>
      <c r="K123">
        <v>0.42426861500000002</v>
      </c>
      <c r="L123">
        <v>0.36704504700000001</v>
      </c>
      <c r="M123" s="15">
        <v>5.7200000000000001E-2</v>
      </c>
      <c r="N123">
        <v>0</v>
      </c>
      <c r="O123">
        <v>0.36704505799999998</v>
      </c>
      <c r="P123">
        <v>4.4527087779999999</v>
      </c>
      <c r="Q123">
        <v>4.4527087779999999</v>
      </c>
      <c r="R123">
        <v>0</v>
      </c>
      <c r="S123">
        <v>0</v>
      </c>
      <c r="T123">
        <v>0.29945190799999999</v>
      </c>
      <c r="U123">
        <v>20.909865530000001</v>
      </c>
      <c r="V123">
        <v>0</v>
      </c>
      <c r="W123">
        <v>0</v>
      </c>
      <c r="X123">
        <v>0.62769823400000002</v>
      </c>
      <c r="Y123">
        <v>0.62769823400000002</v>
      </c>
      <c r="Z123">
        <v>1</v>
      </c>
      <c r="AA123">
        <v>0.4</v>
      </c>
      <c r="AB123">
        <v>99.5</v>
      </c>
      <c r="AC123">
        <v>0</v>
      </c>
      <c r="AD123" s="15">
        <v>1.9300000000000001E-2</v>
      </c>
      <c r="AE123">
        <v>65.691667109999997</v>
      </c>
      <c r="AF123">
        <v>66.039238069999996</v>
      </c>
      <c r="AG123">
        <v>60.09547293</v>
      </c>
      <c r="AH123">
        <v>44.08396638</v>
      </c>
      <c r="AI123">
        <v>100</v>
      </c>
      <c r="AJ123">
        <v>0</v>
      </c>
      <c r="AK123">
        <v>0</v>
      </c>
      <c r="AL123">
        <v>1</v>
      </c>
      <c r="AM123">
        <v>1</v>
      </c>
      <c r="AN123">
        <v>0</v>
      </c>
      <c r="AO123">
        <v>0</v>
      </c>
      <c r="AP123">
        <v>1</v>
      </c>
      <c r="AQ123">
        <v>0</v>
      </c>
      <c r="AR123">
        <v>26.1312</v>
      </c>
      <c r="AS123">
        <v>36.088000000000001</v>
      </c>
      <c r="AT123">
        <v>78.798400000000001</v>
      </c>
      <c r="AU123">
        <v>173.27520000000001</v>
      </c>
      <c r="AV123">
        <v>0</v>
      </c>
    </row>
    <row r="124" spans="1:48">
      <c r="A124">
        <v>123</v>
      </c>
      <c r="B124" s="15">
        <v>0</v>
      </c>
      <c r="C124">
        <v>20.995204099999999</v>
      </c>
      <c r="D124">
        <v>9.5895113320000007</v>
      </c>
      <c r="E124">
        <v>4.0697232650000004</v>
      </c>
      <c r="F124">
        <v>0.17100000000000001</v>
      </c>
      <c r="G124">
        <v>0.60899999999999999</v>
      </c>
      <c r="H124">
        <v>0.49678371999999998</v>
      </c>
      <c r="I124">
        <v>0</v>
      </c>
      <c r="J124" s="15">
        <v>0</v>
      </c>
      <c r="K124" s="15">
        <v>0</v>
      </c>
      <c r="L124" s="15">
        <v>0</v>
      </c>
      <c r="M124" s="15">
        <v>0</v>
      </c>
      <c r="N124">
        <v>0</v>
      </c>
      <c r="O124" s="15">
        <v>0</v>
      </c>
      <c r="P124">
        <v>4.2249883439999998</v>
      </c>
      <c r="Q124">
        <v>4.2249883439999998</v>
      </c>
      <c r="R124">
        <v>0</v>
      </c>
      <c r="S124">
        <v>0</v>
      </c>
      <c r="T124" s="15">
        <v>3.1899999999999998E-2</v>
      </c>
      <c r="U124">
        <v>16.652949790000001</v>
      </c>
      <c r="V124">
        <v>0</v>
      </c>
      <c r="W124">
        <v>0</v>
      </c>
      <c r="X124">
        <v>0.69590760399999996</v>
      </c>
      <c r="Y124">
        <v>0.69590760399999996</v>
      </c>
      <c r="Z124">
        <v>1</v>
      </c>
      <c r="AA124">
        <v>0.40799999999999997</v>
      </c>
      <c r="AB124">
        <v>99.492000000000004</v>
      </c>
      <c r="AC124">
        <v>0</v>
      </c>
      <c r="AD124" s="15">
        <v>1.8100000000000002E-2</v>
      </c>
      <c r="AE124">
        <v>66.585509119999998</v>
      </c>
      <c r="AF124">
        <v>67.267635110000001</v>
      </c>
      <c r="AG124">
        <v>65.224836400000001</v>
      </c>
      <c r="AH124">
        <v>47.770969999999998</v>
      </c>
      <c r="AI124">
        <v>100</v>
      </c>
      <c r="AJ124">
        <v>0</v>
      </c>
      <c r="AK124">
        <v>0</v>
      </c>
      <c r="AL124">
        <v>1</v>
      </c>
      <c r="AM124">
        <v>1</v>
      </c>
      <c r="AN124">
        <v>0</v>
      </c>
      <c r="AO124">
        <v>0</v>
      </c>
      <c r="AP124">
        <v>1</v>
      </c>
      <c r="AQ124">
        <v>0</v>
      </c>
      <c r="AR124">
        <v>26.653824</v>
      </c>
      <c r="AS124">
        <v>36.809759999999997</v>
      </c>
      <c r="AT124">
        <v>80.374368000000004</v>
      </c>
      <c r="AU124">
        <v>176.74070399999999</v>
      </c>
      <c r="AV124">
        <v>0</v>
      </c>
    </row>
    <row r="125" spans="1:48">
      <c r="A125">
        <v>124</v>
      </c>
      <c r="B125" s="15">
        <v>0</v>
      </c>
      <c r="C125">
        <v>22.520660230000001</v>
      </c>
      <c r="D125">
        <v>6.8973202740000001</v>
      </c>
      <c r="E125">
        <v>4.2606800270000003</v>
      </c>
      <c r="F125">
        <v>0.192</v>
      </c>
      <c r="G125">
        <v>0.71899999999999997</v>
      </c>
      <c r="H125">
        <v>0.50316416200000003</v>
      </c>
      <c r="I125">
        <v>0</v>
      </c>
      <c r="J125" s="15">
        <v>0</v>
      </c>
      <c r="K125" s="15">
        <v>0</v>
      </c>
      <c r="L125" s="15">
        <v>0</v>
      </c>
      <c r="M125" s="15">
        <v>0</v>
      </c>
      <c r="N125">
        <v>0</v>
      </c>
      <c r="O125" s="15">
        <v>0</v>
      </c>
      <c r="P125">
        <v>4.346673214</v>
      </c>
      <c r="Q125">
        <v>3.9582919900000002</v>
      </c>
      <c r="R125">
        <v>0</v>
      </c>
      <c r="S125">
        <v>0</v>
      </c>
      <c r="T125" s="15">
        <v>1.7899999999999999E-3</v>
      </c>
      <c r="U125">
        <v>12.69287042</v>
      </c>
      <c r="V125">
        <v>0</v>
      </c>
      <c r="W125">
        <v>0</v>
      </c>
      <c r="X125">
        <v>0.81803172599999996</v>
      </c>
      <c r="Y125">
        <v>0.81803172599999996</v>
      </c>
      <c r="Z125">
        <v>1</v>
      </c>
      <c r="AA125">
        <v>0.41599999999999998</v>
      </c>
      <c r="AB125">
        <v>99.483999999999995</v>
      </c>
      <c r="AC125">
        <v>0</v>
      </c>
      <c r="AD125" s="15">
        <v>1.6400000000000001E-2</v>
      </c>
      <c r="AE125">
        <v>67.328836800000005</v>
      </c>
      <c r="AF125">
        <v>68.161477120000001</v>
      </c>
      <c r="AG125">
        <v>66.305366570000004</v>
      </c>
      <c r="AH125">
        <v>48.565949840000002</v>
      </c>
      <c r="AI125">
        <v>100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1</v>
      </c>
      <c r="AQ125">
        <v>0</v>
      </c>
      <c r="AR125">
        <v>27.176448000000001</v>
      </c>
      <c r="AS125">
        <v>37.53152</v>
      </c>
      <c r="AT125">
        <v>81.950335999999993</v>
      </c>
      <c r="AU125">
        <v>180.206208</v>
      </c>
      <c r="AV125">
        <v>0</v>
      </c>
    </row>
    <row r="126" spans="1:48">
      <c r="A126">
        <v>125</v>
      </c>
      <c r="B126">
        <v>0</v>
      </c>
      <c r="C126">
        <v>21.6640552</v>
      </c>
      <c r="D126">
        <v>9.4121200009999999</v>
      </c>
      <c r="E126">
        <v>3.4829934730000001</v>
      </c>
      <c r="F126">
        <v>0.21299999999999999</v>
      </c>
      <c r="G126">
        <v>0.82799999999999996</v>
      </c>
      <c r="H126">
        <v>0.49341180299999998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3.2927322229999998</v>
      </c>
      <c r="Q126">
        <v>2.1649086479999999</v>
      </c>
      <c r="R126">
        <v>0</v>
      </c>
      <c r="S126">
        <v>0</v>
      </c>
      <c r="T126" s="15">
        <v>4.71E-5</v>
      </c>
      <c r="U126">
        <v>10.52791463</v>
      </c>
      <c r="V126">
        <v>0</v>
      </c>
      <c r="W126">
        <v>0</v>
      </c>
      <c r="X126">
        <v>0.74185946700000005</v>
      </c>
      <c r="Y126">
        <v>0.74185946700000005</v>
      </c>
      <c r="Z126">
        <v>1</v>
      </c>
      <c r="AA126">
        <v>0.42399999999999999</v>
      </c>
      <c r="AB126">
        <v>99.475999999999999</v>
      </c>
      <c r="AC126">
        <v>0</v>
      </c>
      <c r="AD126" s="15">
        <v>1.47E-2</v>
      </c>
      <c r="AE126">
        <v>68.148254320000007</v>
      </c>
      <c r="AF126">
        <v>68.904804799999994</v>
      </c>
      <c r="AG126">
        <v>67.889532930000001</v>
      </c>
      <c r="AH126">
        <v>49.720669809999997</v>
      </c>
      <c r="AI126">
        <v>100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0</v>
      </c>
      <c r="AP126">
        <v>1</v>
      </c>
      <c r="AQ126">
        <v>0</v>
      </c>
      <c r="AR126">
        <v>27.699072000000001</v>
      </c>
      <c r="AS126">
        <v>38.253279999999997</v>
      </c>
      <c r="AT126">
        <v>83.526303999999996</v>
      </c>
      <c r="AU126">
        <v>183.67171200000001</v>
      </c>
      <c r="AV126">
        <v>0</v>
      </c>
    </row>
    <row r="127" spans="1:48">
      <c r="A127">
        <v>126</v>
      </c>
      <c r="B127">
        <v>0</v>
      </c>
      <c r="C127">
        <v>21.120660229999999</v>
      </c>
      <c r="D127">
        <v>6.8073241009999998</v>
      </c>
      <c r="E127">
        <v>3.770651456</v>
      </c>
      <c r="F127">
        <v>0.23300000000000001</v>
      </c>
      <c r="G127">
        <v>0.93700000000000006</v>
      </c>
      <c r="H127">
        <v>0.53861633200000003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3.5526344170000002</v>
      </c>
      <c r="Q127">
        <v>1.72445889</v>
      </c>
      <c r="R127">
        <v>0</v>
      </c>
      <c r="S127">
        <v>0</v>
      </c>
      <c r="T127" s="15">
        <v>2.4700000000000001E-6</v>
      </c>
      <c r="U127">
        <v>8.8034532680000002</v>
      </c>
      <c r="V127">
        <v>0</v>
      </c>
      <c r="W127">
        <v>0</v>
      </c>
      <c r="X127">
        <v>0.87853900100000004</v>
      </c>
      <c r="Y127">
        <v>0.87853900100000004</v>
      </c>
      <c r="Z127">
        <v>1</v>
      </c>
      <c r="AA127">
        <v>0.433</v>
      </c>
      <c r="AB127">
        <v>99.466999999999999</v>
      </c>
      <c r="AC127">
        <v>0</v>
      </c>
      <c r="AD127" s="15">
        <v>1.3299999999999999E-2</v>
      </c>
      <c r="AE127">
        <v>69.029358160000001</v>
      </c>
      <c r="AF127">
        <v>69.921218319999994</v>
      </c>
      <c r="AG127">
        <v>67.867593749999997</v>
      </c>
      <c r="AH127">
        <v>49.731068110000002</v>
      </c>
      <c r="AI127">
        <v>100</v>
      </c>
      <c r="AJ127">
        <v>0</v>
      </c>
      <c r="AK127">
        <v>0</v>
      </c>
      <c r="AL127">
        <v>1</v>
      </c>
      <c r="AM127">
        <v>1</v>
      </c>
      <c r="AN127">
        <v>0</v>
      </c>
      <c r="AO127">
        <v>0</v>
      </c>
      <c r="AP127">
        <v>1</v>
      </c>
      <c r="AQ127">
        <v>0</v>
      </c>
      <c r="AR127">
        <v>28.287023999999999</v>
      </c>
      <c r="AS127">
        <v>39.065260000000002</v>
      </c>
      <c r="AT127">
        <v>85.299267999999998</v>
      </c>
      <c r="AU127">
        <v>187.570404</v>
      </c>
      <c r="AV127">
        <v>0</v>
      </c>
    </row>
    <row r="128" spans="1:48">
      <c r="A128">
        <v>127</v>
      </c>
      <c r="B128">
        <v>0</v>
      </c>
      <c r="C128">
        <v>25.38471543</v>
      </c>
      <c r="D128">
        <v>10.753925300000001</v>
      </c>
      <c r="E128">
        <v>5.0798148359999997</v>
      </c>
      <c r="F128">
        <v>0.254</v>
      </c>
      <c r="G128">
        <v>1.0469999999999999</v>
      </c>
      <c r="H128">
        <v>0.52275306300000002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5.0082946249999996</v>
      </c>
      <c r="Q128">
        <v>1.6690233050000001</v>
      </c>
      <c r="R128">
        <v>0</v>
      </c>
      <c r="S128">
        <v>0</v>
      </c>
      <c r="T128" s="15">
        <v>8.4400000000000001E-8</v>
      </c>
      <c r="U128">
        <v>7.1344298779999997</v>
      </c>
      <c r="V128">
        <v>0</v>
      </c>
      <c r="W128">
        <v>0</v>
      </c>
      <c r="X128">
        <v>1.2902375180000001</v>
      </c>
      <c r="Y128">
        <v>1.2902375180000001</v>
      </c>
      <c r="Z128">
        <v>1</v>
      </c>
      <c r="AA128">
        <v>0.441</v>
      </c>
      <c r="AB128">
        <v>99.459000000000003</v>
      </c>
      <c r="AC128">
        <v>0</v>
      </c>
      <c r="AD128" s="15">
        <v>1.14E-2</v>
      </c>
      <c r="AE128">
        <v>69.303709889999993</v>
      </c>
      <c r="AF128">
        <v>70.605326160000004</v>
      </c>
      <c r="AG128">
        <v>69.644379610000001</v>
      </c>
      <c r="AH128">
        <v>51.023373429999999</v>
      </c>
      <c r="AI128">
        <v>100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1</v>
      </c>
      <c r="AQ128">
        <v>0</v>
      </c>
      <c r="AR128">
        <v>28.809647999999999</v>
      </c>
      <c r="AS128">
        <v>39.787019999999998</v>
      </c>
      <c r="AT128">
        <v>86.875236000000001</v>
      </c>
      <c r="AU128">
        <v>191.03590800000001</v>
      </c>
      <c r="AV128">
        <v>0</v>
      </c>
    </row>
    <row r="129" spans="1:48">
      <c r="A129">
        <v>128</v>
      </c>
      <c r="B129">
        <v>0</v>
      </c>
      <c r="C129">
        <v>22.274543869999999</v>
      </c>
      <c r="D129">
        <v>10.7640552</v>
      </c>
      <c r="E129">
        <v>4.1658399929999996</v>
      </c>
      <c r="F129">
        <v>0.27500000000000002</v>
      </c>
      <c r="G129">
        <v>1.1559999999999999</v>
      </c>
      <c r="H129">
        <v>0.448058715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3.717479537</v>
      </c>
      <c r="Q129">
        <v>0.83765931199999999</v>
      </c>
      <c r="R129">
        <v>0</v>
      </c>
      <c r="S129">
        <v>0</v>
      </c>
      <c r="T129" s="15">
        <v>6.6499999999999998E-10</v>
      </c>
      <c r="U129">
        <v>6.2967705660000002</v>
      </c>
      <c r="V129">
        <v>0</v>
      </c>
      <c r="W129">
        <v>0</v>
      </c>
      <c r="X129">
        <v>1.1455726980000001</v>
      </c>
      <c r="Y129">
        <v>1.1455726980000001</v>
      </c>
      <c r="Z129">
        <v>1</v>
      </c>
      <c r="AA129">
        <v>0.44900000000000001</v>
      </c>
      <c r="AB129">
        <v>99.450999999999993</v>
      </c>
      <c r="AC129">
        <v>0</v>
      </c>
      <c r="AD129" s="15">
        <v>9.4400000000000005E-3</v>
      </c>
      <c r="AE129">
        <v>69.724667240000002</v>
      </c>
      <c r="AF129">
        <v>70.879677889999996</v>
      </c>
      <c r="AG129">
        <v>73.414489360000005</v>
      </c>
      <c r="AH129">
        <v>53.73948154</v>
      </c>
      <c r="AI129">
        <v>100</v>
      </c>
      <c r="AJ129">
        <v>0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1</v>
      </c>
      <c r="AQ129">
        <v>0</v>
      </c>
      <c r="AR129">
        <v>29.332272</v>
      </c>
      <c r="AS129">
        <v>40.508780000000002</v>
      </c>
      <c r="AT129">
        <v>88.451204000000004</v>
      </c>
      <c r="AU129">
        <v>194.50141199999999</v>
      </c>
      <c r="AV129">
        <v>0</v>
      </c>
    </row>
    <row r="130" spans="1:48">
      <c r="A130">
        <v>129</v>
      </c>
      <c r="B130" s="15">
        <v>0</v>
      </c>
      <c r="C130">
        <v>24.831148899999999</v>
      </c>
      <c r="D130">
        <v>8.8539253050000006</v>
      </c>
      <c r="E130">
        <v>4.1309521690000004</v>
      </c>
      <c r="F130">
        <v>0.29599999999999999</v>
      </c>
      <c r="G130">
        <v>1.2649999999999999</v>
      </c>
      <c r="H130">
        <v>0.50547790999999997</v>
      </c>
      <c r="I130">
        <v>0</v>
      </c>
      <c r="J130" s="15">
        <v>0</v>
      </c>
      <c r="K130" s="15">
        <v>0</v>
      </c>
      <c r="L130" s="15">
        <v>0</v>
      </c>
      <c r="M130" s="15">
        <v>0</v>
      </c>
      <c r="N130">
        <v>0</v>
      </c>
      <c r="O130" s="15">
        <v>0</v>
      </c>
      <c r="P130">
        <v>3.5443337430000001</v>
      </c>
      <c r="Q130">
        <v>0.57835726200000004</v>
      </c>
      <c r="R130">
        <v>0</v>
      </c>
      <c r="S130">
        <v>0</v>
      </c>
      <c r="T130" s="15">
        <v>1.1500000000000001E-11</v>
      </c>
      <c r="U130">
        <v>5.7184133040000003</v>
      </c>
      <c r="V130">
        <v>0</v>
      </c>
      <c r="W130">
        <v>0</v>
      </c>
      <c r="X130">
        <v>1.222724285</v>
      </c>
      <c r="Y130">
        <v>1.222724285</v>
      </c>
      <c r="Z130">
        <v>1</v>
      </c>
      <c r="AA130">
        <v>0.45700000000000002</v>
      </c>
      <c r="AB130">
        <v>99.442999999999998</v>
      </c>
      <c r="AC130">
        <v>0</v>
      </c>
      <c r="AD130" s="15">
        <v>7.92E-3</v>
      </c>
      <c r="AE130">
        <v>70.069988550000005</v>
      </c>
      <c r="AF130">
        <v>71.300635240000005</v>
      </c>
      <c r="AG130">
        <v>72.761238289999994</v>
      </c>
      <c r="AH130">
        <v>53.29604621</v>
      </c>
      <c r="AI130">
        <v>100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1</v>
      </c>
      <c r="AQ130">
        <v>0</v>
      </c>
      <c r="AR130">
        <v>29.854896</v>
      </c>
      <c r="AS130">
        <v>41.230539999999998</v>
      </c>
      <c r="AT130">
        <v>90.027171999999993</v>
      </c>
      <c r="AU130">
        <v>197.966916</v>
      </c>
      <c r="AV130">
        <v>0</v>
      </c>
    </row>
    <row r="131" spans="1:48">
      <c r="A131">
        <v>130</v>
      </c>
      <c r="B131">
        <v>0.97461791099999995</v>
      </c>
      <c r="C131">
        <v>24.9311489</v>
      </c>
      <c r="D131">
        <v>13.079339770000001</v>
      </c>
      <c r="E131">
        <v>3.8533101300000001</v>
      </c>
      <c r="F131">
        <v>0.317</v>
      </c>
      <c r="G131">
        <v>1.3740000000000001</v>
      </c>
      <c r="H131">
        <v>0.50931767900000002</v>
      </c>
      <c r="I131">
        <v>0</v>
      </c>
      <c r="J131">
        <v>0.68503749599999997</v>
      </c>
      <c r="K131">
        <v>0.97461791099999995</v>
      </c>
      <c r="L131">
        <v>0.68503749599999997</v>
      </c>
      <c r="M131">
        <v>0.28958041499999998</v>
      </c>
      <c r="N131">
        <v>0</v>
      </c>
      <c r="O131">
        <v>0.68503751700000004</v>
      </c>
      <c r="P131">
        <v>3.276777445</v>
      </c>
      <c r="Q131">
        <v>0.482631062</v>
      </c>
      <c r="R131">
        <v>0</v>
      </c>
      <c r="S131" s="15">
        <v>0</v>
      </c>
      <c r="T131" s="15">
        <v>9.4999999999999999E-13</v>
      </c>
      <c r="U131">
        <v>5.9208197589999996</v>
      </c>
      <c r="V131">
        <v>0</v>
      </c>
      <c r="W131">
        <v>0</v>
      </c>
      <c r="X131">
        <v>1.221459716</v>
      </c>
      <c r="Y131">
        <v>1.221459716</v>
      </c>
      <c r="Z131">
        <v>1</v>
      </c>
      <c r="AA131">
        <v>0.46500000000000002</v>
      </c>
      <c r="AB131">
        <v>99.435000000000002</v>
      </c>
      <c r="AC131">
        <v>0</v>
      </c>
      <c r="AD131" s="15">
        <v>6.6100000000000004E-3</v>
      </c>
      <c r="AE131">
        <v>70.417885069999997</v>
      </c>
      <c r="AF131">
        <v>71.645956549999994</v>
      </c>
      <c r="AG131">
        <v>73.901504599999996</v>
      </c>
      <c r="AH131">
        <v>54.13369471</v>
      </c>
      <c r="AI131">
        <v>100</v>
      </c>
      <c r="AJ131">
        <v>0</v>
      </c>
      <c r="AK131">
        <v>0</v>
      </c>
      <c r="AL131">
        <v>1</v>
      </c>
      <c r="AM131">
        <v>1</v>
      </c>
      <c r="AN131">
        <v>0</v>
      </c>
      <c r="AO131">
        <v>0</v>
      </c>
      <c r="AP131">
        <v>1</v>
      </c>
      <c r="AQ131">
        <v>0</v>
      </c>
      <c r="AR131">
        <v>30.377520000000001</v>
      </c>
      <c r="AS131">
        <v>41.952300000000001</v>
      </c>
      <c r="AT131">
        <v>91.603139999999996</v>
      </c>
      <c r="AU131">
        <v>201.43242000000001</v>
      </c>
      <c r="AV131">
        <v>0</v>
      </c>
    </row>
    <row r="132" spans="1:48">
      <c r="A132">
        <v>131</v>
      </c>
      <c r="B132">
        <v>5.9644057789999998</v>
      </c>
      <c r="C132">
        <v>17.117980509999999</v>
      </c>
      <c r="D132">
        <v>13.32066023</v>
      </c>
      <c r="E132">
        <v>1.738820445</v>
      </c>
      <c r="F132">
        <v>0.33800000000000002</v>
      </c>
      <c r="G132">
        <v>1.484</v>
      </c>
      <c r="H132">
        <v>0.52007051299999996</v>
      </c>
      <c r="I132">
        <v>0</v>
      </c>
      <c r="J132">
        <v>5.280424666</v>
      </c>
      <c r="K132">
        <v>5.9644057789999998</v>
      </c>
      <c r="L132">
        <v>5.280424666</v>
      </c>
      <c r="M132">
        <v>0.68398111299999997</v>
      </c>
      <c r="N132">
        <v>0</v>
      </c>
      <c r="O132">
        <v>5.2804248239999998</v>
      </c>
      <c r="P132">
        <v>1.318128059</v>
      </c>
      <c r="Q132">
        <v>0.48878854999999999</v>
      </c>
      <c r="R132">
        <v>0</v>
      </c>
      <c r="S132">
        <v>0</v>
      </c>
      <c r="T132" s="15">
        <v>7.9500000000000001E-7</v>
      </c>
      <c r="U132">
        <v>10.712455240000001</v>
      </c>
      <c r="V132">
        <v>0</v>
      </c>
      <c r="W132">
        <v>0</v>
      </c>
      <c r="X132">
        <v>0.58770122999999996</v>
      </c>
      <c r="Y132">
        <v>0.58770122999999996</v>
      </c>
      <c r="Z132">
        <v>1</v>
      </c>
      <c r="AA132">
        <v>0.47299999999999998</v>
      </c>
      <c r="AB132">
        <v>99.427000000000007</v>
      </c>
      <c r="AC132">
        <v>0</v>
      </c>
      <c r="AD132" s="15">
        <v>5.8700000000000002E-3</v>
      </c>
      <c r="AE132">
        <v>71.400278880000002</v>
      </c>
      <c r="AF132">
        <v>71.99385307</v>
      </c>
      <c r="AG132">
        <v>74.792777639999997</v>
      </c>
      <c r="AH132">
        <v>54.793490890000001</v>
      </c>
      <c r="AI132">
        <v>100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0</v>
      </c>
      <c r="AP132">
        <v>1</v>
      </c>
      <c r="AQ132">
        <v>0</v>
      </c>
      <c r="AR132">
        <v>30.900144000000001</v>
      </c>
      <c r="AS132">
        <v>42.674059999999997</v>
      </c>
      <c r="AT132">
        <v>93.179107999999999</v>
      </c>
      <c r="AU132">
        <v>204.89792399999999</v>
      </c>
      <c r="AV132">
        <v>0</v>
      </c>
    </row>
    <row r="133" spans="1:48">
      <c r="A133">
        <v>132</v>
      </c>
      <c r="B133">
        <v>5.4114895289999998</v>
      </c>
      <c r="C133">
        <v>24.08201949</v>
      </c>
      <c r="D133">
        <v>11.020660230000001</v>
      </c>
      <c r="E133">
        <v>4.3778649490000001</v>
      </c>
      <c r="F133">
        <v>0.35799999999999998</v>
      </c>
      <c r="G133">
        <v>1.593</v>
      </c>
      <c r="H133">
        <v>0.623766826</v>
      </c>
      <c r="I133">
        <v>0</v>
      </c>
      <c r="J133" s="15">
        <v>4.6942588269999996</v>
      </c>
      <c r="K133">
        <v>5.4114895289999998</v>
      </c>
      <c r="L133" s="15">
        <v>4.6942588269999996</v>
      </c>
      <c r="M133" s="15">
        <v>0.71723070099999997</v>
      </c>
      <c r="N133">
        <v>0</v>
      </c>
      <c r="O133" s="15">
        <v>4.6942589669999997</v>
      </c>
      <c r="P133">
        <v>3.4165983089999998</v>
      </c>
      <c r="Q133">
        <v>2.3430569389999998</v>
      </c>
      <c r="R133">
        <v>0</v>
      </c>
      <c r="S133">
        <v>0</v>
      </c>
      <c r="T133" s="15">
        <v>4.5800000000000002E-5</v>
      </c>
      <c r="U133">
        <v>13.06361145</v>
      </c>
      <c r="V133">
        <v>0</v>
      </c>
      <c r="W133">
        <v>0</v>
      </c>
      <c r="X133">
        <v>1.567219278</v>
      </c>
      <c r="Y133">
        <v>1.567219278</v>
      </c>
      <c r="Z133">
        <v>1</v>
      </c>
      <c r="AA133">
        <v>0.48099999999999998</v>
      </c>
      <c r="AB133">
        <v>99.418999999999997</v>
      </c>
      <c r="AC133">
        <v>0</v>
      </c>
      <c r="AD133" s="15">
        <v>5.1200000000000004E-3</v>
      </c>
      <c r="AE133">
        <v>71.403951370000001</v>
      </c>
      <c r="AF133">
        <v>72.976246880000005</v>
      </c>
      <c r="AG133">
        <v>72.329735940000006</v>
      </c>
      <c r="AH133">
        <v>53.057347960000001</v>
      </c>
      <c r="AI133">
        <v>100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0</v>
      </c>
      <c r="AP133">
        <v>1</v>
      </c>
      <c r="AQ133">
        <v>0</v>
      </c>
      <c r="AR133">
        <v>31.422768000000001</v>
      </c>
      <c r="AS133">
        <v>43.395820000000001</v>
      </c>
      <c r="AT133">
        <v>94.755076000000003</v>
      </c>
      <c r="AU133">
        <v>208.363428</v>
      </c>
      <c r="AV133">
        <v>0</v>
      </c>
    </row>
    <row r="134" spans="1:48">
      <c r="A134">
        <v>133</v>
      </c>
      <c r="B134">
        <v>0</v>
      </c>
      <c r="C134">
        <v>23.882019490000001</v>
      </c>
      <c r="D134">
        <v>12.12545613</v>
      </c>
      <c r="E134">
        <v>4.3049974510000002</v>
      </c>
      <c r="F134">
        <v>0.379</v>
      </c>
      <c r="G134">
        <v>1.702</v>
      </c>
      <c r="H134">
        <v>0.50064729699999999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3.2654827970000002</v>
      </c>
      <c r="Q134">
        <v>2.242754632</v>
      </c>
      <c r="R134">
        <v>0</v>
      </c>
      <c r="S134">
        <v>0</v>
      </c>
      <c r="T134" s="15">
        <v>7.1400000000000001E-5</v>
      </c>
      <c r="U134">
        <v>10.82078538</v>
      </c>
      <c r="V134">
        <v>0</v>
      </c>
      <c r="W134">
        <v>0</v>
      </c>
      <c r="X134">
        <v>1.6315323269999999</v>
      </c>
      <c r="Y134">
        <v>1.6315323269999999</v>
      </c>
      <c r="Z134">
        <v>1</v>
      </c>
      <c r="AA134">
        <v>0.49</v>
      </c>
      <c r="AB134">
        <v>99.41</v>
      </c>
      <c r="AC134">
        <v>0</v>
      </c>
      <c r="AD134" s="15">
        <v>4.0299999999999997E-3</v>
      </c>
      <c r="AE134">
        <v>71.541424809999995</v>
      </c>
      <c r="AF134">
        <v>73.176915370000003</v>
      </c>
      <c r="AG134">
        <v>78.1922493</v>
      </c>
      <c r="AH134">
        <v>57.27092665</v>
      </c>
      <c r="AI134">
        <v>100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1</v>
      </c>
      <c r="AQ134">
        <v>0</v>
      </c>
      <c r="AR134">
        <v>32.010719999999999</v>
      </c>
      <c r="AS134">
        <v>44.207799999999999</v>
      </c>
      <c r="AT134">
        <v>96.528040000000004</v>
      </c>
      <c r="AU134">
        <v>212.26212000000001</v>
      </c>
      <c r="AV134">
        <v>0</v>
      </c>
    </row>
    <row r="135" spans="1:48">
      <c r="A135">
        <v>134</v>
      </c>
      <c r="B135">
        <v>3.373414887</v>
      </c>
      <c r="C135">
        <v>22.0952041</v>
      </c>
      <c r="D135">
        <v>9.0179805060000007</v>
      </c>
      <c r="E135">
        <v>3.5192966659999998</v>
      </c>
      <c r="F135">
        <v>0.4</v>
      </c>
      <c r="G135">
        <v>1.8120000000000001</v>
      </c>
      <c r="H135">
        <v>0.50411939500000003</v>
      </c>
      <c r="I135">
        <v>0</v>
      </c>
      <c r="J135">
        <v>2.6644872739999999</v>
      </c>
      <c r="K135">
        <v>3.373414887</v>
      </c>
      <c r="L135">
        <v>2.6644872739999999</v>
      </c>
      <c r="M135">
        <v>0.70892761299999996</v>
      </c>
      <c r="N135">
        <v>0</v>
      </c>
      <c r="O135">
        <v>2.6644873530000002</v>
      </c>
      <c r="P135">
        <v>2.5241350979999999</v>
      </c>
      <c r="Q135">
        <v>1.609783795</v>
      </c>
      <c r="R135">
        <v>0</v>
      </c>
      <c r="S135">
        <v>0</v>
      </c>
      <c r="T135" s="15">
        <v>1.98E-5</v>
      </c>
      <c r="U135">
        <v>11.87546918</v>
      </c>
      <c r="V135">
        <v>0</v>
      </c>
      <c r="W135">
        <v>0</v>
      </c>
      <c r="X135">
        <v>1.407662757</v>
      </c>
      <c r="Y135">
        <v>1.407662757</v>
      </c>
      <c r="Z135">
        <v>1</v>
      </c>
      <c r="AA135">
        <v>0.498</v>
      </c>
      <c r="AB135">
        <v>99.402000000000001</v>
      </c>
      <c r="AC135">
        <v>0</v>
      </c>
      <c r="AD135" s="15">
        <v>3.1800000000000001E-3</v>
      </c>
      <c r="AE135">
        <v>71.706565609999998</v>
      </c>
      <c r="AF135">
        <v>73.117392809999998</v>
      </c>
      <c r="AG135">
        <v>79.339618610000002</v>
      </c>
      <c r="AH135">
        <v>58.11364872</v>
      </c>
      <c r="AI135">
        <v>100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1</v>
      </c>
      <c r="AQ135">
        <v>0</v>
      </c>
      <c r="AR135">
        <v>32.533344</v>
      </c>
      <c r="AS135">
        <v>44.929560000000002</v>
      </c>
      <c r="AT135">
        <v>98.104007999999993</v>
      </c>
      <c r="AU135">
        <v>215.72762399999999</v>
      </c>
      <c r="AV135">
        <v>0</v>
      </c>
    </row>
    <row r="136" spans="1:48">
      <c r="A136">
        <v>135</v>
      </c>
      <c r="B136">
        <v>0</v>
      </c>
      <c r="C136">
        <v>20.364055199999999</v>
      </c>
      <c r="D136">
        <v>9.3133361299999997</v>
      </c>
      <c r="E136">
        <v>3.0383495850000002</v>
      </c>
      <c r="F136">
        <v>0.42099999999999999</v>
      </c>
      <c r="G136">
        <v>1.921</v>
      </c>
      <c r="H136">
        <v>0.54272808500000003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2.0101575349999998</v>
      </c>
      <c r="Q136">
        <v>1.262375563</v>
      </c>
      <c r="R136">
        <v>0</v>
      </c>
      <c r="S136">
        <v>0</v>
      </c>
      <c r="T136" s="15">
        <v>2.0999999999999999E-5</v>
      </c>
      <c r="U136">
        <v>10.613072600000001</v>
      </c>
      <c r="V136">
        <v>0</v>
      </c>
      <c r="W136">
        <v>0</v>
      </c>
      <c r="X136">
        <v>1.2790918899999999</v>
      </c>
      <c r="Y136">
        <v>1.2790918899999999</v>
      </c>
      <c r="Z136">
        <v>1</v>
      </c>
      <c r="AA136">
        <v>0.50600000000000001</v>
      </c>
      <c r="AB136">
        <v>99.394000000000005</v>
      </c>
      <c r="AC136">
        <v>0</v>
      </c>
      <c r="AD136" s="15">
        <v>2.6199999999999999E-3</v>
      </c>
      <c r="AE136">
        <v>72.000845010000006</v>
      </c>
      <c r="AF136">
        <v>73.282533610000002</v>
      </c>
      <c r="AG136">
        <v>79.153967699999995</v>
      </c>
      <c r="AH136">
        <v>58.004213499999999</v>
      </c>
      <c r="AI136">
        <v>100</v>
      </c>
      <c r="AJ136">
        <v>0</v>
      </c>
      <c r="AK136">
        <v>0</v>
      </c>
      <c r="AL136">
        <v>1</v>
      </c>
      <c r="AM136">
        <v>1</v>
      </c>
      <c r="AN136">
        <v>0</v>
      </c>
      <c r="AO136">
        <v>0</v>
      </c>
      <c r="AP136">
        <v>1</v>
      </c>
      <c r="AQ136">
        <v>0</v>
      </c>
      <c r="AR136">
        <v>33.055968</v>
      </c>
      <c r="AS136">
        <v>45.651319999999998</v>
      </c>
      <c r="AT136">
        <v>99.679975999999996</v>
      </c>
      <c r="AU136">
        <v>219.193128</v>
      </c>
      <c r="AV136">
        <v>0</v>
      </c>
    </row>
    <row r="137" spans="1:48">
      <c r="A137">
        <v>136</v>
      </c>
      <c r="B137">
        <v>5.0848543389999996</v>
      </c>
      <c r="C137">
        <v>19.37454387</v>
      </c>
      <c r="D137">
        <v>11.231148900000001</v>
      </c>
      <c r="E137">
        <v>1.9112001590000001</v>
      </c>
      <c r="F137">
        <v>0.442</v>
      </c>
      <c r="G137">
        <v>2.0299999999999998</v>
      </c>
      <c r="H137">
        <v>0.56843002099999995</v>
      </c>
      <c r="I137">
        <v>198</v>
      </c>
      <c r="J137">
        <v>4.1852924480000002</v>
      </c>
      <c r="K137">
        <v>203.08485429999999</v>
      </c>
      <c r="L137">
        <v>4.1852924480000002</v>
      </c>
      <c r="M137">
        <v>0.89956188999999998</v>
      </c>
      <c r="N137">
        <v>0</v>
      </c>
      <c r="O137">
        <v>4.1852925729999999</v>
      </c>
      <c r="P137">
        <v>1.1264747660000001</v>
      </c>
      <c r="Q137">
        <v>1.002210944</v>
      </c>
      <c r="R137">
        <v>0</v>
      </c>
      <c r="S137">
        <v>0</v>
      </c>
      <c r="T137">
        <v>184.00463110000001</v>
      </c>
      <c r="U137">
        <v>27.791523160000001</v>
      </c>
      <c r="V137">
        <v>0</v>
      </c>
      <c r="W137">
        <v>0</v>
      </c>
      <c r="X137">
        <v>0.84471360699999998</v>
      </c>
      <c r="Y137">
        <v>0.84471360699999998</v>
      </c>
      <c r="Z137">
        <v>1</v>
      </c>
      <c r="AA137">
        <v>0.51400000000000001</v>
      </c>
      <c r="AB137">
        <v>99.385999999999996</v>
      </c>
      <c r="AC137">
        <v>0</v>
      </c>
      <c r="AD137">
        <v>116.62494220000001</v>
      </c>
      <c r="AE137">
        <v>140.1117883</v>
      </c>
      <c r="AF137">
        <v>73.576813009999995</v>
      </c>
      <c r="AG137">
        <v>79.417996709999997</v>
      </c>
      <c r="AH137">
        <v>58.215978219999997</v>
      </c>
      <c r="AI137">
        <v>100</v>
      </c>
      <c r="AJ137">
        <v>0</v>
      </c>
      <c r="AK137">
        <v>0</v>
      </c>
      <c r="AL137">
        <v>7.8762411620000004</v>
      </c>
      <c r="AM137">
        <v>7.9109861300000004</v>
      </c>
      <c r="AN137">
        <v>22</v>
      </c>
      <c r="AO137">
        <v>0</v>
      </c>
      <c r="AP137">
        <v>1</v>
      </c>
      <c r="AQ137">
        <v>0</v>
      </c>
      <c r="AR137">
        <v>33.578592</v>
      </c>
      <c r="AS137">
        <v>46.373080000000002</v>
      </c>
      <c r="AT137">
        <v>101.255944</v>
      </c>
      <c r="AU137">
        <v>222.65863200000001</v>
      </c>
      <c r="AV137">
        <v>0</v>
      </c>
    </row>
    <row r="138" spans="1:48">
      <c r="A138">
        <v>137</v>
      </c>
      <c r="B138">
        <v>1.3905510320000001</v>
      </c>
      <c r="C138">
        <v>24.938750590000001</v>
      </c>
      <c r="D138">
        <v>11.674543870000001</v>
      </c>
      <c r="E138">
        <v>5.392447164</v>
      </c>
      <c r="F138">
        <v>0.46300000000000002</v>
      </c>
      <c r="G138">
        <v>2.14</v>
      </c>
      <c r="H138">
        <v>0.62115246199999996</v>
      </c>
      <c r="I138">
        <v>0</v>
      </c>
      <c r="J138">
        <v>0.83094000999999995</v>
      </c>
      <c r="K138">
        <v>1.3905510320000001</v>
      </c>
      <c r="L138">
        <v>0.83094000999999995</v>
      </c>
      <c r="M138">
        <v>0.55961102200000001</v>
      </c>
      <c r="N138">
        <v>0</v>
      </c>
      <c r="O138">
        <v>0.83094003400000005</v>
      </c>
      <c r="P138">
        <v>3.9030501179999999</v>
      </c>
      <c r="Q138">
        <v>3.9030501179999999</v>
      </c>
      <c r="R138">
        <v>0</v>
      </c>
      <c r="S138">
        <v>0</v>
      </c>
      <c r="T138">
        <v>2.5842767740000001</v>
      </c>
      <c r="U138">
        <v>22.135136299999999</v>
      </c>
      <c r="V138">
        <v>0</v>
      </c>
      <c r="W138">
        <v>0</v>
      </c>
      <c r="X138">
        <v>2.496589046</v>
      </c>
      <c r="Y138">
        <v>2.496589046</v>
      </c>
      <c r="Z138">
        <v>1</v>
      </c>
      <c r="AA138">
        <v>0.52200000000000002</v>
      </c>
      <c r="AB138">
        <v>99.378</v>
      </c>
      <c r="AC138">
        <v>0</v>
      </c>
      <c r="AD138" s="15">
        <v>17.655449019999999</v>
      </c>
      <c r="AE138">
        <v>124.119995</v>
      </c>
      <c r="AF138">
        <v>141.68775629999999</v>
      </c>
      <c r="AG138">
        <v>78.597058340000004</v>
      </c>
      <c r="AH138">
        <v>57.652766239999998</v>
      </c>
      <c r="AI138">
        <v>100</v>
      </c>
      <c r="AJ138">
        <v>0</v>
      </c>
      <c r="AK138">
        <v>0</v>
      </c>
      <c r="AL138">
        <v>4.437541607</v>
      </c>
      <c r="AM138">
        <v>4.4971819379999998</v>
      </c>
      <c r="AN138">
        <v>0</v>
      </c>
      <c r="AO138">
        <v>0</v>
      </c>
      <c r="AP138">
        <v>1</v>
      </c>
      <c r="AQ138">
        <v>0</v>
      </c>
      <c r="AR138">
        <v>34.101216000000001</v>
      </c>
      <c r="AS138">
        <v>47.094839999999998</v>
      </c>
      <c r="AT138">
        <v>102.831912</v>
      </c>
      <c r="AU138">
        <v>226.12413599999999</v>
      </c>
      <c r="AV138">
        <v>0</v>
      </c>
    </row>
    <row r="139" spans="1:48">
      <c r="A139">
        <v>138</v>
      </c>
      <c r="B139">
        <v>2.6367687499999999</v>
      </c>
      <c r="C139">
        <v>25.656605030000001</v>
      </c>
      <c r="D139">
        <v>7.3793397680000004</v>
      </c>
      <c r="E139">
        <v>4.6945652320000004</v>
      </c>
      <c r="F139">
        <v>0.48399999999999999</v>
      </c>
      <c r="G139">
        <v>2.2490000000000001</v>
      </c>
      <c r="H139">
        <v>0.44401443499999999</v>
      </c>
      <c r="I139">
        <v>0</v>
      </c>
      <c r="J139">
        <v>1.8348212180000001</v>
      </c>
      <c r="K139">
        <v>2.6367687499999999</v>
      </c>
      <c r="L139">
        <v>1.8348212180000001</v>
      </c>
      <c r="M139">
        <v>0.80194753299999999</v>
      </c>
      <c r="N139">
        <v>0</v>
      </c>
      <c r="O139">
        <v>1.834821273</v>
      </c>
      <c r="P139">
        <v>3.1831395219999998</v>
      </c>
      <c r="Q139">
        <v>3.1831395219999998</v>
      </c>
      <c r="R139">
        <v>0</v>
      </c>
      <c r="S139">
        <v>0</v>
      </c>
      <c r="T139" s="15">
        <v>0.25880229999999999</v>
      </c>
      <c r="U139">
        <v>20.528015759999999</v>
      </c>
      <c r="V139">
        <v>0</v>
      </c>
      <c r="W139">
        <v>0</v>
      </c>
      <c r="X139">
        <v>2.272061168</v>
      </c>
      <c r="Y139">
        <v>2.272061168</v>
      </c>
      <c r="Z139">
        <v>1</v>
      </c>
      <c r="AA139">
        <v>0.53</v>
      </c>
      <c r="AB139">
        <v>99.37</v>
      </c>
      <c r="AC139">
        <v>0</v>
      </c>
      <c r="AD139" s="15">
        <v>3.8793340160000001</v>
      </c>
      <c r="AE139">
        <v>119.8033701</v>
      </c>
      <c r="AF139">
        <v>125.69596300000001</v>
      </c>
      <c r="AG139">
        <v>86.818738359999998</v>
      </c>
      <c r="AH139">
        <v>63.548567400000003</v>
      </c>
      <c r="AI139">
        <v>100</v>
      </c>
      <c r="AJ139">
        <v>0</v>
      </c>
      <c r="AK139">
        <v>0</v>
      </c>
      <c r="AL139">
        <v>2.7184813650000001</v>
      </c>
      <c r="AM139">
        <v>2.769686884</v>
      </c>
      <c r="AN139">
        <v>0</v>
      </c>
      <c r="AO139">
        <v>0</v>
      </c>
      <c r="AP139">
        <v>1</v>
      </c>
      <c r="AQ139">
        <v>0</v>
      </c>
      <c r="AR139">
        <v>34.623840000000001</v>
      </c>
      <c r="AS139">
        <v>47.816600000000001</v>
      </c>
      <c r="AT139">
        <v>104.40788000000001</v>
      </c>
      <c r="AU139">
        <v>229.58964</v>
      </c>
      <c r="AV139">
        <v>0</v>
      </c>
    </row>
    <row r="140" spans="1:48">
      <c r="A140">
        <v>139</v>
      </c>
      <c r="B140">
        <v>0</v>
      </c>
      <c r="C140">
        <v>24.820660230000001</v>
      </c>
      <c r="D140">
        <v>9.2387505940000008</v>
      </c>
      <c r="E140">
        <v>4.9192681049999996</v>
      </c>
      <c r="F140">
        <v>0.504</v>
      </c>
      <c r="G140">
        <v>2.3580000000000001</v>
      </c>
      <c r="H140">
        <v>0.48179197299999998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3.2417253339999998</v>
      </c>
      <c r="Q140">
        <v>3.2417253339999998</v>
      </c>
      <c r="R140">
        <v>0</v>
      </c>
      <c r="S140">
        <v>0</v>
      </c>
      <c r="T140" s="15">
        <v>5.1700000000000003E-2</v>
      </c>
      <c r="U140">
        <v>17.234595200000001</v>
      </c>
      <c r="V140">
        <v>0</v>
      </c>
      <c r="W140">
        <v>0</v>
      </c>
      <c r="X140">
        <v>2.4791876720000001</v>
      </c>
      <c r="Y140">
        <v>2.4791876720000001</v>
      </c>
      <c r="Z140">
        <v>1</v>
      </c>
      <c r="AA140">
        <v>0.53800000000000003</v>
      </c>
      <c r="AB140">
        <v>99.361999999999995</v>
      </c>
      <c r="AC140">
        <v>0</v>
      </c>
      <c r="AD140" s="15">
        <v>1.6123672920000001</v>
      </c>
      <c r="AE140">
        <v>117.3394784</v>
      </c>
      <c r="AF140">
        <v>121.3793381</v>
      </c>
      <c r="AG140">
        <v>86.610105509999997</v>
      </c>
      <c r="AH140">
        <v>63.4227165</v>
      </c>
      <c r="AI140">
        <v>100</v>
      </c>
      <c r="AJ140">
        <v>0</v>
      </c>
      <c r="AK140">
        <v>0</v>
      </c>
      <c r="AL140">
        <v>1.859095988</v>
      </c>
      <c r="AM140">
        <v>1.8955186550000001</v>
      </c>
      <c r="AN140">
        <v>0</v>
      </c>
      <c r="AO140">
        <v>0</v>
      </c>
      <c r="AP140">
        <v>1</v>
      </c>
      <c r="AQ140">
        <v>0</v>
      </c>
      <c r="AR140">
        <v>35.146464000000002</v>
      </c>
      <c r="AS140">
        <v>48.538359999999997</v>
      </c>
      <c r="AT140">
        <v>105.98384799999999</v>
      </c>
      <c r="AU140">
        <v>233.05514400000001</v>
      </c>
      <c r="AV140">
        <v>0</v>
      </c>
    </row>
    <row r="141" spans="1:48">
      <c r="A141">
        <v>140</v>
      </c>
      <c r="B141">
        <v>0</v>
      </c>
      <c r="C141">
        <v>25.666734930000001</v>
      </c>
      <c r="D141">
        <v>7.561249406</v>
      </c>
      <c r="E141">
        <v>5.0384504149999998</v>
      </c>
      <c r="F141">
        <v>0.52500000000000002</v>
      </c>
      <c r="G141">
        <v>2.4670000000000001</v>
      </c>
      <c r="H141">
        <v>0.47116348000000002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3.2680828759999998</v>
      </c>
      <c r="Q141">
        <v>3.1808218560000001</v>
      </c>
      <c r="R141">
        <v>0</v>
      </c>
      <c r="S141">
        <v>0</v>
      </c>
      <c r="T141" s="15">
        <v>4.3899999999999998E-3</v>
      </c>
      <c r="U141">
        <v>14.04938681</v>
      </c>
      <c r="V141">
        <v>0</v>
      </c>
      <c r="W141">
        <v>0</v>
      </c>
      <c r="X141">
        <v>2.6450491739999999</v>
      </c>
      <c r="Y141">
        <v>2.6450491739999999</v>
      </c>
      <c r="Z141">
        <v>1</v>
      </c>
      <c r="AA141">
        <v>0.54700000000000004</v>
      </c>
      <c r="AB141">
        <v>99.352999999999994</v>
      </c>
      <c r="AC141">
        <v>0</v>
      </c>
      <c r="AD141" s="15">
        <v>0.83222302500000001</v>
      </c>
      <c r="AE141">
        <v>115.6395567</v>
      </c>
      <c r="AF141">
        <v>119.11244240000001</v>
      </c>
      <c r="AG141">
        <v>88.493514360000006</v>
      </c>
      <c r="AH141">
        <v>64.794077689999995</v>
      </c>
      <c r="AI141">
        <v>100</v>
      </c>
      <c r="AJ141">
        <v>0</v>
      </c>
      <c r="AK141">
        <v>0</v>
      </c>
      <c r="AL141">
        <v>1.429475659</v>
      </c>
      <c r="AM141">
        <v>1.4531613299999999</v>
      </c>
      <c r="AN141">
        <v>0</v>
      </c>
      <c r="AO141">
        <v>0</v>
      </c>
      <c r="AP141">
        <v>1</v>
      </c>
      <c r="AQ141">
        <v>0</v>
      </c>
      <c r="AR141">
        <v>35.734416000000003</v>
      </c>
      <c r="AS141">
        <v>49.350340000000003</v>
      </c>
      <c r="AT141">
        <v>107.756812</v>
      </c>
      <c r="AU141">
        <v>236.953836</v>
      </c>
      <c r="AV141">
        <v>0</v>
      </c>
    </row>
    <row r="142" spans="1:48">
      <c r="A142">
        <v>141</v>
      </c>
      <c r="B142" s="15">
        <v>7.5600000000000001E-2</v>
      </c>
      <c r="C142">
        <v>24.238750589999999</v>
      </c>
      <c r="D142">
        <v>11.18951133</v>
      </c>
      <c r="E142">
        <v>4.536350348</v>
      </c>
      <c r="F142">
        <v>0.54600000000000004</v>
      </c>
      <c r="G142">
        <v>2.577</v>
      </c>
      <c r="H142">
        <v>0.46347471899999998</v>
      </c>
      <c r="I142">
        <v>0</v>
      </c>
      <c r="J142" s="15">
        <v>1.3299999999999999E-2</v>
      </c>
      <c r="K142" s="15">
        <v>7.5600000000000001E-2</v>
      </c>
      <c r="L142" s="15">
        <v>1.3299999999999999E-2</v>
      </c>
      <c r="M142" s="15">
        <v>6.2399999999999997E-2</v>
      </c>
      <c r="N142">
        <v>0</v>
      </c>
      <c r="O142" s="15">
        <v>1.3299999999999999E-2</v>
      </c>
      <c r="P142">
        <v>2.664484887</v>
      </c>
      <c r="Q142">
        <v>2.0864754560000001</v>
      </c>
      <c r="R142">
        <v>0</v>
      </c>
      <c r="S142">
        <v>0</v>
      </c>
      <c r="T142" s="15">
        <v>2.6200000000000003E-4</v>
      </c>
      <c r="U142">
        <v>11.9759347</v>
      </c>
      <c r="V142">
        <v>0</v>
      </c>
      <c r="W142">
        <v>0</v>
      </c>
      <c r="X142">
        <v>2.4767134519999998</v>
      </c>
      <c r="Y142">
        <v>2.4767134519999998</v>
      </c>
      <c r="Z142">
        <v>1</v>
      </c>
      <c r="AA142">
        <v>0.55500000000000005</v>
      </c>
      <c r="AB142">
        <v>99.344999999999999</v>
      </c>
      <c r="AC142">
        <v>0</v>
      </c>
      <c r="AD142" s="15">
        <v>0.49818955399999998</v>
      </c>
      <c r="AE142">
        <v>114.2408841</v>
      </c>
      <c r="AF142">
        <v>117.2155247</v>
      </c>
      <c r="AG142">
        <v>90.106701099999995</v>
      </c>
      <c r="AH142">
        <v>65.969526500000001</v>
      </c>
      <c r="AI142">
        <v>100</v>
      </c>
      <c r="AJ142">
        <v>0</v>
      </c>
      <c r="AK142">
        <v>0</v>
      </c>
      <c r="AL142">
        <v>1.214701668</v>
      </c>
      <c r="AM142">
        <v>1.2293142530000001</v>
      </c>
      <c r="AN142">
        <v>0</v>
      </c>
      <c r="AO142">
        <v>0</v>
      </c>
      <c r="AP142">
        <v>1</v>
      </c>
      <c r="AQ142">
        <v>0</v>
      </c>
      <c r="AR142">
        <v>36.257040000000003</v>
      </c>
      <c r="AS142">
        <v>50.072099999999999</v>
      </c>
      <c r="AT142">
        <v>109.33278</v>
      </c>
      <c r="AU142">
        <v>240.41934000000001</v>
      </c>
      <c r="AV142">
        <v>0</v>
      </c>
    </row>
    <row r="143" spans="1:48">
      <c r="A143">
        <v>142</v>
      </c>
      <c r="B143" s="15">
        <v>1.6814453149999999</v>
      </c>
      <c r="C143">
        <v>21.08201949</v>
      </c>
      <c r="D143">
        <v>13.31333613</v>
      </c>
      <c r="E143">
        <v>3.088979626</v>
      </c>
      <c r="F143">
        <v>0.56699999999999995</v>
      </c>
      <c r="G143">
        <v>2.6859999999999999</v>
      </c>
      <c r="H143">
        <v>0.49435206700000001</v>
      </c>
      <c r="I143">
        <v>0</v>
      </c>
      <c r="J143" s="15">
        <v>0.90308546000000001</v>
      </c>
      <c r="K143" s="15">
        <v>1.6814453149999999</v>
      </c>
      <c r="L143" s="15">
        <v>0.90308546000000001</v>
      </c>
      <c r="M143" s="15">
        <v>0.77835985500000004</v>
      </c>
      <c r="N143">
        <v>0</v>
      </c>
      <c r="O143" s="15">
        <v>0.90308548700000002</v>
      </c>
      <c r="P143">
        <v>1.5148781010000001</v>
      </c>
      <c r="Q143">
        <v>1.0419374669999999</v>
      </c>
      <c r="R143">
        <v>0</v>
      </c>
      <c r="S143">
        <v>0</v>
      </c>
      <c r="T143" s="15">
        <v>4.6199999999999998E-5</v>
      </c>
      <c r="U143">
        <v>11.837036550000001</v>
      </c>
      <c r="V143">
        <v>0</v>
      </c>
      <c r="W143">
        <v>0</v>
      </c>
      <c r="X143">
        <v>1.7513530420000001</v>
      </c>
      <c r="Y143">
        <v>1.7513530420000001</v>
      </c>
      <c r="Z143">
        <v>1</v>
      </c>
      <c r="AA143">
        <v>0.56299999999999994</v>
      </c>
      <c r="AB143">
        <v>99.337000000000003</v>
      </c>
      <c r="AC143">
        <v>0</v>
      </c>
      <c r="AD143" s="15">
        <v>0.34267482199999999</v>
      </c>
      <c r="AE143">
        <v>113.72287040000001</v>
      </c>
      <c r="AF143">
        <v>115.81685210000001</v>
      </c>
      <c r="AG143">
        <v>90.10620462</v>
      </c>
      <c r="AH143">
        <v>65.992344439999997</v>
      </c>
      <c r="AI143">
        <v>100</v>
      </c>
      <c r="AJ143">
        <v>0</v>
      </c>
      <c r="AK143">
        <v>0</v>
      </c>
      <c r="AL143">
        <v>1.1073327559999999</v>
      </c>
      <c r="AM143">
        <v>1.1160404100000001</v>
      </c>
      <c r="AN143">
        <v>0</v>
      </c>
      <c r="AO143">
        <v>0</v>
      </c>
      <c r="AP143">
        <v>1</v>
      </c>
      <c r="AQ143">
        <v>0</v>
      </c>
      <c r="AR143">
        <v>36.779663999999997</v>
      </c>
      <c r="AS143">
        <v>50.793860000000002</v>
      </c>
      <c r="AT143">
        <v>110.908748</v>
      </c>
      <c r="AU143">
        <v>243.88484399999999</v>
      </c>
      <c r="AV143">
        <v>0</v>
      </c>
    </row>
    <row r="144" spans="1:48">
      <c r="A144">
        <v>143</v>
      </c>
      <c r="B144">
        <v>0</v>
      </c>
      <c r="C144">
        <v>26.1640552</v>
      </c>
      <c r="D144">
        <v>13.73326507</v>
      </c>
      <c r="E144">
        <v>4.945277645</v>
      </c>
      <c r="F144">
        <v>0.58799999999999997</v>
      </c>
      <c r="G144">
        <v>2.7949999999999999</v>
      </c>
      <c r="H144">
        <v>0.56935075300000004</v>
      </c>
      <c r="I144">
        <v>0</v>
      </c>
      <c r="J144" s="15">
        <v>0</v>
      </c>
      <c r="K144">
        <v>0</v>
      </c>
      <c r="L144" s="15">
        <v>0</v>
      </c>
      <c r="M144">
        <v>0</v>
      </c>
      <c r="N144">
        <v>0</v>
      </c>
      <c r="O144" s="15">
        <v>0</v>
      </c>
      <c r="P144">
        <v>2.6977232760000001</v>
      </c>
      <c r="Q144">
        <v>1.6367093619999999</v>
      </c>
      <c r="R144">
        <v>0</v>
      </c>
      <c r="S144">
        <v>0</v>
      </c>
      <c r="T144" s="15">
        <v>1.8700000000000001E-5</v>
      </c>
      <c r="U144">
        <v>10.2003085</v>
      </c>
      <c r="V144">
        <v>0</v>
      </c>
      <c r="W144">
        <v>0</v>
      </c>
      <c r="X144">
        <v>2.9076535899999998</v>
      </c>
      <c r="Y144">
        <v>2.9076535899999998</v>
      </c>
      <c r="Z144">
        <v>1</v>
      </c>
      <c r="AA144">
        <v>0.57099999999999995</v>
      </c>
      <c r="AB144">
        <v>99.328999999999994</v>
      </c>
      <c r="AC144">
        <v>0</v>
      </c>
      <c r="AD144" s="15">
        <v>0.24510511600000001</v>
      </c>
      <c r="AE144">
        <v>112.1460984</v>
      </c>
      <c r="AF144">
        <v>115.29883839999999</v>
      </c>
      <c r="AG144">
        <v>88.185755510000007</v>
      </c>
      <c r="AH144">
        <v>64.643767650000001</v>
      </c>
      <c r="AI144">
        <v>100</v>
      </c>
      <c r="AJ144">
        <v>0</v>
      </c>
      <c r="AK144">
        <v>0</v>
      </c>
      <c r="AL144">
        <v>1.0536573410000001</v>
      </c>
      <c r="AM144">
        <v>1.0587201909999999</v>
      </c>
      <c r="AN144">
        <v>0</v>
      </c>
      <c r="AO144">
        <v>0</v>
      </c>
      <c r="AP144">
        <v>1</v>
      </c>
      <c r="AQ144">
        <v>0</v>
      </c>
      <c r="AR144">
        <v>37.302287999999997</v>
      </c>
      <c r="AS144">
        <v>51.515619999999998</v>
      </c>
      <c r="AT144">
        <v>112.48471600000001</v>
      </c>
      <c r="AU144">
        <v>247.350348</v>
      </c>
      <c r="AV144">
        <v>0</v>
      </c>
    </row>
    <row r="145" spans="1:48">
      <c r="A145">
        <v>144</v>
      </c>
      <c r="B145" s="15">
        <v>29.83870499</v>
      </c>
      <c r="C145">
        <v>15.910488669999999</v>
      </c>
      <c r="D145">
        <v>13.22798433</v>
      </c>
      <c r="E145">
        <v>1.298410793</v>
      </c>
      <c r="F145">
        <v>0.60899999999999999</v>
      </c>
      <c r="G145">
        <v>2.9049999999999998</v>
      </c>
      <c r="H145">
        <v>0.475784926</v>
      </c>
      <c r="I145">
        <v>0</v>
      </c>
      <c r="J145" s="15">
        <v>28.19486835</v>
      </c>
      <c r="K145" s="15">
        <v>29.83870499</v>
      </c>
      <c r="L145" s="15">
        <v>28.11381553</v>
      </c>
      <c r="M145" s="15">
        <v>1.643836649</v>
      </c>
      <c r="N145" s="15">
        <v>8.1100000000000005E-2</v>
      </c>
      <c r="O145" s="15">
        <v>28.113816369999999</v>
      </c>
      <c r="P145">
        <v>0.471380099</v>
      </c>
      <c r="Q145">
        <v>0.471015923</v>
      </c>
      <c r="R145">
        <v>0</v>
      </c>
      <c r="S145">
        <v>0</v>
      </c>
      <c r="T145">
        <v>3.271689399</v>
      </c>
      <c r="U145">
        <v>34.571419550000002</v>
      </c>
      <c r="V145">
        <v>0</v>
      </c>
      <c r="W145">
        <v>0</v>
      </c>
      <c r="X145">
        <v>0.79068431900000002</v>
      </c>
      <c r="Y145">
        <v>0.79068431900000002</v>
      </c>
      <c r="Z145">
        <v>1</v>
      </c>
      <c r="AA145">
        <v>0.57899999999999996</v>
      </c>
      <c r="AB145">
        <v>99.320999999999998</v>
      </c>
      <c r="AC145">
        <v>0</v>
      </c>
      <c r="AD145" s="15">
        <v>0.19749999500000001</v>
      </c>
      <c r="AE145">
        <v>116.0055715</v>
      </c>
      <c r="AF145">
        <v>113.7220664</v>
      </c>
      <c r="AG145">
        <v>93.470466720000005</v>
      </c>
      <c r="AH145">
        <v>68.441733940000006</v>
      </c>
      <c r="AI145">
        <v>100</v>
      </c>
      <c r="AJ145">
        <v>0</v>
      </c>
      <c r="AK145">
        <v>0</v>
      </c>
      <c r="AL145">
        <v>1.0268241520000001</v>
      </c>
      <c r="AM145">
        <v>1.029714311</v>
      </c>
      <c r="AN145">
        <v>0</v>
      </c>
      <c r="AO145">
        <v>0</v>
      </c>
      <c r="AP145">
        <v>1</v>
      </c>
      <c r="AQ145">
        <v>0</v>
      </c>
      <c r="AR145">
        <v>37.824911999999998</v>
      </c>
      <c r="AS145">
        <v>52.237380000000002</v>
      </c>
      <c r="AT145">
        <v>114.06068399999999</v>
      </c>
      <c r="AU145">
        <v>250.81585200000001</v>
      </c>
      <c r="AV145">
        <v>0</v>
      </c>
    </row>
    <row r="146" spans="1:48">
      <c r="A146">
        <v>145</v>
      </c>
      <c r="B146">
        <v>0</v>
      </c>
      <c r="C146">
        <v>24.227984330000002</v>
      </c>
      <c r="D146">
        <v>10.425456130000001</v>
      </c>
      <c r="E146">
        <v>5.2652234360000003</v>
      </c>
      <c r="F146">
        <v>0.629</v>
      </c>
      <c r="G146">
        <v>3.0139999999999998</v>
      </c>
      <c r="H146">
        <v>0.64951742000000001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2.7409316769999998</v>
      </c>
      <c r="Q146">
        <v>2.7409316769999998</v>
      </c>
      <c r="R146">
        <v>0</v>
      </c>
      <c r="S146">
        <v>0</v>
      </c>
      <c r="T146">
        <v>4.8972187790000001</v>
      </c>
      <c r="U146">
        <v>26.93326909</v>
      </c>
      <c r="V146">
        <v>0</v>
      </c>
      <c r="W146">
        <v>0</v>
      </c>
      <c r="X146">
        <v>3.3116179209999999</v>
      </c>
      <c r="Y146">
        <v>3.3116179209999999</v>
      </c>
      <c r="Z146">
        <v>1</v>
      </c>
      <c r="AA146">
        <v>0.58699999999999997</v>
      </c>
      <c r="AB146">
        <v>99.313000000000002</v>
      </c>
      <c r="AC146">
        <v>0</v>
      </c>
      <c r="AD146" s="15">
        <v>0.300764741</v>
      </c>
      <c r="AE146">
        <v>118.8663756</v>
      </c>
      <c r="AF146">
        <v>117.58153950000001</v>
      </c>
      <c r="AG146">
        <v>87.139556880000001</v>
      </c>
      <c r="AH146">
        <v>63.942828059999997</v>
      </c>
      <c r="AI146">
        <v>100</v>
      </c>
      <c r="AJ146">
        <v>0</v>
      </c>
      <c r="AK146">
        <v>0</v>
      </c>
      <c r="AL146">
        <v>1.013409818</v>
      </c>
      <c r="AM146">
        <v>1.0150364000000001</v>
      </c>
      <c r="AN146">
        <v>0</v>
      </c>
      <c r="AO146">
        <v>0</v>
      </c>
      <c r="AP146">
        <v>1</v>
      </c>
      <c r="AQ146">
        <v>0</v>
      </c>
      <c r="AR146">
        <v>38.347535999999998</v>
      </c>
      <c r="AS146">
        <v>52.959139999999998</v>
      </c>
      <c r="AT146">
        <v>115.636652</v>
      </c>
      <c r="AU146">
        <v>254.28135599999999</v>
      </c>
      <c r="AV146">
        <v>0</v>
      </c>
    </row>
    <row r="147" spans="1:48">
      <c r="A147">
        <v>146</v>
      </c>
      <c r="B147">
        <v>0</v>
      </c>
      <c r="C147">
        <v>24.20267973</v>
      </c>
      <c r="D147">
        <v>9.0332650730000008</v>
      </c>
      <c r="E147">
        <v>4.7506182749999999</v>
      </c>
      <c r="F147">
        <v>0.65</v>
      </c>
      <c r="G147">
        <v>3.1230000000000002</v>
      </c>
      <c r="H147">
        <v>0.45789801699999999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2.013343227</v>
      </c>
      <c r="Q147">
        <v>2.013343227</v>
      </c>
      <c r="R147">
        <v>0</v>
      </c>
      <c r="S147">
        <v>0</v>
      </c>
      <c r="T147">
        <v>0.72964129499999997</v>
      </c>
      <c r="U147">
        <v>24.190284569999999</v>
      </c>
      <c r="V147">
        <v>0</v>
      </c>
      <c r="W147">
        <v>0</v>
      </c>
      <c r="X147">
        <v>3.0877015989999999</v>
      </c>
      <c r="Y147">
        <v>3.0877015989999999</v>
      </c>
      <c r="Z147">
        <v>1</v>
      </c>
      <c r="AA147">
        <v>0.59499999999999997</v>
      </c>
      <c r="AB147">
        <v>99.305000000000007</v>
      </c>
      <c r="AC147">
        <v>0</v>
      </c>
      <c r="AD147" s="15">
        <v>0.25101911500000001</v>
      </c>
      <c r="AE147">
        <v>117.8332642</v>
      </c>
      <c r="AF147">
        <v>120.4423436</v>
      </c>
      <c r="AG147">
        <v>96.848885980000006</v>
      </c>
      <c r="AH147">
        <v>70.901235700000001</v>
      </c>
      <c r="AI147">
        <v>100</v>
      </c>
      <c r="AJ147">
        <v>0</v>
      </c>
      <c r="AK147">
        <v>0</v>
      </c>
      <c r="AL147">
        <v>1.00670378</v>
      </c>
      <c r="AM147">
        <v>1.0076089029999999</v>
      </c>
      <c r="AN147">
        <v>0</v>
      </c>
      <c r="AO147">
        <v>0</v>
      </c>
      <c r="AP147">
        <v>1</v>
      </c>
      <c r="AQ147">
        <v>0</v>
      </c>
      <c r="AR147">
        <v>38.870159999999998</v>
      </c>
      <c r="AS147">
        <v>53.680900000000001</v>
      </c>
      <c r="AT147">
        <v>117.21262</v>
      </c>
      <c r="AU147">
        <v>257.74686000000003</v>
      </c>
      <c r="AV147">
        <v>0</v>
      </c>
    </row>
    <row r="148" spans="1:48">
      <c r="A148">
        <v>147</v>
      </c>
      <c r="B148" s="15">
        <v>0</v>
      </c>
      <c r="C148">
        <v>26.910488669999999</v>
      </c>
      <c r="D148">
        <v>10.15867954</v>
      </c>
      <c r="E148">
        <v>5.0661972310000003</v>
      </c>
      <c r="F148">
        <v>0.67100000000000004</v>
      </c>
      <c r="G148">
        <v>3.2330000000000001</v>
      </c>
      <c r="H148">
        <v>0.49595820699999998</v>
      </c>
      <c r="I148">
        <v>0</v>
      </c>
      <c r="J148" s="15">
        <v>0</v>
      </c>
      <c r="K148" s="15">
        <v>0</v>
      </c>
      <c r="L148" s="15">
        <v>0</v>
      </c>
      <c r="M148" s="15">
        <v>0</v>
      </c>
      <c r="N148">
        <v>0</v>
      </c>
      <c r="O148" s="15">
        <v>0</v>
      </c>
      <c r="P148">
        <v>2.1117820840000001</v>
      </c>
      <c r="Q148">
        <v>2.1117820840000001</v>
      </c>
      <c r="R148">
        <v>0</v>
      </c>
      <c r="S148">
        <v>0</v>
      </c>
      <c r="T148">
        <v>0.22948601199999999</v>
      </c>
      <c r="U148">
        <v>21.84901648</v>
      </c>
      <c r="V148">
        <v>0</v>
      </c>
      <c r="W148">
        <v>0</v>
      </c>
      <c r="X148">
        <v>3.3991905149999999</v>
      </c>
      <c r="Y148">
        <v>3.3991905149999999</v>
      </c>
      <c r="Z148">
        <v>1</v>
      </c>
      <c r="AA148">
        <v>0.60299999999999998</v>
      </c>
      <c r="AB148">
        <v>99.296999999999997</v>
      </c>
      <c r="AC148">
        <v>0</v>
      </c>
      <c r="AD148" s="15">
        <v>0.182454004</v>
      </c>
      <c r="AE148">
        <v>116.0570737</v>
      </c>
      <c r="AF148">
        <v>119.40923220000001</v>
      </c>
      <c r="AG148">
        <v>96.435677409999997</v>
      </c>
      <c r="AH148">
        <v>70.629259289999993</v>
      </c>
      <c r="AI148">
        <v>100</v>
      </c>
      <c r="AJ148">
        <v>0</v>
      </c>
      <c r="AK148">
        <v>0</v>
      </c>
      <c r="AL148">
        <v>1.0033513249999999</v>
      </c>
      <c r="AM148">
        <v>1.0038503510000001</v>
      </c>
      <c r="AN148">
        <v>0</v>
      </c>
      <c r="AO148">
        <v>0</v>
      </c>
      <c r="AP148">
        <v>1</v>
      </c>
      <c r="AQ148">
        <v>0</v>
      </c>
      <c r="AR148">
        <v>39.392783999999999</v>
      </c>
      <c r="AS148">
        <v>54.402659999999997</v>
      </c>
      <c r="AT148">
        <v>118.788588</v>
      </c>
      <c r="AU148">
        <v>261.21236399999998</v>
      </c>
      <c r="AV148">
        <v>0</v>
      </c>
    </row>
    <row r="149" spans="1:48">
      <c r="A149">
        <v>148</v>
      </c>
      <c r="B149">
        <v>0</v>
      </c>
      <c r="C149">
        <v>27.059410830000001</v>
      </c>
      <c r="D149">
        <v>11.45867954</v>
      </c>
      <c r="E149">
        <v>5.097823666</v>
      </c>
      <c r="F149">
        <v>0.69199999999999995</v>
      </c>
      <c r="G149">
        <v>3.3420000000000001</v>
      </c>
      <c r="H149">
        <v>0.47956109699999999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1.8894572890000001</v>
      </c>
      <c r="Q149">
        <v>1.8894572890000001</v>
      </c>
      <c r="R149">
        <v>0</v>
      </c>
      <c r="S149">
        <v>0</v>
      </c>
      <c r="T149" s="15">
        <v>7.3899999999999993E-2</v>
      </c>
      <c r="U149">
        <v>19.885619810000001</v>
      </c>
      <c r="V149">
        <v>0</v>
      </c>
      <c r="W149">
        <v>0</v>
      </c>
      <c r="X149">
        <v>3.5274499860000001</v>
      </c>
      <c r="Y149">
        <v>3.5274499860000001</v>
      </c>
      <c r="Z149">
        <v>1</v>
      </c>
      <c r="AA149">
        <v>0.61199999999999999</v>
      </c>
      <c r="AB149">
        <v>99.287999999999997</v>
      </c>
      <c r="AC149">
        <v>0</v>
      </c>
      <c r="AD149" s="15">
        <v>0.125803147</v>
      </c>
      <c r="AE149">
        <v>114.2507239</v>
      </c>
      <c r="AF149">
        <v>117.83003770000001</v>
      </c>
      <c r="AG149">
        <v>98.625066259999997</v>
      </c>
      <c r="AH149">
        <v>72.219177610000003</v>
      </c>
      <c r="AI149">
        <v>100</v>
      </c>
      <c r="AJ149">
        <v>0</v>
      </c>
      <c r="AK149">
        <v>0</v>
      </c>
      <c r="AL149">
        <v>1.0016753810000001</v>
      </c>
      <c r="AM149">
        <v>1.001948402</v>
      </c>
      <c r="AN149">
        <v>0</v>
      </c>
      <c r="AO149">
        <v>0</v>
      </c>
      <c r="AP149">
        <v>1</v>
      </c>
      <c r="AQ149">
        <v>0</v>
      </c>
      <c r="AR149">
        <v>39.980736</v>
      </c>
      <c r="AS149">
        <v>55.214640000000003</v>
      </c>
      <c r="AT149">
        <v>120.56155200000001</v>
      </c>
      <c r="AU149">
        <v>265.11105600000002</v>
      </c>
      <c r="AV149">
        <v>0</v>
      </c>
    </row>
    <row r="150" spans="1:48">
      <c r="A150">
        <v>149</v>
      </c>
      <c r="B150">
        <v>0</v>
      </c>
      <c r="C150">
        <v>27.977265259999999</v>
      </c>
      <c r="D150">
        <v>13.25599981</v>
      </c>
      <c r="E150">
        <v>5.1341111469999996</v>
      </c>
      <c r="F150">
        <v>0.71299999999999997</v>
      </c>
      <c r="G150">
        <v>3.4510000000000001</v>
      </c>
      <c r="H150">
        <v>0.48332370899999999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1.972987705</v>
      </c>
      <c r="Q150">
        <v>1.972987705</v>
      </c>
      <c r="R150">
        <v>0</v>
      </c>
      <c r="S150">
        <v>0</v>
      </c>
      <c r="T150" s="15">
        <v>2.3300000000000001E-2</v>
      </c>
      <c r="U150">
        <v>17.889335519999999</v>
      </c>
      <c r="V150">
        <v>0</v>
      </c>
      <c r="W150">
        <v>0</v>
      </c>
      <c r="X150">
        <v>3.6603602899999998</v>
      </c>
      <c r="Y150">
        <v>3.6603602899999998</v>
      </c>
      <c r="Z150">
        <v>1</v>
      </c>
      <c r="AA150">
        <v>0.62</v>
      </c>
      <c r="AB150">
        <v>99.28</v>
      </c>
      <c r="AC150">
        <v>0</v>
      </c>
      <c r="AD150" s="15">
        <v>8.4500000000000006E-2</v>
      </c>
      <c r="AE150">
        <v>112.10509500000001</v>
      </c>
      <c r="AF150">
        <v>115.8266919</v>
      </c>
      <c r="AG150">
        <v>99.739920380000001</v>
      </c>
      <c r="AH150">
        <v>73.038674560000004</v>
      </c>
      <c r="AI150">
        <v>100</v>
      </c>
      <c r="AJ150">
        <v>0</v>
      </c>
      <c r="AK150">
        <v>0</v>
      </c>
      <c r="AL150">
        <v>1.0008375490000001</v>
      </c>
      <c r="AM150">
        <v>1.0009859539999999</v>
      </c>
      <c r="AN150">
        <v>0</v>
      </c>
      <c r="AO150">
        <v>0</v>
      </c>
      <c r="AP150">
        <v>1</v>
      </c>
      <c r="AQ150">
        <v>0</v>
      </c>
      <c r="AR150">
        <v>40.503360000000001</v>
      </c>
      <c r="AS150">
        <v>55.936399999999999</v>
      </c>
      <c r="AT150">
        <v>122.13751999999999</v>
      </c>
      <c r="AU150">
        <v>268.57655999999997</v>
      </c>
      <c r="AV150">
        <v>0</v>
      </c>
    </row>
    <row r="151" spans="1:48">
      <c r="A151">
        <v>150</v>
      </c>
      <c r="B151">
        <v>0</v>
      </c>
      <c r="C151">
        <v>25.731148900000001</v>
      </c>
      <c r="D151">
        <v>13.85071907</v>
      </c>
      <c r="E151">
        <v>5.4872975220000004</v>
      </c>
      <c r="F151">
        <v>0.73399999999999999</v>
      </c>
      <c r="G151">
        <v>3.56</v>
      </c>
      <c r="H151">
        <v>0.47466608100000002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2.0065475930000001</v>
      </c>
      <c r="Q151">
        <v>2.0065475930000001</v>
      </c>
      <c r="R151">
        <v>0</v>
      </c>
      <c r="S151">
        <v>0</v>
      </c>
      <c r="T151" s="15">
        <v>6.0699999999999999E-3</v>
      </c>
      <c r="U151">
        <v>15.87671967</v>
      </c>
      <c r="V151">
        <v>0</v>
      </c>
      <c r="W151">
        <v>0</v>
      </c>
      <c r="X151">
        <v>4.0273808149999999</v>
      </c>
      <c r="Y151">
        <v>4.0273808149999999</v>
      </c>
      <c r="Z151">
        <v>1</v>
      </c>
      <c r="AA151">
        <v>0.628</v>
      </c>
      <c r="AB151">
        <v>99.272000000000006</v>
      </c>
      <c r="AC151">
        <v>0</v>
      </c>
      <c r="AD151" s="15">
        <v>5.4800000000000001E-2</v>
      </c>
      <c r="AE151">
        <v>109.6049027</v>
      </c>
      <c r="AF151">
        <v>113.68106299999999</v>
      </c>
      <c r="AG151">
        <v>101.43326519999999</v>
      </c>
      <c r="AH151">
        <v>74.27137913</v>
      </c>
      <c r="AI151">
        <v>100</v>
      </c>
      <c r="AJ151">
        <v>0</v>
      </c>
      <c r="AK151">
        <v>0</v>
      </c>
      <c r="AL151">
        <v>1.0004187040000001</v>
      </c>
      <c r="AM151">
        <v>1.000498925</v>
      </c>
      <c r="AN151">
        <v>0</v>
      </c>
      <c r="AO151">
        <v>0</v>
      </c>
      <c r="AP151">
        <v>1</v>
      </c>
      <c r="AQ151">
        <v>0</v>
      </c>
      <c r="AR151">
        <v>41.025984000000001</v>
      </c>
      <c r="AS151">
        <v>56.658160000000002</v>
      </c>
      <c r="AT151">
        <v>123.713488</v>
      </c>
      <c r="AU151">
        <v>272.04206399999998</v>
      </c>
      <c r="AV151">
        <v>0</v>
      </c>
    </row>
    <row r="152" spans="1:48">
      <c r="A152">
        <v>151</v>
      </c>
      <c r="B152">
        <v>0</v>
      </c>
      <c r="C152">
        <v>25.402679729999999</v>
      </c>
      <c r="D152">
        <v>14.3539253</v>
      </c>
      <c r="E152">
        <v>4.8238479590000001</v>
      </c>
      <c r="F152">
        <v>0.755</v>
      </c>
      <c r="G152">
        <v>3.67</v>
      </c>
      <c r="H152">
        <v>0.45864286500000001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1.603393727</v>
      </c>
      <c r="Q152">
        <v>1.5480935810000001</v>
      </c>
      <c r="R152">
        <v>0</v>
      </c>
      <c r="S152">
        <v>0</v>
      </c>
      <c r="T152" s="15">
        <v>1.3699999999999999E-3</v>
      </c>
      <c r="U152">
        <v>14.32725656</v>
      </c>
      <c r="V152">
        <v>0</v>
      </c>
      <c r="W152">
        <v>0</v>
      </c>
      <c r="X152">
        <v>3.6417304349999999</v>
      </c>
      <c r="Y152">
        <v>3.6417304349999999</v>
      </c>
      <c r="Z152">
        <v>1</v>
      </c>
      <c r="AA152">
        <v>0.63600000000000001</v>
      </c>
      <c r="AB152">
        <v>99.263999999999996</v>
      </c>
      <c r="AC152">
        <v>0</v>
      </c>
      <c r="AD152" s="15">
        <v>3.5000000000000003E-2</v>
      </c>
      <c r="AE152">
        <v>107.5054887</v>
      </c>
      <c r="AF152">
        <v>111.1808707</v>
      </c>
      <c r="AG152">
        <v>103.48709909999999</v>
      </c>
      <c r="AH152">
        <v>75.76157594</v>
      </c>
      <c r="AI152">
        <v>100</v>
      </c>
      <c r="AJ152">
        <v>0</v>
      </c>
      <c r="AK152">
        <v>0</v>
      </c>
      <c r="AL152">
        <v>1.0002093169999999</v>
      </c>
      <c r="AM152">
        <v>1.0002524719999999</v>
      </c>
      <c r="AN152">
        <v>0</v>
      </c>
      <c r="AO152">
        <v>0</v>
      </c>
      <c r="AP152">
        <v>1</v>
      </c>
      <c r="AQ152">
        <v>0</v>
      </c>
      <c r="AR152">
        <v>41.548608000000002</v>
      </c>
      <c r="AS152">
        <v>57.379919999999998</v>
      </c>
      <c r="AT152">
        <v>125.289456</v>
      </c>
      <c r="AU152">
        <v>275.50756799999999</v>
      </c>
      <c r="AV152">
        <v>0</v>
      </c>
    </row>
    <row r="153" spans="1:48">
      <c r="A153">
        <v>152</v>
      </c>
      <c r="B153">
        <v>0</v>
      </c>
      <c r="C153">
        <v>27.523339960000001</v>
      </c>
      <c r="D153">
        <v>14.9460747</v>
      </c>
      <c r="E153">
        <v>5.3812721489999999</v>
      </c>
      <c r="F153">
        <v>0.77500000000000002</v>
      </c>
      <c r="G153">
        <v>3.7789999999999999</v>
      </c>
      <c r="H153">
        <v>0.49019503399999997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1.6527160679999999</v>
      </c>
      <c r="Q153">
        <v>1.388792324</v>
      </c>
      <c r="R153">
        <v>0</v>
      </c>
      <c r="S153">
        <v>0</v>
      </c>
      <c r="T153" s="15">
        <v>3.4000000000000002E-4</v>
      </c>
      <c r="U153">
        <v>12.938123839999999</v>
      </c>
      <c r="V153">
        <v>0</v>
      </c>
      <c r="W153">
        <v>0</v>
      </c>
      <c r="X153">
        <v>4.1701628380000004</v>
      </c>
      <c r="Y153">
        <v>4.1701628380000004</v>
      </c>
      <c r="Z153">
        <v>1</v>
      </c>
      <c r="AA153">
        <v>0.64400000000000002</v>
      </c>
      <c r="AB153">
        <v>99.256</v>
      </c>
      <c r="AC153">
        <v>0</v>
      </c>
      <c r="AD153" s="15">
        <v>2.2100000000000002E-2</v>
      </c>
      <c r="AE153">
        <v>104.8895091</v>
      </c>
      <c r="AF153">
        <v>109.0814567</v>
      </c>
      <c r="AG153">
        <v>103.2700719</v>
      </c>
      <c r="AH153">
        <v>75.629729100000006</v>
      </c>
      <c r="AI153">
        <v>100</v>
      </c>
      <c r="AJ153">
        <v>0</v>
      </c>
      <c r="AK153">
        <v>0</v>
      </c>
      <c r="AL153">
        <v>1.0001046410000001</v>
      </c>
      <c r="AM153">
        <v>1.0001277589999999</v>
      </c>
      <c r="AN153">
        <v>0</v>
      </c>
      <c r="AO153">
        <v>0</v>
      </c>
      <c r="AP153">
        <v>1</v>
      </c>
      <c r="AQ153">
        <v>0</v>
      </c>
      <c r="AR153">
        <v>42.071232000000002</v>
      </c>
      <c r="AS153">
        <v>58.101680000000002</v>
      </c>
      <c r="AT153">
        <v>126.865424</v>
      </c>
      <c r="AU153">
        <v>278.973072</v>
      </c>
      <c r="AV153">
        <v>0</v>
      </c>
    </row>
    <row r="154" spans="1:48">
      <c r="A154">
        <v>153</v>
      </c>
      <c r="B154">
        <v>0</v>
      </c>
      <c r="C154">
        <v>26.749280930000001</v>
      </c>
      <c r="D154">
        <v>13.79926871</v>
      </c>
      <c r="E154">
        <v>4.6684186800000003</v>
      </c>
      <c r="F154">
        <v>0.79600000000000004</v>
      </c>
      <c r="G154">
        <v>3.8879999999999999</v>
      </c>
      <c r="H154">
        <v>0.467084844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1.342341684</v>
      </c>
      <c r="Q154">
        <v>0.98719313500000005</v>
      </c>
      <c r="R154">
        <v>0</v>
      </c>
      <c r="S154">
        <v>0</v>
      </c>
      <c r="T154" s="15">
        <v>8.7600000000000002E-5</v>
      </c>
      <c r="U154">
        <v>11.95084306</v>
      </c>
      <c r="V154">
        <v>0</v>
      </c>
      <c r="W154">
        <v>0</v>
      </c>
      <c r="X154">
        <v>3.715766055</v>
      </c>
      <c r="Y154">
        <v>3.715766055</v>
      </c>
      <c r="Z154">
        <v>1</v>
      </c>
      <c r="AA154">
        <v>0.65200000000000002</v>
      </c>
      <c r="AB154">
        <v>99.248000000000005</v>
      </c>
      <c r="AC154">
        <v>0</v>
      </c>
      <c r="AD154" s="15">
        <v>1.3599999999999999E-2</v>
      </c>
      <c r="AE154">
        <v>102.736227</v>
      </c>
      <c r="AF154">
        <v>106.4654771</v>
      </c>
      <c r="AG154">
        <v>105.67914879999999</v>
      </c>
      <c r="AH154">
        <v>77.373670860000004</v>
      </c>
      <c r="AI154">
        <v>100</v>
      </c>
      <c r="AJ154">
        <v>0</v>
      </c>
      <c r="AK154">
        <v>0</v>
      </c>
      <c r="AL154">
        <v>1.000052312</v>
      </c>
      <c r="AM154">
        <v>1.0000646500000001</v>
      </c>
      <c r="AN154">
        <v>0</v>
      </c>
      <c r="AO154">
        <v>0</v>
      </c>
      <c r="AP154">
        <v>1</v>
      </c>
      <c r="AQ154">
        <v>0</v>
      </c>
      <c r="AR154">
        <v>42.593856000000002</v>
      </c>
      <c r="AS154">
        <v>58.823439999999998</v>
      </c>
      <c r="AT154">
        <v>128.44139200000001</v>
      </c>
      <c r="AU154">
        <v>282.43857600000001</v>
      </c>
      <c r="AV154">
        <v>0</v>
      </c>
    </row>
    <row r="155" spans="1:48">
      <c r="A155">
        <v>154</v>
      </c>
      <c r="B155">
        <v>0</v>
      </c>
      <c r="C155">
        <v>29.802679730000001</v>
      </c>
      <c r="D155">
        <v>15.750719070000001</v>
      </c>
      <c r="E155">
        <v>5.5948488999999997</v>
      </c>
      <c r="F155">
        <v>0.81699999999999995</v>
      </c>
      <c r="G155">
        <v>3.9980000000000002</v>
      </c>
      <c r="H155">
        <v>0.49767569</v>
      </c>
      <c r="I155">
        <v>198</v>
      </c>
      <c r="J155">
        <v>0</v>
      </c>
      <c r="K155">
        <v>198</v>
      </c>
      <c r="L155">
        <v>0</v>
      </c>
      <c r="M155">
        <v>0</v>
      </c>
      <c r="N155">
        <v>0</v>
      </c>
      <c r="O155">
        <v>0</v>
      </c>
      <c r="P155">
        <v>1.531566816</v>
      </c>
      <c r="Q155">
        <v>1.3469186799999999</v>
      </c>
      <c r="R155">
        <v>0</v>
      </c>
      <c r="S155">
        <v>0</v>
      </c>
      <c r="T155" s="15">
        <v>181.28002079999999</v>
      </c>
      <c r="U155">
        <v>27.323903550000001</v>
      </c>
      <c r="V155">
        <v>0</v>
      </c>
      <c r="W155">
        <v>0</v>
      </c>
      <c r="X155">
        <v>4.570619636</v>
      </c>
      <c r="Y155">
        <v>4.570619636</v>
      </c>
      <c r="Z155">
        <v>1</v>
      </c>
      <c r="AA155">
        <v>0.66</v>
      </c>
      <c r="AB155">
        <v>99.24</v>
      </c>
      <c r="AC155">
        <v>0</v>
      </c>
      <c r="AD155">
        <v>98.198508709999999</v>
      </c>
      <c r="AE155">
        <v>182.82308750000001</v>
      </c>
      <c r="AF155">
        <v>104.312195</v>
      </c>
      <c r="AG155">
        <v>105.4667634</v>
      </c>
      <c r="AH155">
        <v>77.245139559999998</v>
      </c>
      <c r="AI155">
        <v>100</v>
      </c>
      <c r="AJ155">
        <v>0</v>
      </c>
      <c r="AK155">
        <v>0</v>
      </c>
      <c r="AL155">
        <v>7.8762411620000004</v>
      </c>
      <c r="AM155">
        <v>7.9109861300000004</v>
      </c>
      <c r="AN155">
        <v>22</v>
      </c>
      <c r="AO155">
        <v>0</v>
      </c>
      <c r="AP155">
        <v>1</v>
      </c>
      <c r="AQ155">
        <v>0</v>
      </c>
      <c r="AR155">
        <v>43.116480000000003</v>
      </c>
      <c r="AS155">
        <v>59.545200000000001</v>
      </c>
      <c r="AT155">
        <v>130.01736</v>
      </c>
      <c r="AU155">
        <v>285.90408000000002</v>
      </c>
      <c r="AV155">
        <v>0</v>
      </c>
    </row>
    <row r="156" spans="1:48">
      <c r="A156">
        <v>155</v>
      </c>
      <c r="B156">
        <v>0</v>
      </c>
      <c r="C156">
        <v>31.37454387</v>
      </c>
      <c r="D156">
        <v>13.758679539999999</v>
      </c>
      <c r="E156">
        <v>5.5618228070000004</v>
      </c>
      <c r="F156">
        <v>0.83799999999999997</v>
      </c>
      <c r="G156">
        <v>4.1070000000000002</v>
      </c>
      <c r="H156">
        <v>0.455912543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1.409771154</v>
      </c>
      <c r="Q156">
        <v>1.409771154</v>
      </c>
      <c r="R156">
        <v>0</v>
      </c>
      <c r="S156">
        <v>0</v>
      </c>
      <c r="T156" s="15">
        <v>2.623251292</v>
      </c>
      <c r="U156">
        <v>23.290881110000001</v>
      </c>
      <c r="V156">
        <v>0</v>
      </c>
      <c r="W156">
        <v>0</v>
      </c>
      <c r="X156">
        <v>4.660419611</v>
      </c>
      <c r="Y156">
        <v>4.660419611</v>
      </c>
      <c r="Z156">
        <v>1</v>
      </c>
      <c r="AA156">
        <v>0.66900000000000004</v>
      </c>
      <c r="AB156">
        <v>99.230999999999995</v>
      </c>
      <c r="AC156">
        <v>0</v>
      </c>
      <c r="AD156">
        <v>21.00079689</v>
      </c>
      <c r="AE156">
        <v>161.55808630000001</v>
      </c>
      <c r="AF156">
        <v>184.59605149999999</v>
      </c>
      <c r="AG156">
        <v>108.9932376</v>
      </c>
      <c r="AH156">
        <v>79.790118840000005</v>
      </c>
      <c r="AI156">
        <v>100</v>
      </c>
      <c r="AJ156">
        <v>0</v>
      </c>
      <c r="AK156">
        <v>0</v>
      </c>
      <c r="AL156">
        <v>4.437541607</v>
      </c>
      <c r="AM156">
        <v>4.4971819379999998</v>
      </c>
      <c r="AN156">
        <v>0</v>
      </c>
      <c r="AO156">
        <v>0</v>
      </c>
      <c r="AP156">
        <v>1</v>
      </c>
      <c r="AQ156">
        <v>0</v>
      </c>
      <c r="AR156">
        <v>43.704431999999997</v>
      </c>
      <c r="AS156">
        <v>60.35718</v>
      </c>
      <c r="AT156">
        <v>131.790324</v>
      </c>
      <c r="AU156">
        <v>289.802772</v>
      </c>
      <c r="AV156">
        <v>0</v>
      </c>
    </row>
    <row r="157" spans="1:48">
      <c r="A157">
        <v>156</v>
      </c>
      <c r="B157" s="15">
        <v>5.8799999999999998E-2</v>
      </c>
      <c r="C157">
        <v>28.474543870000002</v>
      </c>
      <c r="D157">
        <v>17.135944800000001</v>
      </c>
      <c r="E157">
        <v>4.1440389169999996</v>
      </c>
      <c r="F157">
        <v>0.85899999999999999</v>
      </c>
      <c r="G157">
        <v>4.2160000000000002</v>
      </c>
      <c r="H157">
        <v>0.45719237000000001</v>
      </c>
      <c r="I157">
        <v>0</v>
      </c>
      <c r="J157" s="15">
        <v>1.33E-3</v>
      </c>
      <c r="K157" s="15">
        <v>5.8799999999999998E-2</v>
      </c>
      <c r="L157" s="15">
        <v>1.33E-3</v>
      </c>
      <c r="M157" s="15">
        <v>5.74E-2</v>
      </c>
      <c r="N157">
        <v>0</v>
      </c>
      <c r="O157" s="15">
        <v>1.33E-3</v>
      </c>
      <c r="P157">
        <v>0.79711679199999996</v>
      </c>
      <c r="Q157">
        <v>0.79711679199999996</v>
      </c>
      <c r="R157">
        <v>0</v>
      </c>
      <c r="S157">
        <v>0</v>
      </c>
      <c r="T157" s="15">
        <v>0.47990958500000003</v>
      </c>
      <c r="U157">
        <v>22.015189110000001</v>
      </c>
      <c r="V157">
        <v>0</v>
      </c>
      <c r="W157">
        <v>0</v>
      </c>
      <c r="X157">
        <v>3.5594267749999999</v>
      </c>
      <c r="Y157">
        <v>3.5594267749999999</v>
      </c>
      <c r="Z157">
        <v>1</v>
      </c>
      <c r="AA157">
        <v>0.67700000000000005</v>
      </c>
      <c r="AB157">
        <v>99.222999999999999</v>
      </c>
      <c r="AC157">
        <v>0</v>
      </c>
      <c r="AD157">
        <v>4.6562754450000003</v>
      </c>
      <c r="AE157">
        <v>155.39826170000001</v>
      </c>
      <c r="AF157">
        <v>163.1340543</v>
      </c>
      <c r="AG157">
        <v>110.2318339</v>
      </c>
      <c r="AH157">
        <v>80.698003099999994</v>
      </c>
      <c r="AI157">
        <v>100</v>
      </c>
      <c r="AJ157">
        <v>0</v>
      </c>
      <c r="AK157">
        <v>0</v>
      </c>
      <c r="AL157">
        <v>2.7184813650000001</v>
      </c>
      <c r="AM157">
        <v>2.769686884</v>
      </c>
      <c r="AN157">
        <v>0</v>
      </c>
      <c r="AO157">
        <v>0</v>
      </c>
      <c r="AP157">
        <v>1</v>
      </c>
      <c r="AQ157">
        <v>0</v>
      </c>
      <c r="AR157">
        <v>44.227055999999997</v>
      </c>
      <c r="AS157">
        <v>61.078940000000003</v>
      </c>
      <c r="AT157">
        <v>133.36629199999999</v>
      </c>
      <c r="AU157">
        <v>293.26827600000001</v>
      </c>
      <c r="AV157">
        <v>0</v>
      </c>
    </row>
    <row r="158" spans="1:48">
      <c r="A158">
        <v>157</v>
      </c>
      <c r="B158">
        <v>7.3007469489999997</v>
      </c>
      <c r="C158">
        <v>29.938750590000001</v>
      </c>
      <c r="D158">
        <v>15.913336129999999</v>
      </c>
      <c r="E158">
        <v>5.5094186350000003</v>
      </c>
      <c r="F158">
        <v>0.88</v>
      </c>
      <c r="G158">
        <v>4.3259999999999996</v>
      </c>
      <c r="H158">
        <v>0.52573825699999999</v>
      </c>
      <c r="I158">
        <v>0</v>
      </c>
      <c r="J158">
        <v>5.3859172769999999</v>
      </c>
      <c r="K158">
        <v>7.3007469489999997</v>
      </c>
      <c r="L158">
        <v>5.3859172769999999</v>
      </c>
      <c r="M158">
        <v>1.914829672</v>
      </c>
      <c r="N158">
        <v>0</v>
      </c>
      <c r="O158">
        <v>5.3859174379999999</v>
      </c>
      <c r="P158">
        <v>1.0541404999999999</v>
      </c>
      <c r="Q158">
        <v>1.0541404999999999</v>
      </c>
      <c r="R158">
        <v>0</v>
      </c>
      <c r="S158">
        <v>0</v>
      </c>
      <c r="T158" s="15">
        <v>0.66360114800000003</v>
      </c>
      <c r="U158">
        <v>25.683364900000001</v>
      </c>
      <c r="V158">
        <v>0</v>
      </c>
      <c r="W158">
        <v>0</v>
      </c>
      <c r="X158">
        <v>4.8478678329999996</v>
      </c>
      <c r="Y158">
        <v>4.8478678329999996</v>
      </c>
      <c r="Z158">
        <v>1</v>
      </c>
      <c r="AA158">
        <v>0.68500000000000005</v>
      </c>
      <c r="AB158">
        <v>99.215000000000003</v>
      </c>
      <c r="AC158">
        <v>0</v>
      </c>
      <c r="AD158">
        <v>1.871800366</v>
      </c>
      <c r="AE158">
        <v>150.91816259999999</v>
      </c>
      <c r="AF158">
        <v>156.9742297</v>
      </c>
      <c r="AG158">
        <v>108.0249386</v>
      </c>
      <c r="AH158">
        <v>79.144821870000001</v>
      </c>
      <c r="AI158">
        <v>100</v>
      </c>
      <c r="AJ158">
        <v>0</v>
      </c>
      <c r="AK158">
        <v>0</v>
      </c>
      <c r="AL158">
        <v>1.859095988</v>
      </c>
      <c r="AM158">
        <v>1.8955186550000001</v>
      </c>
      <c r="AN158">
        <v>0</v>
      </c>
      <c r="AO158">
        <v>0</v>
      </c>
      <c r="AP158">
        <v>1</v>
      </c>
      <c r="AQ158">
        <v>0</v>
      </c>
      <c r="AR158">
        <v>44.749679999999998</v>
      </c>
      <c r="AS158">
        <v>61.800699999999999</v>
      </c>
      <c r="AT158">
        <v>134.94226</v>
      </c>
      <c r="AU158">
        <v>296.73378000000002</v>
      </c>
      <c r="AV158">
        <v>0</v>
      </c>
    </row>
    <row r="159" spans="1:48">
      <c r="A159">
        <v>158</v>
      </c>
      <c r="B159" s="15">
        <v>2.52E-2</v>
      </c>
      <c r="C159">
        <v>27.587879999999998</v>
      </c>
      <c r="D159">
        <v>17.0539253</v>
      </c>
      <c r="E159">
        <v>3.9606898240000001</v>
      </c>
      <c r="F159">
        <v>0.9</v>
      </c>
      <c r="G159">
        <v>4.4349999999999996</v>
      </c>
      <c r="H159">
        <v>0.46391966699999998</v>
      </c>
      <c r="I159">
        <v>0</v>
      </c>
      <c r="J159" s="15">
        <v>2.3699999999999999E-4</v>
      </c>
      <c r="K159" s="15">
        <v>2.52E-2</v>
      </c>
      <c r="L159" s="15">
        <v>2.3699999999999999E-4</v>
      </c>
      <c r="M159" s="15">
        <v>2.5000000000000001E-2</v>
      </c>
      <c r="N159">
        <v>0</v>
      </c>
      <c r="O159" s="15">
        <v>2.3699999999999999E-4</v>
      </c>
      <c r="P159">
        <v>0.47973486300000001</v>
      </c>
      <c r="Q159">
        <v>0.47973486300000001</v>
      </c>
      <c r="R159">
        <v>0</v>
      </c>
      <c r="S159">
        <v>0</v>
      </c>
      <c r="T159" s="15">
        <v>0.78253888299999996</v>
      </c>
      <c r="U159">
        <v>24.421327810000001</v>
      </c>
      <c r="V159">
        <v>0</v>
      </c>
      <c r="W159">
        <v>0</v>
      </c>
      <c r="X159">
        <v>3.5643057649999998</v>
      </c>
      <c r="Y159">
        <v>3.5643057649999998</v>
      </c>
      <c r="Z159">
        <v>1</v>
      </c>
      <c r="AA159">
        <v>0.69299999999999995</v>
      </c>
      <c r="AB159">
        <v>99.206999999999994</v>
      </c>
      <c r="AC159">
        <v>0</v>
      </c>
      <c r="AD159">
        <v>0.97155812200000002</v>
      </c>
      <c r="AE159">
        <v>148.74080559999999</v>
      </c>
      <c r="AF159">
        <v>152.49413060000001</v>
      </c>
      <c r="AG159">
        <v>112.4885635</v>
      </c>
      <c r="AH159">
        <v>82.356297960000006</v>
      </c>
      <c r="AI159">
        <v>100</v>
      </c>
      <c r="AJ159">
        <v>0</v>
      </c>
      <c r="AK159">
        <v>0</v>
      </c>
      <c r="AL159">
        <v>1.429475659</v>
      </c>
      <c r="AM159">
        <v>1.4531613299999999</v>
      </c>
      <c r="AN159">
        <v>0</v>
      </c>
      <c r="AO159">
        <v>0</v>
      </c>
      <c r="AP159">
        <v>1</v>
      </c>
      <c r="AQ159">
        <v>0</v>
      </c>
      <c r="AR159">
        <v>45.272303999999998</v>
      </c>
      <c r="AS159">
        <v>62.522460000000002</v>
      </c>
      <c r="AT159">
        <v>136.51822799999999</v>
      </c>
      <c r="AU159">
        <v>300.19928399999998</v>
      </c>
      <c r="AV159">
        <v>0</v>
      </c>
    </row>
    <row r="160" spans="1:48">
      <c r="A160">
        <v>159</v>
      </c>
      <c r="B160">
        <v>0</v>
      </c>
      <c r="C160">
        <v>28.566734929999999</v>
      </c>
      <c r="D160">
        <v>17.389511330000001</v>
      </c>
      <c r="E160">
        <v>4.2355942280000001</v>
      </c>
      <c r="F160">
        <v>0.92100000000000004</v>
      </c>
      <c r="G160">
        <v>4.5439999999999996</v>
      </c>
      <c r="H160">
        <v>0.53823837399999996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0.43792983600000002</v>
      </c>
      <c r="Q160">
        <v>0.43792983600000002</v>
      </c>
      <c r="R160">
        <v>0</v>
      </c>
      <c r="S160">
        <v>0</v>
      </c>
      <c r="T160">
        <v>0.41132971200000001</v>
      </c>
      <c r="U160">
        <v>23.572068269999999</v>
      </c>
      <c r="V160">
        <v>0</v>
      </c>
      <c r="W160">
        <v>0</v>
      </c>
      <c r="X160">
        <v>3.9006313889999999</v>
      </c>
      <c r="Y160">
        <v>3.9006313889999999</v>
      </c>
      <c r="Z160">
        <v>1</v>
      </c>
      <c r="AA160">
        <v>0.70099999999999996</v>
      </c>
      <c r="AB160">
        <v>99.198999999999998</v>
      </c>
      <c r="AC160">
        <v>0</v>
      </c>
      <c r="AD160">
        <v>0.59371114000000003</v>
      </c>
      <c r="AE160">
        <v>146.2337608</v>
      </c>
      <c r="AF160">
        <v>150.3167736</v>
      </c>
      <c r="AG160">
        <v>109.8932054</v>
      </c>
      <c r="AH160">
        <v>80.525643310000007</v>
      </c>
      <c r="AI160">
        <v>100</v>
      </c>
      <c r="AJ160">
        <v>0</v>
      </c>
      <c r="AK160">
        <v>0</v>
      </c>
      <c r="AL160">
        <v>1.214701668</v>
      </c>
      <c r="AM160">
        <v>1.2293142530000001</v>
      </c>
      <c r="AN160">
        <v>0</v>
      </c>
      <c r="AO160">
        <v>0</v>
      </c>
      <c r="AP160">
        <v>1</v>
      </c>
      <c r="AQ160">
        <v>0</v>
      </c>
      <c r="AR160">
        <v>45.794927999999999</v>
      </c>
      <c r="AS160">
        <v>63.244219999999999</v>
      </c>
      <c r="AT160">
        <v>138.09419600000001</v>
      </c>
      <c r="AU160">
        <v>303.66478799999999</v>
      </c>
      <c r="AV160">
        <v>0</v>
      </c>
    </row>
    <row r="161" spans="1:48">
      <c r="A161">
        <v>160</v>
      </c>
      <c r="B161">
        <v>0</v>
      </c>
      <c r="C161">
        <v>31.010488670000001</v>
      </c>
      <c r="D161">
        <v>14.73326507</v>
      </c>
      <c r="E161">
        <v>5.4722578669999997</v>
      </c>
      <c r="F161">
        <v>0.94199999999999995</v>
      </c>
      <c r="G161">
        <v>4.6529999999999996</v>
      </c>
      <c r="H161">
        <v>0.52645755000000005</v>
      </c>
      <c r="I161">
        <v>0</v>
      </c>
      <c r="J161" s="15">
        <v>0</v>
      </c>
      <c r="K161">
        <v>0</v>
      </c>
      <c r="L161" s="15">
        <v>0</v>
      </c>
      <c r="M161">
        <v>0</v>
      </c>
      <c r="N161">
        <v>0</v>
      </c>
      <c r="O161" s="15">
        <v>0</v>
      </c>
      <c r="P161">
        <v>0.73706408099999998</v>
      </c>
      <c r="Q161">
        <v>0.73706408099999998</v>
      </c>
      <c r="R161">
        <v>0</v>
      </c>
      <c r="S161">
        <v>0</v>
      </c>
      <c r="T161">
        <v>0.242868791</v>
      </c>
      <c r="U161">
        <v>22.592135389999999</v>
      </c>
      <c r="V161">
        <v>0</v>
      </c>
      <c r="W161">
        <v>0</v>
      </c>
      <c r="X161">
        <v>5.1543956499999997</v>
      </c>
      <c r="Y161">
        <v>5.1543956499999997</v>
      </c>
      <c r="Z161">
        <v>1</v>
      </c>
      <c r="AA161">
        <v>0.70899999999999996</v>
      </c>
      <c r="AB161">
        <v>99.191000000000003</v>
      </c>
      <c r="AC161">
        <v>0</v>
      </c>
      <c r="AD161">
        <v>0.36568105400000001</v>
      </c>
      <c r="AE161">
        <v>142.53252090000001</v>
      </c>
      <c r="AF161">
        <v>147.80972879999999</v>
      </c>
      <c r="AG161">
        <v>111.7716365</v>
      </c>
      <c r="AH161">
        <v>81.890552369999995</v>
      </c>
      <c r="AI161">
        <v>100</v>
      </c>
      <c r="AJ161">
        <v>0</v>
      </c>
      <c r="AK161">
        <v>0</v>
      </c>
      <c r="AL161">
        <v>1.1073327559999999</v>
      </c>
      <c r="AM161">
        <v>1.1160404100000001</v>
      </c>
      <c r="AN161">
        <v>0</v>
      </c>
      <c r="AO161">
        <v>0</v>
      </c>
      <c r="AP161">
        <v>1</v>
      </c>
      <c r="AQ161">
        <v>0</v>
      </c>
      <c r="AR161">
        <v>46.317551999999999</v>
      </c>
      <c r="AS161">
        <v>63.965980000000002</v>
      </c>
      <c r="AT161">
        <v>139.670164</v>
      </c>
      <c r="AU161">
        <v>307.130292</v>
      </c>
      <c r="AV161">
        <v>0</v>
      </c>
    </row>
    <row r="162" spans="1:48">
      <c r="A162">
        <v>161</v>
      </c>
      <c r="B162">
        <v>0</v>
      </c>
      <c r="C162">
        <v>30.513336129999999</v>
      </c>
      <c r="D162">
        <v>15.41798051</v>
      </c>
      <c r="E162">
        <v>5.5678926000000004</v>
      </c>
      <c r="F162">
        <v>0.96299999999999997</v>
      </c>
      <c r="G162">
        <v>4.7629999999999999</v>
      </c>
      <c r="H162">
        <v>0.46434161200000001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0.60244368400000003</v>
      </c>
      <c r="Q162">
        <v>0.60244368400000003</v>
      </c>
      <c r="R162">
        <v>0</v>
      </c>
      <c r="S162">
        <v>0</v>
      </c>
      <c r="T162">
        <v>0.14870599000000001</v>
      </c>
      <c r="U162">
        <v>21.840985719999999</v>
      </c>
      <c r="V162">
        <v>0</v>
      </c>
      <c r="W162">
        <v>0</v>
      </c>
      <c r="X162">
        <v>5.3613830179999997</v>
      </c>
      <c r="Y162">
        <v>5.3613830179999997</v>
      </c>
      <c r="Z162">
        <v>1</v>
      </c>
      <c r="AA162">
        <v>0.71699999999999997</v>
      </c>
      <c r="AB162">
        <v>99.183000000000007</v>
      </c>
      <c r="AC162">
        <v>0</v>
      </c>
      <c r="AD162" s="15">
        <v>0.21866049100000001</v>
      </c>
      <c r="AE162">
        <v>138.67715140000001</v>
      </c>
      <c r="AF162">
        <v>144.1084889</v>
      </c>
      <c r="AG162">
        <v>116.361659</v>
      </c>
      <c r="AH162">
        <v>85.192312439999995</v>
      </c>
      <c r="AI162">
        <v>100</v>
      </c>
      <c r="AJ162">
        <v>0</v>
      </c>
      <c r="AK162">
        <v>0</v>
      </c>
      <c r="AL162">
        <v>1.0536573410000001</v>
      </c>
      <c r="AM162">
        <v>1.0587201909999999</v>
      </c>
      <c r="AN162">
        <v>0</v>
      </c>
      <c r="AO162">
        <v>0</v>
      </c>
      <c r="AP162">
        <v>1</v>
      </c>
      <c r="AQ162">
        <v>0</v>
      </c>
      <c r="AR162">
        <v>46.840176</v>
      </c>
      <c r="AS162">
        <v>64.687740000000005</v>
      </c>
      <c r="AT162">
        <v>141.24613199999999</v>
      </c>
      <c r="AU162">
        <v>310.59579600000001</v>
      </c>
      <c r="AV162">
        <v>0</v>
      </c>
    </row>
    <row r="163" spans="1:48">
      <c r="A163">
        <v>162</v>
      </c>
      <c r="B163">
        <v>3.7986151989999999</v>
      </c>
      <c r="C163">
        <v>31.131148899999999</v>
      </c>
      <c r="D163">
        <v>18</v>
      </c>
      <c r="E163">
        <v>5.5652975629999997</v>
      </c>
      <c r="F163">
        <v>0.98399999999999999</v>
      </c>
      <c r="G163">
        <v>4.8719999999999999</v>
      </c>
      <c r="H163">
        <v>0.461446933</v>
      </c>
      <c r="I163">
        <v>0</v>
      </c>
      <c r="J163">
        <v>2.1466638109999998</v>
      </c>
      <c r="K163">
        <v>3.7986151989999999</v>
      </c>
      <c r="L163">
        <v>2.1466638109999998</v>
      </c>
      <c r="M163">
        <v>1.6519513880000001</v>
      </c>
      <c r="N163">
        <v>0</v>
      </c>
      <c r="O163">
        <v>2.1466638750000002</v>
      </c>
      <c r="P163">
        <v>0.564019665</v>
      </c>
      <c r="Q163">
        <v>0.564019665</v>
      </c>
      <c r="R163">
        <v>0</v>
      </c>
      <c r="S163">
        <v>0</v>
      </c>
      <c r="T163">
        <v>0.171775172</v>
      </c>
      <c r="U163">
        <v>23.251854760000001</v>
      </c>
      <c r="V163">
        <v>0</v>
      </c>
      <c r="W163">
        <v>0</v>
      </c>
      <c r="X163">
        <v>5.4757376579999999</v>
      </c>
      <c r="Y163">
        <v>5.4757376579999999</v>
      </c>
      <c r="Z163">
        <v>1</v>
      </c>
      <c r="AA163">
        <v>0.72599999999999998</v>
      </c>
      <c r="AB163">
        <v>99.174000000000007</v>
      </c>
      <c r="AC163">
        <v>0</v>
      </c>
      <c r="AD163" s="15">
        <v>0.13111977499999999</v>
      </c>
      <c r="AE163">
        <v>135.01503310000001</v>
      </c>
      <c r="AF163">
        <v>140.45011539999999</v>
      </c>
      <c r="AG163">
        <v>117.97934119999999</v>
      </c>
      <c r="AH163">
        <v>86.373868860000002</v>
      </c>
      <c r="AI163">
        <v>100</v>
      </c>
      <c r="AJ163">
        <v>0</v>
      </c>
      <c r="AK163">
        <v>0</v>
      </c>
      <c r="AL163">
        <v>1.0268241520000001</v>
      </c>
      <c r="AM163">
        <v>1.029714311</v>
      </c>
      <c r="AN163">
        <v>0</v>
      </c>
      <c r="AO163">
        <v>0</v>
      </c>
      <c r="AP163">
        <v>1</v>
      </c>
      <c r="AQ163">
        <v>0</v>
      </c>
      <c r="AR163">
        <v>47.428128000000001</v>
      </c>
      <c r="AS163">
        <v>65.499719999999996</v>
      </c>
      <c r="AT163">
        <v>143.01909599999999</v>
      </c>
      <c r="AU163">
        <v>314.49448799999999</v>
      </c>
      <c r="AV163">
        <v>0</v>
      </c>
    </row>
    <row r="164" spans="1:48">
      <c r="A164">
        <v>163</v>
      </c>
      <c r="B164">
        <v>0</v>
      </c>
      <c r="C164">
        <v>32.44928093</v>
      </c>
      <c r="D164">
        <v>15.76124941</v>
      </c>
      <c r="E164">
        <v>5.8659113810000001</v>
      </c>
      <c r="F164">
        <v>1.0049999999999999</v>
      </c>
      <c r="G164">
        <v>4.9809999999999999</v>
      </c>
      <c r="H164">
        <v>0.45840970800000003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0.48201352800000002</v>
      </c>
      <c r="Q164">
        <v>0.48201352800000002</v>
      </c>
      <c r="R164">
        <v>0</v>
      </c>
      <c r="S164">
        <v>0</v>
      </c>
      <c r="T164">
        <v>0.20300343600000001</v>
      </c>
      <c r="U164">
        <v>22.566837790000001</v>
      </c>
      <c r="V164">
        <v>0</v>
      </c>
      <c r="W164">
        <v>0</v>
      </c>
      <c r="X164">
        <v>5.8946794960000002</v>
      </c>
      <c r="Y164">
        <v>5.8946794960000002</v>
      </c>
      <c r="Z164">
        <v>1</v>
      </c>
      <c r="AA164">
        <v>0.73399999999999999</v>
      </c>
      <c r="AB164">
        <v>99.165999999999997</v>
      </c>
      <c r="AC164">
        <v>0</v>
      </c>
      <c r="AD164" s="15">
        <v>7.7200000000000005E-2</v>
      </c>
      <c r="AE164">
        <v>130.82212899999999</v>
      </c>
      <c r="AF164">
        <v>136.5910011</v>
      </c>
      <c r="AG164">
        <v>119.4460158</v>
      </c>
      <c r="AH164">
        <v>87.444666119999994</v>
      </c>
      <c r="AI164">
        <v>100</v>
      </c>
      <c r="AJ164">
        <v>0</v>
      </c>
      <c r="AK164">
        <v>0</v>
      </c>
      <c r="AL164">
        <v>1.013409818</v>
      </c>
      <c r="AM164">
        <v>1.0150364000000001</v>
      </c>
      <c r="AN164">
        <v>0</v>
      </c>
      <c r="AO164">
        <v>0</v>
      </c>
      <c r="AP164">
        <v>1</v>
      </c>
      <c r="AQ164">
        <v>0</v>
      </c>
      <c r="AR164">
        <v>47.950752000000001</v>
      </c>
      <c r="AS164">
        <v>66.22148</v>
      </c>
      <c r="AT164">
        <v>144.59506400000001</v>
      </c>
      <c r="AU164">
        <v>317.959992</v>
      </c>
      <c r="AV164">
        <v>0</v>
      </c>
    </row>
    <row r="165" spans="1:48">
      <c r="A165">
        <v>164</v>
      </c>
      <c r="B165">
        <v>0</v>
      </c>
      <c r="C165">
        <v>35.902679730000003</v>
      </c>
      <c r="D165">
        <v>18.71798051</v>
      </c>
      <c r="E165">
        <v>6.8476630580000002</v>
      </c>
      <c r="F165">
        <v>1.0249999999999999</v>
      </c>
      <c r="G165">
        <v>5.0910000000000002</v>
      </c>
      <c r="H165">
        <v>0.44493228000000001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s="15">
        <v>0.64340580000000003</v>
      </c>
      <c r="Q165" s="15">
        <v>0.64340580000000003</v>
      </c>
      <c r="R165">
        <v>0</v>
      </c>
      <c r="S165">
        <v>0</v>
      </c>
      <c r="T165">
        <v>0.139253243</v>
      </c>
      <c r="U165">
        <v>21.784178749999999</v>
      </c>
      <c r="V165">
        <v>0</v>
      </c>
      <c r="W165">
        <v>0</v>
      </c>
      <c r="X165">
        <v>7.0181787599999996</v>
      </c>
      <c r="Y165">
        <v>7.0181787599999996</v>
      </c>
      <c r="Z165">
        <v>1</v>
      </c>
      <c r="AA165">
        <v>0.74199999999999999</v>
      </c>
      <c r="AB165">
        <v>99.158000000000001</v>
      </c>
      <c r="AC165">
        <v>0</v>
      </c>
      <c r="AD165" s="15">
        <v>4.1799999999999997E-2</v>
      </c>
      <c r="AE165">
        <v>125.4773331</v>
      </c>
      <c r="AF165">
        <v>132.39809700000001</v>
      </c>
      <c r="AG165">
        <v>121.49533049999999</v>
      </c>
      <c r="AH165">
        <v>88.931634919999993</v>
      </c>
      <c r="AI165">
        <v>100</v>
      </c>
      <c r="AJ165">
        <v>0</v>
      </c>
      <c r="AK165">
        <v>0</v>
      </c>
      <c r="AL165">
        <v>1.00670378</v>
      </c>
      <c r="AM165">
        <v>1.0076089029999999</v>
      </c>
      <c r="AN165">
        <v>0</v>
      </c>
      <c r="AO165">
        <v>0</v>
      </c>
      <c r="AP165">
        <v>1</v>
      </c>
      <c r="AQ165">
        <v>0</v>
      </c>
      <c r="AR165">
        <v>48.473376000000002</v>
      </c>
      <c r="AS165">
        <v>66.943240000000003</v>
      </c>
      <c r="AT165">
        <v>146.171032</v>
      </c>
      <c r="AU165">
        <v>321.42549600000001</v>
      </c>
      <c r="AV165">
        <v>0</v>
      </c>
    </row>
    <row r="166" spans="1:48">
      <c r="A166">
        <v>165</v>
      </c>
      <c r="B166">
        <v>0</v>
      </c>
      <c r="C166">
        <v>31.72066023</v>
      </c>
      <c r="D166">
        <v>19.086663869999999</v>
      </c>
      <c r="E166">
        <v>6.2389895429999997</v>
      </c>
      <c r="F166">
        <v>1.046</v>
      </c>
      <c r="G166">
        <v>5.2</v>
      </c>
      <c r="H166">
        <v>0.39353662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s="15">
        <v>0.32070890800000001</v>
      </c>
      <c r="Q166" s="15">
        <v>0.32070890800000001</v>
      </c>
      <c r="R166">
        <v>0</v>
      </c>
      <c r="S166">
        <v>0</v>
      </c>
      <c r="T166" s="15">
        <v>0.1</v>
      </c>
      <c r="U166">
        <v>21.363486770000002</v>
      </c>
      <c r="V166">
        <v>0</v>
      </c>
      <c r="W166">
        <v>0</v>
      </c>
      <c r="X166">
        <v>6.525348492</v>
      </c>
      <c r="Y166">
        <v>6.525348492</v>
      </c>
      <c r="Z166">
        <v>1</v>
      </c>
      <c r="AA166">
        <v>0.75</v>
      </c>
      <c r="AB166">
        <v>99.15</v>
      </c>
      <c r="AC166">
        <v>0</v>
      </c>
      <c r="AD166" s="15">
        <v>2.0799999999999999E-2</v>
      </c>
      <c r="AE166">
        <v>120.607133</v>
      </c>
      <c r="AF166">
        <v>127.0533011</v>
      </c>
      <c r="AG166">
        <v>125.6863603</v>
      </c>
      <c r="AH166">
        <v>91.948400199999995</v>
      </c>
      <c r="AI166">
        <v>100</v>
      </c>
      <c r="AJ166">
        <v>0</v>
      </c>
      <c r="AK166">
        <v>0</v>
      </c>
      <c r="AL166">
        <v>1.0033513249999999</v>
      </c>
      <c r="AM166">
        <v>1.0038503510000001</v>
      </c>
      <c r="AN166">
        <v>0</v>
      </c>
      <c r="AO166">
        <v>0</v>
      </c>
      <c r="AP166">
        <v>1</v>
      </c>
      <c r="AQ166">
        <v>0</v>
      </c>
      <c r="AR166">
        <v>48.996000000000002</v>
      </c>
      <c r="AS166">
        <v>67.665000000000006</v>
      </c>
      <c r="AT166">
        <v>147.74700000000001</v>
      </c>
      <c r="AU166">
        <v>324.89100000000002</v>
      </c>
      <c r="AV166">
        <v>0</v>
      </c>
    </row>
    <row r="167" spans="1:48">
      <c r="A167">
        <v>166</v>
      </c>
      <c r="B167">
        <v>0</v>
      </c>
      <c r="C167">
        <v>31.320660230000001</v>
      </c>
      <c r="D167">
        <v>19.540589170000001</v>
      </c>
      <c r="E167">
        <v>6.0753672649999997</v>
      </c>
      <c r="F167">
        <v>1.046</v>
      </c>
      <c r="G167">
        <v>5.19</v>
      </c>
      <c r="H167">
        <v>0.42615770600000002</v>
      </c>
      <c r="I167">
        <v>198</v>
      </c>
      <c r="J167">
        <v>0</v>
      </c>
      <c r="K167">
        <v>198</v>
      </c>
      <c r="L167">
        <v>0</v>
      </c>
      <c r="M167">
        <v>0</v>
      </c>
      <c r="N167">
        <v>0</v>
      </c>
      <c r="O167">
        <v>0</v>
      </c>
      <c r="P167" s="15">
        <v>0.37957773299999997</v>
      </c>
      <c r="Q167" s="15">
        <v>0.37957773299999997</v>
      </c>
      <c r="R167">
        <v>0</v>
      </c>
      <c r="S167">
        <v>0</v>
      </c>
      <c r="T167">
        <v>190.74193690000001</v>
      </c>
      <c r="U167">
        <v>28.241972140000001</v>
      </c>
      <c r="V167">
        <v>0</v>
      </c>
      <c r="W167">
        <v>0</v>
      </c>
      <c r="X167">
        <v>6.3542109880000002</v>
      </c>
      <c r="Y167">
        <v>6.3542109880000002</v>
      </c>
      <c r="Z167">
        <v>1</v>
      </c>
      <c r="AA167">
        <v>0.75</v>
      </c>
      <c r="AB167">
        <v>99.15</v>
      </c>
      <c r="AC167">
        <v>0</v>
      </c>
      <c r="AD167">
        <v>92.11217388</v>
      </c>
      <c r="AE167">
        <v>212.88268500000001</v>
      </c>
      <c r="AF167">
        <v>120.607133</v>
      </c>
      <c r="AG167">
        <v>123.857707</v>
      </c>
      <c r="AH167">
        <v>90.642219310000002</v>
      </c>
      <c r="AI167">
        <v>100</v>
      </c>
      <c r="AJ167">
        <v>0</v>
      </c>
      <c r="AK167">
        <v>0</v>
      </c>
      <c r="AL167">
        <v>7.8762411620000004</v>
      </c>
      <c r="AM167">
        <v>7.9109861300000004</v>
      </c>
      <c r="AN167">
        <v>22</v>
      </c>
      <c r="AO167">
        <v>0</v>
      </c>
      <c r="AP167">
        <v>1</v>
      </c>
      <c r="AQ167">
        <v>0</v>
      </c>
      <c r="AR167">
        <v>48.996000000000002</v>
      </c>
      <c r="AS167">
        <v>67.665000000000006</v>
      </c>
      <c r="AT167">
        <v>147.74700000000001</v>
      </c>
      <c r="AU167">
        <v>324.89100000000002</v>
      </c>
      <c r="AV167">
        <v>0</v>
      </c>
    </row>
    <row r="168" spans="1:48">
      <c r="A168">
        <v>167</v>
      </c>
      <c r="B168">
        <v>0</v>
      </c>
      <c r="C168">
        <v>31.28201949</v>
      </c>
      <c r="D168">
        <v>17.712119999999999</v>
      </c>
      <c r="E168">
        <v>4.8312601150000001</v>
      </c>
      <c r="F168">
        <v>1.046</v>
      </c>
      <c r="G168">
        <v>5.18</v>
      </c>
      <c r="H168">
        <v>0.43064845299999999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s="15">
        <v>0.211505471</v>
      </c>
      <c r="Q168" s="15">
        <v>0.211505471</v>
      </c>
      <c r="R168">
        <v>0</v>
      </c>
      <c r="S168">
        <v>0</v>
      </c>
      <c r="T168">
        <v>3.7098002110000001</v>
      </c>
      <c r="U168">
        <v>24.320666460000002</v>
      </c>
      <c r="V168">
        <v>0</v>
      </c>
      <c r="W168">
        <v>0</v>
      </c>
      <c r="X168">
        <v>5.0529989649999996</v>
      </c>
      <c r="Y168">
        <v>5.0529989649999996</v>
      </c>
      <c r="Z168">
        <v>1</v>
      </c>
      <c r="AA168">
        <v>0.75</v>
      </c>
      <c r="AB168">
        <v>99.15</v>
      </c>
      <c r="AC168">
        <v>0</v>
      </c>
      <c r="AD168">
        <v>26.92252701</v>
      </c>
      <c r="AE168">
        <v>184.61695929999999</v>
      </c>
      <c r="AF168">
        <v>212.88268500000001</v>
      </c>
      <c r="AG168">
        <v>123.6059674</v>
      </c>
      <c r="AH168">
        <v>90.4624053</v>
      </c>
      <c r="AI168">
        <v>100</v>
      </c>
      <c r="AJ168">
        <v>0</v>
      </c>
      <c r="AK168">
        <v>0</v>
      </c>
      <c r="AL168">
        <v>4.437541607</v>
      </c>
      <c r="AM168">
        <v>4.4971819379999998</v>
      </c>
      <c r="AN168">
        <v>0</v>
      </c>
      <c r="AO168">
        <v>0</v>
      </c>
      <c r="AP168">
        <v>1</v>
      </c>
      <c r="AQ168">
        <v>0</v>
      </c>
      <c r="AR168">
        <v>48.996000000000002</v>
      </c>
      <c r="AS168">
        <v>67.665000000000006</v>
      </c>
      <c r="AT168">
        <v>147.74700000000001</v>
      </c>
      <c r="AU168">
        <v>324.89100000000002</v>
      </c>
      <c r="AV168">
        <v>0</v>
      </c>
    </row>
    <row r="169" spans="1:48">
      <c r="A169">
        <v>168</v>
      </c>
      <c r="B169" s="15">
        <v>0</v>
      </c>
      <c r="C169">
        <v>33.577265259999997</v>
      </c>
      <c r="D169">
        <v>18.522734740000001</v>
      </c>
      <c r="E169">
        <v>5.458659581</v>
      </c>
      <c r="F169">
        <v>1.046</v>
      </c>
      <c r="G169">
        <v>5.1689999999999996</v>
      </c>
      <c r="H169">
        <v>0.48941982299999998</v>
      </c>
      <c r="I169">
        <v>0</v>
      </c>
      <c r="J169" s="15">
        <v>0</v>
      </c>
      <c r="K169" s="15">
        <v>0</v>
      </c>
      <c r="L169" s="15">
        <v>0</v>
      </c>
      <c r="M169" s="15">
        <v>0</v>
      </c>
      <c r="N169">
        <v>0</v>
      </c>
      <c r="O169" s="15">
        <v>0</v>
      </c>
      <c r="P169">
        <v>0.19707370199999999</v>
      </c>
      <c r="Q169">
        <v>0.19707370199999999</v>
      </c>
      <c r="R169">
        <v>0</v>
      </c>
      <c r="S169">
        <v>0</v>
      </c>
      <c r="T169">
        <v>0.83254679200000004</v>
      </c>
      <c r="U169">
        <v>23.291045960000002</v>
      </c>
      <c r="V169">
        <v>0</v>
      </c>
      <c r="W169">
        <v>0</v>
      </c>
      <c r="X169">
        <v>5.7091906799999999</v>
      </c>
      <c r="Y169">
        <v>5.7091906799999999</v>
      </c>
      <c r="Z169">
        <v>1</v>
      </c>
      <c r="AA169">
        <v>0.75</v>
      </c>
      <c r="AB169">
        <v>99.15</v>
      </c>
      <c r="AC169">
        <v>0</v>
      </c>
      <c r="AD169">
        <v>5.640942935</v>
      </c>
      <c r="AE169">
        <v>174.09937249999999</v>
      </c>
      <c r="AF169">
        <v>184.61695929999999</v>
      </c>
      <c r="AG169">
        <v>120.3113972</v>
      </c>
      <c r="AH169">
        <v>88.109140879999998</v>
      </c>
      <c r="AI169">
        <v>100</v>
      </c>
      <c r="AJ169">
        <v>0</v>
      </c>
      <c r="AK169">
        <v>0</v>
      </c>
      <c r="AL169">
        <v>2.7184813650000001</v>
      </c>
      <c r="AM169">
        <v>2.769686884</v>
      </c>
      <c r="AN169">
        <v>0</v>
      </c>
      <c r="AO169">
        <v>0</v>
      </c>
      <c r="AP169">
        <v>1</v>
      </c>
      <c r="AQ169">
        <v>0</v>
      </c>
      <c r="AR169">
        <v>48.996000000000002</v>
      </c>
      <c r="AS169">
        <v>67.665000000000006</v>
      </c>
      <c r="AT169">
        <v>147.74700000000001</v>
      </c>
      <c r="AU169">
        <v>324.89100000000002</v>
      </c>
      <c r="AV169">
        <v>0</v>
      </c>
    </row>
    <row r="170" spans="1:48">
      <c r="A170">
        <v>169</v>
      </c>
      <c r="B170">
        <v>0</v>
      </c>
      <c r="C170">
        <v>34.049280930000002</v>
      </c>
      <c r="D170">
        <v>20.933265070000001</v>
      </c>
      <c r="E170">
        <v>5.9944896329999997</v>
      </c>
      <c r="F170">
        <v>1.046</v>
      </c>
      <c r="G170">
        <v>5.1589999999999998</v>
      </c>
      <c r="H170">
        <v>0.46374942600000002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0.345822827</v>
      </c>
      <c r="Q170">
        <v>0.345822827</v>
      </c>
      <c r="R170">
        <v>0</v>
      </c>
      <c r="S170">
        <v>0</v>
      </c>
      <c r="T170">
        <v>0.37465030999999999</v>
      </c>
      <c r="U170">
        <v>22.57057283</v>
      </c>
      <c r="V170">
        <v>0</v>
      </c>
      <c r="W170">
        <v>0</v>
      </c>
      <c r="X170">
        <v>6.2696103909999996</v>
      </c>
      <c r="Y170">
        <v>6.2696103909999996</v>
      </c>
      <c r="Z170">
        <v>1</v>
      </c>
      <c r="AA170">
        <v>0.75</v>
      </c>
      <c r="AB170">
        <v>99.15</v>
      </c>
      <c r="AC170">
        <v>0</v>
      </c>
      <c r="AD170">
        <v>2.1072383260000001</v>
      </c>
      <c r="AE170">
        <v>166.097174</v>
      </c>
      <c r="AF170">
        <v>174.09937249999999</v>
      </c>
      <c r="AG170">
        <v>121.75041299999999</v>
      </c>
      <c r="AH170">
        <v>89.137009250000006</v>
      </c>
      <c r="AI170">
        <v>100</v>
      </c>
      <c r="AJ170">
        <v>0</v>
      </c>
      <c r="AK170">
        <v>0</v>
      </c>
      <c r="AL170">
        <v>1.859095988</v>
      </c>
      <c r="AM170">
        <v>1.8955186550000001</v>
      </c>
      <c r="AN170">
        <v>0</v>
      </c>
      <c r="AO170">
        <v>0</v>
      </c>
      <c r="AP170">
        <v>1</v>
      </c>
      <c r="AQ170">
        <v>0</v>
      </c>
      <c r="AR170">
        <v>48.996000000000002</v>
      </c>
      <c r="AS170">
        <v>67.665000000000006</v>
      </c>
      <c r="AT170">
        <v>147.74700000000001</v>
      </c>
      <c r="AU170">
        <v>324.89100000000002</v>
      </c>
      <c r="AV170">
        <v>0</v>
      </c>
    </row>
    <row r="171" spans="1:48">
      <c r="A171">
        <v>170</v>
      </c>
      <c r="B171">
        <v>0</v>
      </c>
      <c r="C171">
        <v>32.08201949</v>
      </c>
      <c r="D171">
        <v>18.01992894</v>
      </c>
      <c r="E171">
        <v>5.2167118749999997</v>
      </c>
      <c r="F171">
        <v>1.046</v>
      </c>
      <c r="G171">
        <v>5.149</v>
      </c>
      <c r="H171">
        <v>0.435382673</v>
      </c>
      <c r="I171">
        <v>0</v>
      </c>
      <c r="J171" s="15">
        <v>0</v>
      </c>
      <c r="K171">
        <v>0</v>
      </c>
      <c r="L171" s="15">
        <v>0</v>
      </c>
      <c r="M171">
        <v>0</v>
      </c>
      <c r="N171">
        <v>0</v>
      </c>
      <c r="O171" s="15">
        <v>0</v>
      </c>
      <c r="P171">
        <v>0.31502101100000002</v>
      </c>
      <c r="Q171">
        <v>0.31502101100000002</v>
      </c>
      <c r="R171">
        <v>0</v>
      </c>
      <c r="S171">
        <v>0</v>
      </c>
      <c r="T171">
        <v>0.21007849000000001</v>
      </c>
      <c r="U171">
        <v>22.04547333</v>
      </c>
      <c r="V171">
        <v>0</v>
      </c>
      <c r="W171">
        <v>0</v>
      </c>
      <c r="X171">
        <v>5.4561342750000001</v>
      </c>
      <c r="Y171">
        <v>5.4561342750000001</v>
      </c>
      <c r="Z171">
        <v>1</v>
      </c>
      <c r="AA171">
        <v>0.75</v>
      </c>
      <c r="AB171">
        <v>99.15</v>
      </c>
      <c r="AC171">
        <v>0</v>
      </c>
      <c r="AD171">
        <v>0.97430496499999997</v>
      </c>
      <c r="AE171">
        <v>159.87681330000001</v>
      </c>
      <c r="AF171">
        <v>166.097174</v>
      </c>
      <c r="AG171">
        <v>123.3405794</v>
      </c>
      <c r="AH171">
        <v>90.272842400000002</v>
      </c>
      <c r="AI171">
        <v>100</v>
      </c>
      <c r="AJ171">
        <v>0</v>
      </c>
      <c r="AK171">
        <v>0</v>
      </c>
      <c r="AL171">
        <v>1.429475659</v>
      </c>
      <c r="AM171">
        <v>1.4531613299999999</v>
      </c>
      <c r="AN171">
        <v>0</v>
      </c>
      <c r="AO171">
        <v>0</v>
      </c>
      <c r="AP171">
        <v>1</v>
      </c>
      <c r="AQ171">
        <v>0</v>
      </c>
      <c r="AR171">
        <v>48.996000000000002</v>
      </c>
      <c r="AS171">
        <v>67.665000000000006</v>
      </c>
      <c r="AT171">
        <v>147.74700000000001</v>
      </c>
      <c r="AU171">
        <v>324.89100000000002</v>
      </c>
      <c r="AV171">
        <v>0</v>
      </c>
    </row>
    <row r="172" spans="1:48">
      <c r="A172">
        <v>171</v>
      </c>
      <c r="B172">
        <v>0</v>
      </c>
      <c r="C172">
        <v>32.656605030000001</v>
      </c>
      <c r="D172">
        <v>18.840589170000001</v>
      </c>
      <c r="E172">
        <v>4.2336691809999998</v>
      </c>
      <c r="F172">
        <v>1.046</v>
      </c>
      <c r="G172">
        <v>5.1390000000000002</v>
      </c>
      <c r="H172">
        <v>0.46915378899999999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0.16724677299999999</v>
      </c>
      <c r="Q172">
        <v>0.16724677299999999</v>
      </c>
      <c r="R172">
        <v>0</v>
      </c>
      <c r="S172">
        <v>0</v>
      </c>
      <c r="T172">
        <v>0.14306771400000001</v>
      </c>
      <c r="U172">
        <v>21.73515884</v>
      </c>
      <c r="V172">
        <v>0</v>
      </c>
      <c r="W172">
        <v>0</v>
      </c>
      <c r="X172">
        <v>4.4279737060000004</v>
      </c>
      <c r="Y172">
        <v>4.4279737060000004</v>
      </c>
      <c r="Z172">
        <v>1</v>
      </c>
      <c r="AA172">
        <v>0.75</v>
      </c>
      <c r="AB172">
        <v>99.15</v>
      </c>
      <c r="AC172">
        <v>0</v>
      </c>
      <c r="AD172">
        <v>0.54302982499999997</v>
      </c>
      <c r="AE172">
        <v>155.0488775</v>
      </c>
      <c r="AF172">
        <v>159.87681330000001</v>
      </c>
      <c r="AG172">
        <v>121.4474584</v>
      </c>
      <c r="AH172">
        <v>88.920613119999999</v>
      </c>
      <c r="AI172">
        <v>100</v>
      </c>
      <c r="AJ172">
        <v>0</v>
      </c>
      <c r="AK172">
        <v>0</v>
      </c>
      <c r="AL172">
        <v>1.214701668</v>
      </c>
      <c r="AM172">
        <v>1.2293142530000001</v>
      </c>
      <c r="AN172">
        <v>0</v>
      </c>
      <c r="AO172">
        <v>0</v>
      </c>
      <c r="AP172">
        <v>1</v>
      </c>
      <c r="AQ172">
        <v>0</v>
      </c>
      <c r="AR172">
        <v>48.996000000000002</v>
      </c>
      <c r="AS172">
        <v>67.665000000000006</v>
      </c>
      <c r="AT172">
        <v>147.74700000000001</v>
      </c>
      <c r="AU172">
        <v>324.89100000000002</v>
      </c>
      <c r="AV172">
        <v>0</v>
      </c>
    </row>
    <row r="173" spans="1:48">
      <c r="A173">
        <v>172</v>
      </c>
      <c r="B173">
        <v>0</v>
      </c>
      <c r="C173">
        <v>33.595204099999997</v>
      </c>
      <c r="D173">
        <v>19.250719069999999</v>
      </c>
      <c r="E173">
        <v>5.6454247640000004</v>
      </c>
      <c r="F173">
        <v>1.046</v>
      </c>
      <c r="G173">
        <v>5.1289999999999996</v>
      </c>
      <c r="H173">
        <v>0.51619117999999997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0.32364128599999997</v>
      </c>
      <c r="Q173">
        <v>0.32364128599999997</v>
      </c>
      <c r="R173">
        <v>0</v>
      </c>
      <c r="S173">
        <v>0</v>
      </c>
      <c r="T173">
        <v>0.107167076</v>
      </c>
      <c r="U173">
        <v>21.30435048</v>
      </c>
      <c r="V173">
        <v>0</v>
      </c>
      <c r="W173">
        <v>0</v>
      </c>
      <c r="X173">
        <v>5.9045215200000003</v>
      </c>
      <c r="Y173">
        <v>5.9045215200000003</v>
      </c>
      <c r="Z173">
        <v>1</v>
      </c>
      <c r="AA173">
        <v>0.75</v>
      </c>
      <c r="AB173">
        <v>99.15</v>
      </c>
      <c r="AC173">
        <v>0</v>
      </c>
      <c r="AD173">
        <v>0.32302766100000002</v>
      </c>
      <c r="AE173">
        <v>148.9284954</v>
      </c>
      <c r="AF173">
        <v>155.0488775</v>
      </c>
      <c r="AG173">
        <v>118.8106645</v>
      </c>
      <c r="AH173">
        <v>87.037188939999993</v>
      </c>
      <c r="AI173">
        <v>100</v>
      </c>
      <c r="AJ173">
        <v>0</v>
      </c>
      <c r="AK173">
        <v>0</v>
      </c>
      <c r="AL173">
        <v>1.1073327559999999</v>
      </c>
      <c r="AM173">
        <v>1.1160404100000001</v>
      </c>
      <c r="AN173">
        <v>0</v>
      </c>
      <c r="AO173">
        <v>0</v>
      </c>
      <c r="AP173">
        <v>1</v>
      </c>
      <c r="AQ173">
        <v>0</v>
      </c>
      <c r="AR173">
        <v>48.996000000000002</v>
      </c>
      <c r="AS173">
        <v>67.665000000000006</v>
      </c>
      <c r="AT173">
        <v>147.74700000000001</v>
      </c>
      <c r="AU173">
        <v>324.89100000000002</v>
      </c>
      <c r="AV173">
        <v>0</v>
      </c>
    </row>
    <row r="174" spans="1:48">
      <c r="A174">
        <v>173</v>
      </c>
      <c r="B174">
        <v>0</v>
      </c>
      <c r="C174">
        <v>33.041320460000001</v>
      </c>
      <c r="D174">
        <v>18.979339769999999</v>
      </c>
      <c r="E174">
        <v>5.9104818290000001</v>
      </c>
      <c r="F174">
        <v>1.046</v>
      </c>
      <c r="G174">
        <v>5.1180000000000003</v>
      </c>
      <c r="H174">
        <v>0.45087348900000002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0.34957961999999998</v>
      </c>
      <c r="Q174">
        <v>0.34957961999999998</v>
      </c>
      <c r="R174">
        <v>0</v>
      </c>
      <c r="S174">
        <v>0</v>
      </c>
      <c r="T174" s="15">
        <v>8.0500000000000002E-2</v>
      </c>
      <c r="U174">
        <v>20.8742394</v>
      </c>
      <c r="V174">
        <v>0</v>
      </c>
      <c r="W174">
        <v>0</v>
      </c>
      <c r="X174">
        <v>6.1817437850000001</v>
      </c>
      <c r="Y174">
        <v>6.1817437850000001</v>
      </c>
      <c r="Z174">
        <v>1</v>
      </c>
      <c r="AA174">
        <v>0.75</v>
      </c>
      <c r="AB174">
        <v>99.15</v>
      </c>
      <c r="AC174">
        <v>0</v>
      </c>
      <c r="AD174">
        <v>0.183447569</v>
      </c>
      <c r="AE174">
        <v>142.64383549999999</v>
      </c>
      <c r="AF174">
        <v>148.9284954</v>
      </c>
      <c r="AG174">
        <v>122.4722045</v>
      </c>
      <c r="AH174">
        <v>89.652574630000004</v>
      </c>
      <c r="AI174">
        <v>100</v>
      </c>
      <c r="AJ174">
        <v>0</v>
      </c>
      <c r="AK174">
        <v>0</v>
      </c>
      <c r="AL174">
        <v>1.0536573410000001</v>
      </c>
      <c r="AM174">
        <v>1.0587201909999999</v>
      </c>
      <c r="AN174">
        <v>0</v>
      </c>
      <c r="AO174">
        <v>0</v>
      </c>
      <c r="AP174">
        <v>1</v>
      </c>
      <c r="AQ174">
        <v>0</v>
      </c>
      <c r="AR174">
        <v>48.996000000000002</v>
      </c>
      <c r="AS174">
        <v>67.665000000000006</v>
      </c>
      <c r="AT174">
        <v>147.74700000000001</v>
      </c>
      <c r="AU174">
        <v>324.89100000000002</v>
      </c>
      <c r="AV174">
        <v>0</v>
      </c>
    </row>
    <row r="175" spans="1:48">
      <c r="A175">
        <v>174</v>
      </c>
      <c r="B175">
        <v>6.307786675</v>
      </c>
      <c r="C175">
        <v>32.531148899999998</v>
      </c>
      <c r="D175">
        <v>16.650719070000001</v>
      </c>
      <c r="E175">
        <v>5.2801958019999997</v>
      </c>
      <c r="F175">
        <v>1.046</v>
      </c>
      <c r="G175">
        <v>5.1079999999999997</v>
      </c>
      <c r="H175">
        <v>0.43874706499999999</v>
      </c>
      <c r="I175">
        <v>0</v>
      </c>
      <c r="J175">
        <v>4.2451645539999996</v>
      </c>
      <c r="K175">
        <v>6.307786675</v>
      </c>
      <c r="L175">
        <v>4.2451645539999996</v>
      </c>
      <c r="M175">
        <v>2.0626221199999999</v>
      </c>
      <c r="N175">
        <v>0</v>
      </c>
      <c r="O175">
        <v>4.2451646810000003</v>
      </c>
      <c r="P175">
        <v>0.25286565100000002</v>
      </c>
      <c r="Q175">
        <v>0.25286565100000002</v>
      </c>
      <c r="R175">
        <v>0</v>
      </c>
      <c r="S175">
        <v>0</v>
      </c>
      <c r="T175" s="15">
        <v>0.21727454900000001</v>
      </c>
      <c r="U175">
        <v>24.649263879999999</v>
      </c>
      <c r="V175">
        <v>0</v>
      </c>
      <c r="W175">
        <v>0</v>
      </c>
      <c r="X175">
        <v>5.5225318220000004</v>
      </c>
      <c r="Y175">
        <v>5.5225318220000004</v>
      </c>
      <c r="Z175">
        <v>1</v>
      </c>
      <c r="AA175">
        <v>0.75</v>
      </c>
      <c r="AB175">
        <v>99.15</v>
      </c>
      <c r="AC175">
        <v>0</v>
      </c>
      <c r="AD175" s="15">
        <v>0.105761012</v>
      </c>
      <c r="AE175">
        <v>137.2328172</v>
      </c>
      <c r="AF175">
        <v>142.64383549999999</v>
      </c>
      <c r="AG175">
        <v>123.15198030000001</v>
      </c>
      <c r="AH175">
        <v>90.138128760000001</v>
      </c>
      <c r="AI175">
        <v>100</v>
      </c>
      <c r="AJ175">
        <v>0</v>
      </c>
      <c r="AK175">
        <v>0</v>
      </c>
      <c r="AL175">
        <v>1.0268241520000001</v>
      </c>
      <c r="AM175">
        <v>1.029714311</v>
      </c>
      <c r="AN175">
        <v>0</v>
      </c>
      <c r="AO175">
        <v>0</v>
      </c>
      <c r="AP175">
        <v>1</v>
      </c>
      <c r="AQ175">
        <v>0</v>
      </c>
      <c r="AR175">
        <v>48.996000000000002</v>
      </c>
      <c r="AS175">
        <v>67.665000000000006</v>
      </c>
      <c r="AT175">
        <v>147.74700000000001</v>
      </c>
      <c r="AU175">
        <v>324.89100000000002</v>
      </c>
      <c r="AV175">
        <v>0</v>
      </c>
    </row>
    <row r="176" spans="1:48">
      <c r="A176">
        <v>175</v>
      </c>
      <c r="B176">
        <v>0</v>
      </c>
      <c r="C176">
        <v>31.82798433</v>
      </c>
      <c r="D176">
        <v>15.315284569999999</v>
      </c>
      <c r="E176">
        <v>5.5749441270000002</v>
      </c>
      <c r="F176">
        <v>1.046</v>
      </c>
      <c r="G176">
        <v>5.0979999999999999</v>
      </c>
      <c r="H176">
        <v>0.46898410200000001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0.310670956</v>
      </c>
      <c r="Q176">
        <v>0.310670956</v>
      </c>
      <c r="R176">
        <v>0</v>
      </c>
      <c r="S176">
        <v>0</v>
      </c>
      <c r="T176" s="15">
        <v>0.39471735800000002</v>
      </c>
      <c r="U176">
        <v>23.943875559999999</v>
      </c>
      <c r="V176">
        <v>0</v>
      </c>
      <c r="W176">
        <v>0</v>
      </c>
      <c r="X176">
        <v>5.8308096010000003</v>
      </c>
      <c r="Y176">
        <v>5.8308096010000003</v>
      </c>
      <c r="Z176">
        <v>1</v>
      </c>
      <c r="AA176">
        <v>0.75</v>
      </c>
      <c r="AB176">
        <v>99.15</v>
      </c>
      <c r="AC176">
        <v>0</v>
      </c>
      <c r="AD176" s="15">
        <v>6.2700000000000006E-2</v>
      </c>
      <c r="AE176">
        <v>131.73398109999999</v>
      </c>
      <c r="AF176">
        <v>137.2328172</v>
      </c>
      <c r="AG176">
        <v>121.45697060000001</v>
      </c>
      <c r="AH176">
        <v>88.927407579999993</v>
      </c>
      <c r="AI176">
        <v>100</v>
      </c>
      <c r="AJ176">
        <v>0</v>
      </c>
      <c r="AK176">
        <v>0</v>
      </c>
      <c r="AL176">
        <v>1.013409818</v>
      </c>
      <c r="AM176">
        <v>1.0150364000000001</v>
      </c>
      <c r="AN176">
        <v>0</v>
      </c>
      <c r="AO176">
        <v>0</v>
      </c>
      <c r="AP176">
        <v>1</v>
      </c>
      <c r="AQ176">
        <v>0</v>
      </c>
      <c r="AR176">
        <v>48.996000000000002</v>
      </c>
      <c r="AS176">
        <v>67.665000000000006</v>
      </c>
      <c r="AT176">
        <v>147.74700000000001</v>
      </c>
      <c r="AU176">
        <v>324.89100000000002</v>
      </c>
      <c r="AV176">
        <v>0</v>
      </c>
    </row>
    <row r="177" spans="1:48">
      <c r="A177">
        <v>176</v>
      </c>
      <c r="B177">
        <v>0</v>
      </c>
      <c r="C177">
        <v>31.520660230000001</v>
      </c>
      <c r="D177">
        <v>15.23005884</v>
      </c>
      <c r="E177">
        <v>6.207984293</v>
      </c>
      <c r="F177">
        <v>1.046</v>
      </c>
      <c r="G177">
        <v>5.0880000000000001</v>
      </c>
      <c r="H177">
        <v>0.45434077899999997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0.47479980199999999</v>
      </c>
      <c r="Q177">
        <v>0.47479980199999999</v>
      </c>
      <c r="R177">
        <v>0</v>
      </c>
      <c r="S177">
        <v>0</v>
      </c>
      <c r="T177" s="15">
        <v>0.27850675699999999</v>
      </c>
      <c r="U177">
        <v>23.190569</v>
      </c>
      <c r="V177">
        <v>0</v>
      </c>
      <c r="W177">
        <v>0</v>
      </c>
      <c r="X177">
        <v>6.4929064800000003</v>
      </c>
      <c r="Y177">
        <v>6.4929064800000003</v>
      </c>
      <c r="Z177">
        <v>1</v>
      </c>
      <c r="AA177">
        <v>0.75</v>
      </c>
      <c r="AB177">
        <v>99.15</v>
      </c>
      <c r="AC177">
        <v>0</v>
      </c>
      <c r="AD177" s="15">
        <v>3.4799999999999998E-2</v>
      </c>
      <c r="AE177">
        <v>125.48478679999999</v>
      </c>
      <c r="AF177">
        <v>131.73398109999999</v>
      </c>
      <c r="AG177">
        <v>122.27783719999999</v>
      </c>
      <c r="AH177">
        <v>89.51374088</v>
      </c>
      <c r="AI177">
        <v>100</v>
      </c>
      <c r="AJ177">
        <v>0</v>
      </c>
      <c r="AK177">
        <v>0</v>
      </c>
      <c r="AL177">
        <v>1.00670378</v>
      </c>
      <c r="AM177">
        <v>1.0076089029999999</v>
      </c>
      <c r="AN177">
        <v>0</v>
      </c>
      <c r="AO177">
        <v>0</v>
      </c>
      <c r="AP177">
        <v>1</v>
      </c>
      <c r="AQ177">
        <v>0</v>
      </c>
      <c r="AR177">
        <v>48.996000000000002</v>
      </c>
      <c r="AS177">
        <v>67.665000000000006</v>
      </c>
      <c r="AT177">
        <v>147.74700000000001</v>
      </c>
      <c r="AU177">
        <v>324.89100000000002</v>
      </c>
      <c r="AV177">
        <v>0</v>
      </c>
    </row>
    <row r="178" spans="1:48">
      <c r="A178">
        <v>177</v>
      </c>
      <c r="B178">
        <v>0</v>
      </c>
      <c r="C178">
        <v>32.274543870000002</v>
      </c>
      <c r="D178">
        <v>16.322734740000001</v>
      </c>
      <c r="E178">
        <v>5.7574460869999999</v>
      </c>
      <c r="F178">
        <v>1.046</v>
      </c>
      <c r="G178">
        <v>5.0780000000000003</v>
      </c>
      <c r="H178">
        <v>0.42129175000000002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0.30350789700000003</v>
      </c>
      <c r="Q178">
        <v>0.30350789700000003</v>
      </c>
      <c r="R178">
        <v>0</v>
      </c>
      <c r="S178">
        <v>0</v>
      </c>
      <c r="T178" s="15">
        <v>0.20308817400000001</v>
      </c>
      <c r="U178">
        <v>22.683972929999999</v>
      </c>
      <c r="V178">
        <v>0</v>
      </c>
      <c r="W178">
        <v>0</v>
      </c>
      <c r="X178">
        <v>6.0216938280000001</v>
      </c>
      <c r="Y178">
        <v>6.0216938280000001</v>
      </c>
      <c r="Z178">
        <v>1</v>
      </c>
      <c r="AA178">
        <v>0.75</v>
      </c>
      <c r="AB178">
        <v>99.15</v>
      </c>
      <c r="AC178">
        <v>0</v>
      </c>
      <c r="AD178" s="15">
        <v>1.7899999999999999E-2</v>
      </c>
      <c r="AE178">
        <v>119.6482381</v>
      </c>
      <c r="AF178">
        <v>125.48478679999999</v>
      </c>
      <c r="AG178">
        <v>124.1304798</v>
      </c>
      <c r="AH178">
        <v>90.837057020000003</v>
      </c>
      <c r="AI178">
        <v>100</v>
      </c>
      <c r="AJ178">
        <v>0</v>
      </c>
      <c r="AK178">
        <v>0</v>
      </c>
      <c r="AL178">
        <v>1.0033513249999999</v>
      </c>
      <c r="AM178">
        <v>1.0038503510000001</v>
      </c>
      <c r="AN178">
        <v>0</v>
      </c>
      <c r="AO178">
        <v>0</v>
      </c>
      <c r="AP178">
        <v>1</v>
      </c>
      <c r="AQ178">
        <v>0</v>
      </c>
      <c r="AR178">
        <v>48.996000000000002</v>
      </c>
      <c r="AS178">
        <v>67.665000000000006</v>
      </c>
      <c r="AT178">
        <v>147.74700000000001</v>
      </c>
      <c r="AU178">
        <v>324.89100000000002</v>
      </c>
      <c r="AV178">
        <v>0</v>
      </c>
    </row>
    <row r="179" spans="1:48">
      <c r="A179">
        <v>178</v>
      </c>
      <c r="B179">
        <v>0</v>
      </c>
      <c r="C179">
        <v>33.766734929999998</v>
      </c>
      <c r="D179">
        <v>17.622734739999999</v>
      </c>
      <c r="E179">
        <v>5.6469880860000004</v>
      </c>
      <c r="F179">
        <v>1.046</v>
      </c>
      <c r="G179">
        <v>5.0670000000000002</v>
      </c>
      <c r="H179">
        <v>0.44699193199999998</v>
      </c>
      <c r="I179">
        <v>198</v>
      </c>
      <c r="J179">
        <v>0</v>
      </c>
      <c r="K179">
        <v>198</v>
      </c>
      <c r="L179">
        <v>0</v>
      </c>
      <c r="M179">
        <v>0</v>
      </c>
      <c r="N179">
        <v>0</v>
      </c>
      <c r="O179">
        <v>0</v>
      </c>
      <c r="P179">
        <v>0.295570528</v>
      </c>
      <c r="Q179">
        <v>0.295570528</v>
      </c>
      <c r="R179">
        <v>0</v>
      </c>
      <c r="S179">
        <v>0</v>
      </c>
      <c r="T179">
        <v>192.10943349999999</v>
      </c>
      <c r="U179">
        <v>28.27896887</v>
      </c>
      <c r="V179">
        <v>0</v>
      </c>
      <c r="W179">
        <v>0</v>
      </c>
      <c r="X179">
        <v>5.9061703320000003</v>
      </c>
      <c r="Y179">
        <v>5.9061703320000003</v>
      </c>
      <c r="Z179">
        <v>1</v>
      </c>
      <c r="AA179">
        <v>0.75</v>
      </c>
      <c r="AB179">
        <v>99.15</v>
      </c>
      <c r="AC179">
        <v>0</v>
      </c>
      <c r="AD179">
        <v>92.849348590000005</v>
      </c>
      <c r="AE179">
        <v>213.00215270000001</v>
      </c>
      <c r="AF179">
        <v>119.6482381</v>
      </c>
      <c r="AG179">
        <v>122.6897945</v>
      </c>
      <c r="AH179">
        <v>89.807996040000006</v>
      </c>
      <c r="AI179">
        <v>100</v>
      </c>
      <c r="AJ179">
        <v>0</v>
      </c>
      <c r="AK179">
        <v>0</v>
      </c>
      <c r="AL179">
        <v>7.8762411620000004</v>
      </c>
      <c r="AM179">
        <v>7.9109861300000004</v>
      </c>
      <c r="AN179">
        <v>22</v>
      </c>
      <c r="AO179">
        <v>0</v>
      </c>
      <c r="AP179">
        <v>1</v>
      </c>
      <c r="AQ179">
        <v>0</v>
      </c>
      <c r="AR179">
        <v>48.996000000000002</v>
      </c>
      <c r="AS179">
        <v>67.665000000000006</v>
      </c>
      <c r="AT179">
        <v>147.74700000000001</v>
      </c>
      <c r="AU179">
        <v>324.89100000000002</v>
      </c>
      <c r="AV179">
        <v>0</v>
      </c>
    </row>
    <row r="180" spans="1:48">
      <c r="A180">
        <v>179</v>
      </c>
      <c r="B180">
        <v>0</v>
      </c>
      <c r="C180">
        <v>34.264055200000001</v>
      </c>
      <c r="D180">
        <v>19.302214119999999</v>
      </c>
      <c r="E180">
        <v>6.1500282359999998</v>
      </c>
      <c r="F180">
        <v>1.046</v>
      </c>
      <c r="G180">
        <v>5.0570000000000004</v>
      </c>
      <c r="H180">
        <v>0.451930367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0.389232513</v>
      </c>
      <c r="Q180">
        <v>0.389232513</v>
      </c>
      <c r="R180">
        <v>0</v>
      </c>
      <c r="S180">
        <v>0</v>
      </c>
      <c r="T180">
        <v>3.6691797149999998</v>
      </c>
      <c r="U180">
        <v>24.220556640000002</v>
      </c>
      <c r="V180">
        <v>0</v>
      </c>
      <c r="W180">
        <v>0</v>
      </c>
      <c r="X180">
        <v>6.4323040450000004</v>
      </c>
      <c r="Y180">
        <v>6.4323040450000004</v>
      </c>
      <c r="Z180">
        <v>1</v>
      </c>
      <c r="AA180">
        <v>0.75</v>
      </c>
      <c r="AB180">
        <v>99.15</v>
      </c>
      <c r="AC180">
        <v>0</v>
      </c>
      <c r="AD180">
        <v>26.495321879999999</v>
      </c>
      <c r="AE180">
        <v>183.7437065</v>
      </c>
      <c r="AF180">
        <v>213.00215270000001</v>
      </c>
      <c r="AG180">
        <v>122.4129587</v>
      </c>
      <c r="AH180">
        <v>89.610256190000001</v>
      </c>
      <c r="AI180">
        <v>100</v>
      </c>
      <c r="AJ180">
        <v>0</v>
      </c>
      <c r="AK180">
        <v>0</v>
      </c>
      <c r="AL180">
        <v>4.437541607</v>
      </c>
      <c r="AM180">
        <v>4.4971819379999998</v>
      </c>
      <c r="AN180">
        <v>0</v>
      </c>
      <c r="AO180">
        <v>0</v>
      </c>
      <c r="AP180">
        <v>1</v>
      </c>
      <c r="AQ180">
        <v>0</v>
      </c>
      <c r="AR180">
        <v>48.996000000000002</v>
      </c>
      <c r="AS180">
        <v>67.665000000000006</v>
      </c>
      <c r="AT180">
        <v>147.74700000000001</v>
      </c>
      <c r="AU180">
        <v>324.89100000000002</v>
      </c>
      <c r="AV180">
        <v>0</v>
      </c>
    </row>
    <row r="181" spans="1:48">
      <c r="A181">
        <v>180</v>
      </c>
      <c r="B181">
        <v>0</v>
      </c>
      <c r="C181">
        <v>33.931148899999997</v>
      </c>
      <c r="D181">
        <v>18.748190869999998</v>
      </c>
      <c r="E181">
        <v>6.2497399089999996</v>
      </c>
      <c r="F181">
        <v>1.046</v>
      </c>
      <c r="G181">
        <v>5.0469999999999997</v>
      </c>
      <c r="H181">
        <v>0.42713853899999998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0.41913726800000001</v>
      </c>
      <c r="Q181">
        <v>0.41913726800000001</v>
      </c>
      <c r="R181">
        <v>0</v>
      </c>
      <c r="S181">
        <v>0</v>
      </c>
      <c r="T181">
        <v>0.76676903799999996</v>
      </c>
      <c r="U181">
        <v>23.034650330000002</v>
      </c>
      <c r="V181">
        <v>0</v>
      </c>
      <c r="W181">
        <v>0</v>
      </c>
      <c r="X181">
        <v>6.5365984839999998</v>
      </c>
      <c r="Y181">
        <v>6.5365984839999998</v>
      </c>
      <c r="Z181">
        <v>1</v>
      </c>
      <c r="AA181">
        <v>0.75</v>
      </c>
      <c r="AB181">
        <v>99.15</v>
      </c>
      <c r="AC181">
        <v>0</v>
      </c>
      <c r="AD181">
        <v>5.266533269</v>
      </c>
      <c r="AE181">
        <v>172.70734379999999</v>
      </c>
      <c r="AF181">
        <v>183.7437065</v>
      </c>
      <c r="AG181">
        <v>123.802724</v>
      </c>
      <c r="AH181">
        <v>90.602945750000003</v>
      </c>
      <c r="AI181">
        <v>100</v>
      </c>
      <c r="AJ181">
        <v>0</v>
      </c>
      <c r="AK181">
        <v>0</v>
      </c>
      <c r="AL181">
        <v>2.7184813650000001</v>
      </c>
      <c r="AM181">
        <v>2.769686884</v>
      </c>
      <c r="AN181">
        <v>0</v>
      </c>
      <c r="AO181">
        <v>0</v>
      </c>
      <c r="AP181">
        <v>1</v>
      </c>
      <c r="AQ181">
        <v>0</v>
      </c>
      <c r="AR181">
        <v>48.996000000000002</v>
      </c>
      <c r="AS181">
        <v>67.665000000000006</v>
      </c>
      <c r="AT181">
        <v>147.74700000000001</v>
      </c>
      <c r="AU181">
        <v>324.89100000000002</v>
      </c>
      <c r="AV181">
        <v>0</v>
      </c>
    </row>
    <row r="182" spans="1:48">
      <c r="A182">
        <v>181</v>
      </c>
      <c r="B182">
        <v>0</v>
      </c>
      <c r="C182">
        <v>30.964055200000001</v>
      </c>
      <c r="D182">
        <v>16.68398414</v>
      </c>
      <c r="E182">
        <v>5.7987179769999999</v>
      </c>
      <c r="F182">
        <v>1.046</v>
      </c>
      <c r="G182">
        <v>5.0369999999999999</v>
      </c>
      <c r="H182">
        <v>0.42177057200000001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0.39399188600000001</v>
      </c>
      <c r="Q182">
        <v>0.39399188600000001</v>
      </c>
      <c r="R182">
        <v>0</v>
      </c>
      <c r="S182">
        <v>0</v>
      </c>
      <c r="T182">
        <v>0.32950549499999998</v>
      </c>
      <c r="U182">
        <v>22.31115295</v>
      </c>
      <c r="V182">
        <v>0</v>
      </c>
      <c r="W182">
        <v>0</v>
      </c>
      <c r="X182">
        <v>6.0648813879999999</v>
      </c>
      <c r="Y182">
        <v>6.0648813879999999</v>
      </c>
      <c r="Z182">
        <v>1</v>
      </c>
      <c r="AA182">
        <v>0.75</v>
      </c>
      <c r="AB182">
        <v>99.15</v>
      </c>
      <c r="AC182">
        <v>0</v>
      </c>
      <c r="AD182">
        <v>1.9349842530000001</v>
      </c>
      <c r="AE182">
        <v>165.03698370000001</v>
      </c>
      <c r="AF182">
        <v>172.70734379999999</v>
      </c>
      <c r="AG182">
        <v>124.10363839999999</v>
      </c>
      <c r="AH182">
        <v>90.817884539999994</v>
      </c>
      <c r="AI182">
        <v>100</v>
      </c>
      <c r="AJ182">
        <v>0</v>
      </c>
      <c r="AK182">
        <v>0</v>
      </c>
      <c r="AL182">
        <v>1.859095988</v>
      </c>
      <c r="AM182">
        <v>1.8955186550000001</v>
      </c>
      <c r="AN182">
        <v>0</v>
      </c>
      <c r="AO182">
        <v>0</v>
      </c>
      <c r="AP182">
        <v>1</v>
      </c>
      <c r="AQ182">
        <v>0</v>
      </c>
      <c r="AR182">
        <v>48.996000000000002</v>
      </c>
      <c r="AS182">
        <v>67.665000000000006</v>
      </c>
      <c r="AT182">
        <v>147.74700000000001</v>
      </c>
      <c r="AU182">
        <v>324.89100000000002</v>
      </c>
      <c r="AV182">
        <v>0</v>
      </c>
    </row>
    <row r="183" spans="1:48">
      <c r="A183">
        <v>182</v>
      </c>
      <c r="B183">
        <v>0</v>
      </c>
      <c r="C183">
        <v>32.656605030000001</v>
      </c>
      <c r="D183">
        <v>15.888877989999999</v>
      </c>
      <c r="E183">
        <v>6.4814274249999997</v>
      </c>
      <c r="F183">
        <v>1.046</v>
      </c>
      <c r="G183">
        <v>5.0270000000000001</v>
      </c>
      <c r="H183">
        <v>0.44164506999999997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0.55609855699999999</v>
      </c>
      <c r="Q183">
        <v>0.55609855699999999</v>
      </c>
      <c r="R183">
        <v>0</v>
      </c>
      <c r="S183">
        <v>0</v>
      </c>
      <c r="T183" s="15">
        <v>0.174794372</v>
      </c>
      <c r="U183">
        <v>21.580260020000001</v>
      </c>
      <c r="V183">
        <v>0</v>
      </c>
      <c r="W183">
        <v>0</v>
      </c>
      <c r="X183">
        <v>6.7789353869999998</v>
      </c>
      <c r="Y183">
        <v>6.7789353869999998</v>
      </c>
      <c r="Z183">
        <v>1</v>
      </c>
      <c r="AA183">
        <v>0.75</v>
      </c>
      <c r="AB183">
        <v>99.15</v>
      </c>
      <c r="AC183">
        <v>0</v>
      </c>
      <c r="AD183">
        <v>0.86674633599999995</v>
      </c>
      <c r="AE183">
        <v>157.5660963</v>
      </c>
      <c r="AF183">
        <v>165.03698370000001</v>
      </c>
      <c r="AG183">
        <v>122.98952559999999</v>
      </c>
      <c r="AH183">
        <v>90.022089739999998</v>
      </c>
      <c r="AI183">
        <v>100</v>
      </c>
      <c r="AJ183">
        <v>0</v>
      </c>
      <c r="AK183">
        <v>0</v>
      </c>
      <c r="AL183">
        <v>1.429475659</v>
      </c>
      <c r="AM183">
        <v>1.4531613299999999</v>
      </c>
      <c r="AN183">
        <v>0</v>
      </c>
      <c r="AO183">
        <v>0</v>
      </c>
      <c r="AP183">
        <v>1</v>
      </c>
      <c r="AQ183">
        <v>0</v>
      </c>
      <c r="AR183">
        <v>48.996000000000002</v>
      </c>
      <c r="AS183">
        <v>67.665000000000006</v>
      </c>
      <c r="AT183">
        <v>147.74700000000001</v>
      </c>
      <c r="AU183">
        <v>324.89100000000002</v>
      </c>
      <c r="AV183">
        <v>0</v>
      </c>
    </row>
    <row r="184" spans="1:48">
      <c r="A184">
        <v>183</v>
      </c>
      <c r="B184">
        <v>0</v>
      </c>
      <c r="C184">
        <v>32.492675900000002</v>
      </c>
      <c r="D184">
        <v>17.158679540000001</v>
      </c>
      <c r="E184">
        <v>5.9415680030000004</v>
      </c>
      <c r="F184">
        <v>1.046</v>
      </c>
      <c r="G184">
        <v>5.016</v>
      </c>
      <c r="H184">
        <v>0.40659864400000001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0.39077867199999999</v>
      </c>
      <c r="Q184">
        <v>0.39077867199999999</v>
      </c>
      <c r="R184">
        <v>0</v>
      </c>
      <c r="S184">
        <v>0</v>
      </c>
      <c r="T184" s="15">
        <v>0.106256762</v>
      </c>
      <c r="U184">
        <v>21.08322459</v>
      </c>
      <c r="V184">
        <v>0</v>
      </c>
      <c r="W184">
        <v>0</v>
      </c>
      <c r="X184">
        <v>6.2143034669999997</v>
      </c>
      <c r="Y184">
        <v>6.2143034669999997</v>
      </c>
      <c r="Z184">
        <v>1</v>
      </c>
      <c r="AA184">
        <v>0.75</v>
      </c>
      <c r="AB184">
        <v>99.15</v>
      </c>
      <c r="AC184">
        <v>0</v>
      </c>
      <c r="AD184">
        <v>0.42837043400000002</v>
      </c>
      <c r="AE184">
        <v>151.0296792</v>
      </c>
      <c r="AF184">
        <v>157.5660963</v>
      </c>
      <c r="AG184">
        <v>124.95413720000001</v>
      </c>
      <c r="AH184">
        <v>91.425383679999996</v>
      </c>
      <c r="AI184">
        <v>100</v>
      </c>
      <c r="AJ184">
        <v>0</v>
      </c>
      <c r="AK184">
        <v>0</v>
      </c>
      <c r="AL184">
        <v>1.214701668</v>
      </c>
      <c r="AM184">
        <v>1.2293142530000001</v>
      </c>
      <c r="AN184">
        <v>0</v>
      </c>
      <c r="AO184">
        <v>0</v>
      </c>
      <c r="AP184">
        <v>1</v>
      </c>
      <c r="AQ184">
        <v>0</v>
      </c>
      <c r="AR184">
        <v>48.996000000000002</v>
      </c>
      <c r="AS184">
        <v>67.665000000000006</v>
      </c>
      <c r="AT184">
        <v>147.74700000000001</v>
      </c>
      <c r="AU184">
        <v>324.89100000000002</v>
      </c>
      <c r="AV184">
        <v>0</v>
      </c>
    </row>
    <row r="185" spans="1:48">
      <c r="A185">
        <v>184</v>
      </c>
      <c r="B185">
        <v>0</v>
      </c>
      <c r="C185">
        <v>32.302679730000001</v>
      </c>
      <c r="D185">
        <v>18.602214119999999</v>
      </c>
      <c r="E185">
        <v>4.6796300510000002</v>
      </c>
      <c r="F185">
        <v>1.046</v>
      </c>
      <c r="G185">
        <v>5.0060000000000002</v>
      </c>
      <c r="H185">
        <v>0.43579671599999997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0.211009369</v>
      </c>
      <c r="Q185">
        <v>0.211009369</v>
      </c>
      <c r="R185">
        <v>0</v>
      </c>
      <c r="S185">
        <v>0</v>
      </c>
      <c r="T185" s="15">
        <v>7.7600000000000002E-2</v>
      </c>
      <c r="U185">
        <v>20.794618270000001</v>
      </c>
      <c r="V185">
        <v>0</v>
      </c>
      <c r="W185">
        <v>0</v>
      </c>
      <c r="X185">
        <v>4.8944455769999999</v>
      </c>
      <c r="Y185">
        <v>4.8944455769999999</v>
      </c>
      <c r="Z185">
        <v>1</v>
      </c>
      <c r="AA185">
        <v>0.75</v>
      </c>
      <c r="AB185">
        <v>99.15</v>
      </c>
      <c r="AC185">
        <v>0</v>
      </c>
      <c r="AD185">
        <v>0.24133587400000001</v>
      </c>
      <c r="AE185">
        <v>145.97149469999999</v>
      </c>
      <c r="AF185">
        <v>151.0296792</v>
      </c>
      <c r="AG185">
        <v>123.3173692</v>
      </c>
      <c r="AH185">
        <v>90.256263700000005</v>
      </c>
      <c r="AI185">
        <v>100</v>
      </c>
      <c r="AJ185">
        <v>0</v>
      </c>
      <c r="AK185">
        <v>0</v>
      </c>
      <c r="AL185">
        <v>1.1073327559999999</v>
      </c>
      <c r="AM185">
        <v>1.1160404100000001</v>
      </c>
      <c r="AN185">
        <v>0</v>
      </c>
      <c r="AO185">
        <v>0</v>
      </c>
      <c r="AP185">
        <v>1</v>
      </c>
      <c r="AQ185">
        <v>0</v>
      </c>
      <c r="AR185">
        <v>48.996000000000002</v>
      </c>
      <c r="AS185">
        <v>67.665000000000006</v>
      </c>
      <c r="AT185">
        <v>147.74700000000001</v>
      </c>
      <c r="AU185">
        <v>324.89100000000002</v>
      </c>
      <c r="AV185">
        <v>0</v>
      </c>
    </row>
    <row r="186" spans="1:48">
      <c r="A186">
        <v>185</v>
      </c>
      <c r="B186">
        <v>3.2722081699999999</v>
      </c>
      <c r="C186">
        <v>26.33875059</v>
      </c>
      <c r="D186">
        <v>17.061249409999999</v>
      </c>
      <c r="E186">
        <v>2.496429478</v>
      </c>
      <c r="F186">
        <v>1.046</v>
      </c>
      <c r="G186">
        <v>4.9960000000000004</v>
      </c>
      <c r="H186">
        <v>0.49578180199999999</v>
      </c>
      <c r="I186">
        <v>0</v>
      </c>
      <c r="J186">
        <v>1.7077629839999999</v>
      </c>
      <c r="K186">
        <v>3.2722081699999999</v>
      </c>
      <c r="L186">
        <v>1.7077629839999999</v>
      </c>
      <c r="M186">
        <v>1.5644451859999999</v>
      </c>
      <c r="N186">
        <v>0</v>
      </c>
      <c r="O186">
        <v>1.7077630340000001</v>
      </c>
      <c r="P186" s="15">
        <v>1.6299999999999999E-2</v>
      </c>
      <c r="Q186" s="15">
        <v>1.6299999999999999E-2</v>
      </c>
      <c r="R186">
        <v>0</v>
      </c>
      <c r="S186">
        <v>0</v>
      </c>
      <c r="T186" s="15">
        <v>0.1075812</v>
      </c>
      <c r="U186">
        <v>22.378544040000001</v>
      </c>
      <c r="V186">
        <v>0</v>
      </c>
      <c r="W186">
        <v>0</v>
      </c>
      <c r="X186">
        <v>2.611030371</v>
      </c>
      <c r="Y186">
        <v>2.611030371</v>
      </c>
      <c r="Z186">
        <v>1</v>
      </c>
      <c r="AA186">
        <v>0.75</v>
      </c>
      <c r="AB186">
        <v>99.15</v>
      </c>
      <c r="AC186">
        <v>0</v>
      </c>
      <c r="AD186">
        <v>0.163036613</v>
      </c>
      <c r="AE186">
        <v>143.30500889999999</v>
      </c>
      <c r="AF186">
        <v>145.97149469999999</v>
      </c>
      <c r="AG186">
        <v>119.95476119999999</v>
      </c>
      <c r="AH186">
        <v>87.854400859999998</v>
      </c>
      <c r="AI186">
        <v>100</v>
      </c>
      <c r="AJ186">
        <v>0</v>
      </c>
      <c r="AK186">
        <v>0</v>
      </c>
      <c r="AL186">
        <v>1.0536573410000001</v>
      </c>
      <c r="AM186">
        <v>1.0587201909999999</v>
      </c>
      <c r="AN186">
        <v>0</v>
      </c>
      <c r="AO186">
        <v>0</v>
      </c>
      <c r="AP186">
        <v>1</v>
      </c>
      <c r="AQ186">
        <v>0</v>
      </c>
      <c r="AR186">
        <v>48.996000000000002</v>
      </c>
      <c r="AS186">
        <v>67.665000000000006</v>
      </c>
      <c r="AT186">
        <v>147.74700000000001</v>
      </c>
      <c r="AU186">
        <v>324.89100000000002</v>
      </c>
      <c r="AV186">
        <v>0</v>
      </c>
    </row>
    <row r="187" spans="1:48">
      <c r="A187">
        <v>186</v>
      </c>
      <c r="B187">
        <v>0</v>
      </c>
      <c r="C187">
        <v>31.117980509999999</v>
      </c>
      <c r="D187">
        <v>14.697320270000001</v>
      </c>
      <c r="E187">
        <v>5.006887087</v>
      </c>
      <c r="F187">
        <v>1.046</v>
      </c>
      <c r="G187">
        <v>4.9859999999999998</v>
      </c>
      <c r="H187">
        <v>0.59490854000000004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0.234612916</v>
      </c>
      <c r="Q187">
        <v>0.234612916</v>
      </c>
      <c r="R187">
        <v>0</v>
      </c>
      <c r="S187">
        <v>0</v>
      </c>
      <c r="T187" s="15">
        <v>0.14176034600000001</v>
      </c>
      <c r="U187">
        <v>22.00217078</v>
      </c>
      <c r="V187">
        <v>0</v>
      </c>
      <c r="W187">
        <v>0</v>
      </c>
      <c r="X187">
        <v>5.2367410230000004</v>
      </c>
      <c r="Y187">
        <v>5.2367410230000004</v>
      </c>
      <c r="Z187">
        <v>1</v>
      </c>
      <c r="AA187">
        <v>0.75</v>
      </c>
      <c r="AB187">
        <v>99.15</v>
      </c>
      <c r="AC187">
        <v>0</v>
      </c>
      <c r="AD187">
        <v>0.113507656</v>
      </c>
      <c r="AE187">
        <v>138.0965205</v>
      </c>
      <c r="AF187">
        <v>143.30500889999999</v>
      </c>
      <c r="AG187">
        <v>114.397974</v>
      </c>
      <c r="AH187">
        <v>83.885267139999996</v>
      </c>
      <c r="AI187">
        <v>100</v>
      </c>
      <c r="AJ187">
        <v>0</v>
      </c>
      <c r="AK187">
        <v>0</v>
      </c>
      <c r="AL187">
        <v>1.0268241520000001</v>
      </c>
      <c r="AM187">
        <v>1.029714311</v>
      </c>
      <c r="AN187">
        <v>0</v>
      </c>
      <c r="AO187">
        <v>0</v>
      </c>
      <c r="AP187">
        <v>1</v>
      </c>
      <c r="AQ187">
        <v>0</v>
      </c>
      <c r="AR187">
        <v>48.996000000000002</v>
      </c>
      <c r="AS187">
        <v>67.665000000000006</v>
      </c>
      <c r="AT187">
        <v>147.74700000000001</v>
      </c>
      <c r="AU187">
        <v>324.89100000000002</v>
      </c>
      <c r="AV187">
        <v>0</v>
      </c>
    </row>
    <row r="188" spans="1:48">
      <c r="A188">
        <v>187</v>
      </c>
      <c r="B188">
        <v>0</v>
      </c>
      <c r="C188">
        <v>32.6460747</v>
      </c>
      <c r="D188">
        <v>16.33005884</v>
      </c>
      <c r="E188">
        <v>5.6540794989999998</v>
      </c>
      <c r="F188">
        <v>1.046</v>
      </c>
      <c r="G188">
        <v>4.976</v>
      </c>
      <c r="H188">
        <v>0.48114584300000002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0.26505884400000002</v>
      </c>
      <c r="Q188">
        <v>0.26505884400000002</v>
      </c>
      <c r="R188">
        <v>0</v>
      </c>
      <c r="S188">
        <v>0</v>
      </c>
      <c r="T188" s="15">
        <v>0.11466722999999999</v>
      </c>
      <c r="U188">
        <v>21.622444699999999</v>
      </c>
      <c r="V188">
        <v>0</v>
      </c>
      <c r="W188">
        <v>0</v>
      </c>
      <c r="X188">
        <v>5.9136541840000003</v>
      </c>
      <c r="Y188">
        <v>5.9136541840000003</v>
      </c>
      <c r="Z188">
        <v>1</v>
      </c>
      <c r="AA188">
        <v>0.75</v>
      </c>
      <c r="AB188">
        <v>99.15</v>
      </c>
      <c r="AC188">
        <v>0</v>
      </c>
      <c r="AD188" s="15">
        <v>6.7100000000000007E-2</v>
      </c>
      <c r="AE188">
        <v>132.2304177</v>
      </c>
      <c r="AF188">
        <v>138.0965205</v>
      </c>
      <c r="AG188">
        <v>120.775215</v>
      </c>
      <c r="AH188">
        <v>88.440439310000002</v>
      </c>
      <c r="AI188">
        <v>100</v>
      </c>
      <c r="AJ188">
        <v>0</v>
      </c>
      <c r="AK188">
        <v>0</v>
      </c>
      <c r="AL188">
        <v>1.013409818</v>
      </c>
      <c r="AM188">
        <v>1.0150364000000001</v>
      </c>
      <c r="AN188">
        <v>0</v>
      </c>
      <c r="AO188">
        <v>0</v>
      </c>
      <c r="AP188">
        <v>1</v>
      </c>
      <c r="AQ188">
        <v>0</v>
      </c>
      <c r="AR188">
        <v>48.996000000000002</v>
      </c>
      <c r="AS188">
        <v>67.665000000000006</v>
      </c>
      <c r="AT188">
        <v>147.74700000000001</v>
      </c>
      <c r="AU188">
        <v>324.89100000000002</v>
      </c>
      <c r="AV188">
        <v>0</v>
      </c>
    </row>
    <row r="189" spans="1:48">
      <c r="A189">
        <v>188</v>
      </c>
      <c r="B189">
        <v>7.9841720020000002</v>
      </c>
      <c r="C189">
        <v>34.602679729999998</v>
      </c>
      <c r="D189">
        <v>18.897320270000002</v>
      </c>
      <c r="E189">
        <v>5.9097537979999997</v>
      </c>
      <c r="F189">
        <v>1.046</v>
      </c>
      <c r="G189">
        <v>4.9649999999999999</v>
      </c>
      <c r="H189">
        <v>0.45285147999999997</v>
      </c>
      <c r="I189">
        <v>0</v>
      </c>
      <c r="J189">
        <v>5.8146494960000004</v>
      </c>
      <c r="K189">
        <v>7.9841720020000002</v>
      </c>
      <c r="L189">
        <v>5.8146494960000004</v>
      </c>
      <c r="M189">
        <v>2.1695225059999999</v>
      </c>
      <c r="N189">
        <v>0</v>
      </c>
      <c r="O189">
        <v>5.8146496689999996</v>
      </c>
      <c r="P189">
        <v>0.32274744799999999</v>
      </c>
      <c r="Q189">
        <v>0.32274744799999999</v>
      </c>
      <c r="R189">
        <v>0</v>
      </c>
      <c r="S189">
        <v>0</v>
      </c>
      <c r="T189" s="15">
        <v>0.45376509399999998</v>
      </c>
      <c r="U189">
        <v>26.660581830000002</v>
      </c>
      <c r="V189">
        <v>0</v>
      </c>
      <c r="W189">
        <v>0</v>
      </c>
      <c r="X189">
        <v>6.1810769609999996</v>
      </c>
      <c r="Y189">
        <v>6.1810769609999996</v>
      </c>
      <c r="Z189">
        <v>1</v>
      </c>
      <c r="AA189">
        <v>0.75</v>
      </c>
      <c r="AB189">
        <v>99.15</v>
      </c>
      <c r="AC189">
        <v>0</v>
      </c>
      <c r="AD189" s="15">
        <v>3.7100000000000001E-2</v>
      </c>
      <c r="AE189">
        <v>126.4660525</v>
      </c>
      <c r="AF189">
        <v>132.2304177</v>
      </c>
      <c r="AG189">
        <v>122.3613235</v>
      </c>
      <c r="AH189">
        <v>89.573373889999999</v>
      </c>
      <c r="AI189">
        <v>100</v>
      </c>
      <c r="AJ189">
        <v>0</v>
      </c>
      <c r="AK189">
        <v>0</v>
      </c>
      <c r="AL189">
        <v>1.00670378</v>
      </c>
      <c r="AM189">
        <v>1.0076089029999999</v>
      </c>
      <c r="AN189">
        <v>0</v>
      </c>
      <c r="AO189">
        <v>0</v>
      </c>
      <c r="AP189">
        <v>1</v>
      </c>
      <c r="AQ189">
        <v>0</v>
      </c>
      <c r="AR189">
        <v>48.996000000000002</v>
      </c>
      <c r="AS189">
        <v>67.665000000000006</v>
      </c>
      <c r="AT189">
        <v>147.74700000000001</v>
      </c>
      <c r="AU189">
        <v>324.89100000000002</v>
      </c>
      <c r="AV189">
        <v>0</v>
      </c>
    </row>
    <row r="190" spans="1:48">
      <c r="A190">
        <v>189</v>
      </c>
      <c r="B190">
        <v>26.62565781</v>
      </c>
      <c r="C190">
        <v>31.984715430000001</v>
      </c>
      <c r="D190">
        <v>17.389511330000001</v>
      </c>
      <c r="E190">
        <v>4.3089130679999998</v>
      </c>
      <c r="F190">
        <v>1.046</v>
      </c>
      <c r="G190">
        <v>4.9550000000000001</v>
      </c>
      <c r="H190">
        <v>0.439847025</v>
      </c>
      <c r="I190">
        <v>0</v>
      </c>
      <c r="J190">
        <v>23.951277059999999</v>
      </c>
      <c r="K190">
        <v>26.62565781</v>
      </c>
      <c r="L190">
        <v>21.50742443</v>
      </c>
      <c r="M190">
        <v>2.6743807500000001</v>
      </c>
      <c r="N190">
        <v>2.4438526290000002</v>
      </c>
      <c r="O190">
        <v>21.507425080000001</v>
      </c>
      <c r="P190">
        <v>0.155279318</v>
      </c>
      <c r="Q190">
        <v>0.155279318</v>
      </c>
      <c r="R190">
        <v>0</v>
      </c>
      <c r="S190">
        <v>0</v>
      </c>
      <c r="T190" s="15">
        <v>12.94869231</v>
      </c>
      <c r="U190">
        <v>35.064035279999999</v>
      </c>
      <c r="V190">
        <v>0</v>
      </c>
      <c r="W190">
        <v>0</v>
      </c>
      <c r="X190">
        <v>4.5067480040000003</v>
      </c>
      <c r="Y190">
        <v>4.5067480040000003</v>
      </c>
      <c r="Z190">
        <v>1</v>
      </c>
      <c r="AA190">
        <v>0.75</v>
      </c>
      <c r="AB190">
        <v>99.15</v>
      </c>
      <c r="AC190">
        <v>0</v>
      </c>
      <c r="AD190" s="15">
        <v>3.4200000000000001E-2</v>
      </c>
      <c r="AE190">
        <v>134.87378649999999</v>
      </c>
      <c r="AF190">
        <v>126.4660525</v>
      </c>
      <c r="AG190">
        <v>123.0903194</v>
      </c>
      <c r="AH190">
        <v>90.094085269999994</v>
      </c>
      <c r="AI190">
        <v>100</v>
      </c>
      <c r="AJ190">
        <v>0</v>
      </c>
      <c r="AK190">
        <v>0</v>
      </c>
      <c r="AL190">
        <v>1.0033513249999999</v>
      </c>
      <c r="AM190">
        <v>1.0038503510000001</v>
      </c>
      <c r="AN190">
        <v>0</v>
      </c>
      <c r="AO190">
        <v>0</v>
      </c>
      <c r="AP190">
        <v>1</v>
      </c>
      <c r="AQ190">
        <v>0</v>
      </c>
      <c r="AR190">
        <v>48.996000000000002</v>
      </c>
      <c r="AS190">
        <v>67.665000000000006</v>
      </c>
      <c r="AT190">
        <v>147.74700000000001</v>
      </c>
      <c r="AU190">
        <v>324.89100000000002</v>
      </c>
      <c r="AV190">
        <v>0</v>
      </c>
    </row>
    <row r="191" spans="1:48">
      <c r="A191">
        <v>190</v>
      </c>
      <c r="B191">
        <v>0</v>
      </c>
      <c r="C191">
        <v>31.564055199999999</v>
      </c>
      <c r="D191">
        <v>14.668851099999999</v>
      </c>
      <c r="E191">
        <v>6.189913421</v>
      </c>
      <c r="F191">
        <v>1.046</v>
      </c>
      <c r="G191">
        <v>4.9450000000000003</v>
      </c>
      <c r="H191">
        <v>0.51351890700000002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0.48900844599999999</v>
      </c>
      <c r="Q191">
        <v>0.48900844599999999</v>
      </c>
      <c r="R191">
        <v>0</v>
      </c>
      <c r="S191">
        <v>0</v>
      </c>
      <c r="T191" s="15">
        <v>6.0979857439999998</v>
      </c>
      <c r="U191">
        <v>28.47704109</v>
      </c>
      <c r="V191">
        <v>0</v>
      </c>
      <c r="W191">
        <v>0</v>
      </c>
      <c r="X191">
        <v>6.4741226999999997</v>
      </c>
      <c r="Y191">
        <v>6.4741226999999997</v>
      </c>
      <c r="Z191">
        <v>1</v>
      </c>
      <c r="AA191">
        <v>0.75</v>
      </c>
      <c r="AB191">
        <v>99.15</v>
      </c>
      <c r="AC191">
        <v>0</v>
      </c>
      <c r="AD191" s="15">
        <v>6.8599999999999994E-2</v>
      </c>
      <c r="AE191">
        <v>134.4290733</v>
      </c>
      <c r="AF191">
        <v>134.87378649999999</v>
      </c>
      <c r="AG191">
        <v>118.9604652</v>
      </c>
      <c r="AH191">
        <v>87.144189449999999</v>
      </c>
      <c r="AI191">
        <v>100</v>
      </c>
      <c r="AJ191">
        <v>0</v>
      </c>
      <c r="AK191">
        <v>0</v>
      </c>
      <c r="AL191">
        <v>1.0016753810000001</v>
      </c>
      <c r="AM191">
        <v>1.001948402</v>
      </c>
      <c r="AN191">
        <v>0</v>
      </c>
      <c r="AO191">
        <v>0</v>
      </c>
      <c r="AP191">
        <v>1</v>
      </c>
      <c r="AQ191">
        <v>0</v>
      </c>
      <c r="AR191">
        <v>48.996000000000002</v>
      </c>
      <c r="AS191">
        <v>67.665000000000006</v>
      </c>
      <c r="AT191">
        <v>147.74700000000001</v>
      </c>
      <c r="AU191">
        <v>324.89100000000002</v>
      </c>
      <c r="AV191">
        <v>0</v>
      </c>
    </row>
    <row r="192" spans="1:48">
      <c r="A192">
        <v>191</v>
      </c>
      <c r="B192">
        <v>0.81995939900000003</v>
      </c>
      <c r="C192">
        <v>32.592675900000003</v>
      </c>
      <c r="D192">
        <v>14.5688511</v>
      </c>
      <c r="E192">
        <v>5.7015806859999998</v>
      </c>
      <c r="F192">
        <v>1.046</v>
      </c>
      <c r="G192">
        <v>4.9349999999999996</v>
      </c>
      <c r="H192">
        <v>0.42147475600000001</v>
      </c>
      <c r="I192">
        <v>0</v>
      </c>
      <c r="J192">
        <v>0.17782085</v>
      </c>
      <c r="K192">
        <v>0.81995939900000003</v>
      </c>
      <c r="L192">
        <v>0.17782085</v>
      </c>
      <c r="M192">
        <v>0.64213854800000003</v>
      </c>
      <c r="N192">
        <v>0</v>
      </c>
      <c r="O192">
        <v>0.177820856</v>
      </c>
      <c r="P192">
        <v>0.35000938100000001</v>
      </c>
      <c r="Q192">
        <v>0.35000938100000001</v>
      </c>
      <c r="R192">
        <v>0</v>
      </c>
      <c r="S192">
        <v>0</v>
      </c>
      <c r="T192">
        <v>1.5810272780000001</v>
      </c>
      <c r="U192">
        <v>26.723825290000001</v>
      </c>
      <c r="V192">
        <v>0</v>
      </c>
      <c r="W192">
        <v>0</v>
      </c>
      <c r="X192">
        <v>5.9633796769999998</v>
      </c>
      <c r="Y192">
        <v>5.9633796769999998</v>
      </c>
      <c r="Z192">
        <v>1</v>
      </c>
      <c r="AA192">
        <v>0.75</v>
      </c>
      <c r="AB192">
        <v>99.15</v>
      </c>
      <c r="AC192">
        <v>0</v>
      </c>
      <c r="AD192" s="15">
        <v>4.9599999999999998E-2</v>
      </c>
      <c r="AE192">
        <v>129.99709730000001</v>
      </c>
      <c r="AF192">
        <v>134.4290733</v>
      </c>
      <c r="AG192">
        <v>124.120221</v>
      </c>
      <c r="AH192">
        <v>90.829729299999997</v>
      </c>
      <c r="AI192">
        <v>100</v>
      </c>
      <c r="AJ192">
        <v>0</v>
      </c>
      <c r="AK192">
        <v>0</v>
      </c>
      <c r="AL192">
        <v>1.0008375490000001</v>
      </c>
      <c r="AM192">
        <v>1.0009859539999999</v>
      </c>
      <c r="AN192">
        <v>0</v>
      </c>
      <c r="AO192">
        <v>0</v>
      </c>
      <c r="AP192">
        <v>1</v>
      </c>
      <c r="AQ192">
        <v>0</v>
      </c>
      <c r="AR192">
        <v>48.996000000000002</v>
      </c>
      <c r="AS192">
        <v>67.665000000000006</v>
      </c>
      <c r="AT192">
        <v>147.74700000000001</v>
      </c>
      <c r="AU192">
        <v>324.89100000000002</v>
      </c>
      <c r="AV192">
        <v>0</v>
      </c>
    </row>
    <row r="193" spans="1:48">
      <c r="A193">
        <v>192</v>
      </c>
      <c r="B193">
        <v>0</v>
      </c>
      <c r="C193">
        <v>32.738750590000002</v>
      </c>
      <c r="D193">
        <v>17.653925300000001</v>
      </c>
      <c r="E193">
        <v>6.0343173319999996</v>
      </c>
      <c r="F193">
        <v>1.046</v>
      </c>
      <c r="G193">
        <v>4.9240000000000004</v>
      </c>
      <c r="H193">
        <v>0.44746443899999999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0.41299450100000001</v>
      </c>
      <c r="Q193">
        <v>0.41299450100000001</v>
      </c>
      <c r="R193">
        <v>0</v>
      </c>
      <c r="S193">
        <v>0</v>
      </c>
      <c r="T193">
        <v>0.85959179799999996</v>
      </c>
      <c r="U193">
        <v>25.45123899</v>
      </c>
      <c r="V193">
        <v>0</v>
      </c>
      <c r="W193">
        <v>0</v>
      </c>
      <c r="X193">
        <v>6.3114070299999998</v>
      </c>
      <c r="Y193">
        <v>6.3114070299999998</v>
      </c>
      <c r="Z193">
        <v>1</v>
      </c>
      <c r="AA193">
        <v>0.75</v>
      </c>
      <c r="AB193">
        <v>99.15</v>
      </c>
      <c r="AC193">
        <v>0</v>
      </c>
      <c r="AD193" s="15">
        <v>2.9899999999999999E-2</v>
      </c>
      <c r="AE193">
        <v>124.5153882</v>
      </c>
      <c r="AF193">
        <v>129.99709730000001</v>
      </c>
      <c r="AG193">
        <v>122.663307</v>
      </c>
      <c r="AH193">
        <v>89.789076399999999</v>
      </c>
      <c r="AI193">
        <v>100</v>
      </c>
      <c r="AJ193">
        <v>0</v>
      </c>
      <c r="AK193">
        <v>0</v>
      </c>
      <c r="AL193">
        <v>1.0004187040000001</v>
      </c>
      <c r="AM193">
        <v>1.000498925</v>
      </c>
      <c r="AN193">
        <v>0</v>
      </c>
      <c r="AO193">
        <v>0</v>
      </c>
      <c r="AP193">
        <v>1</v>
      </c>
      <c r="AQ193">
        <v>0</v>
      </c>
      <c r="AR193">
        <v>48.996000000000002</v>
      </c>
      <c r="AS193">
        <v>67.665000000000006</v>
      </c>
      <c r="AT193">
        <v>147.74700000000001</v>
      </c>
      <c r="AU193">
        <v>324.89100000000002</v>
      </c>
      <c r="AV193">
        <v>0</v>
      </c>
    </row>
    <row r="194" spans="1:48">
      <c r="A194">
        <v>193</v>
      </c>
      <c r="B194">
        <v>0</v>
      </c>
      <c r="C194">
        <v>32.274543870000002</v>
      </c>
      <c r="D194">
        <v>17.948190870000001</v>
      </c>
      <c r="E194">
        <v>5.3026809180000001</v>
      </c>
      <c r="F194">
        <v>1.046</v>
      </c>
      <c r="G194">
        <v>4.9139999999999997</v>
      </c>
      <c r="H194">
        <v>0.43102393999999999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0.19733319499999999</v>
      </c>
      <c r="Q194">
        <v>0.19733319499999999</v>
      </c>
      <c r="R194">
        <v>0</v>
      </c>
      <c r="S194">
        <v>0</v>
      </c>
      <c r="T194">
        <v>0.55442686500000005</v>
      </c>
      <c r="U194">
        <v>24.699478930000001</v>
      </c>
      <c r="V194">
        <v>0</v>
      </c>
      <c r="W194">
        <v>0</v>
      </c>
      <c r="X194">
        <v>5.546185833</v>
      </c>
      <c r="Y194">
        <v>5.546185833</v>
      </c>
      <c r="Z194">
        <v>1</v>
      </c>
      <c r="AA194">
        <v>0.75</v>
      </c>
      <c r="AB194">
        <v>99.15</v>
      </c>
      <c r="AC194">
        <v>0</v>
      </c>
      <c r="AD194" s="15">
        <v>1.67E-2</v>
      </c>
      <c r="AE194">
        <v>119.5069561</v>
      </c>
      <c r="AF194">
        <v>124.5153882</v>
      </c>
      <c r="AG194">
        <v>123.58491859999999</v>
      </c>
      <c r="AH194">
        <v>90.447370410000005</v>
      </c>
      <c r="AI194">
        <v>100</v>
      </c>
      <c r="AJ194">
        <v>0</v>
      </c>
      <c r="AK194">
        <v>0</v>
      </c>
      <c r="AL194">
        <v>1.0002093169999999</v>
      </c>
      <c r="AM194">
        <v>1.0002524719999999</v>
      </c>
      <c r="AN194">
        <v>0</v>
      </c>
      <c r="AO194">
        <v>0</v>
      </c>
      <c r="AP194">
        <v>1</v>
      </c>
      <c r="AQ194">
        <v>0</v>
      </c>
      <c r="AR194">
        <v>48.996000000000002</v>
      </c>
      <c r="AS194">
        <v>67.665000000000006</v>
      </c>
      <c r="AT194">
        <v>147.74700000000001</v>
      </c>
      <c r="AU194">
        <v>324.89100000000002</v>
      </c>
      <c r="AV194">
        <v>0</v>
      </c>
    </row>
    <row r="195" spans="1:48">
      <c r="A195">
        <v>194</v>
      </c>
      <c r="B195" s="15">
        <v>0</v>
      </c>
      <c r="C195">
        <v>29.156605030000001</v>
      </c>
      <c r="D195">
        <v>16.215284570000001</v>
      </c>
      <c r="E195">
        <v>5.0239775949999999</v>
      </c>
      <c r="F195">
        <v>1.046</v>
      </c>
      <c r="G195">
        <v>4.9039999999999999</v>
      </c>
      <c r="H195">
        <v>0.47025924000000002</v>
      </c>
      <c r="I195">
        <v>198</v>
      </c>
      <c r="J195" s="15">
        <v>0</v>
      </c>
      <c r="K195" s="15">
        <v>198</v>
      </c>
      <c r="L195" s="15">
        <v>0</v>
      </c>
      <c r="M195" s="15">
        <v>0</v>
      </c>
      <c r="N195">
        <v>0</v>
      </c>
      <c r="O195" s="15">
        <v>0</v>
      </c>
      <c r="P195">
        <v>0.421953731</v>
      </c>
      <c r="Q195">
        <v>0.421953731</v>
      </c>
      <c r="R195">
        <v>0</v>
      </c>
      <c r="S195">
        <v>0</v>
      </c>
      <c r="T195">
        <v>194.82813949999999</v>
      </c>
      <c r="U195">
        <v>27.449385679999999</v>
      </c>
      <c r="V195">
        <v>0</v>
      </c>
      <c r="W195">
        <v>0</v>
      </c>
      <c r="X195">
        <v>5.2546949859999996</v>
      </c>
      <c r="Y195">
        <v>5.2546949859999996</v>
      </c>
      <c r="Z195">
        <v>1</v>
      </c>
      <c r="AA195">
        <v>0.75</v>
      </c>
      <c r="AB195">
        <v>99.15</v>
      </c>
      <c r="AC195">
        <v>0</v>
      </c>
      <c r="AD195">
        <v>98.300018620000003</v>
      </c>
      <c r="AE195">
        <v>210.780382</v>
      </c>
      <c r="AF195">
        <v>119.5069561</v>
      </c>
      <c r="AG195">
        <v>121.38548969999999</v>
      </c>
      <c r="AH195">
        <v>88.876349790000006</v>
      </c>
      <c r="AI195">
        <v>100</v>
      </c>
      <c r="AJ195">
        <v>0</v>
      </c>
      <c r="AK195">
        <v>0</v>
      </c>
      <c r="AL195">
        <v>7.8762411620000004</v>
      </c>
      <c r="AM195">
        <v>7.9109861300000004</v>
      </c>
      <c r="AN195">
        <v>22</v>
      </c>
      <c r="AO195">
        <v>0</v>
      </c>
      <c r="AP195">
        <v>1</v>
      </c>
      <c r="AQ195">
        <v>0</v>
      </c>
      <c r="AR195">
        <v>48.996000000000002</v>
      </c>
      <c r="AS195">
        <v>67.665000000000006</v>
      </c>
      <c r="AT195">
        <v>147.74700000000001</v>
      </c>
      <c r="AU195">
        <v>324.89100000000002</v>
      </c>
      <c r="AV195">
        <v>0</v>
      </c>
    </row>
    <row r="196" spans="1:48">
      <c r="A196">
        <v>195</v>
      </c>
      <c r="B196">
        <v>0.39092781300000001</v>
      </c>
      <c r="C196">
        <v>25.28201949</v>
      </c>
      <c r="D196">
        <v>14.5688511</v>
      </c>
      <c r="E196">
        <v>4.2976466909999997</v>
      </c>
      <c r="F196">
        <v>1.046</v>
      </c>
      <c r="G196">
        <v>4.8940000000000001</v>
      </c>
      <c r="H196">
        <v>0.47293405199999999</v>
      </c>
      <c r="I196">
        <v>0</v>
      </c>
      <c r="J196" s="15">
        <v>4.5900000000000003E-2</v>
      </c>
      <c r="K196">
        <v>0.39092781300000001</v>
      </c>
      <c r="L196" s="15">
        <v>4.5900000000000003E-2</v>
      </c>
      <c r="M196">
        <v>0.34499769600000002</v>
      </c>
      <c r="N196">
        <v>0</v>
      </c>
      <c r="O196" s="15">
        <v>4.5900000000000003E-2</v>
      </c>
      <c r="P196">
        <v>0.138449035</v>
      </c>
      <c r="Q196">
        <v>0.138449035</v>
      </c>
      <c r="R196">
        <v>0</v>
      </c>
      <c r="S196">
        <v>0</v>
      </c>
      <c r="T196" s="15">
        <v>3.1469870879999999</v>
      </c>
      <c r="U196">
        <v>24.20987968</v>
      </c>
      <c r="V196">
        <v>0</v>
      </c>
      <c r="W196">
        <v>0</v>
      </c>
      <c r="X196">
        <v>4.4950180279999996</v>
      </c>
      <c r="Y196">
        <v>4.4950180279999996</v>
      </c>
      <c r="Z196">
        <v>1</v>
      </c>
      <c r="AA196">
        <v>0.75</v>
      </c>
      <c r="AB196">
        <v>99.15</v>
      </c>
      <c r="AC196">
        <v>0</v>
      </c>
      <c r="AD196">
        <v>25.197789780000001</v>
      </c>
      <c r="AE196">
        <v>184.2345613</v>
      </c>
      <c r="AF196">
        <v>210.780382</v>
      </c>
      <c r="AG196">
        <v>121.2355467</v>
      </c>
      <c r="AH196">
        <v>88.769247629999995</v>
      </c>
      <c r="AI196">
        <v>100</v>
      </c>
      <c r="AJ196">
        <v>0</v>
      </c>
      <c r="AK196">
        <v>0</v>
      </c>
      <c r="AL196">
        <v>4.437541607</v>
      </c>
      <c r="AM196">
        <v>4.4971819379999998</v>
      </c>
      <c r="AN196">
        <v>0</v>
      </c>
      <c r="AO196">
        <v>0</v>
      </c>
      <c r="AP196">
        <v>1</v>
      </c>
      <c r="AQ196">
        <v>0</v>
      </c>
      <c r="AR196">
        <v>48.996000000000002</v>
      </c>
      <c r="AS196">
        <v>67.665000000000006</v>
      </c>
      <c r="AT196">
        <v>147.74700000000001</v>
      </c>
      <c r="AU196">
        <v>324.89100000000002</v>
      </c>
      <c r="AV196">
        <v>0</v>
      </c>
    </row>
    <row r="197" spans="1:48">
      <c r="A197">
        <v>196</v>
      </c>
      <c r="B197">
        <v>0</v>
      </c>
      <c r="C197">
        <v>27.756605029999999</v>
      </c>
      <c r="D197">
        <v>16.62545613</v>
      </c>
      <c r="E197">
        <v>3.9719858989999999</v>
      </c>
      <c r="F197">
        <v>1.046</v>
      </c>
      <c r="G197">
        <v>4.8840000000000003</v>
      </c>
      <c r="H197">
        <v>0.51466131699999995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0.123186621</v>
      </c>
      <c r="Q197">
        <v>0.123186621</v>
      </c>
      <c r="R197">
        <v>0</v>
      </c>
      <c r="S197">
        <v>0</v>
      </c>
      <c r="T197" s="15">
        <v>0.80841734600000004</v>
      </c>
      <c r="U197">
        <v>23.278275709999999</v>
      </c>
      <c r="V197">
        <v>0</v>
      </c>
      <c r="W197">
        <v>0</v>
      </c>
      <c r="X197">
        <v>4.1544099430000001</v>
      </c>
      <c r="Y197">
        <v>4.1544099430000001</v>
      </c>
      <c r="Z197">
        <v>1</v>
      </c>
      <c r="AA197">
        <v>0.75</v>
      </c>
      <c r="AB197">
        <v>99.15</v>
      </c>
      <c r="AC197">
        <v>0</v>
      </c>
      <c r="AD197">
        <v>5.7379971940000001</v>
      </c>
      <c r="AE197">
        <v>175.15057150000001</v>
      </c>
      <c r="AF197">
        <v>184.2345613</v>
      </c>
      <c r="AG197">
        <v>118.8964247</v>
      </c>
      <c r="AH197">
        <v>87.098446199999998</v>
      </c>
      <c r="AI197">
        <v>100</v>
      </c>
      <c r="AJ197">
        <v>0</v>
      </c>
      <c r="AK197">
        <v>0</v>
      </c>
      <c r="AL197">
        <v>2.7184813650000001</v>
      </c>
      <c r="AM197">
        <v>2.769686884</v>
      </c>
      <c r="AN197">
        <v>0</v>
      </c>
      <c r="AO197">
        <v>0</v>
      </c>
      <c r="AP197">
        <v>1</v>
      </c>
      <c r="AQ197">
        <v>0</v>
      </c>
      <c r="AR197">
        <v>48.996000000000002</v>
      </c>
      <c r="AS197">
        <v>67.665000000000006</v>
      </c>
      <c r="AT197">
        <v>147.74700000000001</v>
      </c>
      <c r="AU197">
        <v>324.89100000000002</v>
      </c>
      <c r="AV197">
        <v>0</v>
      </c>
    </row>
    <row r="198" spans="1:48">
      <c r="A198">
        <v>197</v>
      </c>
      <c r="B198">
        <v>13.33774753</v>
      </c>
      <c r="C198">
        <v>29.91798051</v>
      </c>
      <c r="D198">
        <v>16.17201567</v>
      </c>
      <c r="E198">
        <v>4.9105167060000001</v>
      </c>
      <c r="F198">
        <v>1.046</v>
      </c>
      <c r="G198">
        <v>4.8730000000000002</v>
      </c>
      <c r="H198">
        <v>0.52889613700000004</v>
      </c>
      <c r="I198">
        <v>0</v>
      </c>
      <c r="J198">
        <v>10.93964205</v>
      </c>
      <c r="K198">
        <v>13.33774753</v>
      </c>
      <c r="L198">
        <v>10.915074349999999</v>
      </c>
      <c r="M198">
        <v>2.3981054789999998</v>
      </c>
      <c r="N198" s="15">
        <v>2.46E-2</v>
      </c>
      <c r="O198">
        <v>10.91507468</v>
      </c>
      <c r="P198">
        <v>0.205517333</v>
      </c>
      <c r="Q198">
        <v>0.205517333</v>
      </c>
      <c r="R198">
        <v>0</v>
      </c>
      <c r="S198">
        <v>0</v>
      </c>
      <c r="T198" s="15">
        <v>3.6927511669999999</v>
      </c>
      <c r="U198">
        <v>30.295081889999999</v>
      </c>
      <c r="V198">
        <v>0</v>
      </c>
      <c r="W198">
        <v>0</v>
      </c>
      <c r="X198">
        <v>5.1360562959999996</v>
      </c>
      <c r="Y198">
        <v>5.1360562959999996</v>
      </c>
      <c r="Z198">
        <v>1</v>
      </c>
      <c r="AA198">
        <v>0.75</v>
      </c>
      <c r="AB198">
        <v>99.15</v>
      </c>
      <c r="AC198">
        <v>0</v>
      </c>
      <c r="AD198">
        <v>2.4561189699999999</v>
      </c>
      <c r="AE198">
        <v>171.25114740000001</v>
      </c>
      <c r="AF198">
        <v>175.15057150000001</v>
      </c>
      <c r="AG198">
        <v>118.0984577</v>
      </c>
      <c r="AH198">
        <v>86.528469790000003</v>
      </c>
      <c r="AI198">
        <v>100</v>
      </c>
      <c r="AJ198">
        <v>0</v>
      </c>
      <c r="AK198">
        <v>0</v>
      </c>
      <c r="AL198">
        <v>1.859095988</v>
      </c>
      <c r="AM198">
        <v>1.8955186550000001</v>
      </c>
      <c r="AN198">
        <v>0</v>
      </c>
      <c r="AO198">
        <v>0</v>
      </c>
      <c r="AP198">
        <v>1</v>
      </c>
      <c r="AQ198">
        <v>0</v>
      </c>
      <c r="AR198">
        <v>48.996000000000002</v>
      </c>
      <c r="AS198">
        <v>67.665000000000006</v>
      </c>
      <c r="AT198">
        <v>147.74700000000001</v>
      </c>
      <c r="AU198">
        <v>324.89100000000002</v>
      </c>
      <c r="AV198">
        <v>0</v>
      </c>
    </row>
    <row r="199" spans="1:48">
      <c r="A199">
        <v>198</v>
      </c>
      <c r="B199">
        <v>0</v>
      </c>
      <c r="C199">
        <v>31.57666004</v>
      </c>
      <c r="D199">
        <v>17.322734740000001</v>
      </c>
      <c r="E199">
        <v>4.743062836</v>
      </c>
      <c r="F199">
        <v>1.046</v>
      </c>
      <c r="G199">
        <v>4.8630000000000004</v>
      </c>
      <c r="H199">
        <v>0.48633705500000002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0.15215693599999999</v>
      </c>
      <c r="Q199">
        <v>0.15215693599999999</v>
      </c>
      <c r="R199">
        <v>0</v>
      </c>
      <c r="S199">
        <v>0</v>
      </c>
      <c r="T199" s="15">
        <v>3.1951406960000002</v>
      </c>
      <c r="U199">
        <v>26.947784259999999</v>
      </c>
      <c r="V199">
        <v>0</v>
      </c>
      <c r="W199">
        <v>0</v>
      </c>
      <c r="X199">
        <v>4.9609220010000001</v>
      </c>
      <c r="Y199">
        <v>4.9609220010000001</v>
      </c>
      <c r="Z199">
        <v>1</v>
      </c>
      <c r="AA199">
        <v>0.75</v>
      </c>
      <c r="AB199">
        <v>99.15</v>
      </c>
      <c r="AC199">
        <v>0</v>
      </c>
      <c r="AD199">
        <v>1.579729309</v>
      </c>
      <c r="AE199">
        <v>167.9056368</v>
      </c>
      <c r="AF199">
        <v>171.25114740000001</v>
      </c>
      <c r="AG199">
        <v>120.4842092</v>
      </c>
      <c r="AH199">
        <v>88.232577980000002</v>
      </c>
      <c r="AI199">
        <v>100</v>
      </c>
      <c r="AJ199">
        <v>0</v>
      </c>
      <c r="AK199">
        <v>0</v>
      </c>
      <c r="AL199">
        <v>1.429475659</v>
      </c>
      <c r="AM199">
        <v>1.4531613299999999</v>
      </c>
      <c r="AN199">
        <v>0</v>
      </c>
      <c r="AO199">
        <v>0</v>
      </c>
      <c r="AP199">
        <v>1</v>
      </c>
      <c r="AQ199">
        <v>0</v>
      </c>
      <c r="AR199">
        <v>48.996000000000002</v>
      </c>
      <c r="AS199">
        <v>67.665000000000006</v>
      </c>
      <c r="AT199">
        <v>147.74700000000001</v>
      </c>
      <c r="AU199">
        <v>324.89100000000002</v>
      </c>
      <c r="AV199">
        <v>0</v>
      </c>
    </row>
    <row r="200" spans="1:48">
      <c r="A200">
        <v>199</v>
      </c>
      <c r="B200">
        <v>0</v>
      </c>
      <c r="C200">
        <v>33.053925300000003</v>
      </c>
      <c r="D200">
        <v>17.694624340000001</v>
      </c>
      <c r="E200">
        <v>4.8401307859999996</v>
      </c>
      <c r="F200">
        <v>1.046</v>
      </c>
      <c r="G200">
        <v>4.8529999999999998</v>
      </c>
      <c r="H200">
        <v>0.495476843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0.17410546599999999</v>
      </c>
      <c r="Q200">
        <v>0.17410546599999999</v>
      </c>
      <c r="R200">
        <v>0</v>
      </c>
      <c r="S200">
        <v>0</v>
      </c>
      <c r="T200" s="15">
        <v>1.1322118619999999</v>
      </c>
      <c r="U200">
        <v>25.64146693</v>
      </c>
      <c r="V200">
        <v>0</v>
      </c>
      <c r="W200">
        <v>0</v>
      </c>
      <c r="X200">
        <v>5.0624594749999998</v>
      </c>
      <c r="Y200">
        <v>5.0624594749999998</v>
      </c>
      <c r="Z200">
        <v>1</v>
      </c>
      <c r="AA200">
        <v>0.75</v>
      </c>
      <c r="AB200">
        <v>99.15</v>
      </c>
      <c r="AC200">
        <v>0</v>
      </c>
      <c r="AD200">
        <v>0.98425306899999998</v>
      </c>
      <c r="AE200">
        <v>162.99113610000001</v>
      </c>
      <c r="AF200">
        <v>167.9056368</v>
      </c>
      <c r="AG200">
        <v>119.97185639999999</v>
      </c>
      <c r="AH200">
        <v>87.866611739999996</v>
      </c>
      <c r="AI200">
        <v>100</v>
      </c>
      <c r="AJ200">
        <v>0</v>
      </c>
      <c r="AK200">
        <v>0</v>
      </c>
      <c r="AL200">
        <v>1.214701668</v>
      </c>
      <c r="AM200">
        <v>1.2293142530000001</v>
      </c>
      <c r="AN200">
        <v>0</v>
      </c>
      <c r="AO200">
        <v>0</v>
      </c>
      <c r="AP200">
        <v>1</v>
      </c>
      <c r="AQ200">
        <v>0</v>
      </c>
      <c r="AR200">
        <v>48.996000000000002</v>
      </c>
      <c r="AS200">
        <v>67.665000000000006</v>
      </c>
      <c r="AT200">
        <v>147.74700000000001</v>
      </c>
      <c r="AU200">
        <v>324.89100000000002</v>
      </c>
      <c r="AV200">
        <v>0</v>
      </c>
    </row>
    <row r="201" spans="1:48">
      <c r="A201">
        <v>200</v>
      </c>
      <c r="B201">
        <v>0</v>
      </c>
      <c r="C201">
        <v>34.456605029999999</v>
      </c>
      <c r="D201">
        <v>20.002214120000001</v>
      </c>
      <c r="E201">
        <v>6.1998646949999996</v>
      </c>
      <c r="F201">
        <v>1.046</v>
      </c>
      <c r="G201">
        <v>4.843</v>
      </c>
      <c r="H201">
        <v>0.49053740299999998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0.477032662</v>
      </c>
      <c r="Q201">
        <v>0.477032662</v>
      </c>
      <c r="R201">
        <v>0</v>
      </c>
      <c r="S201">
        <v>0</v>
      </c>
      <c r="T201" s="15">
        <v>0.61898325499999995</v>
      </c>
      <c r="U201">
        <v>24.545451010000001</v>
      </c>
      <c r="V201">
        <v>0</v>
      </c>
      <c r="W201">
        <v>0</v>
      </c>
      <c r="X201">
        <v>6.4846660849999997</v>
      </c>
      <c r="Y201">
        <v>6.4846660849999997</v>
      </c>
      <c r="Z201">
        <v>1</v>
      </c>
      <c r="AA201">
        <v>0.75</v>
      </c>
      <c r="AB201">
        <v>99.15</v>
      </c>
      <c r="AC201">
        <v>0</v>
      </c>
      <c r="AD201" s="15">
        <v>0.59289477099999999</v>
      </c>
      <c r="AE201">
        <v>156.53255849999999</v>
      </c>
      <c r="AF201">
        <v>162.99113610000001</v>
      </c>
      <c r="AG201">
        <v>120.2487486</v>
      </c>
      <c r="AH201">
        <v>88.064391860000001</v>
      </c>
      <c r="AI201">
        <v>100</v>
      </c>
      <c r="AJ201">
        <v>0</v>
      </c>
      <c r="AK201">
        <v>0</v>
      </c>
      <c r="AL201">
        <v>1.1073327559999999</v>
      </c>
      <c r="AM201">
        <v>1.1160404100000001</v>
      </c>
      <c r="AN201">
        <v>0</v>
      </c>
      <c r="AO201">
        <v>0</v>
      </c>
      <c r="AP201">
        <v>1</v>
      </c>
      <c r="AQ201">
        <v>0</v>
      </c>
      <c r="AR201">
        <v>48.996000000000002</v>
      </c>
      <c r="AS201">
        <v>67.665000000000006</v>
      </c>
      <c r="AT201">
        <v>147.74700000000001</v>
      </c>
      <c r="AU201">
        <v>324.89100000000002</v>
      </c>
      <c r="AV201">
        <v>0</v>
      </c>
    </row>
    <row r="202" spans="1:48">
      <c r="A202">
        <v>201</v>
      </c>
      <c r="B202">
        <v>0</v>
      </c>
      <c r="C202">
        <v>34.927984330000001</v>
      </c>
      <c r="D202">
        <v>19.804795899999998</v>
      </c>
      <c r="E202">
        <v>6.0783557840000002</v>
      </c>
      <c r="F202">
        <v>1.046</v>
      </c>
      <c r="G202">
        <v>4.8330000000000002</v>
      </c>
      <c r="H202">
        <v>0.42153205199999999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0.344742365</v>
      </c>
      <c r="Q202">
        <v>0.344742365</v>
      </c>
      <c r="R202">
        <v>0</v>
      </c>
      <c r="S202">
        <v>0</v>
      </c>
      <c r="T202" s="15">
        <v>0.38852796499999998</v>
      </c>
      <c r="U202">
        <v>23.812180680000001</v>
      </c>
      <c r="V202">
        <v>0</v>
      </c>
      <c r="W202">
        <v>0</v>
      </c>
      <c r="X202">
        <v>6.3575892520000004</v>
      </c>
      <c r="Y202">
        <v>6.3575892520000004</v>
      </c>
      <c r="Z202">
        <v>1</v>
      </c>
      <c r="AA202">
        <v>0.75</v>
      </c>
      <c r="AB202">
        <v>99.15</v>
      </c>
      <c r="AC202">
        <v>0</v>
      </c>
      <c r="AD202" s="15">
        <v>0.343240669</v>
      </c>
      <c r="AE202">
        <v>150.2202565</v>
      </c>
      <c r="AF202">
        <v>156.53255849999999</v>
      </c>
      <c r="AG202">
        <v>124.1170092</v>
      </c>
      <c r="AH202">
        <v>90.827435109999996</v>
      </c>
      <c r="AI202">
        <v>100</v>
      </c>
      <c r="AJ202">
        <v>0</v>
      </c>
      <c r="AK202">
        <v>0</v>
      </c>
      <c r="AL202">
        <v>1.0536573410000001</v>
      </c>
      <c r="AM202">
        <v>1.0587201909999999</v>
      </c>
      <c r="AN202">
        <v>0</v>
      </c>
      <c r="AO202">
        <v>0</v>
      </c>
      <c r="AP202">
        <v>1</v>
      </c>
      <c r="AQ202">
        <v>0</v>
      </c>
      <c r="AR202">
        <v>48.996000000000002</v>
      </c>
      <c r="AS202">
        <v>67.665000000000006</v>
      </c>
      <c r="AT202">
        <v>147.74700000000001</v>
      </c>
      <c r="AU202">
        <v>324.89100000000002</v>
      </c>
      <c r="AV202">
        <v>0</v>
      </c>
    </row>
    <row r="203" spans="1:48">
      <c r="A203">
        <v>202</v>
      </c>
      <c r="B203">
        <v>0</v>
      </c>
      <c r="C203">
        <v>34.256605030000003</v>
      </c>
      <c r="D203">
        <v>18.81212</v>
      </c>
      <c r="E203">
        <v>5.647692954</v>
      </c>
      <c r="F203">
        <v>1.046</v>
      </c>
      <c r="G203">
        <v>4.8220000000000001</v>
      </c>
      <c r="H203">
        <v>0.43190673699999999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0.24925772900000001</v>
      </c>
      <c r="Q203">
        <v>0.24925772900000001</v>
      </c>
      <c r="R203">
        <v>0</v>
      </c>
      <c r="S203">
        <v>0</v>
      </c>
      <c r="T203" s="15">
        <v>0.28035468099999999</v>
      </c>
      <c r="U203">
        <v>23.282568269999999</v>
      </c>
      <c r="V203">
        <v>0</v>
      </c>
      <c r="W203">
        <v>0</v>
      </c>
      <c r="X203">
        <v>5.9071549860000001</v>
      </c>
      <c r="Y203">
        <v>5.9071549860000001</v>
      </c>
      <c r="Z203">
        <v>1</v>
      </c>
      <c r="AA203">
        <v>0.75</v>
      </c>
      <c r="AB203">
        <v>99.15</v>
      </c>
      <c r="AC203">
        <v>0</v>
      </c>
      <c r="AD203" s="15">
        <v>0.20258562199999999</v>
      </c>
      <c r="AE203">
        <v>144.3908706</v>
      </c>
      <c r="AF203">
        <v>150.2202565</v>
      </c>
      <c r="AG203">
        <v>123.5354313</v>
      </c>
      <c r="AH203">
        <v>90.412022350000001</v>
      </c>
      <c r="AI203">
        <v>100</v>
      </c>
      <c r="AJ203">
        <v>0</v>
      </c>
      <c r="AK203">
        <v>0</v>
      </c>
      <c r="AL203">
        <v>1.0268241520000001</v>
      </c>
      <c r="AM203">
        <v>1.029714311</v>
      </c>
      <c r="AN203">
        <v>0</v>
      </c>
      <c r="AO203">
        <v>0</v>
      </c>
      <c r="AP203">
        <v>1</v>
      </c>
      <c r="AQ203">
        <v>0</v>
      </c>
      <c r="AR203">
        <v>48.996000000000002</v>
      </c>
      <c r="AS203">
        <v>67.665000000000006</v>
      </c>
      <c r="AT203">
        <v>147.74700000000001</v>
      </c>
      <c r="AU203">
        <v>324.89100000000002</v>
      </c>
      <c r="AV203">
        <v>0</v>
      </c>
    </row>
    <row r="204" spans="1:48">
      <c r="A204">
        <v>203</v>
      </c>
      <c r="B204">
        <v>0</v>
      </c>
      <c r="C204">
        <v>33.256605030000003</v>
      </c>
      <c r="D204">
        <v>20.53485474</v>
      </c>
      <c r="E204">
        <v>5.7441533749999998</v>
      </c>
      <c r="F204">
        <v>1.046</v>
      </c>
      <c r="G204">
        <v>4.8120000000000003</v>
      </c>
      <c r="H204">
        <v>0.45374349200000003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0.260256294</v>
      </c>
      <c r="Q204">
        <v>0.260256294</v>
      </c>
      <c r="R204">
        <v>0</v>
      </c>
      <c r="S204">
        <v>0</v>
      </c>
      <c r="T204">
        <v>0.21623052500000001</v>
      </c>
      <c r="U204">
        <v>22.806081450000001</v>
      </c>
      <c r="V204">
        <v>0</v>
      </c>
      <c r="W204">
        <v>0</v>
      </c>
      <c r="X204">
        <v>6.0080598360000002</v>
      </c>
      <c r="Y204">
        <v>6.0080598360000002</v>
      </c>
      <c r="Z204">
        <v>1</v>
      </c>
      <c r="AA204">
        <v>0.75</v>
      </c>
      <c r="AB204">
        <v>99.15</v>
      </c>
      <c r="AC204">
        <v>0</v>
      </c>
      <c r="AD204">
        <v>0.120278577</v>
      </c>
      <c r="AE204">
        <v>138.4787627</v>
      </c>
      <c r="AF204">
        <v>144.3908706</v>
      </c>
      <c r="AG204">
        <v>122.3113195</v>
      </c>
      <c r="AH204">
        <v>89.537656819999995</v>
      </c>
      <c r="AI204">
        <v>100</v>
      </c>
      <c r="AJ204">
        <v>0</v>
      </c>
      <c r="AK204">
        <v>0</v>
      </c>
      <c r="AL204">
        <v>1.013409818</v>
      </c>
      <c r="AM204">
        <v>1.0150364000000001</v>
      </c>
      <c r="AN204">
        <v>0</v>
      </c>
      <c r="AO204">
        <v>0</v>
      </c>
      <c r="AP204">
        <v>1</v>
      </c>
      <c r="AQ204">
        <v>0</v>
      </c>
      <c r="AR204">
        <v>48.996000000000002</v>
      </c>
      <c r="AS204">
        <v>67.665000000000006</v>
      </c>
      <c r="AT204">
        <v>147.74700000000001</v>
      </c>
      <c r="AU204">
        <v>324.89100000000002</v>
      </c>
      <c r="AV204">
        <v>0</v>
      </c>
    </row>
    <row r="205" spans="1:48">
      <c r="A205">
        <v>204</v>
      </c>
      <c r="B205">
        <v>0</v>
      </c>
      <c r="C205">
        <v>33.174543870000001</v>
      </c>
      <c r="D205">
        <v>19.55071907</v>
      </c>
      <c r="E205">
        <v>5.2586216910000001</v>
      </c>
      <c r="F205">
        <v>1.046</v>
      </c>
      <c r="G205">
        <v>4.8019999999999996</v>
      </c>
      <c r="H205">
        <v>0.44926735600000001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0.17441452499999999</v>
      </c>
      <c r="Q205">
        <v>0.17441452499999999</v>
      </c>
      <c r="R205">
        <v>0</v>
      </c>
      <c r="S205">
        <v>0</v>
      </c>
      <c r="T205">
        <v>0.17433636399999999</v>
      </c>
      <c r="U205">
        <v>22.45733057</v>
      </c>
      <c r="V205">
        <v>0</v>
      </c>
      <c r="W205">
        <v>0</v>
      </c>
      <c r="X205">
        <v>5.5002328580000004</v>
      </c>
      <c r="Y205">
        <v>5.5002328580000004</v>
      </c>
      <c r="Z205">
        <v>1</v>
      </c>
      <c r="AA205">
        <v>0.75</v>
      </c>
      <c r="AB205">
        <v>99.15</v>
      </c>
      <c r="AC205">
        <v>0</v>
      </c>
      <c r="AD205" s="15">
        <v>7.0400000000000004E-2</v>
      </c>
      <c r="AE205">
        <v>133.08244429999999</v>
      </c>
      <c r="AF205">
        <v>138.4787627</v>
      </c>
      <c r="AG205">
        <v>122.5622401</v>
      </c>
      <c r="AH205">
        <v>89.7168858</v>
      </c>
      <c r="AI205">
        <v>100</v>
      </c>
      <c r="AJ205">
        <v>0</v>
      </c>
      <c r="AK205">
        <v>0</v>
      </c>
      <c r="AL205">
        <v>1.00670378</v>
      </c>
      <c r="AM205">
        <v>1.0076089029999999</v>
      </c>
      <c r="AN205">
        <v>0</v>
      </c>
      <c r="AO205">
        <v>0</v>
      </c>
      <c r="AP205">
        <v>1</v>
      </c>
      <c r="AQ205">
        <v>0</v>
      </c>
      <c r="AR205">
        <v>48.996000000000002</v>
      </c>
      <c r="AS205">
        <v>67.665000000000006</v>
      </c>
      <c r="AT205">
        <v>147.74700000000001</v>
      </c>
      <c r="AU205">
        <v>324.89100000000002</v>
      </c>
      <c r="AV205">
        <v>0</v>
      </c>
    </row>
    <row r="206" spans="1:48">
      <c r="A206">
        <v>205</v>
      </c>
      <c r="B206">
        <v>0</v>
      </c>
      <c r="C206">
        <v>32.692675899999998</v>
      </c>
      <c r="D206">
        <v>22.0688511</v>
      </c>
      <c r="E206">
        <v>5.1109362689999998</v>
      </c>
      <c r="F206">
        <v>1.046</v>
      </c>
      <c r="G206">
        <v>4.7919999999999998</v>
      </c>
      <c r="H206">
        <v>0.47301410500000002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0.17213489400000001</v>
      </c>
      <c r="Q206">
        <v>0.17213489400000001</v>
      </c>
      <c r="R206">
        <v>0</v>
      </c>
      <c r="S206">
        <v>0</v>
      </c>
      <c r="T206">
        <v>0.14638000700000001</v>
      </c>
      <c r="U206">
        <v>22.138815659999999</v>
      </c>
      <c r="V206">
        <v>0</v>
      </c>
      <c r="W206">
        <v>0</v>
      </c>
      <c r="X206">
        <v>5.3457732030000003</v>
      </c>
      <c r="Y206">
        <v>5.3457732030000003</v>
      </c>
      <c r="Z206">
        <v>1</v>
      </c>
      <c r="AA206">
        <v>0.75</v>
      </c>
      <c r="AB206">
        <v>99.15</v>
      </c>
      <c r="AC206">
        <v>0</v>
      </c>
      <c r="AD206" s="15">
        <v>4.1500000000000002E-2</v>
      </c>
      <c r="AE206">
        <v>127.84158909999999</v>
      </c>
      <c r="AF206">
        <v>133.08244429999999</v>
      </c>
      <c r="AG206">
        <v>121.2310591</v>
      </c>
      <c r="AH206">
        <v>88.766042209999995</v>
      </c>
      <c r="AI206">
        <v>100</v>
      </c>
      <c r="AJ206">
        <v>0</v>
      </c>
      <c r="AK206">
        <v>0</v>
      </c>
      <c r="AL206">
        <v>1.0033513249999999</v>
      </c>
      <c r="AM206">
        <v>1.0038503510000001</v>
      </c>
      <c r="AN206">
        <v>0</v>
      </c>
      <c r="AO206">
        <v>0</v>
      </c>
      <c r="AP206">
        <v>1</v>
      </c>
      <c r="AQ206">
        <v>0</v>
      </c>
      <c r="AR206">
        <v>48.996000000000002</v>
      </c>
      <c r="AS206">
        <v>67.665000000000006</v>
      </c>
      <c r="AT206">
        <v>147.74700000000001</v>
      </c>
      <c r="AU206">
        <v>324.89100000000002</v>
      </c>
      <c r="AV206">
        <v>0</v>
      </c>
    </row>
    <row r="207" spans="1:48">
      <c r="A207">
        <v>206</v>
      </c>
      <c r="B207">
        <v>0</v>
      </c>
      <c r="C207">
        <v>31.666734930000001</v>
      </c>
      <c r="D207">
        <v>20.861249409999999</v>
      </c>
      <c r="E207">
        <v>4.739346276</v>
      </c>
      <c r="F207">
        <v>1.046</v>
      </c>
      <c r="G207">
        <v>4.782</v>
      </c>
      <c r="H207">
        <v>0.47928367700000002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0.18519970699999999</v>
      </c>
      <c r="Q207">
        <v>0.18519970699999999</v>
      </c>
      <c r="R207">
        <v>0</v>
      </c>
      <c r="S207">
        <v>0</v>
      </c>
      <c r="T207">
        <v>0.124017842</v>
      </c>
      <c r="U207">
        <v>21.829598109999999</v>
      </c>
      <c r="V207">
        <v>0</v>
      </c>
      <c r="W207">
        <v>0</v>
      </c>
      <c r="X207">
        <v>4.9571197480000002</v>
      </c>
      <c r="Y207">
        <v>4.9571197480000002</v>
      </c>
      <c r="Z207">
        <v>1</v>
      </c>
      <c r="AA207">
        <v>0.75</v>
      </c>
      <c r="AB207">
        <v>99.15</v>
      </c>
      <c r="AC207">
        <v>0</v>
      </c>
      <c r="AD207" s="15">
        <v>2.4299999999999999E-2</v>
      </c>
      <c r="AE207">
        <v>122.98423680000001</v>
      </c>
      <c r="AF207">
        <v>127.84158909999999</v>
      </c>
      <c r="AG207">
        <v>120.87960320000001</v>
      </c>
      <c r="AH207">
        <v>88.51500231</v>
      </c>
      <c r="AI207">
        <v>100</v>
      </c>
      <c r="AJ207">
        <v>0</v>
      </c>
      <c r="AK207">
        <v>0</v>
      </c>
      <c r="AL207">
        <v>1.0016753810000001</v>
      </c>
      <c r="AM207">
        <v>1.001948402</v>
      </c>
      <c r="AN207">
        <v>0</v>
      </c>
      <c r="AO207">
        <v>0</v>
      </c>
      <c r="AP207">
        <v>1</v>
      </c>
      <c r="AQ207">
        <v>0</v>
      </c>
      <c r="AR207">
        <v>48.996000000000002</v>
      </c>
      <c r="AS207">
        <v>67.665000000000006</v>
      </c>
      <c r="AT207">
        <v>147.74700000000001</v>
      </c>
      <c r="AU207">
        <v>324.89100000000002</v>
      </c>
      <c r="AV207">
        <v>0</v>
      </c>
    </row>
    <row r="208" spans="1:48">
      <c r="A208">
        <v>207</v>
      </c>
      <c r="B208">
        <v>61.04768352</v>
      </c>
      <c r="C208">
        <v>29.6460747</v>
      </c>
      <c r="D208">
        <v>18.6460747</v>
      </c>
      <c r="E208">
        <v>3.8202263150000002</v>
      </c>
      <c r="F208">
        <v>1.046</v>
      </c>
      <c r="G208">
        <v>4.7709999999999999</v>
      </c>
      <c r="H208">
        <v>0.49430722199999999</v>
      </c>
      <c r="I208">
        <v>0</v>
      </c>
      <c r="J208">
        <v>58.313301989999999</v>
      </c>
      <c r="K208">
        <v>61.04768352</v>
      </c>
      <c r="L208">
        <v>47.833519359999997</v>
      </c>
      <c r="M208">
        <v>2.7343815299999998</v>
      </c>
      <c r="N208">
        <v>10.479782630000001</v>
      </c>
      <c r="O208">
        <v>47.833520790000001</v>
      </c>
      <c r="P208" s="15">
        <v>8.43E-2</v>
      </c>
      <c r="Q208" s="15">
        <v>8.43E-2</v>
      </c>
      <c r="R208">
        <v>0</v>
      </c>
      <c r="S208">
        <v>0</v>
      </c>
      <c r="T208">
        <v>31.649921419999998</v>
      </c>
      <c r="U208">
        <v>37.928933919999999</v>
      </c>
      <c r="V208">
        <v>0</v>
      </c>
      <c r="W208">
        <v>0</v>
      </c>
      <c r="X208">
        <v>3.995774328</v>
      </c>
      <c r="Y208">
        <v>3.995774328</v>
      </c>
      <c r="Z208">
        <v>1</v>
      </c>
      <c r="AA208">
        <v>0.75</v>
      </c>
      <c r="AB208">
        <v>99.15</v>
      </c>
      <c r="AC208">
        <v>0</v>
      </c>
      <c r="AD208" s="15">
        <v>6.4399999999999999E-2</v>
      </c>
      <c r="AE208">
        <v>150.57394500000001</v>
      </c>
      <c r="AF208">
        <v>122.98423680000001</v>
      </c>
      <c r="AG208">
        <v>120.0374223</v>
      </c>
      <c r="AH208">
        <v>87.913444530000007</v>
      </c>
      <c r="AI208">
        <v>100</v>
      </c>
      <c r="AJ208">
        <v>0</v>
      </c>
      <c r="AK208">
        <v>0</v>
      </c>
      <c r="AL208">
        <v>1.0008375490000001</v>
      </c>
      <c r="AM208">
        <v>1.0009859539999999</v>
      </c>
      <c r="AN208">
        <v>0</v>
      </c>
      <c r="AO208">
        <v>0</v>
      </c>
      <c r="AP208">
        <v>1</v>
      </c>
      <c r="AQ208">
        <v>0</v>
      </c>
      <c r="AR208">
        <v>48.996000000000002</v>
      </c>
      <c r="AS208">
        <v>67.665000000000006</v>
      </c>
      <c r="AT208">
        <v>147.74700000000001</v>
      </c>
      <c r="AU208">
        <v>324.89100000000002</v>
      </c>
      <c r="AV208">
        <v>0</v>
      </c>
    </row>
    <row r="209" spans="1:48">
      <c r="A209">
        <v>208</v>
      </c>
      <c r="B209">
        <v>0</v>
      </c>
      <c r="C209">
        <v>30.377265260000001</v>
      </c>
      <c r="D209">
        <v>19.897320270000002</v>
      </c>
      <c r="E209">
        <v>4.1354893449999999</v>
      </c>
      <c r="F209">
        <v>1.046</v>
      </c>
      <c r="G209">
        <v>4.7610000000000001</v>
      </c>
      <c r="H209">
        <v>0.53679848399999996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s="15">
        <v>9.5899999999999999E-2</v>
      </c>
      <c r="Q209" s="15">
        <v>9.5899999999999999E-2</v>
      </c>
      <c r="R209">
        <v>0</v>
      </c>
      <c r="S209">
        <v>0</v>
      </c>
      <c r="T209">
        <v>8.8890208919999996</v>
      </c>
      <c r="U209">
        <v>28.94403398</v>
      </c>
      <c r="V209">
        <v>0</v>
      </c>
      <c r="W209">
        <v>0</v>
      </c>
      <c r="X209">
        <v>4.3255331369999999</v>
      </c>
      <c r="Y209">
        <v>4.3255331369999999</v>
      </c>
      <c r="Z209">
        <v>1</v>
      </c>
      <c r="AA209">
        <v>0.75</v>
      </c>
      <c r="AB209">
        <v>99.15</v>
      </c>
      <c r="AC209">
        <v>0</v>
      </c>
      <c r="AD209">
        <v>0.35157248200000002</v>
      </c>
      <c r="AE209">
        <v>154.7858603</v>
      </c>
      <c r="AF209">
        <v>150.57394500000001</v>
      </c>
      <c r="AG209">
        <v>117.6554727</v>
      </c>
      <c r="AH209">
        <v>86.21205191</v>
      </c>
      <c r="AI209">
        <v>100</v>
      </c>
      <c r="AJ209">
        <v>0</v>
      </c>
      <c r="AK209">
        <v>0</v>
      </c>
      <c r="AL209">
        <v>1.0004187040000001</v>
      </c>
      <c r="AM209">
        <v>1.000498925</v>
      </c>
      <c r="AN209">
        <v>0</v>
      </c>
      <c r="AO209">
        <v>0</v>
      </c>
      <c r="AP209">
        <v>1</v>
      </c>
      <c r="AQ209">
        <v>0</v>
      </c>
      <c r="AR209">
        <v>48.996000000000002</v>
      </c>
      <c r="AS209">
        <v>67.665000000000006</v>
      </c>
      <c r="AT209">
        <v>147.74700000000001</v>
      </c>
      <c r="AU209">
        <v>324.89100000000002</v>
      </c>
      <c r="AV209">
        <v>0</v>
      </c>
    </row>
    <row r="210" spans="1:48">
      <c r="A210">
        <v>209</v>
      </c>
      <c r="B210">
        <v>0</v>
      </c>
      <c r="C210">
        <v>30.677265259999999</v>
      </c>
      <c r="D210">
        <v>18.833265069999999</v>
      </c>
      <c r="E210">
        <v>3.998564682</v>
      </c>
      <c r="F210">
        <v>1.046</v>
      </c>
      <c r="G210">
        <v>4.7510000000000003</v>
      </c>
      <c r="H210">
        <v>0.52314351199999998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s="15">
        <v>7.5899999999999995E-2</v>
      </c>
      <c r="Q210" s="15">
        <v>7.5899999999999995E-2</v>
      </c>
      <c r="R210">
        <v>0</v>
      </c>
      <c r="S210">
        <v>0</v>
      </c>
      <c r="T210">
        <v>1.832274363</v>
      </c>
      <c r="U210">
        <v>27.035905570000001</v>
      </c>
      <c r="V210">
        <v>0</v>
      </c>
      <c r="W210">
        <v>0</v>
      </c>
      <c r="X210">
        <v>4.1823244720000003</v>
      </c>
      <c r="Y210">
        <v>4.1823244720000003</v>
      </c>
      <c r="Z210">
        <v>1</v>
      </c>
      <c r="AA210">
        <v>0.75</v>
      </c>
      <c r="AB210">
        <v>99.15</v>
      </c>
      <c r="AC210">
        <v>0</v>
      </c>
      <c r="AD210">
        <v>0.32420576499999998</v>
      </c>
      <c r="AE210">
        <v>152.1116044</v>
      </c>
      <c r="AF210">
        <v>154.7858603</v>
      </c>
      <c r="AG210">
        <v>118.42093490000001</v>
      </c>
      <c r="AH210">
        <v>86.758810639999993</v>
      </c>
      <c r="AI210">
        <v>100</v>
      </c>
      <c r="AJ210">
        <v>0</v>
      </c>
      <c r="AK210">
        <v>0</v>
      </c>
      <c r="AL210">
        <v>1.0002093169999999</v>
      </c>
      <c r="AM210">
        <v>1.0002524719999999</v>
      </c>
      <c r="AN210">
        <v>0</v>
      </c>
      <c r="AO210">
        <v>0</v>
      </c>
      <c r="AP210">
        <v>1</v>
      </c>
      <c r="AQ210">
        <v>0</v>
      </c>
      <c r="AR210">
        <v>48.996000000000002</v>
      </c>
      <c r="AS210">
        <v>67.665000000000006</v>
      </c>
      <c r="AT210">
        <v>147.74700000000001</v>
      </c>
      <c r="AU210">
        <v>324.89100000000002</v>
      </c>
      <c r="AV210">
        <v>0</v>
      </c>
    </row>
    <row r="211" spans="1:48">
      <c r="A211">
        <v>210</v>
      </c>
      <c r="B211">
        <v>0</v>
      </c>
      <c r="C211">
        <v>33.677265259999999</v>
      </c>
      <c r="D211">
        <v>17.597320270000001</v>
      </c>
      <c r="E211">
        <v>5.4553190860000003</v>
      </c>
      <c r="F211">
        <v>1.046</v>
      </c>
      <c r="G211">
        <v>4.7409999999999997</v>
      </c>
      <c r="H211">
        <v>0.52967285900000005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0.270224927</v>
      </c>
      <c r="Q211">
        <v>0.270224927</v>
      </c>
      <c r="R211">
        <v>0</v>
      </c>
      <c r="S211">
        <v>0</v>
      </c>
      <c r="T211" s="15">
        <v>0.98167921899999999</v>
      </c>
      <c r="U211">
        <v>25.78400143</v>
      </c>
      <c r="V211">
        <v>0</v>
      </c>
      <c r="W211">
        <v>0</v>
      </c>
      <c r="X211">
        <v>5.7060371910000001</v>
      </c>
      <c r="Y211">
        <v>5.7060371910000001</v>
      </c>
      <c r="Z211">
        <v>1</v>
      </c>
      <c r="AA211">
        <v>0.75</v>
      </c>
      <c r="AB211">
        <v>99.15</v>
      </c>
      <c r="AC211">
        <v>0</v>
      </c>
      <c r="AD211">
        <v>0.23869363699999999</v>
      </c>
      <c r="AE211">
        <v>147.1485528</v>
      </c>
      <c r="AF211">
        <v>152.1116044</v>
      </c>
      <c r="AG211">
        <v>118.05491670000001</v>
      </c>
      <c r="AH211">
        <v>86.497369059999997</v>
      </c>
      <c r="AI211">
        <v>100</v>
      </c>
      <c r="AJ211">
        <v>0</v>
      </c>
      <c r="AK211">
        <v>0</v>
      </c>
      <c r="AL211">
        <v>1.0001046410000001</v>
      </c>
      <c r="AM211">
        <v>1.0001277589999999</v>
      </c>
      <c r="AN211">
        <v>0</v>
      </c>
      <c r="AO211">
        <v>0</v>
      </c>
      <c r="AP211">
        <v>1</v>
      </c>
      <c r="AQ211">
        <v>0</v>
      </c>
      <c r="AR211">
        <v>48.996000000000002</v>
      </c>
      <c r="AS211">
        <v>67.665000000000006</v>
      </c>
      <c r="AT211">
        <v>147.74700000000001</v>
      </c>
      <c r="AU211">
        <v>324.89100000000002</v>
      </c>
      <c r="AV211">
        <v>0</v>
      </c>
    </row>
    <row r="212" spans="1:48">
      <c r="A212">
        <v>211</v>
      </c>
      <c r="B212">
        <v>0</v>
      </c>
      <c r="C212">
        <v>32.249280929999998</v>
      </c>
      <c r="D212">
        <v>19.13326507</v>
      </c>
      <c r="E212">
        <v>4.710065095</v>
      </c>
      <c r="F212">
        <v>1.046</v>
      </c>
      <c r="G212">
        <v>4.7309999999999999</v>
      </c>
      <c r="H212">
        <v>0.460949516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0.14082787799999999</v>
      </c>
      <c r="Q212">
        <v>0.14082787799999999</v>
      </c>
      <c r="R212">
        <v>0</v>
      </c>
      <c r="S212">
        <v>0</v>
      </c>
      <c r="T212" s="15">
        <v>0.63750952299999997</v>
      </c>
      <c r="U212">
        <v>25.005664029999998</v>
      </c>
      <c r="V212">
        <v>0</v>
      </c>
      <c r="W212">
        <v>0</v>
      </c>
      <c r="X212">
        <v>4.926541812</v>
      </c>
      <c r="Y212">
        <v>4.926541812</v>
      </c>
      <c r="Z212">
        <v>1</v>
      </c>
      <c r="AA212">
        <v>0.75</v>
      </c>
      <c r="AB212">
        <v>99.15</v>
      </c>
      <c r="AC212">
        <v>0</v>
      </c>
      <c r="AD212">
        <v>0.159836172</v>
      </c>
      <c r="AE212">
        <v>142.6996844</v>
      </c>
      <c r="AF212">
        <v>147.1485528</v>
      </c>
      <c r="AG212">
        <v>121.9073686</v>
      </c>
      <c r="AH212">
        <v>89.249120419999997</v>
      </c>
      <c r="AI212">
        <v>100</v>
      </c>
      <c r="AJ212">
        <v>0</v>
      </c>
      <c r="AK212">
        <v>0</v>
      </c>
      <c r="AL212">
        <v>1.000052312</v>
      </c>
      <c r="AM212">
        <v>1.0000646500000001</v>
      </c>
      <c r="AN212">
        <v>0</v>
      </c>
      <c r="AO212">
        <v>0</v>
      </c>
      <c r="AP212">
        <v>1</v>
      </c>
      <c r="AQ212">
        <v>0</v>
      </c>
      <c r="AR212">
        <v>48.996000000000002</v>
      </c>
      <c r="AS212">
        <v>67.665000000000006</v>
      </c>
      <c r="AT212">
        <v>147.74700000000001</v>
      </c>
      <c r="AU212">
        <v>324.89100000000002</v>
      </c>
      <c r="AV212">
        <v>0</v>
      </c>
    </row>
    <row r="213" spans="1:48">
      <c r="A213">
        <v>212</v>
      </c>
      <c r="B213">
        <v>0</v>
      </c>
      <c r="C213">
        <v>33.031148899999998</v>
      </c>
      <c r="D213">
        <v>20.689511329999998</v>
      </c>
      <c r="E213">
        <v>4.7511570929999998</v>
      </c>
      <c r="F213">
        <v>1.046</v>
      </c>
      <c r="G213">
        <v>4.72</v>
      </c>
      <c r="H213">
        <v>0.497305212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0.20864664199999999</v>
      </c>
      <c r="Q213">
        <v>0.20864664199999999</v>
      </c>
      <c r="R213">
        <v>0</v>
      </c>
      <c r="S213">
        <v>0</v>
      </c>
      <c r="T213" s="15">
        <v>0.46210205900000001</v>
      </c>
      <c r="U213">
        <v>24.334915330000001</v>
      </c>
      <c r="V213">
        <v>0</v>
      </c>
      <c r="W213">
        <v>0</v>
      </c>
      <c r="X213">
        <v>4.9695316119999999</v>
      </c>
      <c r="Y213">
        <v>4.9695316119999999</v>
      </c>
      <c r="Z213">
        <v>1</v>
      </c>
      <c r="AA213">
        <v>0.75</v>
      </c>
      <c r="AB213">
        <v>99.15</v>
      </c>
      <c r="AC213">
        <v>0</v>
      </c>
      <c r="AD213">
        <v>0.106949528</v>
      </c>
      <c r="AE213">
        <v>138.08530529999999</v>
      </c>
      <c r="AF213">
        <v>142.6996844</v>
      </c>
      <c r="AG213">
        <v>119.8693628</v>
      </c>
      <c r="AH213">
        <v>87.793401990000007</v>
      </c>
      <c r="AI213">
        <v>100</v>
      </c>
      <c r="AJ213">
        <v>0</v>
      </c>
      <c r="AK213">
        <v>0</v>
      </c>
      <c r="AL213">
        <v>1.0000261509999999</v>
      </c>
      <c r="AM213">
        <v>1.0000327149999999</v>
      </c>
      <c r="AN213">
        <v>0</v>
      </c>
      <c r="AO213">
        <v>0</v>
      </c>
      <c r="AP213">
        <v>1</v>
      </c>
      <c r="AQ213">
        <v>0</v>
      </c>
      <c r="AR213">
        <v>48.996000000000002</v>
      </c>
      <c r="AS213">
        <v>67.665000000000006</v>
      </c>
      <c r="AT213">
        <v>147.74700000000001</v>
      </c>
      <c r="AU213">
        <v>324.89100000000002</v>
      </c>
      <c r="AV213">
        <v>0</v>
      </c>
    </row>
    <row r="214" spans="1:48">
      <c r="A214">
        <v>213</v>
      </c>
      <c r="B214">
        <v>1.970787837</v>
      </c>
      <c r="C214">
        <v>29.295204099999999</v>
      </c>
      <c r="D214">
        <v>16.543394970000001</v>
      </c>
      <c r="E214">
        <v>3.751608246</v>
      </c>
      <c r="F214">
        <v>1.046</v>
      </c>
      <c r="G214">
        <v>4.71</v>
      </c>
      <c r="H214">
        <v>0.49287287000000002</v>
      </c>
      <c r="I214">
        <v>0</v>
      </c>
      <c r="J214">
        <v>0.809709503</v>
      </c>
      <c r="K214">
        <v>1.970787837</v>
      </c>
      <c r="L214">
        <v>0.809709503</v>
      </c>
      <c r="M214">
        <v>1.1610783330000001</v>
      </c>
      <c r="N214">
        <v>0</v>
      </c>
      <c r="O214">
        <v>0.80970952799999996</v>
      </c>
      <c r="P214" s="15">
        <v>9.2100000000000001E-2</v>
      </c>
      <c r="Q214" s="15">
        <v>9.2100000000000001E-2</v>
      </c>
      <c r="R214">
        <v>0</v>
      </c>
      <c r="S214">
        <v>0</v>
      </c>
      <c r="T214" s="15">
        <v>0.42384114299999998</v>
      </c>
      <c r="U214">
        <v>24.62868254</v>
      </c>
      <c r="V214">
        <v>0</v>
      </c>
      <c r="W214">
        <v>0</v>
      </c>
      <c r="X214">
        <v>3.9240481859999998</v>
      </c>
      <c r="Y214">
        <v>3.9240481859999998</v>
      </c>
      <c r="Z214">
        <v>1</v>
      </c>
      <c r="AA214">
        <v>0.75</v>
      </c>
      <c r="AB214">
        <v>99.15</v>
      </c>
      <c r="AC214">
        <v>0</v>
      </c>
      <c r="AD214" s="15">
        <v>7.2400000000000006E-2</v>
      </c>
      <c r="AE214">
        <v>134.5126544</v>
      </c>
      <c r="AF214">
        <v>138.08530529999999</v>
      </c>
      <c r="AG214">
        <v>120.11782839999999</v>
      </c>
      <c r="AH214">
        <v>87.97087741</v>
      </c>
      <c r="AI214">
        <v>100</v>
      </c>
      <c r="AJ214">
        <v>0</v>
      </c>
      <c r="AK214">
        <v>0</v>
      </c>
      <c r="AL214">
        <v>1.0000130730000001</v>
      </c>
      <c r="AM214">
        <v>1.000016555</v>
      </c>
      <c r="AN214">
        <v>0</v>
      </c>
      <c r="AO214">
        <v>0</v>
      </c>
      <c r="AP214">
        <v>1</v>
      </c>
      <c r="AQ214">
        <v>0</v>
      </c>
      <c r="AR214">
        <v>48.996000000000002</v>
      </c>
      <c r="AS214">
        <v>67.665000000000006</v>
      </c>
      <c r="AT214">
        <v>147.74700000000001</v>
      </c>
      <c r="AU214">
        <v>324.89100000000002</v>
      </c>
      <c r="AV214">
        <v>0</v>
      </c>
    </row>
    <row r="215" spans="1:48">
      <c r="A215">
        <v>214</v>
      </c>
      <c r="B215" s="15">
        <v>0</v>
      </c>
      <c r="C215">
        <v>29.569941159999999</v>
      </c>
      <c r="D215">
        <v>15.961249410000001</v>
      </c>
      <c r="E215">
        <v>4.6055696859999999</v>
      </c>
      <c r="F215">
        <v>1.046</v>
      </c>
      <c r="G215">
        <v>4.7</v>
      </c>
      <c r="H215">
        <v>0.53935402499999996</v>
      </c>
      <c r="I215">
        <v>0</v>
      </c>
      <c r="J215" s="15">
        <v>0</v>
      </c>
      <c r="K215" s="15">
        <v>0</v>
      </c>
      <c r="L215" s="15">
        <v>0</v>
      </c>
      <c r="M215" s="15">
        <v>0</v>
      </c>
      <c r="N215">
        <v>0</v>
      </c>
      <c r="O215" s="15">
        <v>0</v>
      </c>
      <c r="P215">
        <v>0.18905789200000001</v>
      </c>
      <c r="Q215">
        <v>0.18905789200000001</v>
      </c>
      <c r="R215">
        <v>0</v>
      </c>
      <c r="S215">
        <v>0</v>
      </c>
      <c r="T215" s="15">
        <v>0.39642161199999998</v>
      </c>
      <c r="U215">
        <v>24.043203030000001</v>
      </c>
      <c r="V215">
        <v>0</v>
      </c>
      <c r="W215">
        <v>0</v>
      </c>
      <c r="X215">
        <v>4.8172697810000003</v>
      </c>
      <c r="Y215">
        <v>4.8172697810000003</v>
      </c>
      <c r="Z215">
        <v>1</v>
      </c>
      <c r="AA215">
        <v>0.75</v>
      </c>
      <c r="AB215">
        <v>99.15</v>
      </c>
      <c r="AC215">
        <v>0</v>
      </c>
      <c r="AD215" s="15">
        <v>4.9299999999999997E-2</v>
      </c>
      <c r="AE215">
        <v>130.04247090000001</v>
      </c>
      <c r="AF215">
        <v>134.5126544</v>
      </c>
      <c r="AG215">
        <v>117.5122157</v>
      </c>
      <c r="AH215">
        <v>86.109725499999996</v>
      </c>
      <c r="AI215">
        <v>100</v>
      </c>
      <c r="AJ215">
        <v>0</v>
      </c>
      <c r="AK215">
        <v>0</v>
      </c>
      <c r="AL215">
        <v>1.0000065359999999</v>
      </c>
      <c r="AM215">
        <v>1.0000083769999999</v>
      </c>
      <c r="AN215">
        <v>0</v>
      </c>
      <c r="AO215">
        <v>0</v>
      </c>
      <c r="AP215">
        <v>1</v>
      </c>
      <c r="AQ215">
        <v>0</v>
      </c>
      <c r="AR215">
        <v>48.996000000000002</v>
      </c>
      <c r="AS215">
        <v>67.665000000000006</v>
      </c>
      <c r="AT215">
        <v>147.74700000000001</v>
      </c>
      <c r="AU215">
        <v>324.89100000000002</v>
      </c>
      <c r="AV215">
        <v>0</v>
      </c>
    </row>
    <row r="216" spans="1:48">
      <c r="A216">
        <v>215</v>
      </c>
      <c r="B216">
        <v>0</v>
      </c>
      <c r="C216">
        <v>29.469941160000001</v>
      </c>
      <c r="D216">
        <v>15.94339497</v>
      </c>
      <c r="E216">
        <v>4.3216550810000003</v>
      </c>
      <c r="F216">
        <v>1.004</v>
      </c>
      <c r="G216">
        <v>4.6520000000000001</v>
      </c>
      <c r="H216">
        <v>0.49974689300000003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0.27757721000000002</v>
      </c>
      <c r="Q216">
        <v>0.27757721000000002</v>
      </c>
      <c r="R216">
        <v>0</v>
      </c>
      <c r="S216">
        <v>0</v>
      </c>
      <c r="T216" s="15">
        <v>0.30163519</v>
      </c>
      <c r="U216">
        <v>23.463990630000001</v>
      </c>
      <c r="V216">
        <v>0</v>
      </c>
      <c r="W216">
        <v>0</v>
      </c>
      <c r="X216">
        <v>4.3388084720000002</v>
      </c>
      <c r="Y216">
        <v>4.3388084720000002</v>
      </c>
      <c r="Z216">
        <v>1</v>
      </c>
      <c r="AA216">
        <v>0.75</v>
      </c>
      <c r="AB216">
        <v>99.15</v>
      </c>
      <c r="AC216">
        <v>0</v>
      </c>
      <c r="AD216" s="15">
        <v>3.1699999999999999E-2</v>
      </c>
      <c r="AE216">
        <v>125.9735512</v>
      </c>
      <c r="AF216">
        <v>130.04247090000001</v>
      </c>
      <c r="AG216">
        <v>119.7324885</v>
      </c>
      <c r="AH216">
        <v>87.695634650000002</v>
      </c>
      <c r="AI216">
        <v>100</v>
      </c>
      <c r="AJ216">
        <v>0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1</v>
      </c>
      <c r="AQ216">
        <v>0</v>
      </c>
      <c r="AR216">
        <v>48.996000000000002</v>
      </c>
      <c r="AS216">
        <v>67.665000000000006</v>
      </c>
      <c r="AT216">
        <v>147.74700000000001</v>
      </c>
      <c r="AU216">
        <v>324.89100000000002</v>
      </c>
      <c r="AV216">
        <v>0</v>
      </c>
    </row>
    <row r="217" spans="1:48">
      <c r="A217">
        <v>216</v>
      </c>
      <c r="B217">
        <v>5.5773755859999996</v>
      </c>
      <c r="C217">
        <v>24.956605029999999</v>
      </c>
      <c r="D217">
        <v>18.78201949</v>
      </c>
      <c r="E217">
        <v>2.3197422410000001</v>
      </c>
      <c r="F217">
        <v>0.96099999999999997</v>
      </c>
      <c r="G217">
        <v>4.6050000000000004</v>
      </c>
      <c r="H217">
        <v>0.51534457199999995</v>
      </c>
      <c r="I217">
        <v>0</v>
      </c>
      <c r="J217">
        <v>3.7297023500000002</v>
      </c>
      <c r="K217">
        <v>5.5773755859999996</v>
      </c>
      <c r="L217">
        <v>3.7297023500000002</v>
      </c>
      <c r="M217">
        <v>1.847673235</v>
      </c>
      <c r="N217">
        <v>0</v>
      </c>
      <c r="O217">
        <v>3.7297024620000001</v>
      </c>
      <c r="P217">
        <v>0.10440223</v>
      </c>
      <c r="Q217">
        <v>0.10440223</v>
      </c>
      <c r="R217">
        <v>0</v>
      </c>
      <c r="S217">
        <v>0</v>
      </c>
      <c r="T217" s="15">
        <v>0.58456375800000004</v>
      </c>
      <c r="U217">
        <v>26.504727110000001</v>
      </c>
      <c r="V217">
        <v>0</v>
      </c>
      <c r="W217">
        <v>0</v>
      </c>
      <c r="X217">
        <v>2.2292075140000001</v>
      </c>
      <c r="Y217">
        <v>2.2292075140000001</v>
      </c>
      <c r="Z217">
        <v>1</v>
      </c>
      <c r="AA217">
        <v>0.75</v>
      </c>
      <c r="AB217">
        <v>99.15</v>
      </c>
      <c r="AC217">
        <v>0</v>
      </c>
      <c r="AD217" s="15">
        <v>2.2800000000000001E-2</v>
      </c>
      <c r="AE217">
        <v>124.30610040000001</v>
      </c>
      <c r="AF217">
        <v>125.9735512</v>
      </c>
      <c r="AG217">
        <v>118.85812319999999</v>
      </c>
      <c r="AH217">
        <v>87.071087980000001</v>
      </c>
      <c r="AI217">
        <v>100</v>
      </c>
      <c r="AJ217">
        <v>0</v>
      </c>
      <c r="AK217">
        <v>0</v>
      </c>
      <c r="AL217">
        <v>1</v>
      </c>
      <c r="AM217">
        <v>1</v>
      </c>
      <c r="AN217">
        <v>0</v>
      </c>
      <c r="AO217">
        <v>0</v>
      </c>
      <c r="AP217">
        <v>1</v>
      </c>
      <c r="AQ217">
        <v>0</v>
      </c>
      <c r="AR217">
        <v>48.996000000000002</v>
      </c>
      <c r="AS217">
        <v>67.665000000000006</v>
      </c>
      <c r="AT217">
        <v>147.74700000000001</v>
      </c>
      <c r="AU217">
        <v>324.89100000000002</v>
      </c>
      <c r="AV217">
        <v>0</v>
      </c>
    </row>
    <row r="218" spans="1:48">
      <c r="A218">
        <v>217</v>
      </c>
      <c r="B218">
        <v>0</v>
      </c>
      <c r="C218">
        <v>31.302679730000001</v>
      </c>
      <c r="D218">
        <v>15.7359448</v>
      </c>
      <c r="E218">
        <v>5.6730619899999999</v>
      </c>
      <c r="F218">
        <v>0.91800000000000004</v>
      </c>
      <c r="G218">
        <v>4.5570000000000004</v>
      </c>
      <c r="H218">
        <v>0.60665560799999996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1.098015089</v>
      </c>
      <c r="Q218">
        <v>1.098015089</v>
      </c>
      <c r="R218">
        <v>0</v>
      </c>
      <c r="S218" s="15">
        <v>0</v>
      </c>
      <c r="T218" s="15">
        <v>0.708531358</v>
      </c>
      <c r="U218">
        <v>24.698180659999998</v>
      </c>
      <c r="V218">
        <v>0</v>
      </c>
      <c r="W218">
        <v>0</v>
      </c>
      <c r="X218">
        <v>5.2077278649999998</v>
      </c>
      <c r="Y218">
        <v>5.2077278649999998</v>
      </c>
      <c r="Z218">
        <v>1</v>
      </c>
      <c r="AA218">
        <v>0.75</v>
      </c>
      <c r="AB218">
        <v>99.15</v>
      </c>
      <c r="AC218">
        <v>0</v>
      </c>
      <c r="AD218" s="15">
        <v>1.67E-2</v>
      </c>
      <c r="AE218">
        <v>119.7901616</v>
      </c>
      <c r="AF218">
        <v>124.30610040000001</v>
      </c>
      <c r="AG218">
        <v>113.7394639</v>
      </c>
      <c r="AH218">
        <v>83.414902810000001</v>
      </c>
      <c r="AI218">
        <v>100</v>
      </c>
      <c r="AJ218">
        <v>0</v>
      </c>
      <c r="AK218">
        <v>0</v>
      </c>
      <c r="AL218">
        <v>1</v>
      </c>
      <c r="AM218">
        <v>1</v>
      </c>
      <c r="AN218">
        <v>0</v>
      </c>
      <c r="AO218">
        <v>0</v>
      </c>
      <c r="AP218">
        <v>1</v>
      </c>
      <c r="AQ218">
        <v>0</v>
      </c>
      <c r="AR218">
        <v>48.996000000000002</v>
      </c>
      <c r="AS218">
        <v>67.665000000000006</v>
      </c>
      <c r="AT218">
        <v>147.74700000000001</v>
      </c>
      <c r="AU218">
        <v>324.89100000000002</v>
      </c>
      <c r="AV218">
        <v>0</v>
      </c>
    </row>
    <row r="219" spans="1:48">
      <c r="A219">
        <v>218</v>
      </c>
      <c r="B219">
        <v>0</v>
      </c>
      <c r="C219">
        <v>31.70267973</v>
      </c>
      <c r="D219">
        <v>16.31212</v>
      </c>
      <c r="E219">
        <v>5.1339527120000001</v>
      </c>
      <c r="F219">
        <v>0.876</v>
      </c>
      <c r="G219">
        <v>4.51</v>
      </c>
      <c r="H219">
        <v>0.44777028299999999</v>
      </c>
      <c r="I219">
        <v>198</v>
      </c>
      <c r="J219">
        <v>0</v>
      </c>
      <c r="K219">
        <v>198</v>
      </c>
      <c r="L219">
        <v>0</v>
      </c>
      <c r="M219">
        <v>0</v>
      </c>
      <c r="N219">
        <v>0</v>
      </c>
      <c r="O219">
        <v>0</v>
      </c>
      <c r="P219">
        <v>0.95282571800000004</v>
      </c>
      <c r="Q219">
        <v>0.95282571800000004</v>
      </c>
      <c r="R219">
        <v>0</v>
      </c>
      <c r="S219">
        <v>0</v>
      </c>
      <c r="T219" s="15">
        <v>193.46627430000001</v>
      </c>
      <c r="U219">
        <v>28.279080629999999</v>
      </c>
      <c r="V219">
        <v>0</v>
      </c>
      <c r="W219">
        <v>0</v>
      </c>
      <c r="X219">
        <v>4.497225963</v>
      </c>
      <c r="Y219">
        <v>4.497225963</v>
      </c>
      <c r="Z219">
        <v>1</v>
      </c>
      <c r="AA219">
        <v>0.75</v>
      </c>
      <c r="AB219">
        <v>99.15</v>
      </c>
      <c r="AC219">
        <v>0</v>
      </c>
      <c r="AD219">
        <v>95.680020159999998</v>
      </c>
      <c r="AE219">
        <v>213.07918979999999</v>
      </c>
      <c r="AF219">
        <v>119.7901616</v>
      </c>
      <c r="AG219">
        <v>122.6461621</v>
      </c>
      <c r="AH219">
        <v>89.776830099999998</v>
      </c>
      <c r="AI219">
        <v>100</v>
      </c>
      <c r="AJ219">
        <v>0</v>
      </c>
      <c r="AK219">
        <v>0</v>
      </c>
      <c r="AL219">
        <v>7.8762411620000004</v>
      </c>
      <c r="AM219">
        <v>7.9109861300000004</v>
      </c>
      <c r="AN219">
        <v>22</v>
      </c>
      <c r="AO219">
        <v>0</v>
      </c>
      <c r="AP219">
        <v>1</v>
      </c>
      <c r="AQ219">
        <v>0</v>
      </c>
      <c r="AR219">
        <v>48.996000000000002</v>
      </c>
      <c r="AS219">
        <v>67.665000000000006</v>
      </c>
      <c r="AT219">
        <v>147.74700000000001</v>
      </c>
      <c r="AU219">
        <v>324.89100000000002</v>
      </c>
      <c r="AV219">
        <v>0</v>
      </c>
    </row>
    <row r="220" spans="1:48">
      <c r="A220">
        <v>219</v>
      </c>
      <c r="B220">
        <v>0</v>
      </c>
      <c r="C220">
        <v>29.895204100000001</v>
      </c>
      <c r="D220">
        <v>18.768851099999999</v>
      </c>
      <c r="E220">
        <v>3.8160084740000002</v>
      </c>
      <c r="F220">
        <v>0.83299999999999996</v>
      </c>
      <c r="G220">
        <v>4.4619999999999997</v>
      </c>
      <c r="H220">
        <v>0.48199793299999999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0.74282723100000003</v>
      </c>
      <c r="Q220">
        <v>0.74282723100000003</v>
      </c>
      <c r="R220">
        <v>0</v>
      </c>
      <c r="S220">
        <v>0</v>
      </c>
      <c r="T220" s="15">
        <v>3.5371748790000002</v>
      </c>
      <c r="U220">
        <v>23.999078520000001</v>
      </c>
      <c r="V220">
        <v>0</v>
      </c>
      <c r="W220">
        <v>0</v>
      </c>
      <c r="X220">
        <v>3.1786573460000001</v>
      </c>
      <c r="Y220">
        <v>3.1786573460000001</v>
      </c>
      <c r="Z220">
        <v>1</v>
      </c>
      <c r="AA220">
        <v>0.75</v>
      </c>
      <c r="AB220">
        <v>99.15</v>
      </c>
      <c r="AC220">
        <v>0</v>
      </c>
      <c r="AD220">
        <v>27.777503070000002</v>
      </c>
      <c r="AE220">
        <v>185.6602043</v>
      </c>
      <c r="AF220">
        <v>213.07918979999999</v>
      </c>
      <c r="AG220">
        <v>120.7274491</v>
      </c>
      <c r="AH220">
        <v>88.40632076</v>
      </c>
      <c r="AI220">
        <v>100</v>
      </c>
      <c r="AJ220">
        <v>0</v>
      </c>
      <c r="AK220">
        <v>0</v>
      </c>
      <c r="AL220">
        <v>4.437541607</v>
      </c>
      <c r="AM220">
        <v>4.4971819379999998</v>
      </c>
      <c r="AN220">
        <v>0</v>
      </c>
      <c r="AO220">
        <v>0</v>
      </c>
      <c r="AP220">
        <v>1</v>
      </c>
      <c r="AQ220">
        <v>0</v>
      </c>
      <c r="AR220">
        <v>48.996000000000002</v>
      </c>
      <c r="AS220">
        <v>67.665000000000006</v>
      </c>
      <c r="AT220">
        <v>147.74700000000001</v>
      </c>
      <c r="AU220">
        <v>324.89100000000002</v>
      </c>
      <c r="AV220">
        <v>0</v>
      </c>
    </row>
    <row r="221" spans="1:48">
      <c r="A221">
        <v>220</v>
      </c>
      <c r="B221">
        <v>0</v>
      </c>
      <c r="C221">
        <v>32.75941083</v>
      </c>
      <c r="D221">
        <v>18.4047959</v>
      </c>
      <c r="E221">
        <v>4.5249159419999998</v>
      </c>
      <c r="F221">
        <v>0.79</v>
      </c>
      <c r="G221">
        <v>4.4139999999999997</v>
      </c>
      <c r="H221">
        <v>0.54314061599999996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1.246850427</v>
      </c>
      <c r="Q221">
        <v>1.246850427</v>
      </c>
      <c r="R221">
        <v>0</v>
      </c>
      <c r="S221">
        <v>0</v>
      </c>
      <c r="T221" s="15">
        <v>0.60191498499999996</v>
      </c>
      <c r="U221">
        <v>22.150313109999999</v>
      </c>
      <c r="V221">
        <v>0</v>
      </c>
      <c r="W221">
        <v>0</v>
      </c>
      <c r="X221">
        <v>3.5746012970000001</v>
      </c>
      <c r="Y221">
        <v>3.5746012970000001</v>
      </c>
      <c r="Z221">
        <v>1</v>
      </c>
      <c r="AA221">
        <v>0.75</v>
      </c>
      <c r="AB221">
        <v>99.15</v>
      </c>
      <c r="AC221">
        <v>0</v>
      </c>
      <c r="AD221">
        <v>6.2520909519999996</v>
      </c>
      <c r="AE221">
        <v>176.435427</v>
      </c>
      <c r="AF221">
        <v>185.6602043</v>
      </c>
      <c r="AG221">
        <v>117.2999492</v>
      </c>
      <c r="AH221">
        <v>85.958106599999994</v>
      </c>
      <c r="AI221">
        <v>100</v>
      </c>
      <c r="AJ221">
        <v>0</v>
      </c>
      <c r="AK221">
        <v>0</v>
      </c>
      <c r="AL221">
        <v>2.7184813650000001</v>
      </c>
      <c r="AM221">
        <v>2.769686884</v>
      </c>
      <c r="AN221">
        <v>0</v>
      </c>
      <c r="AO221">
        <v>0</v>
      </c>
      <c r="AP221">
        <v>1</v>
      </c>
      <c r="AQ221">
        <v>0</v>
      </c>
      <c r="AR221">
        <v>48.996000000000002</v>
      </c>
      <c r="AS221">
        <v>67.665000000000006</v>
      </c>
      <c r="AT221">
        <v>147.74700000000001</v>
      </c>
      <c r="AU221">
        <v>324.89100000000002</v>
      </c>
      <c r="AV221">
        <v>0</v>
      </c>
    </row>
    <row r="222" spans="1:48">
      <c r="A222">
        <v>221</v>
      </c>
      <c r="B222">
        <v>0</v>
      </c>
      <c r="C222">
        <v>32.666734929999997</v>
      </c>
      <c r="D222">
        <v>17.250719069999999</v>
      </c>
      <c r="E222">
        <v>5.1025666599999999</v>
      </c>
      <c r="F222">
        <v>0.748</v>
      </c>
      <c r="G222">
        <v>4.367</v>
      </c>
      <c r="H222">
        <v>0.50714193100000005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1.6889089829999999</v>
      </c>
      <c r="Q222">
        <v>1.6889089829999999</v>
      </c>
      <c r="R222">
        <v>0</v>
      </c>
      <c r="S222">
        <v>0</v>
      </c>
      <c r="T222" s="15">
        <v>0.16342395600000001</v>
      </c>
      <c r="U222">
        <v>20.297980169999999</v>
      </c>
      <c r="V222">
        <v>0</v>
      </c>
      <c r="W222">
        <v>0</v>
      </c>
      <c r="X222">
        <v>3.8166372179999999</v>
      </c>
      <c r="Y222">
        <v>3.8166372179999999</v>
      </c>
      <c r="Z222">
        <v>1</v>
      </c>
      <c r="AA222">
        <v>0.75</v>
      </c>
      <c r="AB222">
        <v>99.15</v>
      </c>
      <c r="AC222">
        <v>0</v>
      </c>
      <c r="AD222">
        <v>2.5995860569999998</v>
      </c>
      <c r="AE222">
        <v>170.18262770000001</v>
      </c>
      <c r="AF222">
        <v>176.435427</v>
      </c>
      <c r="AG222">
        <v>119.31794189999999</v>
      </c>
      <c r="AH222">
        <v>87.399529950000002</v>
      </c>
      <c r="AI222">
        <v>100</v>
      </c>
      <c r="AJ222">
        <v>0</v>
      </c>
      <c r="AK222">
        <v>0</v>
      </c>
      <c r="AL222">
        <v>1.859095988</v>
      </c>
      <c r="AM222">
        <v>1.8955186550000001</v>
      </c>
      <c r="AN222">
        <v>0</v>
      </c>
      <c r="AO222">
        <v>0</v>
      </c>
      <c r="AP222">
        <v>1</v>
      </c>
      <c r="AQ222">
        <v>0</v>
      </c>
      <c r="AR222">
        <v>48.996000000000002</v>
      </c>
      <c r="AS222">
        <v>67.665000000000006</v>
      </c>
      <c r="AT222">
        <v>147.74700000000001</v>
      </c>
      <c r="AU222">
        <v>324.89100000000002</v>
      </c>
      <c r="AV222">
        <v>0</v>
      </c>
    </row>
    <row r="223" spans="1:48">
      <c r="A223">
        <v>222</v>
      </c>
      <c r="B223">
        <v>0</v>
      </c>
      <c r="C223">
        <v>33.349280929999999</v>
      </c>
      <c r="D223">
        <v>17.38666387</v>
      </c>
      <c r="E223">
        <v>4.8631885109999997</v>
      </c>
      <c r="F223">
        <v>0.70499999999999996</v>
      </c>
      <c r="G223">
        <v>4.319</v>
      </c>
      <c r="H223">
        <v>0.47977815200000001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1.899511181</v>
      </c>
      <c r="Q223">
        <v>1.899511181</v>
      </c>
      <c r="R223">
        <v>0</v>
      </c>
      <c r="S223">
        <v>0</v>
      </c>
      <c r="T223" s="15">
        <v>4.3400000000000001E-2</v>
      </c>
      <c r="U223">
        <v>18.355078330000001</v>
      </c>
      <c r="V223">
        <v>0</v>
      </c>
      <c r="W223">
        <v>0</v>
      </c>
      <c r="X223">
        <v>3.428478165</v>
      </c>
      <c r="Y223">
        <v>3.428478165</v>
      </c>
      <c r="Z223">
        <v>1</v>
      </c>
      <c r="AA223">
        <v>0.75</v>
      </c>
      <c r="AB223">
        <v>99.15</v>
      </c>
      <c r="AC223">
        <v>0</v>
      </c>
      <c r="AD223" s="15">
        <v>1.3666259080000001</v>
      </c>
      <c r="AE223">
        <v>165.43091430000001</v>
      </c>
      <c r="AF223">
        <v>170.18262770000001</v>
      </c>
      <c r="AG223">
        <v>120.8518842</v>
      </c>
      <c r="AH223">
        <v>88.495203000000004</v>
      </c>
      <c r="AI223">
        <v>100</v>
      </c>
      <c r="AJ223">
        <v>0</v>
      </c>
      <c r="AK223">
        <v>0</v>
      </c>
      <c r="AL223">
        <v>1.429475659</v>
      </c>
      <c r="AM223">
        <v>1.4531613299999999</v>
      </c>
      <c r="AN223">
        <v>0</v>
      </c>
      <c r="AO223">
        <v>0</v>
      </c>
      <c r="AP223">
        <v>1</v>
      </c>
      <c r="AQ223">
        <v>0</v>
      </c>
      <c r="AR223">
        <v>48.996000000000002</v>
      </c>
      <c r="AS223">
        <v>67.665000000000006</v>
      </c>
      <c r="AT223">
        <v>147.74700000000001</v>
      </c>
      <c r="AU223">
        <v>324.89100000000002</v>
      </c>
      <c r="AV223">
        <v>0</v>
      </c>
    </row>
    <row r="224" spans="1:48">
      <c r="A224">
        <v>223</v>
      </c>
      <c r="B224">
        <v>0</v>
      </c>
      <c r="C224">
        <v>35.320660230000001</v>
      </c>
      <c r="D224">
        <v>17.668851100000001</v>
      </c>
      <c r="E224">
        <v>5.1716034899999999</v>
      </c>
      <c r="F224">
        <v>0.66200000000000003</v>
      </c>
      <c r="G224">
        <v>4.2709999999999999</v>
      </c>
      <c r="H224">
        <v>0.48688042599999998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2.302649357</v>
      </c>
      <c r="Q224">
        <v>2.302649357</v>
      </c>
      <c r="R224">
        <v>0</v>
      </c>
      <c r="S224">
        <v>0</v>
      </c>
      <c r="T224" s="15">
        <v>9.75E-3</v>
      </c>
      <c r="U224">
        <v>16.042679230000001</v>
      </c>
      <c r="V224">
        <v>0</v>
      </c>
      <c r="W224">
        <v>0</v>
      </c>
      <c r="X224">
        <v>3.4235361800000002</v>
      </c>
      <c r="Y224">
        <v>3.4235361800000002</v>
      </c>
      <c r="Z224">
        <v>1</v>
      </c>
      <c r="AA224">
        <v>0.75</v>
      </c>
      <c r="AB224">
        <v>99.15</v>
      </c>
      <c r="AC224">
        <v>0</v>
      </c>
      <c r="AD224" s="15">
        <v>0.83811051599999997</v>
      </c>
      <c r="AE224">
        <v>161.1790173</v>
      </c>
      <c r="AF224">
        <v>165.43091430000001</v>
      </c>
      <c r="AG224">
        <v>120.4537492</v>
      </c>
      <c r="AH224">
        <v>88.210820839999997</v>
      </c>
      <c r="AI224">
        <v>100</v>
      </c>
      <c r="AJ224">
        <v>0</v>
      </c>
      <c r="AK224">
        <v>0</v>
      </c>
      <c r="AL224">
        <v>1.214701668</v>
      </c>
      <c r="AM224">
        <v>1.2293142530000001</v>
      </c>
      <c r="AN224">
        <v>0</v>
      </c>
      <c r="AO224">
        <v>0</v>
      </c>
      <c r="AP224">
        <v>1</v>
      </c>
      <c r="AQ224">
        <v>0</v>
      </c>
      <c r="AR224">
        <v>48.996000000000002</v>
      </c>
      <c r="AS224">
        <v>67.665000000000006</v>
      </c>
      <c r="AT224">
        <v>147.74700000000001</v>
      </c>
      <c r="AU224">
        <v>324.89100000000002</v>
      </c>
      <c r="AV224">
        <v>0</v>
      </c>
    </row>
    <row r="225" spans="1:48">
      <c r="A225">
        <v>224</v>
      </c>
      <c r="B225">
        <v>0</v>
      </c>
      <c r="C225">
        <v>36.120660229999999</v>
      </c>
      <c r="D225">
        <v>19.358679540000001</v>
      </c>
      <c r="E225">
        <v>5.4884473920000003</v>
      </c>
      <c r="F225">
        <v>0.62</v>
      </c>
      <c r="G225">
        <v>4.2240000000000002</v>
      </c>
      <c r="H225">
        <v>0.47095257899999998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2.8088157539999998</v>
      </c>
      <c r="Q225">
        <v>2.610518259</v>
      </c>
      <c r="R225">
        <v>0</v>
      </c>
      <c r="S225">
        <v>0</v>
      </c>
      <c r="T225" s="15">
        <v>1.41E-3</v>
      </c>
      <c r="U225">
        <v>13.430753019999999</v>
      </c>
      <c r="V225">
        <v>0</v>
      </c>
      <c r="W225">
        <v>0</v>
      </c>
      <c r="X225">
        <v>3.4027765400000001</v>
      </c>
      <c r="Y225">
        <v>3.4027765400000001</v>
      </c>
      <c r="Z225">
        <v>1</v>
      </c>
      <c r="AA225">
        <v>0.75</v>
      </c>
      <c r="AB225">
        <v>99.15</v>
      </c>
      <c r="AC225">
        <v>0</v>
      </c>
      <c r="AD225" s="15">
        <v>0.56098945300000003</v>
      </c>
      <c r="AE225">
        <v>157.2166593</v>
      </c>
      <c r="AF225">
        <v>161.1790173</v>
      </c>
      <c r="AG225">
        <v>121.3466229</v>
      </c>
      <c r="AH225">
        <v>88.848587780000003</v>
      </c>
      <c r="AI225">
        <v>100</v>
      </c>
      <c r="AJ225">
        <v>0</v>
      </c>
      <c r="AK225">
        <v>0</v>
      </c>
      <c r="AL225">
        <v>1.1073327559999999</v>
      </c>
      <c r="AM225">
        <v>1.1160404100000001</v>
      </c>
      <c r="AN225">
        <v>0</v>
      </c>
      <c r="AO225">
        <v>0</v>
      </c>
      <c r="AP225">
        <v>1</v>
      </c>
      <c r="AQ225">
        <v>0</v>
      </c>
      <c r="AR225">
        <v>48.996000000000002</v>
      </c>
      <c r="AS225">
        <v>67.665000000000006</v>
      </c>
      <c r="AT225">
        <v>147.74700000000001</v>
      </c>
      <c r="AU225">
        <v>324.89100000000002</v>
      </c>
      <c r="AV225">
        <v>0</v>
      </c>
    </row>
    <row r="226" spans="1:48">
      <c r="A226">
        <v>225</v>
      </c>
      <c r="B226">
        <v>0</v>
      </c>
      <c r="C226">
        <v>36.813336130000003</v>
      </c>
      <c r="D226">
        <v>22.522734740000001</v>
      </c>
      <c r="E226">
        <v>5.3634564180000002</v>
      </c>
      <c r="F226">
        <v>0.57699999999999996</v>
      </c>
      <c r="G226">
        <v>4.1760000000000002</v>
      </c>
      <c r="H226">
        <v>0.45153630900000002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2.9491191209999998</v>
      </c>
      <c r="Q226">
        <v>2.1374196169999999</v>
      </c>
      <c r="R226">
        <v>0</v>
      </c>
      <c r="S226">
        <v>0</v>
      </c>
      <c r="T226" s="15">
        <v>1.17E-4</v>
      </c>
      <c r="U226">
        <v>11.293216299999999</v>
      </c>
      <c r="V226">
        <v>0</v>
      </c>
      <c r="W226">
        <v>0</v>
      </c>
      <c r="X226">
        <v>3.0946625700000001</v>
      </c>
      <c r="Y226">
        <v>3.0946625700000001</v>
      </c>
      <c r="Z226">
        <v>1</v>
      </c>
      <c r="AA226">
        <v>0.75</v>
      </c>
      <c r="AB226">
        <v>99.15</v>
      </c>
      <c r="AC226">
        <v>0</v>
      </c>
      <c r="AD226" s="15">
        <v>0.39923397399999999</v>
      </c>
      <c r="AE226">
        <v>153.72287979999999</v>
      </c>
      <c r="AF226">
        <v>157.2166593</v>
      </c>
      <c r="AG226">
        <v>122.43504849999999</v>
      </c>
      <c r="AH226">
        <v>89.62603464</v>
      </c>
      <c r="AI226">
        <v>100</v>
      </c>
      <c r="AJ226">
        <v>0</v>
      </c>
      <c r="AK226">
        <v>0</v>
      </c>
      <c r="AL226">
        <v>1.0536573410000001</v>
      </c>
      <c r="AM226">
        <v>1.0587201909999999</v>
      </c>
      <c r="AN226">
        <v>0</v>
      </c>
      <c r="AO226">
        <v>0</v>
      </c>
      <c r="AP226">
        <v>1</v>
      </c>
      <c r="AQ226">
        <v>0</v>
      </c>
      <c r="AR226">
        <v>48.996000000000002</v>
      </c>
      <c r="AS226">
        <v>67.665000000000006</v>
      </c>
      <c r="AT226">
        <v>147.74700000000001</v>
      </c>
      <c r="AU226">
        <v>324.89100000000002</v>
      </c>
      <c r="AV226">
        <v>0</v>
      </c>
    </row>
    <row r="227" spans="1:48">
      <c r="A227">
        <v>226</v>
      </c>
      <c r="B227">
        <v>0</v>
      </c>
      <c r="C227">
        <v>37.413336129999998</v>
      </c>
      <c r="D227">
        <v>20.604795899999999</v>
      </c>
      <c r="E227">
        <v>5.2618705439999998</v>
      </c>
      <c r="F227">
        <v>0.53400000000000003</v>
      </c>
      <c r="G227">
        <v>4.1289999999999996</v>
      </c>
      <c r="H227">
        <v>0.45824873300000002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3.2175402119999998</v>
      </c>
      <c r="Q227">
        <v>1.774249805</v>
      </c>
      <c r="R227">
        <v>0</v>
      </c>
      <c r="S227">
        <v>0</v>
      </c>
      <c r="T227" s="15">
        <v>8.2700000000000004E-6</v>
      </c>
      <c r="U227">
        <v>9.5189582179999999</v>
      </c>
      <c r="V227">
        <v>0</v>
      </c>
      <c r="W227">
        <v>0</v>
      </c>
      <c r="X227">
        <v>2.8097949259999999</v>
      </c>
      <c r="Y227">
        <v>2.8097949259999999</v>
      </c>
      <c r="Z227">
        <v>1</v>
      </c>
      <c r="AA227">
        <v>0.75</v>
      </c>
      <c r="AB227">
        <v>99.15</v>
      </c>
      <c r="AC227">
        <v>0</v>
      </c>
      <c r="AD227" s="15">
        <v>0.29861177900000002</v>
      </c>
      <c r="AE227">
        <v>150.61448139999999</v>
      </c>
      <c r="AF227">
        <v>153.72287979999999</v>
      </c>
      <c r="AG227">
        <v>122.0587675</v>
      </c>
      <c r="AH227">
        <v>89.357262469999995</v>
      </c>
      <c r="AI227">
        <v>100</v>
      </c>
      <c r="AJ227">
        <v>0</v>
      </c>
      <c r="AK227">
        <v>0</v>
      </c>
      <c r="AL227">
        <v>1.0268241520000001</v>
      </c>
      <c r="AM227">
        <v>1.029714311</v>
      </c>
      <c r="AN227">
        <v>0</v>
      </c>
      <c r="AO227">
        <v>0</v>
      </c>
      <c r="AP227">
        <v>1</v>
      </c>
      <c r="AQ227">
        <v>0</v>
      </c>
      <c r="AR227">
        <v>48.996000000000002</v>
      </c>
      <c r="AS227">
        <v>67.665000000000006</v>
      </c>
      <c r="AT227">
        <v>147.74700000000001</v>
      </c>
      <c r="AU227">
        <v>324.89100000000002</v>
      </c>
      <c r="AV227">
        <v>0</v>
      </c>
    </row>
    <row r="228" spans="1:48">
      <c r="A228">
        <v>227</v>
      </c>
      <c r="B228">
        <v>0</v>
      </c>
      <c r="C228">
        <v>37.36673493</v>
      </c>
      <c r="D228">
        <v>21.497320269999999</v>
      </c>
      <c r="E228">
        <v>5.5242605190000003</v>
      </c>
      <c r="F228">
        <v>0.49099999999999999</v>
      </c>
      <c r="G228">
        <v>4.0810000000000004</v>
      </c>
      <c r="H228">
        <v>0.45890659499999997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3.74133717</v>
      </c>
      <c r="Q228">
        <v>1.516413928</v>
      </c>
      <c r="R228">
        <v>0</v>
      </c>
      <c r="S228">
        <v>0</v>
      </c>
      <c r="T228" s="15">
        <v>4.2199999999999999E-7</v>
      </c>
      <c r="U228">
        <v>8.0025438680000001</v>
      </c>
      <c r="V228">
        <v>0</v>
      </c>
      <c r="W228">
        <v>0</v>
      </c>
      <c r="X228">
        <v>2.7123723160000002</v>
      </c>
      <c r="Y228">
        <v>2.7123723160000002</v>
      </c>
      <c r="Z228">
        <v>1</v>
      </c>
      <c r="AA228">
        <v>0.75</v>
      </c>
      <c r="AB228">
        <v>99.15</v>
      </c>
      <c r="AC228">
        <v>0</v>
      </c>
      <c r="AD228" s="15">
        <v>0.22975807100000001</v>
      </c>
      <c r="AE228">
        <v>147.6723514</v>
      </c>
      <c r="AF228">
        <v>150.61448139999999</v>
      </c>
      <c r="AG228">
        <v>122.02188940000001</v>
      </c>
      <c r="AH228">
        <v>89.330921009999997</v>
      </c>
      <c r="AI228">
        <v>100</v>
      </c>
      <c r="AJ228">
        <v>0</v>
      </c>
      <c r="AK228">
        <v>0</v>
      </c>
      <c r="AL228">
        <v>1.013409818</v>
      </c>
      <c r="AM228">
        <v>1.0150364000000001</v>
      </c>
      <c r="AN228">
        <v>0</v>
      </c>
      <c r="AO228">
        <v>0</v>
      </c>
      <c r="AP228">
        <v>1</v>
      </c>
      <c r="AQ228">
        <v>0</v>
      </c>
      <c r="AR228">
        <v>48.996000000000002</v>
      </c>
      <c r="AS228">
        <v>67.665000000000006</v>
      </c>
      <c r="AT228">
        <v>147.74700000000001</v>
      </c>
      <c r="AU228">
        <v>324.89100000000002</v>
      </c>
      <c r="AV228">
        <v>0</v>
      </c>
    </row>
    <row r="229" spans="1:48">
      <c r="A229">
        <v>228</v>
      </c>
      <c r="B229">
        <v>25.82138758</v>
      </c>
      <c r="C229">
        <v>34.895204100000001</v>
      </c>
      <c r="D229">
        <v>17.555999809999999</v>
      </c>
      <c r="E229">
        <v>5.2516555890000003</v>
      </c>
      <c r="F229">
        <v>0.44900000000000001</v>
      </c>
      <c r="G229">
        <v>4.0330000000000004</v>
      </c>
      <c r="H229">
        <v>0.441851622</v>
      </c>
      <c r="I229">
        <v>0</v>
      </c>
      <c r="J229">
        <v>23.608924179999999</v>
      </c>
      <c r="K229">
        <v>25.82138758</v>
      </c>
      <c r="L229">
        <v>23.608924179999999</v>
      </c>
      <c r="M229">
        <v>2.2124633920000001</v>
      </c>
      <c r="N229">
        <v>0</v>
      </c>
      <c r="O229">
        <v>23.608924890000001</v>
      </c>
      <c r="P229">
        <v>3.791565845</v>
      </c>
      <c r="Q229">
        <v>3.768490882</v>
      </c>
      <c r="R229">
        <v>0</v>
      </c>
      <c r="S229">
        <v>0</v>
      </c>
      <c r="T229" s="15">
        <v>0.16837371400000001</v>
      </c>
      <c r="U229">
        <v>27.674604160000001</v>
      </c>
      <c r="V229">
        <v>0</v>
      </c>
      <c r="W229">
        <v>0</v>
      </c>
      <c r="X229">
        <v>2.3579612659999998</v>
      </c>
      <c r="Y229">
        <v>2.3579612659999998</v>
      </c>
      <c r="Z229">
        <v>1</v>
      </c>
      <c r="AA229">
        <v>0.75</v>
      </c>
      <c r="AB229">
        <v>99.15</v>
      </c>
      <c r="AC229">
        <v>0</v>
      </c>
      <c r="AD229" s="15">
        <v>0.18094164600000001</v>
      </c>
      <c r="AE229">
        <v>145.3018222</v>
      </c>
      <c r="AF229">
        <v>147.6723514</v>
      </c>
      <c r="AG229">
        <v>122.97794690000001</v>
      </c>
      <c r="AH229">
        <v>90.013819209999994</v>
      </c>
      <c r="AI229">
        <v>100</v>
      </c>
      <c r="AJ229">
        <v>0</v>
      </c>
      <c r="AK229">
        <v>0</v>
      </c>
      <c r="AL229">
        <v>1.00670378</v>
      </c>
      <c r="AM229">
        <v>1.0076089029999999</v>
      </c>
      <c r="AN229">
        <v>0</v>
      </c>
      <c r="AO229">
        <v>0</v>
      </c>
      <c r="AP229">
        <v>1</v>
      </c>
      <c r="AQ229">
        <v>0</v>
      </c>
      <c r="AR229">
        <v>48.996000000000002</v>
      </c>
      <c r="AS229">
        <v>67.665000000000006</v>
      </c>
      <c r="AT229">
        <v>147.74700000000001</v>
      </c>
      <c r="AU229">
        <v>324.89100000000002</v>
      </c>
      <c r="AV229">
        <v>0</v>
      </c>
    </row>
    <row r="230" spans="1:48">
      <c r="A230">
        <v>229</v>
      </c>
      <c r="B230">
        <v>0</v>
      </c>
      <c r="C230">
        <v>31.538750589999999</v>
      </c>
      <c r="D230">
        <v>15.999268710000001</v>
      </c>
      <c r="E230">
        <v>5.0855443449999997</v>
      </c>
      <c r="F230">
        <v>0.40600000000000003</v>
      </c>
      <c r="G230">
        <v>3.9860000000000002</v>
      </c>
      <c r="H230">
        <v>0.45401891700000002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4.0640488530000001</v>
      </c>
      <c r="Q230">
        <v>4.0640488530000001</v>
      </c>
      <c r="R230">
        <v>0</v>
      </c>
      <c r="S230">
        <v>0</v>
      </c>
      <c r="T230" s="15">
        <v>0.76314210699999996</v>
      </c>
      <c r="U230">
        <v>22.847413199999998</v>
      </c>
      <c r="V230">
        <v>0</v>
      </c>
      <c r="W230">
        <v>0</v>
      </c>
      <c r="X230">
        <v>2.0647048379999999</v>
      </c>
      <c r="Y230">
        <v>2.0647048379999999</v>
      </c>
      <c r="Z230">
        <v>1</v>
      </c>
      <c r="AA230">
        <v>0.75</v>
      </c>
      <c r="AB230">
        <v>99.15</v>
      </c>
      <c r="AC230">
        <v>0</v>
      </c>
      <c r="AD230" s="15">
        <v>0.15540115099999999</v>
      </c>
      <c r="AE230">
        <v>143.84485839999999</v>
      </c>
      <c r="AF230">
        <v>145.3018222</v>
      </c>
      <c r="AG230">
        <v>122.29588</v>
      </c>
      <c r="AH230">
        <v>89.526628560000006</v>
      </c>
      <c r="AI230">
        <v>100</v>
      </c>
      <c r="AJ230">
        <v>0</v>
      </c>
      <c r="AK230">
        <v>0</v>
      </c>
      <c r="AL230">
        <v>1.0033513249999999</v>
      </c>
      <c r="AM230">
        <v>1.0038503510000001</v>
      </c>
      <c r="AN230">
        <v>0</v>
      </c>
      <c r="AO230">
        <v>0</v>
      </c>
      <c r="AP230">
        <v>1</v>
      </c>
      <c r="AQ230">
        <v>0</v>
      </c>
      <c r="AR230">
        <v>48.996000000000002</v>
      </c>
      <c r="AS230">
        <v>67.665000000000006</v>
      </c>
      <c r="AT230">
        <v>147.74700000000001</v>
      </c>
      <c r="AU230">
        <v>324.89100000000002</v>
      </c>
      <c r="AV230">
        <v>0</v>
      </c>
    </row>
    <row r="231" spans="1:48">
      <c r="A231">
        <v>230</v>
      </c>
      <c r="B231">
        <v>0</v>
      </c>
      <c r="C231">
        <v>29.674543870000001</v>
      </c>
      <c r="D231">
        <v>17.01749869</v>
      </c>
      <c r="E231">
        <v>5.0498288499999999</v>
      </c>
      <c r="F231">
        <v>0.36299999999999999</v>
      </c>
      <c r="G231">
        <v>3.9380000000000002</v>
      </c>
      <c r="H231">
        <v>0.45484985300000003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4.2216762890000004</v>
      </c>
      <c r="Q231">
        <v>4.2216762890000004</v>
      </c>
      <c r="R231">
        <v>0</v>
      </c>
      <c r="S231">
        <v>0</v>
      </c>
      <c r="T231" s="15">
        <v>9.1800000000000007E-2</v>
      </c>
      <c r="U231">
        <v>18.533953799999999</v>
      </c>
      <c r="V231">
        <v>0</v>
      </c>
      <c r="W231">
        <v>0</v>
      </c>
      <c r="X231">
        <v>1.83306627</v>
      </c>
      <c r="Y231">
        <v>1.83306627</v>
      </c>
      <c r="Z231">
        <v>1</v>
      </c>
      <c r="AA231">
        <v>0.75</v>
      </c>
      <c r="AB231">
        <v>99.15</v>
      </c>
      <c r="AC231">
        <v>0</v>
      </c>
      <c r="AD231" s="15">
        <v>0.13248932399999999</v>
      </c>
      <c r="AE231">
        <v>141.97108589999999</v>
      </c>
      <c r="AF231">
        <v>143.84485839999999</v>
      </c>
      <c r="AG231">
        <v>122.2492998</v>
      </c>
      <c r="AH231">
        <v>89.493357020000005</v>
      </c>
      <c r="AI231">
        <v>100</v>
      </c>
      <c r="AJ231">
        <v>0</v>
      </c>
      <c r="AK231">
        <v>0</v>
      </c>
      <c r="AL231">
        <v>1.0016753810000001</v>
      </c>
      <c r="AM231">
        <v>1.001948402</v>
      </c>
      <c r="AN231">
        <v>0</v>
      </c>
      <c r="AO231">
        <v>0</v>
      </c>
      <c r="AP231">
        <v>1</v>
      </c>
      <c r="AQ231">
        <v>0</v>
      </c>
      <c r="AR231">
        <v>48.996000000000002</v>
      </c>
      <c r="AS231">
        <v>67.665000000000006</v>
      </c>
      <c r="AT231">
        <v>147.74700000000001</v>
      </c>
      <c r="AU231">
        <v>324.89100000000002</v>
      </c>
      <c r="AV231">
        <v>0</v>
      </c>
    </row>
    <row r="232" spans="1:48">
      <c r="A232">
        <v>231</v>
      </c>
      <c r="B232">
        <v>0</v>
      </c>
      <c r="C232">
        <v>30.238750589999999</v>
      </c>
      <c r="D232">
        <v>16.419928939999998</v>
      </c>
      <c r="E232">
        <v>4.5479188510000004</v>
      </c>
      <c r="F232">
        <v>0.32100000000000001</v>
      </c>
      <c r="G232">
        <v>3.89</v>
      </c>
      <c r="H232">
        <v>0.45781029899999998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3.9915394900000001</v>
      </c>
      <c r="Q232">
        <v>3.9581851010000002</v>
      </c>
      <c r="R232">
        <v>0</v>
      </c>
      <c r="S232">
        <v>0</v>
      </c>
      <c r="T232" s="15">
        <v>7.3699999999999998E-3</v>
      </c>
      <c r="U232">
        <v>14.568403590000001</v>
      </c>
      <c r="V232">
        <v>0</v>
      </c>
      <c r="W232">
        <v>0</v>
      </c>
      <c r="X232">
        <v>1.4598659730000001</v>
      </c>
      <c r="Y232">
        <v>1.4598659730000001</v>
      </c>
      <c r="Z232">
        <v>1</v>
      </c>
      <c r="AA232">
        <v>0.75</v>
      </c>
      <c r="AB232">
        <v>99.15</v>
      </c>
      <c r="AC232">
        <v>0</v>
      </c>
      <c r="AD232" s="15">
        <v>0.11315864</v>
      </c>
      <c r="AE232">
        <v>140.40542640000001</v>
      </c>
      <c r="AF232">
        <v>141.97108589999999</v>
      </c>
      <c r="AG232">
        <v>122.08334499999999</v>
      </c>
      <c r="AH232">
        <v>89.374817829999998</v>
      </c>
      <c r="AI232">
        <v>100</v>
      </c>
      <c r="AJ232">
        <v>0</v>
      </c>
      <c r="AK232">
        <v>0</v>
      </c>
      <c r="AL232">
        <v>1.0008375490000001</v>
      </c>
      <c r="AM232">
        <v>1.0009859539999999</v>
      </c>
      <c r="AN232">
        <v>0</v>
      </c>
      <c r="AO232">
        <v>0</v>
      </c>
      <c r="AP232">
        <v>1</v>
      </c>
      <c r="AQ232">
        <v>0</v>
      </c>
      <c r="AR232">
        <v>48.996000000000002</v>
      </c>
      <c r="AS232">
        <v>67.665000000000006</v>
      </c>
      <c r="AT232">
        <v>147.74700000000001</v>
      </c>
      <c r="AU232">
        <v>324.89100000000002</v>
      </c>
      <c r="AV232">
        <v>0</v>
      </c>
    </row>
    <row r="233" spans="1:48">
      <c r="A233">
        <v>232</v>
      </c>
      <c r="B233">
        <v>0</v>
      </c>
      <c r="C233">
        <v>32.120660229999999</v>
      </c>
      <c r="D233">
        <v>18.622734739999999</v>
      </c>
      <c r="E233">
        <v>4.673285516</v>
      </c>
      <c r="F233">
        <v>0.27800000000000002</v>
      </c>
      <c r="G233">
        <v>3.843</v>
      </c>
      <c r="H233">
        <v>0.48194378199999999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4.3496839310000004</v>
      </c>
      <c r="Q233">
        <v>3.3371399519999998</v>
      </c>
      <c r="R233">
        <v>0</v>
      </c>
      <c r="S233">
        <v>0</v>
      </c>
      <c r="T233" s="15">
        <v>3.0200000000000002E-4</v>
      </c>
      <c r="U233">
        <v>11.230962010000001</v>
      </c>
      <c r="V233">
        <v>0</v>
      </c>
      <c r="W233">
        <v>0</v>
      </c>
      <c r="X233">
        <v>1.299160184</v>
      </c>
      <c r="Y233">
        <v>1.299160184</v>
      </c>
      <c r="Z233">
        <v>1</v>
      </c>
      <c r="AA233">
        <v>0.75</v>
      </c>
      <c r="AB233">
        <v>99.15</v>
      </c>
      <c r="AC233">
        <v>0</v>
      </c>
      <c r="AD233" s="15">
        <v>9.8699999999999996E-2</v>
      </c>
      <c r="AE233">
        <v>139.0078211</v>
      </c>
      <c r="AF233">
        <v>140.40542640000001</v>
      </c>
      <c r="AG233">
        <v>120.7304846</v>
      </c>
      <c r="AH233">
        <v>88.408489029999998</v>
      </c>
      <c r="AI233">
        <v>100</v>
      </c>
      <c r="AJ233">
        <v>0</v>
      </c>
      <c r="AK233">
        <v>0</v>
      </c>
      <c r="AL233">
        <v>1.0004187040000001</v>
      </c>
      <c r="AM233">
        <v>1.000498925</v>
      </c>
      <c r="AN233">
        <v>0</v>
      </c>
      <c r="AO233">
        <v>0</v>
      </c>
      <c r="AP233">
        <v>1</v>
      </c>
      <c r="AQ233">
        <v>0</v>
      </c>
      <c r="AR233">
        <v>48.996000000000002</v>
      </c>
      <c r="AS233">
        <v>67.665000000000006</v>
      </c>
      <c r="AT233">
        <v>147.74700000000001</v>
      </c>
      <c r="AU233">
        <v>324.89100000000002</v>
      </c>
      <c r="AV233">
        <v>0</v>
      </c>
    </row>
    <row r="234" spans="1:48">
      <c r="A234">
        <v>233</v>
      </c>
      <c r="B234">
        <v>0</v>
      </c>
      <c r="C234">
        <v>33.610488670000002</v>
      </c>
      <c r="D234">
        <v>17.57666004</v>
      </c>
      <c r="E234">
        <v>4.8344258819999997</v>
      </c>
      <c r="F234">
        <v>0.23499999999999999</v>
      </c>
      <c r="G234">
        <v>3.7949999999999999</v>
      </c>
      <c r="H234">
        <v>0.47404623600000001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4.697293309</v>
      </c>
      <c r="Q234">
        <v>2.4137597579999999</v>
      </c>
      <c r="R234">
        <v>0</v>
      </c>
      <c r="S234">
        <v>0</v>
      </c>
      <c r="T234" s="15">
        <v>6.5699999999999998E-6</v>
      </c>
      <c r="U234">
        <v>8.8171956890000001</v>
      </c>
      <c r="V234">
        <v>0</v>
      </c>
      <c r="W234">
        <v>0</v>
      </c>
      <c r="X234">
        <v>1.1360793979999999</v>
      </c>
      <c r="Y234">
        <v>1.1360793979999999</v>
      </c>
      <c r="Z234">
        <v>1</v>
      </c>
      <c r="AA234">
        <v>0.75</v>
      </c>
      <c r="AB234">
        <v>99.15</v>
      </c>
      <c r="AC234">
        <v>0</v>
      </c>
      <c r="AD234" s="15">
        <v>8.7400000000000005E-2</v>
      </c>
      <c r="AE234">
        <v>137.78435099999999</v>
      </c>
      <c r="AF234">
        <v>139.0078211</v>
      </c>
      <c r="AG234">
        <v>121.17320049999999</v>
      </c>
      <c r="AH234">
        <v>88.724714669999997</v>
      </c>
      <c r="AI234">
        <v>100</v>
      </c>
      <c r="AJ234">
        <v>0</v>
      </c>
      <c r="AK234">
        <v>0</v>
      </c>
      <c r="AL234">
        <v>1.0002093169999999</v>
      </c>
      <c r="AM234">
        <v>1.0002524719999999</v>
      </c>
      <c r="AN234">
        <v>0</v>
      </c>
      <c r="AO234">
        <v>0</v>
      </c>
      <c r="AP234">
        <v>1</v>
      </c>
      <c r="AQ234">
        <v>0</v>
      </c>
      <c r="AR234">
        <v>48.996000000000002</v>
      </c>
      <c r="AS234">
        <v>67.665000000000006</v>
      </c>
      <c r="AT234">
        <v>147.74700000000001</v>
      </c>
      <c r="AU234">
        <v>324.89100000000002</v>
      </c>
      <c r="AV234">
        <v>0</v>
      </c>
    </row>
    <row r="235" spans="1:48">
      <c r="A235">
        <v>234</v>
      </c>
      <c r="B235" s="15">
        <v>0</v>
      </c>
      <c r="C235">
        <v>33.074543869999999</v>
      </c>
      <c r="D235">
        <v>18.79732027</v>
      </c>
      <c r="E235">
        <v>4.6933818</v>
      </c>
      <c r="F235">
        <v>0.193</v>
      </c>
      <c r="G235">
        <v>3.7480000000000002</v>
      </c>
      <c r="H235">
        <v>0.466665092</v>
      </c>
      <c r="I235">
        <v>0</v>
      </c>
      <c r="J235" s="15">
        <v>0</v>
      </c>
      <c r="K235" s="15">
        <v>0</v>
      </c>
      <c r="L235" s="15">
        <v>0</v>
      </c>
      <c r="M235">
        <v>0</v>
      </c>
      <c r="N235">
        <v>0</v>
      </c>
      <c r="O235" s="15">
        <v>0</v>
      </c>
      <c r="P235">
        <v>4.7861017889999999</v>
      </c>
      <c r="Q235">
        <v>1.614423962</v>
      </c>
      <c r="R235">
        <v>0</v>
      </c>
      <c r="S235">
        <v>0</v>
      </c>
      <c r="T235" s="15">
        <v>8.9900000000000004E-8</v>
      </c>
      <c r="U235">
        <v>7.2027716369999997</v>
      </c>
      <c r="V235">
        <v>0</v>
      </c>
      <c r="W235">
        <v>0</v>
      </c>
      <c r="X235">
        <v>0.90581480700000006</v>
      </c>
      <c r="Y235">
        <v>0.90581480700000006</v>
      </c>
      <c r="Z235">
        <v>1</v>
      </c>
      <c r="AA235">
        <v>0.75</v>
      </c>
      <c r="AB235">
        <v>99.15</v>
      </c>
      <c r="AC235">
        <v>0</v>
      </c>
      <c r="AD235" s="15">
        <v>7.8700000000000006E-2</v>
      </c>
      <c r="AE235">
        <v>136.79979990000001</v>
      </c>
      <c r="AF235">
        <v>137.78435099999999</v>
      </c>
      <c r="AG235">
        <v>121.5869682</v>
      </c>
      <c r="AH235">
        <v>89.020263029999995</v>
      </c>
      <c r="AI235">
        <v>100</v>
      </c>
      <c r="AJ235">
        <v>0</v>
      </c>
      <c r="AK235">
        <v>0</v>
      </c>
      <c r="AL235">
        <v>1.0001046410000001</v>
      </c>
      <c r="AM235">
        <v>1.0001277589999999</v>
      </c>
      <c r="AN235">
        <v>0</v>
      </c>
      <c r="AO235">
        <v>0</v>
      </c>
      <c r="AP235">
        <v>1</v>
      </c>
      <c r="AQ235">
        <v>0</v>
      </c>
      <c r="AR235">
        <v>48.996000000000002</v>
      </c>
      <c r="AS235">
        <v>67.665000000000006</v>
      </c>
      <c r="AT235">
        <v>147.74700000000001</v>
      </c>
      <c r="AU235">
        <v>324.89100000000002</v>
      </c>
      <c r="AV235">
        <v>0</v>
      </c>
    </row>
    <row r="236" spans="1:48">
      <c r="A236">
        <v>235</v>
      </c>
      <c r="B236">
        <v>0.68141253700000004</v>
      </c>
      <c r="C236">
        <v>29.8926759</v>
      </c>
      <c r="D236">
        <v>18.864055199999999</v>
      </c>
      <c r="E236">
        <v>4.6061320429999997</v>
      </c>
      <c r="F236">
        <v>0.15</v>
      </c>
      <c r="G236">
        <v>3.7</v>
      </c>
      <c r="H236">
        <v>0.47232333700000001</v>
      </c>
      <c r="I236">
        <v>0</v>
      </c>
      <c r="J236">
        <v>0.160033446</v>
      </c>
      <c r="K236">
        <v>0.68141253700000004</v>
      </c>
      <c r="L236">
        <v>0.160033446</v>
      </c>
      <c r="M236">
        <v>0.52137909199999999</v>
      </c>
      <c r="N236">
        <v>0</v>
      </c>
      <c r="O236">
        <v>0.16003345099999999</v>
      </c>
      <c r="P236">
        <v>4.8324424720000003</v>
      </c>
      <c r="Q236">
        <v>1.0920423829999999</v>
      </c>
      <c r="R236">
        <v>0</v>
      </c>
      <c r="S236">
        <v>0</v>
      </c>
      <c r="T236" s="15">
        <v>9.29E-10</v>
      </c>
      <c r="U236">
        <v>6.270762704</v>
      </c>
      <c r="V236">
        <v>0</v>
      </c>
      <c r="W236">
        <v>0</v>
      </c>
      <c r="X236">
        <v>0.69091425299999998</v>
      </c>
      <c r="Y236">
        <v>0.69091425299999998</v>
      </c>
      <c r="Z236">
        <v>1</v>
      </c>
      <c r="AA236">
        <v>0.75</v>
      </c>
      <c r="AB236">
        <v>99.15</v>
      </c>
      <c r="AC236">
        <v>0</v>
      </c>
      <c r="AD236" s="15">
        <v>7.2400000000000006E-2</v>
      </c>
      <c r="AE236">
        <v>136.0364587</v>
      </c>
      <c r="AF236">
        <v>136.79979990000001</v>
      </c>
      <c r="AG236">
        <v>121.2697818</v>
      </c>
      <c r="AH236">
        <v>88.79370127</v>
      </c>
      <c r="AI236">
        <v>100</v>
      </c>
      <c r="AJ236">
        <v>0</v>
      </c>
      <c r="AK236">
        <v>0</v>
      </c>
      <c r="AL236">
        <v>1.000052312</v>
      </c>
      <c r="AM236">
        <v>1.0000646500000001</v>
      </c>
      <c r="AN236">
        <v>0</v>
      </c>
      <c r="AO236">
        <v>0</v>
      </c>
      <c r="AP236">
        <v>1</v>
      </c>
      <c r="AQ236">
        <v>0</v>
      </c>
      <c r="AR236">
        <v>48.996000000000002</v>
      </c>
      <c r="AS236">
        <v>67.665000000000006</v>
      </c>
      <c r="AT236">
        <v>147.74700000000001</v>
      </c>
      <c r="AU236">
        <v>324.89100000000002</v>
      </c>
      <c r="AV236">
        <v>0</v>
      </c>
    </row>
    <row r="237" spans="1:48">
      <c r="A237">
        <v>236</v>
      </c>
      <c r="B237" s="15">
        <v>1.9599999999999999E-2</v>
      </c>
      <c r="C237">
        <v>29.674543870000001</v>
      </c>
      <c r="D237">
        <v>16.861249409999999</v>
      </c>
      <c r="E237">
        <v>4.2446468169999996</v>
      </c>
      <c r="F237">
        <v>0</v>
      </c>
      <c r="G237">
        <v>0</v>
      </c>
      <c r="H237">
        <v>0.47906573099999999</v>
      </c>
      <c r="I237">
        <v>0</v>
      </c>
      <c r="J237" s="15">
        <v>1.9599999999999999E-2</v>
      </c>
      <c r="K237" s="15">
        <v>1.9599999999999999E-2</v>
      </c>
      <c r="L237" s="15">
        <v>1.9599999999999999E-2</v>
      </c>
      <c r="M237">
        <v>0</v>
      </c>
      <c r="N237">
        <v>0</v>
      </c>
      <c r="O237" s="15">
        <v>1.9599999999999999E-2</v>
      </c>
      <c r="P237">
        <v>5.0935386019999997</v>
      </c>
      <c r="Q237">
        <v>0.77342556299999998</v>
      </c>
      <c r="R237">
        <v>0</v>
      </c>
      <c r="S237">
        <v>0</v>
      </c>
      <c r="T237" s="15">
        <v>9.2899999999999994E-12</v>
      </c>
      <c r="U237">
        <v>5.5169269849999996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0.2</v>
      </c>
      <c r="AB237">
        <v>99.7</v>
      </c>
      <c r="AC237">
        <v>0</v>
      </c>
      <c r="AD237" s="15">
        <v>6.8900000000000003E-2</v>
      </c>
      <c r="AE237">
        <v>36.207481899999998</v>
      </c>
      <c r="AF237">
        <v>36.27638898</v>
      </c>
      <c r="AG237">
        <v>32.237818840000003</v>
      </c>
      <c r="AH237">
        <v>23.606327749999998</v>
      </c>
      <c r="AI237">
        <v>100</v>
      </c>
      <c r="AJ237">
        <v>0</v>
      </c>
      <c r="AK237">
        <v>0</v>
      </c>
      <c r="AL237">
        <v>1.0000261509999999</v>
      </c>
      <c r="AM237">
        <v>1.0000327149999999</v>
      </c>
      <c r="AN237">
        <v>0</v>
      </c>
      <c r="AO237">
        <v>0</v>
      </c>
      <c r="AP237">
        <v>1</v>
      </c>
      <c r="AQ237">
        <v>0</v>
      </c>
      <c r="AR237">
        <v>13.0656</v>
      </c>
      <c r="AS237">
        <v>18.044</v>
      </c>
      <c r="AT237">
        <v>39.3992</v>
      </c>
      <c r="AU237">
        <v>86.637600000000006</v>
      </c>
      <c r="AV237">
        <v>0</v>
      </c>
    </row>
    <row r="238" spans="1:48">
      <c r="A238">
        <v>237</v>
      </c>
      <c r="B238">
        <v>0</v>
      </c>
      <c r="C238">
        <v>29.538750589999999</v>
      </c>
      <c r="D238">
        <v>17.143394969999999</v>
      </c>
      <c r="E238">
        <v>4.3958816819999997</v>
      </c>
      <c r="F238">
        <v>0</v>
      </c>
      <c r="G238">
        <v>0</v>
      </c>
      <c r="H238">
        <v>0.49625845600000001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5.275022173</v>
      </c>
      <c r="Q238">
        <v>0.50928993199999995</v>
      </c>
      <c r="R238">
        <v>0</v>
      </c>
      <c r="S238">
        <v>0</v>
      </c>
      <c r="T238" s="15">
        <v>1.23E-14</v>
      </c>
      <c r="U238">
        <v>5.0076370539999999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0.2</v>
      </c>
      <c r="AB238">
        <v>99.7</v>
      </c>
      <c r="AC238">
        <v>0</v>
      </c>
      <c r="AD238" s="15">
        <v>6.7199999999999996E-2</v>
      </c>
      <c r="AE238">
        <v>36.140247070000001</v>
      </c>
      <c r="AF238">
        <v>36.207481899999998</v>
      </c>
      <c r="AG238">
        <v>31.980810989999998</v>
      </c>
      <c r="AH238">
        <v>23.422750709999999</v>
      </c>
      <c r="AI238">
        <v>100</v>
      </c>
      <c r="AJ238">
        <v>0</v>
      </c>
      <c r="AK238">
        <v>0</v>
      </c>
      <c r="AL238">
        <v>1.0000130730000001</v>
      </c>
      <c r="AM238">
        <v>1.000016555</v>
      </c>
      <c r="AN238">
        <v>0</v>
      </c>
      <c r="AO238">
        <v>0</v>
      </c>
      <c r="AP238">
        <v>1</v>
      </c>
      <c r="AQ238">
        <v>0</v>
      </c>
      <c r="AR238">
        <v>13.0656</v>
      </c>
      <c r="AS238">
        <v>18.044</v>
      </c>
      <c r="AT238">
        <v>39.3992</v>
      </c>
      <c r="AU238">
        <v>86.637600000000006</v>
      </c>
      <c r="AV238">
        <v>0</v>
      </c>
    </row>
    <row r="239" spans="1:48">
      <c r="A239">
        <v>238</v>
      </c>
      <c r="B239">
        <v>0</v>
      </c>
      <c r="C239">
        <v>30.32798433</v>
      </c>
      <c r="D239">
        <v>15.39732027</v>
      </c>
      <c r="E239">
        <v>4.7089797669999998</v>
      </c>
      <c r="F239">
        <v>0</v>
      </c>
      <c r="G239">
        <v>0</v>
      </c>
      <c r="H239">
        <v>0.48899911299999999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5.650740399</v>
      </c>
      <c r="Q239">
        <v>0.336217928</v>
      </c>
      <c r="R239">
        <v>0</v>
      </c>
      <c r="S239">
        <v>0</v>
      </c>
      <c r="T239" s="15">
        <v>1.2500000000000001E-19</v>
      </c>
      <c r="U239">
        <v>4.6714191249999999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0.2</v>
      </c>
      <c r="AB239">
        <v>99.7</v>
      </c>
      <c r="AC239">
        <v>0</v>
      </c>
      <c r="AD239" s="15">
        <v>6.5600000000000006E-2</v>
      </c>
      <c r="AE239">
        <v>36.074609279999997</v>
      </c>
      <c r="AF239">
        <v>36.140247070000001</v>
      </c>
      <c r="AG239">
        <v>32.089328289999997</v>
      </c>
      <c r="AH239">
        <v>23.500263069999999</v>
      </c>
      <c r="AI239">
        <v>100</v>
      </c>
      <c r="AJ239">
        <v>0</v>
      </c>
      <c r="AK239">
        <v>0</v>
      </c>
      <c r="AL239">
        <v>1.0000065359999999</v>
      </c>
      <c r="AM239">
        <v>1.0000083769999999</v>
      </c>
      <c r="AN239">
        <v>0</v>
      </c>
      <c r="AO239">
        <v>0</v>
      </c>
      <c r="AP239">
        <v>1</v>
      </c>
      <c r="AQ239">
        <v>0</v>
      </c>
      <c r="AR239">
        <v>13.0656</v>
      </c>
      <c r="AS239">
        <v>18.044</v>
      </c>
      <c r="AT239">
        <v>39.3992</v>
      </c>
      <c r="AU239">
        <v>86.637600000000006</v>
      </c>
      <c r="AV239">
        <v>0</v>
      </c>
    </row>
    <row r="240" spans="1:48">
      <c r="A240">
        <v>239</v>
      </c>
      <c r="B240" s="15">
        <v>0</v>
      </c>
      <c r="C240">
        <v>23.87454387</v>
      </c>
      <c r="D240">
        <v>17.215284570000001</v>
      </c>
      <c r="E240">
        <v>3.2258436449999999</v>
      </c>
      <c r="F240">
        <v>0</v>
      </c>
      <c r="G240">
        <v>0</v>
      </c>
      <c r="H240">
        <v>0.47397038499999999</v>
      </c>
      <c r="I240">
        <v>0</v>
      </c>
      <c r="J240" s="15">
        <v>0</v>
      </c>
      <c r="K240" s="15">
        <v>0</v>
      </c>
      <c r="L240" s="15">
        <v>0</v>
      </c>
      <c r="M240">
        <v>0</v>
      </c>
      <c r="N240">
        <v>0</v>
      </c>
      <c r="O240" s="15">
        <v>0</v>
      </c>
      <c r="P240">
        <v>3.8709901489999998</v>
      </c>
      <c r="Q240">
        <v>0.150097273</v>
      </c>
      <c r="R240">
        <v>0</v>
      </c>
      <c r="S240">
        <v>0</v>
      </c>
      <c r="T240" s="15">
        <v>0</v>
      </c>
      <c r="U240">
        <v>4.5213218519999998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0.2</v>
      </c>
      <c r="AB240">
        <v>99.7</v>
      </c>
      <c r="AC240">
        <v>0</v>
      </c>
      <c r="AD240" s="15">
        <v>6.4100000000000004E-2</v>
      </c>
      <c r="AE240">
        <v>36.010498679999998</v>
      </c>
      <c r="AF240">
        <v>36.074609279999997</v>
      </c>
      <c r="AG240">
        <v>32.313987349999998</v>
      </c>
      <c r="AH240">
        <v>23.660733820000001</v>
      </c>
      <c r="AI240">
        <v>100</v>
      </c>
      <c r="AJ240">
        <v>0</v>
      </c>
      <c r="AK240">
        <v>0</v>
      </c>
      <c r="AL240">
        <v>1</v>
      </c>
      <c r="AM240">
        <v>1</v>
      </c>
      <c r="AN240">
        <v>0</v>
      </c>
      <c r="AO240">
        <v>0</v>
      </c>
      <c r="AP240">
        <v>1</v>
      </c>
      <c r="AQ240">
        <v>0</v>
      </c>
      <c r="AR240">
        <v>13.0656</v>
      </c>
      <c r="AS240">
        <v>18.044</v>
      </c>
      <c r="AT240">
        <v>39.3992</v>
      </c>
      <c r="AU240">
        <v>86.637600000000006</v>
      </c>
      <c r="AV240">
        <v>0</v>
      </c>
    </row>
    <row r="241" spans="1:48">
      <c r="A241">
        <v>240</v>
      </c>
      <c r="B241">
        <v>4.5408043569999998</v>
      </c>
      <c r="C241">
        <v>27.05660503</v>
      </c>
      <c r="D241">
        <v>16.261249410000001</v>
      </c>
      <c r="E241">
        <v>4.2265482179999996</v>
      </c>
      <c r="F241">
        <v>0</v>
      </c>
      <c r="G241">
        <v>0</v>
      </c>
      <c r="H241">
        <v>0.54516039299999997</v>
      </c>
      <c r="I241">
        <v>0</v>
      </c>
      <c r="J241">
        <v>4.5408043569999998</v>
      </c>
      <c r="K241">
        <v>4.5408043569999998</v>
      </c>
      <c r="L241">
        <v>4.5408043569999998</v>
      </c>
      <c r="M241">
        <v>0</v>
      </c>
      <c r="N241">
        <v>0</v>
      </c>
      <c r="O241">
        <v>4.5408044930000004</v>
      </c>
      <c r="P241">
        <v>5.0718311500000004</v>
      </c>
      <c r="Q241">
        <v>0.97894085099999995</v>
      </c>
      <c r="R241">
        <v>0</v>
      </c>
      <c r="S241">
        <v>0</v>
      </c>
      <c r="T241" s="15">
        <v>2.28E-9</v>
      </c>
      <c r="U241">
        <v>8.0831854920000001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0.2</v>
      </c>
      <c r="AB241">
        <v>99.7</v>
      </c>
      <c r="AC241">
        <v>0</v>
      </c>
      <c r="AD241" s="15">
        <v>6.2600000000000003E-2</v>
      </c>
      <c r="AE241">
        <v>35.947849290000001</v>
      </c>
      <c r="AF241">
        <v>36.010498679999998</v>
      </c>
      <c r="AG241">
        <v>31.249793539999999</v>
      </c>
      <c r="AH241">
        <v>22.900595389999999</v>
      </c>
      <c r="AI241">
        <v>100</v>
      </c>
      <c r="AJ241">
        <v>0</v>
      </c>
      <c r="AK241">
        <v>0</v>
      </c>
      <c r="AL241">
        <v>1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13.0656</v>
      </c>
      <c r="AS241">
        <v>18.044</v>
      </c>
      <c r="AT241">
        <v>39.3992</v>
      </c>
      <c r="AU241">
        <v>86.637600000000006</v>
      </c>
      <c r="AV241">
        <v>0</v>
      </c>
    </row>
    <row r="242" spans="1:48">
      <c r="A242">
        <v>241</v>
      </c>
      <c r="B242">
        <v>0</v>
      </c>
      <c r="C242">
        <v>28.274543869999999</v>
      </c>
      <c r="D242">
        <v>12.243394970000001</v>
      </c>
      <c r="E242">
        <v>4.2722704189999998</v>
      </c>
      <c r="F242">
        <v>0</v>
      </c>
      <c r="G242">
        <v>0</v>
      </c>
      <c r="H242">
        <v>0.497126754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5.1266997710000002</v>
      </c>
      <c r="Q242">
        <v>1.436728937</v>
      </c>
      <c r="R242">
        <v>0</v>
      </c>
      <c r="S242">
        <v>0</v>
      </c>
      <c r="T242" s="15">
        <v>1.4100000000000001E-8</v>
      </c>
      <c r="U242">
        <v>6.6464565410000001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0.2</v>
      </c>
      <c r="AB242">
        <v>99.7</v>
      </c>
      <c r="AC242">
        <v>0</v>
      </c>
      <c r="AD242" s="15">
        <v>6.1199999999999997E-2</v>
      </c>
      <c r="AE242">
        <v>35.88659972</v>
      </c>
      <c r="AF242">
        <v>35.947849290000001</v>
      </c>
      <c r="AG242">
        <v>31.96783112</v>
      </c>
      <c r="AH242">
        <v>23.413479370000001</v>
      </c>
      <c r="AI242">
        <v>100</v>
      </c>
      <c r="AJ242">
        <v>0</v>
      </c>
      <c r="AK242">
        <v>0</v>
      </c>
      <c r="AL242">
        <v>1</v>
      </c>
      <c r="AM242">
        <v>1</v>
      </c>
      <c r="AN242">
        <v>0</v>
      </c>
      <c r="AO242">
        <v>0</v>
      </c>
      <c r="AP242">
        <v>1</v>
      </c>
      <c r="AQ242">
        <v>0</v>
      </c>
      <c r="AR242">
        <v>13.0656</v>
      </c>
      <c r="AS242">
        <v>18.044</v>
      </c>
      <c r="AT242">
        <v>39.3992</v>
      </c>
      <c r="AU242">
        <v>86.637600000000006</v>
      </c>
      <c r="AV242">
        <v>0</v>
      </c>
    </row>
    <row r="243" spans="1:48">
      <c r="A243">
        <v>242</v>
      </c>
      <c r="B243">
        <v>0</v>
      </c>
      <c r="C243">
        <v>28.927984330000001</v>
      </c>
      <c r="D243">
        <v>13.63815892</v>
      </c>
      <c r="E243">
        <v>4.2261074729999999</v>
      </c>
      <c r="F243">
        <v>0</v>
      </c>
      <c r="G243">
        <v>0</v>
      </c>
      <c r="H243">
        <v>0.49493200900000001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5.0713065909999999</v>
      </c>
      <c r="Q243">
        <v>0.90326407900000005</v>
      </c>
      <c r="R243">
        <v>0</v>
      </c>
      <c r="S243">
        <v>0</v>
      </c>
      <c r="T243" s="15">
        <v>7.3599999999999997E-11</v>
      </c>
      <c r="U243">
        <v>5.7431924619999997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0.2</v>
      </c>
      <c r="AB243">
        <v>99.7</v>
      </c>
      <c r="AC243">
        <v>0</v>
      </c>
      <c r="AD243" s="15">
        <v>5.9900000000000002E-2</v>
      </c>
      <c r="AE243">
        <v>35.826692270000002</v>
      </c>
      <c r="AF243">
        <v>35.88659972</v>
      </c>
      <c r="AG243">
        <v>32.000639569999997</v>
      </c>
      <c r="AH243">
        <v>23.43691398</v>
      </c>
      <c r="AI243">
        <v>100</v>
      </c>
      <c r="AJ243">
        <v>0</v>
      </c>
      <c r="AK243">
        <v>0</v>
      </c>
      <c r="AL243">
        <v>1</v>
      </c>
      <c r="AM243">
        <v>1</v>
      </c>
      <c r="AN243">
        <v>0</v>
      </c>
      <c r="AO243">
        <v>0</v>
      </c>
      <c r="AP243">
        <v>1</v>
      </c>
      <c r="AQ243">
        <v>0</v>
      </c>
      <c r="AR243">
        <v>13.0656</v>
      </c>
      <c r="AS243">
        <v>18.044</v>
      </c>
      <c r="AT243">
        <v>39.3992</v>
      </c>
      <c r="AU243">
        <v>86.637600000000006</v>
      </c>
      <c r="AV243">
        <v>0</v>
      </c>
    </row>
    <row r="244" spans="1:48">
      <c r="A244">
        <v>243</v>
      </c>
      <c r="B244">
        <v>0.36970363499999997</v>
      </c>
      <c r="C244">
        <v>28.4460747</v>
      </c>
      <c r="D244">
        <v>16.604795899999999</v>
      </c>
      <c r="E244">
        <v>3.994686615</v>
      </c>
      <c r="F244">
        <v>0</v>
      </c>
      <c r="G244">
        <v>0</v>
      </c>
      <c r="H244">
        <v>0.49714773600000001</v>
      </c>
      <c r="I244">
        <v>0</v>
      </c>
      <c r="J244">
        <v>0.36970363499999997</v>
      </c>
      <c r="K244">
        <v>0.36970363499999997</v>
      </c>
      <c r="L244">
        <v>0.36970363499999997</v>
      </c>
      <c r="M244">
        <v>0</v>
      </c>
      <c r="N244">
        <v>0</v>
      </c>
      <c r="O244">
        <v>0.369703646</v>
      </c>
      <c r="P244">
        <v>4.7936046179999998</v>
      </c>
      <c r="Q244">
        <v>0.61613622599999995</v>
      </c>
      <c r="R244">
        <v>0</v>
      </c>
      <c r="S244">
        <v>0</v>
      </c>
      <c r="T244" s="15">
        <v>3.2900000000000001E-13</v>
      </c>
      <c r="U244">
        <v>5.4967598830000002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0.2</v>
      </c>
      <c r="AB244">
        <v>99.7</v>
      </c>
      <c r="AC244">
        <v>0</v>
      </c>
      <c r="AD244" s="15">
        <v>5.8599999999999999E-2</v>
      </c>
      <c r="AE244">
        <v>35.768072699999998</v>
      </c>
      <c r="AF244">
        <v>35.826692270000002</v>
      </c>
      <c r="AG244">
        <v>31.96751746</v>
      </c>
      <c r="AH244">
        <v>23.413255329999998</v>
      </c>
      <c r="AI244">
        <v>100</v>
      </c>
      <c r="AJ244">
        <v>0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1</v>
      </c>
      <c r="AQ244">
        <v>0</v>
      </c>
      <c r="AR244">
        <v>13.0656</v>
      </c>
      <c r="AS244">
        <v>18.044</v>
      </c>
      <c r="AT244">
        <v>39.3992</v>
      </c>
      <c r="AU244">
        <v>86.637600000000006</v>
      </c>
      <c r="AV244">
        <v>0</v>
      </c>
    </row>
    <row r="245" spans="1:48">
      <c r="A245">
        <v>244</v>
      </c>
      <c r="B245" s="15">
        <v>1.9599999999999999E-2</v>
      </c>
      <c r="C245">
        <v>30.138750590000001</v>
      </c>
      <c r="D245">
        <v>14.23326507</v>
      </c>
      <c r="E245">
        <v>4.284630634</v>
      </c>
      <c r="F245">
        <v>0</v>
      </c>
      <c r="G245">
        <v>0</v>
      </c>
      <c r="H245">
        <v>0.50825581500000006</v>
      </c>
      <c r="I245">
        <v>0</v>
      </c>
      <c r="J245" s="15">
        <v>1.9599999999999999E-2</v>
      </c>
      <c r="K245" s="15">
        <v>1.9599999999999999E-2</v>
      </c>
      <c r="L245" s="15">
        <v>1.9599999999999999E-2</v>
      </c>
      <c r="M245">
        <v>0</v>
      </c>
      <c r="N245">
        <v>0</v>
      </c>
      <c r="O245" s="15">
        <v>1.9599999999999999E-2</v>
      </c>
      <c r="P245">
        <v>5.1415378629999999</v>
      </c>
      <c r="Q245">
        <v>0.49539248800000002</v>
      </c>
      <c r="R245">
        <v>0</v>
      </c>
      <c r="S245">
        <v>0</v>
      </c>
      <c r="T245" s="15">
        <v>1.0099999999999999E-14</v>
      </c>
      <c r="U245">
        <v>5.0209572400000004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0.2</v>
      </c>
      <c r="AB245">
        <v>99.7</v>
      </c>
      <c r="AC245">
        <v>0</v>
      </c>
      <c r="AD245" s="15">
        <v>5.74E-2</v>
      </c>
      <c r="AE245">
        <v>35.710689909999999</v>
      </c>
      <c r="AF245">
        <v>35.768072699999998</v>
      </c>
      <c r="AG245">
        <v>31.801466789999999</v>
      </c>
      <c r="AH245">
        <v>23.29464771</v>
      </c>
      <c r="AI245">
        <v>100</v>
      </c>
      <c r="AJ245">
        <v>0</v>
      </c>
      <c r="AK245">
        <v>0</v>
      </c>
      <c r="AL245">
        <v>1</v>
      </c>
      <c r="AM245">
        <v>1</v>
      </c>
      <c r="AN245">
        <v>0</v>
      </c>
      <c r="AO245">
        <v>0</v>
      </c>
      <c r="AP245">
        <v>1</v>
      </c>
      <c r="AQ245">
        <v>0</v>
      </c>
      <c r="AR245">
        <v>13.0656</v>
      </c>
      <c r="AS245">
        <v>18.044</v>
      </c>
      <c r="AT245">
        <v>39.3992</v>
      </c>
      <c r="AU245">
        <v>86.637600000000006</v>
      </c>
      <c r="AV245">
        <v>0</v>
      </c>
    </row>
    <row r="246" spans="1:48">
      <c r="A246">
        <v>245</v>
      </c>
      <c r="B246">
        <v>0</v>
      </c>
      <c r="C246">
        <v>29.346074699999999</v>
      </c>
      <c r="D246">
        <v>16.24058917</v>
      </c>
      <c r="E246">
        <v>4.6028521720000004</v>
      </c>
      <c r="F246">
        <v>0</v>
      </c>
      <c r="G246">
        <v>0</v>
      </c>
      <c r="H246">
        <v>0.49433848600000002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5.5234041170000001</v>
      </c>
      <c r="Q246">
        <v>0.33550313599999998</v>
      </c>
      <c r="R246">
        <v>0</v>
      </c>
      <c r="S246">
        <v>0</v>
      </c>
      <c r="T246" s="15">
        <v>2.2800000000000001E-19</v>
      </c>
      <c r="U246">
        <v>4.6854541039999997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0.2</v>
      </c>
      <c r="AB246">
        <v>99.7</v>
      </c>
      <c r="AC246">
        <v>0</v>
      </c>
      <c r="AD246" s="15">
        <v>5.62E-2</v>
      </c>
      <c r="AE246">
        <v>35.65449572</v>
      </c>
      <c r="AF246">
        <v>35.710689909999999</v>
      </c>
      <c r="AG246">
        <v>32.009511940000003</v>
      </c>
      <c r="AH246">
        <v>23.44325139</v>
      </c>
      <c r="AI246">
        <v>100</v>
      </c>
      <c r="AJ246">
        <v>0</v>
      </c>
      <c r="AK246">
        <v>0</v>
      </c>
      <c r="AL246">
        <v>1</v>
      </c>
      <c r="AM246">
        <v>1</v>
      </c>
      <c r="AN246">
        <v>0</v>
      </c>
      <c r="AO246">
        <v>0</v>
      </c>
      <c r="AP246">
        <v>1</v>
      </c>
      <c r="AQ246">
        <v>0</v>
      </c>
      <c r="AR246">
        <v>13.0656</v>
      </c>
      <c r="AS246">
        <v>18.044</v>
      </c>
      <c r="AT246">
        <v>39.3992</v>
      </c>
      <c r="AU246">
        <v>86.637600000000006</v>
      </c>
      <c r="AV246">
        <v>0</v>
      </c>
    </row>
    <row r="247" spans="1:48">
      <c r="A247">
        <v>246</v>
      </c>
      <c r="B247">
        <v>0</v>
      </c>
      <c r="C247">
        <v>29.0926759</v>
      </c>
      <c r="D247">
        <v>16.586663869999999</v>
      </c>
      <c r="E247">
        <v>4.0890851350000004</v>
      </c>
      <c r="F247">
        <v>0</v>
      </c>
      <c r="G247">
        <v>0</v>
      </c>
      <c r="H247">
        <v>0.47906383600000002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4.9068872270000004</v>
      </c>
      <c r="Q247">
        <v>0.187237608</v>
      </c>
      <c r="R247">
        <v>0</v>
      </c>
      <c r="S247">
        <v>0</v>
      </c>
      <c r="T247" s="15">
        <v>0</v>
      </c>
      <c r="U247">
        <v>4.4982164960000004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0.2</v>
      </c>
      <c r="AB247">
        <v>99.7</v>
      </c>
      <c r="AC247">
        <v>0</v>
      </c>
      <c r="AD247" s="15">
        <v>5.5100000000000003E-2</v>
      </c>
      <c r="AE247">
        <v>35.599444679999998</v>
      </c>
      <c r="AF247">
        <v>35.65449572</v>
      </c>
      <c r="AG247">
        <v>32.237847180000003</v>
      </c>
      <c r="AH247">
        <v>23.60634799</v>
      </c>
      <c r="AI247">
        <v>100</v>
      </c>
      <c r="AJ247">
        <v>0</v>
      </c>
      <c r="AK247">
        <v>0</v>
      </c>
      <c r="AL247">
        <v>1</v>
      </c>
      <c r="AM247">
        <v>1</v>
      </c>
      <c r="AN247">
        <v>0</v>
      </c>
      <c r="AO247">
        <v>0</v>
      </c>
      <c r="AP247">
        <v>1</v>
      </c>
      <c r="AQ247">
        <v>0</v>
      </c>
      <c r="AR247">
        <v>13.0656</v>
      </c>
      <c r="AS247">
        <v>18.044</v>
      </c>
      <c r="AT247">
        <v>39.3992</v>
      </c>
      <c r="AU247">
        <v>86.637600000000006</v>
      </c>
      <c r="AV247">
        <v>0</v>
      </c>
    </row>
    <row r="248" spans="1:48">
      <c r="A248">
        <v>247</v>
      </c>
      <c r="B248" s="15">
        <v>0</v>
      </c>
      <c r="C248">
        <v>29.574543869999999</v>
      </c>
      <c r="D248">
        <v>16.317980510000002</v>
      </c>
      <c r="E248">
        <v>3.8986622350000002</v>
      </c>
      <c r="F248">
        <v>0</v>
      </c>
      <c r="G248">
        <v>0</v>
      </c>
      <c r="H248">
        <v>0.50372451100000004</v>
      </c>
      <c r="I248">
        <v>0</v>
      </c>
      <c r="J248" s="15">
        <v>0</v>
      </c>
      <c r="K248" s="15">
        <v>0</v>
      </c>
      <c r="L248" s="15">
        <v>0</v>
      </c>
      <c r="M248">
        <v>0</v>
      </c>
      <c r="N248">
        <v>0</v>
      </c>
      <c r="O248" s="15">
        <v>0</v>
      </c>
      <c r="P248">
        <v>4.678381753</v>
      </c>
      <c r="Q248">
        <v>0.116572418</v>
      </c>
      <c r="R248">
        <v>0</v>
      </c>
      <c r="S248">
        <v>0</v>
      </c>
      <c r="T248" s="15">
        <v>0</v>
      </c>
      <c r="U248">
        <v>4.3816440779999999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0.2</v>
      </c>
      <c r="AB248">
        <v>99.7</v>
      </c>
      <c r="AC248">
        <v>0</v>
      </c>
      <c r="AD248" s="15">
        <v>5.3999999999999999E-2</v>
      </c>
      <c r="AE248">
        <v>35.545493819999997</v>
      </c>
      <c r="AF248">
        <v>35.599444679999998</v>
      </c>
      <c r="AG248">
        <v>31.869203630000001</v>
      </c>
      <c r="AH248">
        <v>23.343031159999999</v>
      </c>
      <c r="AI248">
        <v>100</v>
      </c>
      <c r="AJ248">
        <v>0</v>
      </c>
      <c r="AK248">
        <v>0</v>
      </c>
      <c r="AL248">
        <v>1</v>
      </c>
      <c r="AM248">
        <v>1</v>
      </c>
      <c r="AN248">
        <v>0</v>
      </c>
      <c r="AO248">
        <v>0</v>
      </c>
      <c r="AP248">
        <v>1</v>
      </c>
      <c r="AQ248">
        <v>0</v>
      </c>
      <c r="AR248">
        <v>13.0656</v>
      </c>
      <c r="AS248">
        <v>18.044</v>
      </c>
      <c r="AT248">
        <v>39.3992</v>
      </c>
      <c r="AU248">
        <v>86.637600000000006</v>
      </c>
      <c r="AV248">
        <v>0</v>
      </c>
    </row>
    <row r="249" spans="1:48">
      <c r="A249">
        <v>248</v>
      </c>
      <c r="B249">
        <v>0</v>
      </c>
      <c r="C249">
        <v>30.320660230000001</v>
      </c>
      <c r="D249">
        <v>15.461249410000001</v>
      </c>
      <c r="E249">
        <v>4.0495228719999998</v>
      </c>
      <c r="F249">
        <v>0</v>
      </c>
      <c r="G249">
        <v>0</v>
      </c>
      <c r="H249">
        <v>0.51286472999999999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4.8594152719999997</v>
      </c>
      <c r="Q249" s="15">
        <v>7.9299999999999995E-2</v>
      </c>
      <c r="R249">
        <v>0</v>
      </c>
      <c r="S249">
        <v>0</v>
      </c>
      <c r="T249" s="15">
        <v>0</v>
      </c>
      <c r="U249">
        <v>4.3023270269999996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0.2</v>
      </c>
      <c r="AB249">
        <v>99.7</v>
      </c>
      <c r="AC249">
        <v>0</v>
      </c>
      <c r="AD249" s="15">
        <v>5.2900000000000003E-2</v>
      </c>
      <c r="AE249">
        <v>35.492602509999998</v>
      </c>
      <c r="AF249">
        <v>35.545493819999997</v>
      </c>
      <c r="AG249">
        <v>31.732569789999999</v>
      </c>
      <c r="AH249">
        <v>23.245435560000001</v>
      </c>
      <c r="AI249">
        <v>100</v>
      </c>
      <c r="AJ249">
        <v>0</v>
      </c>
      <c r="AK249">
        <v>0</v>
      </c>
      <c r="AL249">
        <v>1</v>
      </c>
      <c r="AM249">
        <v>1</v>
      </c>
      <c r="AN249">
        <v>0</v>
      </c>
      <c r="AO249">
        <v>0</v>
      </c>
      <c r="AP249">
        <v>1</v>
      </c>
      <c r="AQ249">
        <v>0</v>
      </c>
      <c r="AR249">
        <v>13.0656</v>
      </c>
      <c r="AS249">
        <v>18.044</v>
      </c>
      <c r="AT249">
        <v>39.3992</v>
      </c>
      <c r="AU249">
        <v>86.637600000000006</v>
      </c>
      <c r="AV249">
        <v>0</v>
      </c>
    </row>
    <row r="250" spans="1:48">
      <c r="A250">
        <v>249</v>
      </c>
      <c r="B250" s="15">
        <v>0</v>
      </c>
      <c r="C250">
        <v>30.36673493</v>
      </c>
      <c r="D250">
        <v>17.486663870000001</v>
      </c>
      <c r="E250">
        <v>4.1899579400000002</v>
      </c>
      <c r="F250">
        <v>0</v>
      </c>
      <c r="G250">
        <v>0</v>
      </c>
      <c r="H250">
        <v>0.50562338900000003</v>
      </c>
      <c r="I250">
        <v>0</v>
      </c>
      <c r="J250" s="15">
        <v>0</v>
      </c>
      <c r="K250" s="15">
        <v>0</v>
      </c>
      <c r="L250" s="15">
        <v>0</v>
      </c>
      <c r="M250">
        <v>0</v>
      </c>
      <c r="N250">
        <v>0</v>
      </c>
      <c r="O250" s="15">
        <v>0</v>
      </c>
      <c r="P250">
        <v>5.0279381269999996</v>
      </c>
      <c r="Q250" s="15">
        <v>5.2900000000000003E-2</v>
      </c>
      <c r="R250">
        <v>0</v>
      </c>
      <c r="S250">
        <v>0</v>
      </c>
      <c r="T250" s="15">
        <v>0</v>
      </c>
      <c r="U250">
        <v>4.2493839409999996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0.2</v>
      </c>
      <c r="AB250">
        <v>99.7</v>
      </c>
      <c r="AC250">
        <v>0</v>
      </c>
      <c r="AD250" s="15">
        <v>5.1900000000000002E-2</v>
      </c>
      <c r="AE250">
        <v>35.44073229</v>
      </c>
      <c r="AF250">
        <v>35.492602509999998</v>
      </c>
      <c r="AG250">
        <v>31.840817980000001</v>
      </c>
      <c r="AH250">
        <v>23.322755699999998</v>
      </c>
      <c r="AI250">
        <v>100</v>
      </c>
      <c r="AJ250">
        <v>0</v>
      </c>
      <c r="AK250">
        <v>0</v>
      </c>
      <c r="AL250">
        <v>1</v>
      </c>
      <c r="AM250">
        <v>1</v>
      </c>
      <c r="AN250">
        <v>0</v>
      </c>
      <c r="AO250">
        <v>0</v>
      </c>
      <c r="AP250">
        <v>1</v>
      </c>
      <c r="AQ250">
        <v>0</v>
      </c>
      <c r="AR250">
        <v>13.0656</v>
      </c>
      <c r="AS250">
        <v>18.044</v>
      </c>
      <c r="AT250">
        <v>39.3992</v>
      </c>
      <c r="AU250">
        <v>86.637600000000006</v>
      </c>
      <c r="AV250">
        <v>0</v>
      </c>
    </row>
    <row r="251" spans="1:48">
      <c r="A251">
        <v>250</v>
      </c>
      <c r="B251">
        <v>0</v>
      </c>
      <c r="C251">
        <v>30.12798433</v>
      </c>
      <c r="D251">
        <v>15.986663869999999</v>
      </c>
      <c r="E251">
        <v>4.0354131210000004</v>
      </c>
      <c r="F251">
        <v>0</v>
      </c>
      <c r="G251">
        <v>0</v>
      </c>
      <c r="H251">
        <v>0.49888247499999999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4.8424858220000004</v>
      </c>
      <c r="Q251" s="15">
        <v>3.3000000000000002E-2</v>
      </c>
      <c r="R251">
        <v>0</v>
      </c>
      <c r="S251">
        <v>0</v>
      </c>
      <c r="T251" s="15">
        <v>0</v>
      </c>
      <c r="U251">
        <v>4.2164068940000003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0.2</v>
      </c>
      <c r="AB251">
        <v>99.7</v>
      </c>
      <c r="AC251">
        <v>0</v>
      </c>
      <c r="AD251" s="15">
        <v>5.0900000000000001E-2</v>
      </c>
      <c r="AE251">
        <v>35.389846720000001</v>
      </c>
      <c r="AF251">
        <v>35.44073229</v>
      </c>
      <c r="AG251">
        <v>31.941585480000001</v>
      </c>
      <c r="AH251">
        <v>23.394732489999999</v>
      </c>
      <c r="AI251">
        <v>100</v>
      </c>
      <c r="AJ251">
        <v>0</v>
      </c>
      <c r="AK251">
        <v>0</v>
      </c>
      <c r="AL251">
        <v>1</v>
      </c>
      <c r="AM251">
        <v>1</v>
      </c>
      <c r="AN251">
        <v>0</v>
      </c>
      <c r="AO251">
        <v>0</v>
      </c>
      <c r="AP251">
        <v>1</v>
      </c>
      <c r="AQ251">
        <v>0</v>
      </c>
      <c r="AR251">
        <v>13.0656</v>
      </c>
      <c r="AS251">
        <v>18.044</v>
      </c>
      <c r="AT251">
        <v>39.3992</v>
      </c>
      <c r="AU251">
        <v>86.637600000000006</v>
      </c>
      <c r="AV251">
        <v>0</v>
      </c>
    </row>
    <row r="252" spans="1:48">
      <c r="A252">
        <v>251</v>
      </c>
      <c r="B252">
        <v>0</v>
      </c>
      <c r="C252">
        <v>29.856605030000001</v>
      </c>
      <c r="D252">
        <v>16.719928939999999</v>
      </c>
      <c r="E252">
        <v>4.2061407920000002</v>
      </c>
      <c r="F252">
        <v>0</v>
      </c>
      <c r="G252">
        <v>0</v>
      </c>
      <c r="H252">
        <v>0.50630056700000003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5.0473596189999999</v>
      </c>
      <c r="Q252" s="15">
        <v>2.2100000000000002E-2</v>
      </c>
      <c r="R252">
        <v>0</v>
      </c>
      <c r="S252">
        <v>0</v>
      </c>
      <c r="T252" s="15">
        <v>0</v>
      </c>
      <c r="U252">
        <v>4.1943450860000002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0.2</v>
      </c>
      <c r="AB252">
        <v>99.7</v>
      </c>
      <c r="AC252">
        <v>0</v>
      </c>
      <c r="AD252" s="15">
        <v>4.99E-2</v>
      </c>
      <c r="AE252">
        <v>35.339911209999997</v>
      </c>
      <c r="AF252">
        <v>35.389846720000001</v>
      </c>
      <c r="AG252">
        <v>31.830695089999999</v>
      </c>
      <c r="AH252">
        <v>23.31552507</v>
      </c>
      <c r="AI252">
        <v>100</v>
      </c>
      <c r="AJ252">
        <v>0</v>
      </c>
      <c r="AK252">
        <v>0</v>
      </c>
      <c r="AL252">
        <v>1</v>
      </c>
      <c r="AM252">
        <v>1</v>
      </c>
      <c r="AN252">
        <v>0</v>
      </c>
      <c r="AO252">
        <v>0</v>
      </c>
      <c r="AP252">
        <v>1</v>
      </c>
      <c r="AQ252">
        <v>0</v>
      </c>
      <c r="AR252">
        <v>13.0656</v>
      </c>
      <c r="AS252">
        <v>18.044</v>
      </c>
      <c r="AT252">
        <v>39.3992</v>
      </c>
      <c r="AU252">
        <v>86.637600000000006</v>
      </c>
      <c r="AV252">
        <v>0</v>
      </c>
    </row>
    <row r="253" spans="1:48">
      <c r="A253">
        <v>252</v>
      </c>
      <c r="B253">
        <v>0</v>
      </c>
      <c r="C253">
        <v>29.656605030000001</v>
      </c>
      <c r="D253">
        <v>16.376660040000001</v>
      </c>
      <c r="E253">
        <v>3.783521489</v>
      </c>
      <c r="F253">
        <v>0</v>
      </c>
      <c r="G253">
        <v>0</v>
      </c>
      <c r="H253">
        <v>0.498105615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4.5402182270000004</v>
      </c>
      <c r="Q253" s="15">
        <v>1.29E-2</v>
      </c>
      <c r="R253">
        <v>0</v>
      </c>
      <c r="S253">
        <v>0</v>
      </c>
      <c r="T253" s="15">
        <v>0</v>
      </c>
      <c r="U253">
        <v>4.1814849150000004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0.2</v>
      </c>
      <c r="AB253">
        <v>99.7</v>
      </c>
      <c r="AC253">
        <v>0</v>
      </c>
      <c r="AD253" s="15">
        <v>4.9000000000000002E-2</v>
      </c>
      <c r="AE253">
        <v>35.290892960000001</v>
      </c>
      <c r="AF253">
        <v>35.339911209999997</v>
      </c>
      <c r="AG253">
        <v>31.95319847</v>
      </c>
      <c r="AH253">
        <v>23.403027479999999</v>
      </c>
      <c r="AI253">
        <v>100</v>
      </c>
      <c r="AJ253">
        <v>0</v>
      </c>
      <c r="AK253">
        <v>0</v>
      </c>
      <c r="AL253">
        <v>1</v>
      </c>
      <c r="AM253">
        <v>1</v>
      </c>
      <c r="AN253">
        <v>0</v>
      </c>
      <c r="AO253">
        <v>0</v>
      </c>
      <c r="AP253">
        <v>1</v>
      </c>
      <c r="AQ253">
        <v>0</v>
      </c>
      <c r="AR253">
        <v>13.0656</v>
      </c>
      <c r="AS253">
        <v>18.044</v>
      </c>
      <c r="AT253">
        <v>39.3992</v>
      </c>
      <c r="AU253">
        <v>86.637600000000006</v>
      </c>
      <c r="AV253">
        <v>0</v>
      </c>
    </row>
    <row r="254" spans="1:48">
      <c r="A254">
        <v>253</v>
      </c>
      <c r="B254" s="15">
        <v>0</v>
      </c>
      <c r="C254">
        <v>29.974543870000002</v>
      </c>
      <c r="D254">
        <v>16.34819087</v>
      </c>
      <c r="E254">
        <v>3.2778447399999999</v>
      </c>
      <c r="F254">
        <v>0</v>
      </c>
      <c r="G254">
        <v>0</v>
      </c>
      <c r="H254">
        <v>0.51839127100000004</v>
      </c>
      <c r="I254">
        <v>0</v>
      </c>
      <c r="J254" s="15">
        <v>0</v>
      </c>
      <c r="K254" s="15">
        <v>0</v>
      </c>
      <c r="L254" s="15">
        <v>0</v>
      </c>
      <c r="M254">
        <v>0</v>
      </c>
      <c r="N254">
        <v>0</v>
      </c>
      <c r="O254" s="15">
        <v>0</v>
      </c>
      <c r="P254">
        <v>3.9334077989999998</v>
      </c>
      <c r="Q254" s="15">
        <v>7.5900000000000004E-3</v>
      </c>
      <c r="R254">
        <v>0</v>
      </c>
      <c r="S254">
        <v>0</v>
      </c>
      <c r="T254" s="15">
        <v>0</v>
      </c>
      <c r="U254">
        <v>4.1738930200000004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0.2</v>
      </c>
      <c r="AB254">
        <v>99.7</v>
      </c>
      <c r="AC254">
        <v>0</v>
      </c>
      <c r="AD254" s="15">
        <v>4.8099999999999997E-2</v>
      </c>
      <c r="AE254">
        <v>35.242760799999999</v>
      </c>
      <c r="AF254">
        <v>35.290892960000001</v>
      </c>
      <c r="AG254">
        <v>31.649955519999999</v>
      </c>
      <c r="AH254">
        <v>23.186425369999998</v>
      </c>
      <c r="AI254">
        <v>100</v>
      </c>
      <c r="AJ254">
        <v>0</v>
      </c>
      <c r="AK254">
        <v>0</v>
      </c>
      <c r="AL254">
        <v>1</v>
      </c>
      <c r="AM254">
        <v>1</v>
      </c>
      <c r="AN254">
        <v>0</v>
      </c>
      <c r="AO254">
        <v>0</v>
      </c>
      <c r="AP254">
        <v>1</v>
      </c>
      <c r="AQ254">
        <v>0</v>
      </c>
      <c r="AR254">
        <v>13.0656</v>
      </c>
      <c r="AS254">
        <v>18.044</v>
      </c>
      <c r="AT254">
        <v>39.3992</v>
      </c>
      <c r="AU254">
        <v>86.637600000000006</v>
      </c>
      <c r="AV254">
        <v>0</v>
      </c>
    </row>
    <row r="255" spans="1:48">
      <c r="A255">
        <v>254</v>
      </c>
      <c r="B255" s="15">
        <v>0</v>
      </c>
      <c r="C255">
        <v>30.94928093</v>
      </c>
      <c r="D255">
        <v>18.37201567</v>
      </c>
      <c r="E255">
        <v>3.7339503600000001</v>
      </c>
      <c r="F255">
        <v>0</v>
      </c>
      <c r="G255">
        <v>0</v>
      </c>
      <c r="H255">
        <v>0.54266368700000001</v>
      </c>
      <c r="I255">
        <v>0</v>
      </c>
      <c r="J255" s="15">
        <v>0</v>
      </c>
      <c r="K255" s="15">
        <v>0</v>
      </c>
      <c r="L255" s="15">
        <v>0</v>
      </c>
      <c r="M255">
        <v>0</v>
      </c>
      <c r="N255">
        <v>0</v>
      </c>
      <c r="O255" s="15">
        <v>0</v>
      </c>
      <c r="P255">
        <v>4.4807344110000003</v>
      </c>
      <c r="Q255" s="15">
        <v>5.9500000000000004E-3</v>
      </c>
      <c r="R255">
        <v>0</v>
      </c>
      <c r="S255">
        <v>0</v>
      </c>
      <c r="T255" s="15">
        <v>0</v>
      </c>
      <c r="U255">
        <v>4.1679472280000001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0.2</v>
      </c>
      <c r="AB255">
        <v>99.7</v>
      </c>
      <c r="AC255">
        <v>0</v>
      </c>
      <c r="AD255" s="15">
        <v>4.7300000000000002E-2</v>
      </c>
      <c r="AE255">
        <v>35.195485060000003</v>
      </c>
      <c r="AF255">
        <v>35.242760799999999</v>
      </c>
      <c r="AG255">
        <v>31.2871159</v>
      </c>
      <c r="AH255">
        <v>22.927254210000001</v>
      </c>
      <c r="AI255">
        <v>100</v>
      </c>
      <c r="AJ255">
        <v>0</v>
      </c>
      <c r="AK255">
        <v>0</v>
      </c>
      <c r="AL255">
        <v>1</v>
      </c>
      <c r="AM255">
        <v>1</v>
      </c>
      <c r="AN255">
        <v>0</v>
      </c>
      <c r="AO255">
        <v>0</v>
      </c>
      <c r="AP255">
        <v>1</v>
      </c>
      <c r="AQ255">
        <v>0</v>
      </c>
      <c r="AR255">
        <v>13.0656</v>
      </c>
      <c r="AS255">
        <v>18.044</v>
      </c>
      <c r="AT255">
        <v>39.3992</v>
      </c>
      <c r="AU255">
        <v>86.637600000000006</v>
      </c>
      <c r="AV255">
        <v>0</v>
      </c>
    </row>
    <row r="256" spans="1:48">
      <c r="A256">
        <v>255</v>
      </c>
      <c r="B256">
        <v>0</v>
      </c>
      <c r="C256">
        <v>31.21048867</v>
      </c>
      <c r="D256">
        <v>15.807324100000001</v>
      </c>
      <c r="E256">
        <v>3.7401812799999998</v>
      </c>
      <c r="F256">
        <v>0</v>
      </c>
      <c r="G256">
        <v>0</v>
      </c>
      <c r="H256">
        <v>0.52077062299999999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4.4882121320000001</v>
      </c>
      <c r="Q256" s="15">
        <v>3.98E-3</v>
      </c>
      <c r="R256">
        <v>0</v>
      </c>
      <c r="S256">
        <v>0</v>
      </c>
      <c r="T256" s="15">
        <v>0</v>
      </c>
      <c r="U256">
        <v>4.1639660269999998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0.2</v>
      </c>
      <c r="AB256">
        <v>99.7</v>
      </c>
      <c r="AC256">
        <v>0</v>
      </c>
      <c r="AD256" s="15">
        <v>4.6399999999999997E-2</v>
      </c>
      <c r="AE256">
        <v>35.149037540000002</v>
      </c>
      <c r="AF256">
        <v>35.195485060000003</v>
      </c>
      <c r="AG256">
        <v>31.614387430000001</v>
      </c>
      <c r="AH256">
        <v>23.161019589999999</v>
      </c>
      <c r="AI256">
        <v>100</v>
      </c>
      <c r="AJ256">
        <v>0</v>
      </c>
      <c r="AK256">
        <v>0</v>
      </c>
      <c r="AL256">
        <v>1</v>
      </c>
      <c r="AM256">
        <v>1</v>
      </c>
      <c r="AN256">
        <v>0</v>
      </c>
      <c r="AO256">
        <v>0</v>
      </c>
      <c r="AP256">
        <v>1</v>
      </c>
      <c r="AQ256">
        <v>0</v>
      </c>
      <c r="AR256">
        <v>13.0656</v>
      </c>
      <c r="AS256">
        <v>18.044</v>
      </c>
      <c r="AT256">
        <v>39.3992</v>
      </c>
      <c r="AU256">
        <v>86.637600000000006</v>
      </c>
      <c r="AV256">
        <v>0</v>
      </c>
    </row>
    <row r="257" spans="1:48">
      <c r="A257">
        <v>256</v>
      </c>
      <c r="B257">
        <v>0</v>
      </c>
      <c r="C257">
        <v>32.22066023</v>
      </c>
      <c r="D257">
        <v>14.5688511</v>
      </c>
      <c r="E257">
        <v>3.8312975580000002</v>
      </c>
      <c r="F257">
        <v>0</v>
      </c>
      <c r="G257">
        <v>0</v>
      </c>
      <c r="H257">
        <v>0.52047151400000002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4.5975521180000003</v>
      </c>
      <c r="Q257" s="15">
        <v>2.7100000000000002E-3</v>
      </c>
      <c r="R257">
        <v>0</v>
      </c>
      <c r="S257">
        <v>0</v>
      </c>
      <c r="T257">
        <v>0</v>
      </c>
      <c r="U257">
        <v>4.1612526589999996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0.2</v>
      </c>
      <c r="AB257">
        <v>99.7</v>
      </c>
      <c r="AC257">
        <v>0</v>
      </c>
      <c r="AD257" s="15">
        <v>4.5600000000000002E-2</v>
      </c>
      <c r="AE257">
        <v>35.103391369999997</v>
      </c>
      <c r="AF257">
        <v>35.149037540000002</v>
      </c>
      <c r="AG257">
        <v>31.618858700000001</v>
      </c>
      <c r="AH257">
        <v>23.164213360000002</v>
      </c>
      <c r="AI257">
        <v>100</v>
      </c>
      <c r="AJ257">
        <v>0</v>
      </c>
      <c r="AK257">
        <v>0</v>
      </c>
      <c r="AL257">
        <v>1</v>
      </c>
      <c r="AM257">
        <v>1</v>
      </c>
      <c r="AN257">
        <v>0</v>
      </c>
      <c r="AO257">
        <v>0</v>
      </c>
      <c r="AP257">
        <v>1</v>
      </c>
      <c r="AQ257">
        <v>0</v>
      </c>
      <c r="AR257">
        <v>13.0656</v>
      </c>
      <c r="AS257">
        <v>18.044</v>
      </c>
      <c r="AT257">
        <v>39.3992</v>
      </c>
      <c r="AU257">
        <v>86.637600000000006</v>
      </c>
      <c r="AV257">
        <v>0</v>
      </c>
    </row>
    <row r="258" spans="1:48">
      <c r="A258">
        <v>257</v>
      </c>
      <c r="B258">
        <v>0</v>
      </c>
      <c r="C258">
        <v>29.20267973</v>
      </c>
      <c r="D258">
        <v>15.986663869999999</v>
      </c>
      <c r="E258">
        <v>2.8937038730000002</v>
      </c>
      <c r="F258">
        <v>0</v>
      </c>
      <c r="G258">
        <v>0</v>
      </c>
      <c r="H258">
        <v>0.51609791500000002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3.4724413090000001</v>
      </c>
      <c r="Q258" s="15">
        <v>1.42E-3</v>
      </c>
      <c r="R258">
        <v>0</v>
      </c>
      <c r="S258">
        <v>0</v>
      </c>
      <c r="T258">
        <v>0</v>
      </c>
      <c r="U258">
        <v>4.159833796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0.2</v>
      </c>
      <c r="AB258">
        <v>99.7</v>
      </c>
      <c r="AC258">
        <v>0</v>
      </c>
      <c r="AD258" s="15">
        <v>4.4900000000000002E-2</v>
      </c>
      <c r="AE258">
        <v>35.058520950000002</v>
      </c>
      <c r="AF258">
        <v>35.103391369999997</v>
      </c>
      <c r="AG258">
        <v>31.684238069999999</v>
      </c>
      <c r="AH258">
        <v>23.2109129</v>
      </c>
      <c r="AI258">
        <v>100</v>
      </c>
      <c r="AJ258">
        <v>0</v>
      </c>
      <c r="AK258">
        <v>0</v>
      </c>
      <c r="AL258">
        <v>1</v>
      </c>
      <c r="AM258">
        <v>1</v>
      </c>
      <c r="AN258">
        <v>0</v>
      </c>
      <c r="AO258">
        <v>0</v>
      </c>
      <c r="AP258">
        <v>1</v>
      </c>
      <c r="AQ258">
        <v>0</v>
      </c>
      <c r="AR258">
        <v>13.0656</v>
      </c>
      <c r="AS258">
        <v>18.044</v>
      </c>
      <c r="AT258">
        <v>39.3992</v>
      </c>
      <c r="AU258">
        <v>86.637600000000006</v>
      </c>
      <c r="AV258">
        <v>0</v>
      </c>
    </row>
    <row r="259" spans="1:48">
      <c r="A259">
        <v>258</v>
      </c>
      <c r="B259">
        <v>0</v>
      </c>
      <c r="C259">
        <v>29.502679730000001</v>
      </c>
      <c r="D259">
        <v>18.694624340000001</v>
      </c>
      <c r="E259">
        <v>2.6978517200000001</v>
      </c>
      <c r="F259">
        <v>0</v>
      </c>
      <c r="G259">
        <v>0</v>
      </c>
      <c r="H259">
        <v>0.56110234599999997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3.2374192910000001</v>
      </c>
      <c r="Q259" s="15">
        <v>9.7900000000000005E-4</v>
      </c>
      <c r="R259">
        <v>0</v>
      </c>
      <c r="S259">
        <v>0</v>
      </c>
      <c r="T259">
        <v>0</v>
      </c>
      <c r="U259">
        <v>4.1588551259999997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0.2</v>
      </c>
      <c r="AB259">
        <v>99.7</v>
      </c>
      <c r="AC259">
        <v>0</v>
      </c>
      <c r="AD259" s="15">
        <v>4.41E-2</v>
      </c>
      <c r="AE259">
        <v>35.014401839999998</v>
      </c>
      <c r="AF259">
        <v>35.058520950000002</v>
      </c>
      <c r="AG259">
        <v>31.01148302</v>
      </c>
      <c r="AH259">
        <v>22.730373589999999</v>
      </c>
      <c r="AI259">
        <v>100</v>
      </c>
      <c r="AJ259">
        <v>0</v>
      </c>
      <c r="AK259">
        <v>0</v>
      </c>
      <c r="AL259">
        <v>1</v>
      </c>
      <c r="AM259">
        <v>1</v>
      </c>
      <c r="AN259">
        <v>0</v>
      </c>
      <c r="AO259">
        <v>0</v>
      </c>
      <c r="AP259">
        <v>1</v>
      </c>
      <c r="AQ259">
        <v>0</v>
      </c>
      <c r="AR259">
        <v>13.0656</v>
      </c>
      <c r="AS259">
        <v>18.044</v>
      </c>
      <c r="AT259">
        <v>39.3992</v>
      </c>
      <c r="AU259">
        <v>86.637600000000006</v>
      </c>
      <c r="AV259">
        <v>0</v>
      </c>
    </row>
    <row r="260" spans="1:48">
      <c r="A260">
        <v>259</v>
      </c>
      <c r="B260">
        <v>21.829790289999998</v>
      </c>
      <c r="C260">
        <v>28.787880000000001</v>
      </c>
      <c r="D260">
        <v>18.37454387</v>
      </c>
      <c r="E260">
        <v>2.4468163349999998</v>
      </c>
      <c r="F260">
        <v>0</v>
      </c>
      <c r="G260">
        <v>0</v>
      </c>
      <c r="H260">
        <v>0.570503227</v>
      </c>
      <c r="I260">
        <v>0</v>
      </c>
      <c r="J260">
        <v>21.829790289999998</v>
      </c>
      <c r="K260">
        <v>21.829790289999998</v>
      </c>
      <c r="L260">
        <v>21.829790289999998</v>
      </c>
      <c r="M260">
        <v>0</v>
      </c>
      <c r="N260">
        <v>0</v>
      </c>
      <c r="O260">
        <v>21.829790939999999</v>
      </c>
      <c r="P260">
        <v>2.9361773659999999</v>
      </c>
      <c r="Q260">
        <v>2.5114357589999998</v>
      </c>
      <c r="R260">
        <v>0</v>
      </c>
      <c r="S260">
        <v>0</v>
      </c>
      <c r="T260" s="15">
        <v>2.1999999999999999E-2</v>
      </c>
      <c r="U260">
        <v>23.455246580000001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0.2</v>
      </c>
      <c r="AB260">
        <v>99.7</v>
      </c>
      <c r="AC260">
        <v>0</v>
      </c>
      <c r="AD260" s="15">
        <v>4.3400000000000001E-2</v>
      </c>
      <c r="AE260">
        <v>34.992949629999998</v>
      </c>
      <c r="AF260">
        <v>35.014401839999998</v>
      </c>
      <c r="AG260">
        <v>30.870952639999999</v>
      </c>
      <c r="AH260">
        <v>22.629994750000002</v>
      </c>
      <c r="AI260">
        <v>100</v>
      </c>
      <c r="AJ260">
        <v>0</v>
      </c>
      <c r="AK260">
        <v>0</v>
      </c>
      <c r="AL260">
        <v>1</v>
      </c>
      <c r="AM260">
        <v>1</v>
      </c>
      <c r="AN260">
        <v>0</v>
      </c>
      <c r="AO260">
        <v>0</v>
      </c>
      <c r="AP260">
        <v>1</v>
      </c>
      <c r="AQ260">
        <v>0</v>
      </c>
      <c r="AR260">
        <v>13.0656</v>
      </c>
      <c r="AS260">
        <v>18.044</v>
      </c>
      <c r="AT260">
        <v>39.3992</v>
      </c>
      <c r="AU260">
        <v>86.637600000000006</v>
      </c>
      <c r="AV260">
        <v>0</v>
      </c>
    </row>
    <row r="261" spans="1:48">
      <c r="A261">
        <v>260</v>
      </c>
      <c r="B261">
        <v>0.10812306200000001</v>
      </c>
      <c r="C261">
        <v>28.274543869999999</v>
      </c>
      <c r="D261">
        <v>18.08201949</v>
      </c>
      <c r="E261">
        <v>3.0692150549999999</v>
      </c>
      <c r="F261">
        <v>0</v>
      </c>
      <c r="G261">
        <v>0</v>
      </c>
      <c r="H261">
        <v>0.58255290400000004</v>
      </c>
      <c r="I261">
        <v>0</v>
      </c>
      <c r="J261">
        <v>0.10812306200000001</v>
      </c>
      <c r="K261">
        <v>0.10812306200000001</v>
      </c>
      <c r="L261">
        <v>0.10812306200000001</v>
      </c>
      <c r="M261">
        <v>0</v>
      </c>
      <c r="N261">
        <v>0</v>
      </c>
      <c r="O261">
        <v>0.108123065</v>
      </c>
      <c r="P261">
        <v>3.6830555779999998</v>
      </c>
      <c r="Q261">
        <v>3.6830555779999998</v>
      </c>
      <c r="R261">
        <v>0</v>
      </c>
      <c r="S261">
        <v>0</v>
      </c>
      <c r="T261">
        <v>0.13474074699999999</v>
      </c>
      <c r="U261">
        <v>19.745573319999998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0.2</v>
      </c>
      <c r="AB261">
        <v>99.7</v>
      </c>
      <c r="AC261">
        <v>0</v>
      </c>
      <c r="AD261" s="15">
        <v>4.4600000000000001E-2</v>
      </c>
      <c r="AE261">
        <v>35.083116259999997</v>
      </c>
      <c r="AF261">
        <v>34.992949629999998</v>
      </c>
      <c r="AG261">
        <v>30.690826359999999</v>
      </c>
      <c r="AH261">
        <v>22.501333120000002</v>
      </c>
      <c r="AI261">
        <v>100</v>
      </c>
      <c r="AJ261">
        <v>0</v>
      </c>
      <c r="AK261">
        <v>0</v>
      </c>
      <c r="AL261">
        <v>1</v>
      </c>
      <c r="AM261">
        <v>1</v>
      </c>
      <c r="AN261">
        <v>0</v>
      </c>
      <c r="AO261">
        <v>0</v>
      </c>
      <c r="AP261">
        <v>1</v>
      </c>
      <c r="AQ261">
        <v>0</v>
      </c>
      <c r="AR261">
        <v>13.0656</v>
      </c>
      <c r="AS261">
        <v>18.044</v>
      </c>
      <c r="AT261">
        <v>39.3992</v>
      </c>
      <c r="AU261">
        <v>86.637600000000006</v>
      </c>
      <c r="AV261">
        <v>0</v>
      </c>
    </row>
    <row r="262" spans="1:48">
      <c r="A262">
        <v>261</v>
      </c>
      <c r="B262" s="15">
        <v>0.35519644299999997</v>
      </c>
      <c r="C262">
        <v>27.5926759</v>
      </c>
      <c r="D262">
        <v>18.743394970000001</v>
      </c>
      <c r="E262">
        <v>2.8183691639999999</v>
      </c>
      <c r="F262">
        <v>0</v>
      </c>
      <c r="G262">
        <v>0</v>
      </c>
      <c r="H262">
        <v>0.55267777600000001</v>
      </c>
      <c r="I262">
        <v>0</v>
      </c>
      <c r="J262" s="15">
        <v>0.35519644299999997</v>
      </c>
      <c r="K262" s="15">
        <v>0.35519644299999997</v>
      </c>
      <c r="L262" s="15">
        <v>0.35519644299999997</v>
      </c>
      <c r="M262">
        <v>0</v>
      </c>
      <c r="N262">
        <v>0</v>
      </c>
      <c r="O262" s="15">
        <v>0.35519645300000002</v>
      </c>
      <c r="P262">
        <v>3.3820409740000001</v>
      </c>
      <c r="Q262">
        <v>3.3820409740000001</v>
      </c>
      <c r="R262">
        <v>0</v>
      </c>
      <c r="S262">
        <v>0</v>
      </c>
      <c r="T262" s="15">
        <v>1.8800000000000001E-2</v>
      </c>
      <c r="U262">
        <v>16.69992469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0.2</v>
      </c>
      <c r="AB262">
        <v>99.7</v>
      </c>
      <c r="AC262">
        <v>0</v>
      </c>
      <c r="AD262" s="15">
        <v>4.4699999999999997E-2</v>
      </c>
      <c r="AE262">
        <v>35.057172729999998</v>
      </c>
      <c r="AF262">
        <v>35.083116259999997</v>
      </c>
      <c r="AG262">
        <v>31.137418889999999</v>
      </c>
      <c r="AH262">
        <v>22.82032778</v>
      </c>
      <c r="AI262">
        <v>100</v>
      </c>
      <c r="AJ262">
        <v>0</v>
      </c>
      <c r="AK262">
        <v>0</v>
      </c>
      <c r="AL262">
        <v>1</v>
      </c>
      <c r="AM262">
        <v>1</v>
      </c>
      <c r="AN262">
        <v>0</v>
      </c>
      <c r="AO262">
        <v>0</v>
      </c>
      <c r="AP262">
        <v>1</v>
      </c>
      <c r="AQ262">
        <v>0</v>
      </c>
      <c r="AR262">
        <v>13.0656</v>
      </c>
      <c r="AS262">
        <v>18.044</v>
      </c>
      <c r="AT262">
        <v>39.3992</v>
      </c>
      <c r="AU262">
        <v>86.637600000000006</v>
      </c>
      <c r="AV262">
        <v>0</v>
      </c>
    </row>
    <row r="263" spans="1:48">
      <c r="A263">
        <v>262</v>
      </c>
      <c r="B263">
        <v>3.0259732709999998</v>
      </c>
      <c r="C263">
        <v>23.584715429999999</v>
      </c>
      <c r="D263">
        <v>14.02545613</v>
      </c>
      <c r="E263">
        <v>2.7317328779999999</v>
      </c>
      <c r="F263">
        <v>0</v>
      </c>
      <c r="G263">
        <v>0</v>
      </c>
      <c r="H263">
        <v>0.56471835999999997</v>
      </c>
      <c r="I263">
        <v>0</v>
      </c>
      <c r="J263">
        <v>3.0259732709999998</v>
      </c>
      <c r="K263">
        <v>3.0259732709999998</v>
      </c>
      <c r="L263">
        <v>3.0259732709999998</v>
      </c>
      <c r="M263">
        <v>0</v>
      </c>
      <c r="N263">
        <v>0</v>
      </c>
      <c r="O263">
        <v>3.0259733610000001</v>
      </c>
      <c r="P263">
        <v>3.2780777219999999</v>
      </c>
      <c r="Q263">
        <v>3.2780777219999999</v>
      </c>
      <c r="R263">
        <v>0</v>
      </c>
      <c r="S263">
        <v>0</v>
      </c>
      <c r="T263" s="15">
        <v>4.4799999999999996E-3</v>
      </c>
      <c r="U263">
        <v>16.443336739999999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0.2</v>
      </c>
      <c r="AB263">
        <v>99.7</v>
      </c>
      <c r="AC263">
        <v>0</v>
      </c>
      <c r="AD263" s="15">
        <v>4.41E-2</v>
      </c>
      <c r="AE263">
        <v>35.01751573</v>
      </c>
      <c r="AF263">
        <v>35.057172729999998</v>
      </c>
      <c r="AG263">
        <v>30.957428539999999</v>
      </c>
      <c r="AH263">
        <v>22.69176324</v>
      </c>
      <c r="AI263">
        <v>100</v>
      </c>
      <c r="AJ263">
        <v>0</v>
      </c>
      <c r="AK263">
        <v>0</v>
      </c>
      <c r="AL263">
        <v>1</v>
      </c>
      <c r="AM263">
        <v>1</v>
      </c>
      <c r="AN263">
        <v>0</v>
      </c>
      <c r="AO263">
        <v>0</v>
      </c>
      <c r="AP263">
        <v>1</v>
      </c>
      <c r="AQ263">
        <v>0</v>
      </c>
      <c r="AR263">
        <v>13.0656</v>
      </c>
      <c r="AS263">
        <v>18.044</v>
      </c>
      <c r="AT263">
        <v>39.3992</v>
      </c>
      <c r="AU263">
        <v>86.637600000000006</v>
      </c>
      <c r="AV263">
        <v>0</v>
      </c>
    </row>
    <row r="264" spans="1:48">
      <c r="A264">
        <v>263</v>
      </c>
      <c r="B264">
        <v>13.693706949999999</v>
      </c>
      <c r="C264">
        <v>24.510488670000001</v>
      </c>
      <c r="D264">
        <v>11.207324099999999</v>
      </c>
      <c r="E264">
        <v>2.978346621</v>
      </c>
      <c r="F264">
        <v>0</v>
      </c>
      <c r="G264">
        <v>0</v>
      </c>
      <c r="H264">
        <v>0.56887688999999997</v>
      </c>
      <c r="I264">
        <v>0</v>
      </c>
      <c r="J264">
        <v>13.693706949999999</v>
      </c>
      <c r="K264">
        <v>13.693706949999999</v>
      </c>
      <c r="L264">
        <v>13.68841853</v>
      </c>
      <c r="M264">
        <v>0</v>
      </c>
      <c r="N264" s="15">
        <v>5.2900000000000004E-3</v>
      </c>
      <c r="O264">
        <v>13.68841894</v>
      </c>
      <c r="P264">
        <v>3.5740142810000002</v>
      </c>
      <c r="Q264">
        <v>3.5740142810000002</v>
      </c>
      <c r="R264">
        <v>0</v>
      </c>
      <c r="S264">
        <v>0</v>
      </c>
      <c r="T264" s="15">
        <v>0.18271288499999999</v>
      </c>
      <c r="U264">
        <v>26.375028520000001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0.2</v>
      </c>
      <c r="AB264">
        <v>99.7</v>
      </c>
      <c r="AC264">
        <v>0</v>
      </c>
      <c r="AD264" s="15">
        <v>4.3999999999999997E-2</v>
      </c>
      <c r="AE264">
        <v>35.156189869999999</v>
      </c>
      <c r="AF264">
        <v>35.01751573</v>
      </c>
      <c r="AG264">
        <v>30.895264170000001</v>
      </c>
      <c r="AH264">
        <v>22.647360119999998</v>
      </c>
      <c r="AI264">
        <v>100</v>
      </c>
      <c r="AJ264">
        <v>0</v>
      </c>
      <c r="AK264">
        <v>0</v>
      </c>
      <c r="AL264">
        <v>1</v>
      </c>
      <c r="AM264">
        <v>1</v>
      </c>
      <c r="AN264">
        <v>0</v>
      </c>
      <c r="AO264">
        <v>0</v>
      </c>
      <c r="AP264">
        <v>1</v>
      </c>
      <c r="AQ264">
        <v>0</v>
      </c>
      <c r="AR264">
        <v>13.0656</v>
      </c>
      <c r="AS264">
        <v>18.044</v>
      </c>
      <c r="AT264">
        <v>39.3992</v>
      </c>
      <c r="AU264">
        <v>86.637600000000006</v>
      </c>
      <c r="AV264">
        <v>0</v>
      </c>
    </row>
    <row r="265" spans="1:48">
      <c r="A265">
        <v>264</v>
      </c>
      <c r="B265">
        <v>0.11374693</v>
      </c>
      <c r="C265">
        <v>25.120660229999999</v>
      </c>
      <c r="D265">
        <v>14.5539253</v>
      </c>
      <c r="E265">
        <v>2.800257362</v>
      </c>
      <c r="F265">
        <v>0</v>
      </c>
      <c r="G265">
        <v>0</v>
      </c>
      <c r="H265">
        <v>0.55703942699999998</v>
      </c>
      <c r="I265">
        <v>0</v>
      </c>
      <c r="J265">
        <v>0.11374693</v>
      </c>
      <c r="K265">
        <v>0.11374693</v>
      </c>
      <c r="L265">
        <v>0.11374693</v>
      </c>
      <c r="M265">
        <v>0</v>
      </c>
      <c r="N265">
        <v>0</v>
      </c>
      <c r="O265">
        <v>0.11374693299999999</v>
      </c>
      <c r="P265">
        <v>3.36030746</v>
      </c>
      <c r="Q265">
        <v>3.36030746</v>
      </c>
      <c r="R265">
        <v>0</v>
      </c>
      <c r="S265">
        <v>0</v>
      </c>
      <c r="T265" s="15">
        <v>0.50966671600000002</v>
      </c>
      <c r="U265">
        <v>22.618801269999999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0.2</v>
      </c>
      <c r="AB265">
        <v>99.7</v>
      </c>
      <c r="AC265">
        <v>0</v>
      </c>
      <c r="AD265" s="15">
        <v>5.1999999999999998E-2</v>
      </c>
      <c r="AE265">
        <v>35.613857779999996</v>
      </c>
      <c r="AF265">
        <v>35.156189869999999</v>
      </c>
      <c r="AG265">
        <v>31.07221813</v>
      </c>
      <c r="AH265">
        <v>22.773755810000001</v>
      </c>
      <c r="AI265">
        <v>100</v>
      </c>
      <c r="AJ265">
        <v>0</v>
      </c>
      <c r="AK265">
        <v>0</v>
      </c>
      <c r="AL265">
        <v>1</v>
      </c>
      <c r="AM265">
        <v>1</v>
      </c>
      <c r="AN265">
        <v>0</v>
      </c>
      <c r="AO265">
        <v>0</v>
      </c>
      <c r="AP265">
        <v>1</v>
      </c>
      <c r="AQ265">
        <v>0</v>
      </c>
      <c r="AR265">
        <v>13.0656</v>
      </c>
      <c r="AS265">
        <v>18.044</v>
      </c>
      <c r="AT265">
        <v>39.3992</v>
      </c>
      <c r="AU265">
        <v>86.637600000000006</v>
      </c>
      <c r="AV265">
        <v>0</v>
      </c>
    </row>
    <row r="266" spans="1:48">
      <c r="A266">
        <v>265</v>
      </c>
      <c r="B266">
        <v>0</v>
      </c>
      <c r="C266">
        <v>25.364055199999999</v>
      </c>
      <c r="D266">
        <v>13.16124941</v>
      </c>
      <c r="E266">
        <v>2.7898059220000002</v>
      </c>
      <c r="F266">
        <v>0</v>
      </c>
      <c r="G266">
        <v>0</v>
      </c>
      <c r="H266">
        <v>0.56558770000000003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3.3477659059999998</v>
      </c>
      <c r="Q266">
        <v>3.3477659059999998</v>
      </c>
      <c r="R266">
        <v>0</v>
      </c>
      <c r="S266">
        <v>0</v>
      </c>
      <c r="T266" s="15">
        <v>9.0300000000000005E-2</v>
      </c>
      <c r="U266">
        <v>19.180749469999999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0.2</v>
      </c>
      <c r="AB266">
        <v>99.7</v>
      </c>
      <c r="AC266">
        <v>0</v>
      </c>
      <c r="AD266" s="15">
        <v>5.5500000000000001E-2</v>
      </c>
      <c r="AE266">
        <v>35.648667580000001</v>
      </c>
      <c r="AF266">
        <v>35.613857779999996</v>
      </c>
      <c r="AG266">
        <v>30.94443308</v>
      </c>
      <c r="AH266">
        <v>22.682480770000002</v>
      </c>
      <c r="AI266">
        <v>100</v>
      </c>
      <c r="AJ266">
        <v>0</v>
      </c>
      <c r="AK266">
        <v>0</v>
      </c>
      <c r="AL266">
        <v>1</v>
      </c>
      <c r="AM266">
        <v>1</v>
      </c>
      <c r="AN266">
        <v>0</v>
      </c>
      <c r="AO266">
        <v>0</v>
      </c>
      <c r="AP266">
        <v>1</v>
      </c>
      <c r="AQ266">
        <v>0</v>
      </c>
      <c r="AR266">
        <v>13.0656</v>
      </c>
      <c r="AS266">
        <v>18.044</v>
      </c>
      <c r="AT266">
        <v>39.3992</v>
      </c>
      <c r="AU266">
        <v>86.637600000000006</v>
      </c>
      <c r="AV266">
        <v>0</v>
      </c>
    </row>
    <row r="267" spans="1:48">
      <c r="A267">
        <v>266</v>
      </c>
      <c r="B267">
        <v>0</v>
      </c>
      <c r="C267">
        <v>25.1640552</v>
      </c>
      <c r="D267">
        <v>13.961249410000001</v>
      </c>
      <c r="E267">
        <v>2.710018357</v>
      </c>
      <c r="F267">
        <v>0</v>
      </c>
      <c r="G267">
        <v>0</v>
      </c>
      <c r="H267">
        <v>0.56608936200000004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3.2520210089999999</v>
      </c>
      <c r="Q267">
        <v>3.2520210089999999</v>
      </c>
      <c r="R267">
        <v>0</v>
      </c>
      <c r="S267">
        <v>0</v>
      </c>
      <c r="T267" s="15">
        <v>1.2500000000000001E-2</v>
      </c>
      <c r="U267">
        <v>15.916277579999999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0.2</v>
      </c>
      <c r="AB267">
        <v>99.7</v>
      </c>
      <c r="AC267">
        <v>0</v>
      </c>
      <c r="AD267" s="15">
        <v>5.5100000000000003E-2</v>
      </c>
      <c r="AE267">
        <v>35.606008559999999</v>
      </c>
      <c r="AF267">
        <v>35.648667580000001</v>
      </c>
      <c r="AG267">
        <v>30.936933920000001</v>
      </c>
      <c r="AH267">
        <v>22.67712423</v>
      </c>
      <c r="AI267">
        <v>100</v>
      </c>
      <c r="AJ267">
        <v>0</v>
      </c>
      <c r="AK267">
        <v>0</v>
      </c>
      <c r="AL267">
        <v>1</v>
      </c>
      <c r="AM267">
        <v>1</v>
      </c>
      <c r="AN267">
        <v>0</v>
      </c>
      <c r="AO267">
        <v>0</v>
      </c>
      <c r="AP267">
        <v>1</v>
      </c>
      <c r="AQ267">
        <v>0</v>
      </c>
      <c r="AR267">
        <v>13.0656</v>
      </c>
      <c r="AS267">
        <v>18.044</v>
      </c>
      <c r="AT267">
        <v>39.3992</v>
      </c>
      <c r="AU267">
        <v>86.637600000000006</v>
      </c>
      <c r="AV267">
        <v>0</v>
      </c>
    </row>
    <row r="268" spans="1:48">
      <c r="A268">
        <v>267</v>
      </c>
      <c r="B268" s="15">
        <v>0</v>
      </c>
      <c r="C268">
        <v>26.938750590000001</v>
      </c>
      <c r="D268">
        <v>11.71528457</v>
      </c>
      <c r="E268">
        <v>2.838285956</v>
      </c>
      <c r="F268">
        <v>0</v>
      </c>
      <c r="G268">
        <v>0</v>
      </c>
      <c r="H268">
        <v>0.56991915800000004</v>
      </c>
      <c r="I268">
        <v>0</v>
      </c>
      <c r="J268" s="15">
        <v>0</v>
      </c>
      <c r="K268" s="15">
        <v>0</v>
      </c>
      <c r="L268" s="15">
        <v>0</v>
      </c>
      <c r="M268">
        <v>0</v>
      </c>
      <c r="N268">
        <v>0</v>
      </c>
      <c r="O268" s="15">
        <v>0</v>
      </c>
      <c r="P268">
        <v>3.4059422179999999</v>
      </c>
      <c r="Q268">
        <v>3.062571723</v>
      </c>
      <c r="R268">
        <v>0</v>
      </c>
      <c r="S268">
        <v>0</v>
      </c>
      <c r="T268" s="15">
        <v>1.1000000000000001E-3</v>
      </c>
      <c r="U268">
        <v>12.85260903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0.2</v>
      </c>
      <c r="AB268">
        <v>99.7</v>
      </c>
      <c r="AC268">
        <v>0</v>
      </c>
      <c r="AD268" s="15">
        <v>5.4100000000000002E-2</v>
      </c>
      <c r="AE268">
        <v>35.553008390000002</v>
      </c>
      <c r="AF268">
        <v>35.606008559999999</v>
      </c>
      <c r="AG268">
        <v>30.879683679999999</v>
      </c>
      <c r="AH268">
        <v>22.636231200000001</v>
      </c>
      <c r="AI268">
        <v>100</v>
      </c>
      <c r="AJ268">
        <v>0</v>
      </c>
      <c r="AK268">
        <v>0</v>
      </c>
      <c r="AL268">
        <v>1</v>
      </c>
      <c r="AM268">
        <v>1</v>
      </c>
      <c r="AN268">
        <v>0</v>
      </c>
      <c r="AO268">
        <v>0</v>
      </c>
      <c r="AP268">
        <v>1</v>
      </c>
      <c r="AQ268">
        <v>0</v>
      </c>
      <c r="AR268">
        <v>13.0656</v>
      </c>
      <c r="AS268">
        <v>18.044</v>
      </c>
      <c r="AT268">
        <v>39.3992</v>
      </c>
      <c r="AU268">
        <v>86.637600000000006</v>
      </c>
      <c r="AV268">
        <v>0</v>
      </c>
    </row>
    <row r="269" spans="1:48">
      <c r="A269">
        <v>268</v>
      </c>
      <c r="B269">
        <v>0</v>
      </c>
      <c r="C269">
        <v>25.33875059</v>
      </c>
      <c r="D269">
        <v>14.933265069999999</v>
      </c>
      <c r="E269">
        <v>2.0827786229999998</v>
      </c>
      <c r="F269">
        <v>0</v>
      </c>
      <c r="G269">
        <v>0</v>
      </c>
      <c r="H269">
        <v>0.56376230999999999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2.499333756</v>
      </c>
      <c r="Q269">
        <v>1.7314404729999999</v>
      </c>
      <c r="R269">
        <v>0</v>
      </c>
      <c r="S269">
        <v>0</v>
      </c>
      <c r="T269" s="15">
        <v>6.4200000000000002E-5</v>
      </c>
      <c r="U269">
        <v>11.12110436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0.2</v>
      </c>
      <c r="AB269">
        <v>99.7</v>
      </c>
      <c r="AC269">
        <v>0</v>
      </c>
      <c r="AD269" s="15">
        <v>5.2999999999999999E-2</v>
      </c>
      <c r="AE269">
        <v>35.500033909999999</v>
      </c>
      <c r="AF269">
        <v>35.553008390000002</v>
      </c>
      <c r="AG269">
        <v>30.971720179999998</v>
      </c>
      <c r="AH269">
        <v>22.70197156</v>
      </c>
      <c r="AI269">
        <v>100</v>
      </c>
      <c r="AJ269">
        <v>0</v>
      </c>
      <c r="AK269">
        <v>0</v>
      </c>
      <c r="AL269">
        <v>1</v>
      </c>
      <c r="AM269">
        <v>1</v>
      </c>
      <c r="AN269">
        <v>0</v>
      </c>
      <c r="AO269">
        <v>0</v>
      </c>
      <c r="AP269">
        <v>1</v>
      </c>
      <c r="AQ269">
        <v>0</v>
      </c>
      <c r="AR269">
        <v>13.0656</v>
      </c>
      <c r="AS269">
        <v>18.044</v>
      </c>
      <c r="AT269">
        <v>39.3992</v>
      </c>
      <c r="AU269">
        <v>86.637600000000006</v>
      </c>
      <c r="AV269">
        <v>0</v>
      </c>
    </row>
    <row r="270" spans="1:48">
      <c r="A270">
        <v>269</v>
      </c>
      <c r="B270">
        <v>24.20254817</v>
      </c>
      <c r="C270">
        <v>20.410488669999999</v>
      </c>
      <c r="D270">
        <v>15.21528457</v>
      </c>
      <c r="E270">
        <v>0.91969377500000005</v>
      </c>
      <c r="F270">
        <v>0</v>
      </c>
      <c r="G270">
        <v>0</v>
      </c>
      <c r="H270">
        <v>0.60002664800000005</v>
      </c>
      <c r="I270">
        <v>0</v>
      </c>
      <c r="J270">
        <v>24.20254817</v>
      </c>
      <c r="K270">
        <v>24.20254817</v>
      </c>
      <c r="L270">
        <v>23.729834029999999</v>
      </c>
      <c r="M270">
        <v>0</v>
      </c>
      <c r="N270">
        <v>0.472714146</v>
      </c>
      <c r="O270">
        <v>23.72983473</v>
      </c>
      <c r="P270">
        <v>1.103632304</v>
      </c>
      <c r="Q270">
        <v>1.10358767</v>
      </c>
      <c r="R270">
        <v>0</v>
      </c>
      <c r="S270">
        <v>0</v>
      </c>
      <c r="T270" s="15">
        <v>1.3465761869999999</v>
      </c>
      <c r="U270">
        <v>32.400775240000002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0.2</v>
      </c>
      <c r="AB270">
        <v>99.7</v>
      </c>
      <c r="AC270">
        <v>0</v>
      </c>
      <c r="AD270" s="15">
        <v>5.5300000000000002E-2</v>
      </c>
      <c r="AE270">
        <v>36.791268129999999</v>
      </c>
      <c r="AF270">
        <v>35.500033909999999</v>
      </c>
      <c r="AG270">
        <v>30.429617660000002</v>
      </c>
      <c r="AH270">
        <v>22.314755470000001</v>
      </c>
      <c r="AI270">
        <v>100</v>
      </c>
      <c r="AJ270">
        <v>0</v>
      </c>
      <c r="AK270">
        <v>0</v>
      </c>
      <c r="AL270">
        <v>1</v>
      </c>
      <c r="AM270">
        <v>1</v>
      </c>
      <c r="AN270">
        <v>0</v>
      </c>
      <c r="AO270">
        <v>0</v>
      </c>
      <c r="AP270">
        <v>1</v>
      </c>
      <c r="AQ270">
        <v>0</v>
      </c>
      <c r="AR270">
        <v>13.0656</v>
      </c>
      <c r="AS270">
        <v>18.044</v>
      </c>
      <c r="AT270">
        <v>39.3992</v>
      </c>
      <c r="AU270">
        <v>86.637600000000006</v>
      </c>
      <c r="AV270">
        <v>0</v>
      </c>
    </row>
    <row r="271" spans="1:48">
      <c r="A271">
        <v>270</v>
      </c>
      <c r="B271" s="15">
        <v>5.3100000000000001E-2</v>
      </c>
      <c r="C271">
        <v>24.1640552</v>
      </c>
      <c r="D271">
        <v>15.307324100000001</v>
      </c>
      <c r="E271">
        <v>1.898974838</v>
      </c>
      <c r="F271">
        <v>0</v>
      </c>
      <c r="G271">
        <v>0</v>
      </c>
      <c r="H271">
        <v>0.65585470400000001</v>
      </c>
      <c r="I271">
        <v>0</v>
      </c>
      <c r="J271" s="15">
        <v>5.3100000000000001E-2</v>
      </c>
      <c r="K271" s="15">
        <v>5.3100000000000001E-2</v>
      </c>
      <c r="L271" s="15">
        <v>5.3100000000000001E-2</v>
      </c>
      <c r="M271">
        <v>0</v>
      </c>
      <c r="N271">
        <v>0</v>
      </c>
      <c r="O271" s="15">
        <v>5.3100000000000001E-2</v>
      </c>
      <c r="P271">
        <v>2.2787694049999998</v>
      </c>
      <c r="Q271">
        <v>2.2787694049999998</v>
      </c>
      <c r="R271">
        <v>0</v>
      </c>
      <c r="S271">
        <v>0</v>
      </c>
      <c r="T271" s="15">
        <v>3.3750338150000001</v>
      </c>
      <c r="U271">
        <v>26.800109150000001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0.2</v>
      </c>
      <c r="AB271">
        <v>99.7</v>
      </c>
      <c r="AC271">
        <v>0</v>
      </c>
      <c r="AD271">
        <v>0.18258148799999999</v>
      </c>
      <c r="AE271">
        <v>39.98372045</v>
      </c>
      <c r="AF271">
        <v>36.791268129999999</v>
      </c>
      <c r="AG271">
        <v>29.595064130000001</v>
      </c>
      <c r="AH271">
        <v>21.718645810000002</v>
      </c>
      <c r="AI271">
        <v>100</v>
      </c>
      <c r="AJ271">
        <v>0</v>
      </c>
      <c r="AK271">
        <v>0</v>
      </c>
      <c r="AL271">
        <v>1</v>
      </c>
      <c r="AM271">
        <v>1</v>
      </c>
      <c r="AN271">
        <v>0</v>
      </c>
      <c r="AO271">
        <v>0</v>
      </c>
      <c r="AP271">
        <v>1</v>
      </c>
      <c r="AQ271">
        <v>0</v>
      </c>
      <c r="AR271">
        <v>13.0656</v>
      </c>
      <c r="AS271">
        <v>18.044</v>
      </c>
      <c r="AT271">
        <v>39.3992</v>
      </c>
      <c r="AU271">
        <v>86.637600000000006</v>
      </c>
      <c r="AV271">
        <v>0</v>
      </c>
    </row>
    <row r="272" spans="1:48">
      <c r="A272">
        <v>271</v>
      </c>
      <c r="B272" s="15">
        <v>3.0300000000000001E-2</v>
      </c>
      <c r="C272">
        <v>26.792675899999999</v>
      </c>
      <c r="D272">
        <v>14.52545613</v>
      </c>
      <c r="E272">
        <v>2.5099634659999999</v>
      </c>
      <c r="F272">
        <v>0</v>
      </c>
      <c r="G272">
        <v>0</v>
      </c>
      <c r="H272">
        <v>0.60884922100000005</v>
      </c>
      <c r="I272">
        <v>0</v>
      </c>
      <c r="J272" s="15">
        <v>3.0300000000000001E-2</v>
      </c>
      <c r="K272" s="15">
        <v>3.0300000000000001E-2</v>
      </c>
      <c r="L272" s="15">
        <v>3.0300000000000001E-2</v>
      </c>
      <c r="M272">
        <v>0</v>
      </c>
      <c r="N272">
        <v>0</v>
      </c>
      <c r="O272" s="15">
        <v>3.0300000000000001E-2</v>
      </c>
      <c r="P272">
        <v>3.0119557050000001</v>
      </c>
      <c r="Q272">
        <v>3.0119557050000001</v>
      </c>
      <c r="R272">
        <v>0</v>
      </c>
      <c r="S272">
        <v>0</v>
      </c>
      <c r="T272" s="15">
        <v>0.61746364799999998</v>
      </c>
      <c r="U272">
        <v>23.200994699999999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0.2</v>
      </c>
      <c r="AB272">
        <v>99.7</v>
      </c>
      <c r="AC272">
        <v>0</v>
      </c>
      <c r="AD272">
        <v>0.26190532500000002</v>
      </c>
      <c r="AE272">
        <v>40.339278780000001</v>
      </c>
      <c r="AF272">
        <v>39.98372045</v>
      </c>
      <c r="AG272">
        <v>30.297732180000001</v>
      </c>
      <c r="AH272">
        <v>22.22055155</v>
      </c>
      <c r="AI272">
        <v>100</v>
      </c>
      <c r="AJ272">
        <v>0</v>
      </c>
      <c r="AK272">
        <v>0</v>
      </c>
      <c r="AL272">
        <v>1</v>
      </c>
      <c r="AM272">
        <v>1</v>
      </c>
      <c r="AN272">
        <v>0</v>
      </c>
      <c r="AO272">
        <v>0</v>
      </c>
      <c r="AP272">
        <v>1</v>
      </c>
      <c r="AQ272">
        <v>0</v>
      </c>
      <c r="AR272">
        <v>13.0656</v>
      </c>
      <c r="AS272">
        <v>18.044</v>
      </c>
      <c r="AT272">
        <v>39.3992</v>
      </c>
      <c r="AU272">
        <v>86.637600000000006</v>
      </c>
      <c r="AV272">
        <v>0</v>
      </c>
    </row>
    <row r="273" spans="1:48">
      <c r="A273">
        <v>272</v>
      </c>
      <c r="B273" s="15">
        <v>3.9199999999999999E-2</v>
      </c>
      <c r="C273">
        <v>27.756605029999999</v>
      </c>
      <c r="D273">
        <v>15.7</v>
      </c>
      <c r="E273">
        <v>2.918901425</v>
      </c>
      <c r="F273">
        <v>0</v>
      </c>
      <c r="G273">
        <v>0</v>
      </c>
      <c r="H273">
        <v>0.57952177000000005</v>
      </c>
      <c r="I273">
        <v>0</v>
      </c>
      <c r="J273" s="15">
        <v>3.9199999999999999E-2</v>
      </c>
      <c r="K273" s="15">
        <v>3.9199999999999999E-2</v>
      </c>
      <c r="L273" s="15">
        <v>3.9199999999999999E-2</v>
      </c>
      <c r="M273">
        <v>0</v>
      </c>
      <c r="N273">
        <v>0</v>
      </c>
      <c r="O273" s="15">
        <v>3.9199999999999999E-2</v>
      </c>
      <c r="P273">
        <v>3.5026812600000001</v>
      </c>
      <c r="Q273">
        <v>3.5026812600000001</v>
      </c>
      <c r="R273">
        <v>0</v>
      </c>
      <c r="S273">
        <v>0</v>
      </c>
      <c r="T273" s="15">
        <v>0.12031745000000001</v>
      </c>
      <c r="U273">
        <v>19.617175679999999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0.2</v>
      </c>
      <c r="AB273">
        <v>99.7</v>
      </c>
      <c r="AC273">
        <v>0</v>
      </c>
      <c r="AD273">
        <v>0.26411663000000002</v>
      </c>
      <c r="AE273">
        <v>40.195479599999999</v>
      </c>
      <c r="AF273">
        <v>40.339278780000001</v>
      </c>
      <c r="AG273">
        <v>30.73613769</v>
      </c>
      <c r="AH273">
        <v>22.533698350000002</v>
      </c>
      <c r="AI273">
        <v>100</v>
      </c>
      <c r="AJ273">
        <v>0</v>
      </c>
      <c r="AK273">
        <v>0</v>
      </c>
      <c r="AL273">
        <v>1</v>
      </c>
      <c r="AM273">
        <v>1</v>
      </c>
      <c r="AN273">
        <v>0</v>
      </c>
      <c r="AO273">
        <v>0</v>
      </c>
      <c r="AP273">
        <v>1</v>
      </c>
      <c r="AQ273">
        <v>0</v>
      </c>
      <c r="AR273">
        <v>13.0656</v>
      </c>
      <c r="AS273">
        <v>18.044</v>
      </c>
      <c r="AT273">
        <v>39.3992</v>
      </c>
      <c r="AU273">
        <v>86.637600000000006</v>
      </c>
      <c r="AV273">
        <v>0</v>
      </c>
    </row>
    <row r="274" spans="1:48">
      <c r="A274">
        <v>273</v>
      </c>
      <c r="B274">
        <v>0</v>
      </c>
      <c r="C274">
        <v>25.002679730000001</v>
      </c>
      <c r="D274">
        <v>14.510488670000001</v>
      </c>
      <c r="E274">
        <v>2.6409771580000001</v>
      </c>
      <c r="F274">
        <v>0</v>
      </c>
      <c r="G274">
        <v>0</v>
      </c>
      <c r="H274">
        <v>0.559892748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3.169172246</v>
      </c>
      <c r="Q274">
        <v>3.169172246</v>
      </c>
      <c r="R274">
        <v>0</v>
      </c>
      <c r="S274">
        <v>0</v>
      </c>
      <c r="T274" s="15">
        <v>1.67E-2</v>
      </c>
      <c r="U274">
        <v>16.431304000000001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0.2</v>
      </c>
      <c r="AB274">
        <v>99.7</v>
      </c>
      <c r="AC274">
        <v>0</v>
      </c>
      <c r="AD274">
        <v>0.247851724</v>
      </c>
      <c r="AE274">
        <v>39.964327300000001</v>
      </c>
      <c r="AF274">
        <v>40.195479599999999</v>
      </c>
      <c r="AG274">
        <v>31.029564870000002</v>
      </c>
      <c r="AH274">
        <v>22.743289189999999</v>
      </c>
      <c r="AI274">
        <v>100</v>
      </c>
      <c r="AJ274">
        <v>0</v>
      </c>
      <c r="AK274">
        <v>0</v>
      </c>
      <c r="AL274">
        <v>1</v>
      </c>
      <c r="AM274">
        <v>1</v>
      </c>
      <c r="AN274">
        <v>0</v>
      </c>
      <c r="AO274">
        <v>0</v>
      </c>
      <c r="AP274">
        <v>1</v>
      </c>
      <c r="AQ274">
        <v>0</v>
      </c>
      <c r="AR274">
        <v>13.0656</v>
      </c>
      <c r="AS274">
        <v>18.044</v>
      </c>
      <c r="AT274">
        <v>39.3992</v>
      </c>
      <c r="AU274">
        <v>86.637600000000006</v>
      </c>
      <c r="AV274">
        <v>0</v>
      </c>
    </row>
    <row r="275" spans="1:48">
      <c r="A275">
        <v>274</v>
      </c>
      <c r="B275">
        <v>0</v>
      </c>
      <c r="C275">
        <v>24.302679730000001</v>
      </c>
      <c r="D275">
        <v>11.79462434</v>
      </c>
      <c r="E275">
        <v>2.664721455</v>
      </c>
      <c r="F275">
        <v>0</v>
      </c>
      <c r="G275">
        <v>0</v>
      </c>
      <c r="H275">
        <v>0.57323310900000002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3.1976654550000001</v>
      </c>
      <c r="Q275">
        <v>2.9993721789999999</v>
      </c>
      <c r="R275">
        <v>0</v>
      </c>
      <c r="S275">
        <v>0</v>
      </c>
      <c r="T275" s="15">
        <v>1.7099999999999999E-3</v>
      </c>
      <c r="U275">
        <v>13.430217989999999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0.2</v>
      </c>
      <c r="AB275">
        <v>99.7</v>
      </c>
      <c r="AC275">
        <v>0</v>
      </c>
      <c r="AD275">
        <v>0.23057269</v>
      </c>
      <c r="AE275">
        <v>39.735468439999998</v>
      </c>
      <c r="AF275">
        <v>39.964327300000001</v>
      </c>
      <c r="AG275">
        <v>30.830144619999999</v>
      </c>
      <c r="AH275">
        <v>22.60084616</v>
      </c>
      <c r="AI275">
        <v>100</v>
      </c>
      <c r="AJ275">
        <v>0</v>
      </c>
      <c r="AK275">
        <v>0</v>
      </c>
      <c r="AL275">
        <v>1</v>
      </c>
      <c r="AM275">
        <v>1</v>
      </c>
      <c r="AN275">
        <v>0</v>
      </c>
      <c r="AO275">
        <v>0</v>
      </c>
      <c r="AP275">
        <v>1</v>
      </c>
      <c r="AQ275">
        <v>0</v>
      </c>
      <c r="AR275">
        <v>13.0656</v>
      </c>
      <c r="AS275">
        <v>18.044</v>
      </c>
      <c r="AT275">
        <v>39.3992</v>
      </c>
      <c r="AU275">
        <v>86.637600000000006</v>
      </c>
      <c r="AV275">
        <v>0</v>
      </c>
    </row>
    <row r="276" spans="1:48">
      <c r="A276">
        <v>275</v>
      </c>
      <c r="B276">
        <v>0</v>
      </c>
      <c r="C276">
        <v>23.956605029999999</v>
      </c>
      <c r="D276">
        <v>14.61528457</v>
      </c>
      <c r="E276">
        <v>2.523673343</v>
      </c>
      <c r="F276">
        <v>0</v>
      </c>
      <c r="G276">
        <v>0</v>
      </c>
      <c r="H276">
        <v>0.57209337999999998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3.0284077819999999</v>
      </c>
      <c r="Q276">
        <v>2.187417591</v>
      </c>
      <c r="R276">
        <v>0</v>
      </c>
      <c r="S276">
        <v>0</v>
      </c>
      <c r="T276" s="15">
        <v>1.13E-4</v>
      </c>
      <c r="U276">
        <v>11.242687289999999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0.2</v>
      </c>
      <c r="AB276">
        <v>99.7</v>
      </c>
      <c r="AC276">
        <v>0</v>
      </c>
      <c r="AD276">
        <v>0.21507937199999999</v>
      </c>
      <c r="AE276">
        <v>39.520502190000002</v>
      </c>
      <c r="AF276">
        <v>39.735468439999998</v>
      </c>
      <c r="AG276">
        <v>30.847182010000001</v>
      </c>
      <c r="AH276">
        <v>22.61301572</v>
      </c>
      <c r="AI276">
        <v>100</v>
      </c>
      <c r="AJ276">
        <v>0</v>
      </c>
      <c r="AK276">
        <v>0</v>
      </c>
      <c r="AL276">
        <v>1</v>
      </c>
      <c r="AM276">
        <v>1</v>
      </c>
      <c r="AN276">
        <v>0</v>
      </c>
      <c r="AO276">
        <v>0</v>
      </c>
      <c r="AP276">
        <v>1</v>
      </c>
      <c r="AQ276">
        <v>0</v>
      </c>
      <c r="AR276">
        <v>13.0656</v>
      </c>
      <c r="AS276">
        <v>18.044</v>
      </c>
      <c r="AT276">
        <v>39.3992</v>
      </c>
      <c r="AU276">
        <v>86.637600000000006</v>
      </c>
      <c r="AV276">
        <v>0</v>
      </c>
    </row>
    <row r="277" spans="1:48">
      <c r="A277">
        <v>276</v>
      </c>
      <c r="B277">
        <v>3.2251105880000002</v>
      </c>
      <c r="C277">
        <v>18.37201567</v>
      </c>
      <c r="D277">
        <v>15.982019490000001</v>
      </c>
      <c r="E277">
        <v>1.185808668</v>
      </c>
      <c r="F277">
        <v>0</v>
      </c>
      <c r="G277">
        <v>0</v>
      </c>
      <c r="H277">
        <v>0.57886368700000002</v>
      </c>
      <c r="I277">
        <v>0</v>
      </c>
      <c r="J277">
        <v>3.2251105880000002</v>
      </c>
      <c r="K277">
        <v>3.2251105880000002</v>
      </c>
      <c r="L277">
        <v>3.2251105880000002</v>
      </c>
      <c r="M277">
        <v>0</v>
      </c>
      <c r="N277">
        <v>0</v>
      </c>
      <c r="O277">
        <v>3.2251106840000001</v>
      </c>
      <c r="P277">
        <v>1.4229703140000001</v>
      </c>
      <c r="Q277">
        <v>1.0339630280000001</v>
      </c>
      <c r="R277">
        <v>0</v>
      </c>
      <c r="S277">
        <v>0</v>
      </c>
      <c r="T277" s="15">
        <v>8.0400000000000003E-5</v>
      </c>
      <c r="U277">
        <v>13.433754589999999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0.2</v>
      </c>
      <c r="AB277">
        <v>99.7</v>
      </c>
      <c r="AC277">
        <v>0</v>
      </c>
      <c r="AD277">
        <v>0.20140656800000001</v>
      </c>
      <c r="AE277">
        <v>39.319175970000003</v>
      </c>
      <c r="AF277">
        <v>39.520502190000002</v>
      </c>
      <c r="AG277">
        <v>30.745975130000001</v>
      </c>
      <c r="AH277">
        <v>22.5407251</v>
      </c>
      <c r="AI277">
        <v>100</v>
      </c>
      <c r="AJ277">
        <v>0</v>
      </c>
      <c r="AK277">
        <v>0</v>
      </c>
      <c r="AL277">
        <v>1</v>
      </c>
      <c r="AM277">
        <v>1</v>
      </c>
      <c r="AN277">
        <v>0</v>
      </c>
      <c r="AO277">
        <v>0</v>
      </c>
      <c r="AP277">
        <v>1</v>
      </c>
      <c r="AQ277">
        <v>0</v>
      </c>
      <c r="AR277">
        <v>13.0656</v>
      </c>
      <c r="AS277">
        <v>18.044</v>
      </c>
      <c r="AT277">
        <v>39.3992</v>
      </c>
      <c r="AU277">
        <v>86.637600000000006</v>
      </c>
      <c r="AV277">
        <v>0</v>
      </c>
    </row>
    <row r="278" spans="1:48">
      <c r="A278">
        <v>277</v>
      </c>
      <c r="B278">
        <v>51.380185070000003</v>
      </c>
      <c r="C278">
        <v>21.077265260000001</v>
      </c>
      <c r="D278">
        <v>17.492675899999998</v>
      </c>
      <c r="E278">
        <v>1.219037159</v>
      </c>
      <c r="F278">
        <v>0</v>
      </c>
      <c r="G278">
        <v>0</v>
      </c>
      <c r="H278">
        <v>0.64308118400000003</v>
      </c>
      <c r="I278">
        <v>0</v>
      </c>
      <c r="J278">
        <v>51.380185070000003</v>
      </c>
      <c r="K278">
        <v>51.380185070000003</v>
      </c>
      <c r="L278">
        <v>38.140688830000002</v>
      </c>
      <c r="M278">
        <v>0</v>
      </c>
      <c r="N278">
        <v>13.23949625</v>
      </c>
      <c r="O278">
        <v>38.140689960000003</v>
      </c>
      <c r="P278">
        <v>1.462844517</v>
      </c>
      <c r="Q278">
        <v>1.46284444</v>
      </c>
      <c r="R278">
        <v>0</v>
      </c>
      <c r="S278">
        <v>0</v>
      </c>
      <c r="T278">
        <v>13.07853725</v>
      </c>
      <c r="U278">
        <v>37.033062860000001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0.2</v>
      </c>
      <c r="AB278">
        <v>99.7</v>
      </c>
      <c r="AC278">
        <v>0</v>
      </c>
      <c r="AD278">
        <v>0.73571076700000004</v>
      </c>
      <c r="AE278">
        <v>51.662002459999997</v>
      </c>
      <c r="AF278">
        <v>39.319175970000003</v>
      </c>
      <c r="AG278">
        <v>29.78601089</v>
      </c>
      <c r="AH278">
        <v>21.855036349999999</v>
      </c>
      <c r="AI278">
        <v>100</v>
      </c>
      <c r="AJ278">
        <v>0</v>
      </c>
      <c r="AK278">
        <v>0</v>
      </c>
      <c r="AL278">
        <v>1</v>
      </c>
      <c r="AM278">
        <v>1</v>
      </c>
      <c r="AN278">
        <v>0</v>
      </c>
      <c r="AO278">
        <v>0</v>
      </c>
      <c r="AP278">
        <v>1</v>
      </c>
      <c r="AQ278">
        <v>0</v>
      </c>
      <c r="AR278">
        <v>13.0656</v>
      </c>
      <c r="AS278">
        <v>18.044</v>
      </c>
      <c r="AT278">
        <v>39.3992</v>
      </c>
      <c r="AU278">
        <v>86.637600000000006</v>
      </c>
      <c r="AV278">
        <v>0</v>
      </c>
    </row>
    <row r="279" spans="1:48">
      <c r="A279">
        <v>278</v>
      </c>
      <c r="B279">
        <v>2.6524002979999999</v>
      </c>
      <c r="C279">
        <v>21.077265260000001</v>
      </c>
      <c r="D279">
        <v>15.307324100000001</v>
      </c>
      <c r="E279">
        <v>1.7357271080000001</v>
      </c>
      <c r="F279">
        <v>0</v>
      </c>
      <c r="G279">
        <v>0</v>
      </c>
      <c r="H279">
        <v>0.641486216</v>
      </c>
      <c r="I279">
        <v>0</v>
      </c>
      <c r="J279">
        <v>2.6524002979999999</v>
      </c>
      <c r="K279">
        <v>2.6524002979999999</v>
      </c>
      <c r="L279">
        <v>2.6524002979999999</v>
      </c>
      <c r="M279">
        <v>0</v>
      </c>
      <c r="N279">
        <v>0</v>
      </c>
      <c r="O279">
        <v>2.6524003770000002</v>
      </c>
      <c r="P279">
        <v>2.0828724470000002</v>
      </c>
      <c r="Q279">
        <v>2.0828724470000002</v>
      </c>
      <c r="R279">
        <v>0</v>
      </c>
      <c r="S279">
        <v>0</v>
      </c>
      <c r="T279">
        <v>8.3721908220000003</v>
      </c>
      <c r="U279">
        <v>29.230399970000001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0.2</v>
      </c>
      <c r="AB279">
        <v>99.7</v>
      </c>
      <c r="AC279">
        <v>0</v>
      </c>
      <c r="AD279">
        <v>7.5458542319999999</v>
      </c>
      <c r="AE279">
        <v>52.48833905</v>
      </c>
      <c r="AF279">
        <v>51.662002459999997</v>
      </c>
      <c r="AG279">
        <v>29.809853489999998</v>
      </c>
      <c r="AH279">
        <v>21.872066780000001</v>
      </c>
      <c r="AI279">
        <v>100</v>
      </c>
      <c r="AJ279">
        <v>0</v>
      </c>
      <c r="AK279">
        <v>0</v>
      </c>
      <c r="AL279">
        <v>1</v>
      </c>
      <c r="AM279">
        <v>1</v>
      </c>
      <c r="AN279">
        <v>0</v>
      </c>
      <c r="AO279">
        <v>0</v>
      </c>
      <c r="AP279">
        <v>1</v>
      </c>
      <c r="AQ279">
        <v>0</v>
      </c>
      <c r="AR279">
        <v>13.0656</v>
      </c>
      <c r="AS279">
        <v>18.044</v>
      </c>
      <c r="AT279">
        <v>39.3992</v>
      </c>
      <c r="AU279">
        <v>86.637600000000006</v>
      </c>
      <c r="AV279">
        <v>0</v>
      </c>
    </row>
    <row r="280" spans="1:48">
      <c r="A280">
        <v>279</v>
      </c>
      <c r="B280">
        <v>10.68860048</v>
      </c>
      <c r="C280">
        <v>15.61528457</v>
      </c>
      <c r="D280">
        <v>9.8179805059999996</v>
      </c>
      <c r="E280">
        <v>1.1839022610000001</v>
      </c>
      <c r="F280">
        <v>0</v>
      </c>
      <c r="G280">
        <v>0</v>
      </c>
      <c r="H280">
        <v>0.61668509999999999</v>
      </c>
      <c r="I280">
        <v>0</v>
      </c>
      <c r="J280">
        <v>10.68860048</v>
      </c>
      <c r="K280">
        <v>10.68860048</v>
      </c>
      <c r="L280">
        <v>9.1943988690000005</v>
      </c>
      <c r="M280">
        <v>0</v>
      </c>
      <c r="N280">
        <v>1.49420161</v>
      </c>
      <c r="O280">
        <v>9.1943991430000001</v>
      </c>
      <c r="P280">
        <v>1.4206826690000001</v>
      </c>
      <c r="Q280">
        <v>1.4206826690000001</v>
      </c>
      <c r="R280">
        <v>0</v>
      </c>
      <c r="S280">
        <v>0</v>
      </c>
      <c r="T280">
        <v>5.2864638770000001</v>
      </c>
      <c r="U280">
        <v>31.717652560000001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0.2</v>
      </c>
      <c r="AB280">
        <v>99.7</v>
      </c>
      <c r="AC280">
        <v>0</v>
      </c>
      <c r="AD280">
        <v>5.404735681</v>
      </c>
      <c r="AE280">
        <v>52.370067239999997</v>
      </c>
      <c r="AF280">
        <v>52.48833905</v>
      </c>
      <c r="AG280">
        <v>30.180596449999999</v>
      </c>
      <c r="AH280">
        <v>22.136883180000002</v>
      </c>
      <c r="AI280">
        <v>100</v>
      </c>
      <c r="AJ280">
        <v>0</v>
      </c>
      <c r="AK280">
        <v>0</v>
      </c>
      <c r="AL280">
        <v>1</v>
      </c>
      <c r="AM280">
        <v>1</v>
      </c>
      <c r="AN280">
        <v>0</v>
      </c>
      <c r="AO280">
        <v>0</v>
      </c>
      <c r="AP280">
        <v>1</v>
      </c>
      <c r="AQ280">
        <v>0</v>
      </c>
      <c r="AR280">
        <v>13.0656</v>
      </c>
      <c r="AS280">
        <v>18.044</v>
      </c>
      <c r="AT280">
        <v>39.3992</v>
      </c>
      <c r="AU280">
        <v>86.637600000000006</v>
      </c>
      <c r="AV280">
        <v>0</v>
      </c>
    </row>
    <row r="281" spans="1:48">
      <c r="A281">
        <v>280</v>
      </c>
      <c r="B281" s="15">
        <v>0</v>
      </c>
      <c r="C281">
        <v>20.961249410000001</v>
      </c>
      <c r="D281">
        <v>8.1279843330000006</v>
      </c>
      <c r="E281">
        <v>1.613193895</v>
      </c>
      <c r="F281">
        <v>0</v>
      </c>
      <c r="G281">
        <v>0</v>
      </c>
      <c r="H281">
        <v>0.64317268999999999</v>
      </c>
      <c r="I281">
        <v>0</v>
      </c>
      <c r="J281" s="15">
        <v>0</v>
      </c>
      <c r="K281" s="15">
        <v>0</v>
      </c>
      <c r="L281" s="15">
        <v>0</v>
      </c>
      <c r="M281">
        <v>0</v>
      </c>
      <c r="N281">
        <v>0</v>
      </c>
      <c r="O281" s="15">
        <v>0</v>
      </c>
      <c r="P281">
        <v>1.9358326290000001</v>
      </c>
      <c r="Q281">
        <v>1.9358326290000001</v>
      </c>
      <c r="R281">
        <v>0</v>
      </c>
      <c r="S281">
        <v>0</v>
      </c>
      <c r="T281">
        <v>2.9824810789999998</v>
      </c>
      <c r="U281">
        <v>26.799338859999999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0.2</v>
      </c>
      <c r="AB281">
        <v>99.7</v>
      </c>
      <c r="AC281">
        <v>0</v>
      </c>
      <c r="AD281">
        <v>4.9404096879999999</v>
      </c>
      <c r="AE281">
        <v>50.412138640000002</v>
      </c>
      <c r="AF281">
        <v>52.370067239999997</v>
      </c>
      <c r="AG281">
        <v>29.784642999999999</v>
      </c>
      <c r="AH281">
        <v>21.854059280000001</v>
      </c>
      <c r="AI281">
        <v>100</v>
      </c>
      <c r="AJ281">
        <v>0</v>
      </c>
      <c r="AK281">
        <v>0</v>
      </c>
      <c r="AL281">
        <v>1</v>
      </c>
      <c r="AM281">
        <v>1</v>
      </c>
      <c r="AN281">
        <v>0</v>
      </c>
      <c r="AO281">
        <v>0</v>
      </c>
      <c r="AP281">
        <v>1</v>
      </c>
      <c r="AQ281">
        <v>0</v>
      </c>
      <c r="AR281">
        <v>13.0656</v>
      </c>
      <c r="AS281">
        <v>18.044</v>
      </c>
      <c r="AT281">
        <v>39.3992</v>
      </c>
      <c r="AU281">
        <v>86.637600000000006</v>
      </c>
      <c r="AV281">
        <v>0</v>
      </c>
    </row>
    <row r="282" spans="1:48">
      <c r="A282">
        <v>281</v>
      </c>
      <c r="B282" s="15">
        <v>2.52E-2</v>
      </c>
      <c r="C282">
        <v>21.856605030000001</v>
      </c>
      <c r="D282">
        <v>11.692675899999999</v>
      </c>
      <c r="E282">
        <v>1.729279518</v>
      </c>
      <c r="F282">
        <v>0</v>
      </c>
      <c r="G282">
        <v>0</v>
      </c>
      <c r="H282">
        <v>0.62256669200000003</v>
      </c>
      <c r="I282">
        <v>0</v>
      </c>
      <c r="J282" s="15">
        <v>2.52E-2</v>
      </c>
      <c r="K282" s="15">
        <v>2.52E-2</v>
      </c>
      <c r="L282" s="15">
        <v>2.52E-2</v>
      </c>
      <c r="M282">
        <v>0</v>
      </c>
      <c r="N282">
        <v>0</v>
      </c>
      <c r="O282" s="15">
        <v>2.52E-2</v>
      </c>
      <c r="P282">
        <v>2.0751353880000001</v>
      </c>
      <c r="Q282">
        <v>2.0751353880000001</v>
      </c>
      <c r="R282">
        <v>0</v>
      </c>
      <c r="S282">
        <v>0</v>
      </c>
      <c r="T282">
        <v>0.69093480200000001</v>
      </c>
      <c r="U282">
        <v>24.058482380000001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0.2</v>
      </c>
      <c r="AB282">
        <v>99.7</v>
      </c>
      <c r="AC282">
        <v>0</v>
      </c>
      <c r="AD282">
        <v>2.8844084570000001</v>
      </c>
      <c r="AE282">
        <v>48.21866498</v>
      </c>
      <c r="AF282">
        <v>50.412138640000002</v>
      </c>
      <c r="AG282">
        <v>30.092674639999998</v>
      </c>
      <c r="AH282">
        <v>22.074081889999999</v>
      </c>
      <c r="AI282">
        <v>100</v>
      </c>
      <c r="AJ282">
        <v>0</v>
      </c>
      <c r="AK282">
        <v>0</v>
      </c>
      <c r="AL282">
        <v>1</v>
      </c>
      <c r="AM282">
        <v>1</v>
      </c>
      <c r="AN282">
        <v>0</v>
      </c>
      <c r="AO282">
        <v>0</v>
      </c>
      <c r="AP282">
        <v>1</v>
      </c>
      <c r="AQ282">
        <v>0</v>
      </c>
      <c r="AR282">
        <v>13.0656</v>
      </c>
      <c r="AS282">
        <v>18.044</v>
      </c>
      <c r="AT282">
        <v>39.3992</v>
      </c>
      <c r="AU282">
        <v>86.637600000000006</v>
      </c>
      <c r="AV282">
        <v>0</v>
      </c>
    </row>
    <row r="283" spans="1:48">
      <c r="A283">
        <v>282</v>
      </c>
      <c r="B283">
        <v>0</v>
      </c>
      <c r="C283">
        <v>19.438750590000001</v>
      </c>
      <c r="D283">
        <v>11.913336129999999</v>
      </c>
      <c r="E283">
        <v>1.8575912809999999</v>
      </c>
      <c r="F283">
        <v>0</v>
      </c>
      <c r="G283">
        <v>0</v>
      </c>
      <c r="H283">
        <v>0.61699458200000001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2.2291095150000002</v>
      </c>
      <c r="Q283">
        <v>2.2291095150000002</v>
      </c>
      <c r="R283">
        <v>0</v>
      </c>
      <c r="S283">
        <v>0</v>
      </c>
      <c r="T283">
        <v>0.21320444499999999</v>
      </c>
      <c r="U283">
        <v>21.616168420000001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0.2</v>
      </c>
      <c r="AB283">
        <v>99.7</v>
      </c>
      <c r="AC283">
        <v>0</v>
      </c>
      <c r="AD283">
        <v>1.831230768</v>
      </c>
      <c r="AE283">
        <v>46.600638660000001</v>
      </c>
      <c r="AF283">
        <v>48.21866498</v>
      </c>
      <c r="AG283">
        <v>30.175970110000002</v>
      </c>
      <c r="AH283">
        <v>22.13357865</v>
      </c>
      <c r="AI283">
        <v>100</v>
      </c>
      <c r="AJ283">
        <v>0</v>
      </c>
      <c r="AK283">
        <v>0</v>
      </c>
      <c r="AL283">
        <v>1</v>
      </c>
      <c r="AM283">
        <v>1</v>
      </c>
      <c r="AN283">
        <v>0</v>
      </c>
      <c r="AO283">
        <v>0</v>
      </c>
      <c r="AP283">
        <v>1</v>
      </c>
      <c r="AQ283">
        <v>0</v>
      </c>
      <c r="AR283">
        <v>13.0656</v>
      </c>
      <c r="AS283">
        <v>18.044</v>
      </c>
      <c r="AT283">
        <v>39.3992</v>
      </c>
      <c r="AU283">
        <v>86.637600000000006</v>
      </c>
      <c r="AV283">
        <v>0</v>
      </c>
    </row>
    <row r="284" spans="1:48">
      <c r="A284">
        <v>283</v>
      </c>
      <c r="B284">
        <v>0</v>
      </c>
      <c r="C284">
        <v>19.002679730000001</v>
      </c>
      <c r="D284">
        <v>7.7539253050000001</v>
      </c>
      <c r="E284">
        <v>1.742023163</v>
      </c>
      <c r="F284">
        <v>0</v>
      </c>
      <c r="G284">
        <v>0</v>
      </c>
      <c r="H284">
        <v>0.610835617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2.0904277850000001</v>
      </c>
      <c r="Q284">
        <v>2.0904277850000001</v>
      </c>
      <c r="R284">
        <v>0</v>
      </c>
      <c r="S284">
        <v>0</v>
      </c>
      <c r="T284" s="15">
        <v>6.3100000000000003E-2</v>
      </c>
      <c r="U284">
        <v>19.462609279999999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0.2</v>
      </c>
      <c r="AB284">
        <v>99.7</v>
      </c>
      <c r="AC284">
        <v>0</v>
      </c>
      <c r="AD284">
        <v>1.2862182170000001</v>
      </c>
      <c r="AE284">
        <v>45.377551789999998</v>
      </c>
      <c r="AF284">
        <v>46.600638660000001</v>
      </c>
      <c r="AG284">
        <v>30.268038260000001</v>
      </c>
      <c r="AH284">
        <v>22.199341619999998</v>
      </c>
      <c r="AI284">
        <v>100</v>
      </c>
      <c r="AJ284">
        <v>0</v>
      </c>
      <c r="AK284">
        <v>0</v>
      </c>
      <c r="AL284">
        <v>1</v>
      </c>
      <c r="AM284">
        <v>1</v>
      </c>
      <c r="AN284">
        <v>0</v>
      </c>
      <c r="AO284">
        <v>0</v>
      </c>
      <c r="AP284">
        <v>1</v>
      </c>
      <c r="AQ284">
        <v>0</v>
      </c>
      <c r="AR284">
        <v>13.0656</v>
      </c>
      <c r="AS284">
        <v>18.044</v>
      </c>
      <c r="AT284">
        <v>39.3992</v>
      </c>
      <c r="AU284">
        <v>86.637600000000006</v>
      </c>
      <c r="AV284">
        <v>0</v>
      </c>
    </row>
    <row r="285" spans="1:48">
      <c r="A285">
        <v>284</v>
      </c>
      <c r="B285">
        <v>0</v>
      </c>
      <c r="C285">
        <v>20.5</v>
      </c>
      <c r="D285">
        <v>5.2973202739999996</v>
      </c>
      <c r="E285">
        <v>1.785656903</v>
      </c>
      <c r="F285">
        <v>0</v>
      </c>
      <c r="G285">
        <v>0</v>
      </c>
      <c r="H285">
        <v>0.61638288600000002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2.1427882820000002</v>
      </c>
      <c r="Q285">
        <v>2.1427882820000002</v>
      </c>
      <c r="R285">
        <v>0</v>
      </c>
      <c r="S285">
        <v>0</v>
      </c>
      <c r="T285" s="15">
        <v>1.7500000000000002E-2</v>
      </c>
      <c r="U285">
        <v>17.302285569999999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0.2</v>
      </c>
      <c r="AB285">
        <v>99.7</v>
      </c>
      <c r="AC285">
        <v>0</v>
      </c>
      <c r="AD285">
        <v>0.97267759899999995</v>
      </c>
      <c r="AE285">
        <v>44.422409620000003</v>
      </c>
      <c r="AF285">
        <v>45.377551789999998</v>
      </c>
      <c r="AG285">
        <v>30.18511414</v>
      </c>
      <c r="AH285">
        <v>22.140110100000001</v>
      </c>
      <c r="AI285">
        <v>100</v>
      </c>
      <c r="AJ285">
        <v>0</v>
      </c>
      <c r="AK285">
        <v>0</v>
      </c>
      <c r="AL285">
        <v>1</v>
      </c>
      <c r="AM285">
        <v>1</v>
      </c>
      <c r="AN285">
        <v>0</v>
      </c>
      <c r="AO285">
        <v>0</v>
      </c>
      <c r="AP285">
        <v>1</v>
      </c>
      <c r="AQ285">
        <v>0</v>
      </c>
      <c r="AR285">
        <v>13.0656</v>
      </c>
      <c r="AS285">
        <v>18.044</v>
      </c>
      <c r="AT285">
        <v>39.3992</v>
      </c>
      <c r="AU285">
        <v>86.637600000000006</v>
      </c>
      <c r="AV285">
        <v>0</v>
      </c>
    </row>
    <row r="286" spans="1:48">
      <c r="A286">
        <v>285</v>
      </c>
      <c r="B286">
        <v>0</v>
      </c>
      <c r="C286">
        <v>18.7</v>
      </c>
      <c r="D286">
        <v>7.5793397679999996</v>
      </c>
      <c r="E286">
        <v>1.7062927889999999</v>
      </c>
      <c r="F286">
        <v>0</v>
      </c>
      <c r="G286">
        <v>0</v>
      </c>
      <c r="H286">
        <v>0.61428846599999998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2.0475513529999998</v>
      </c>
      <c r="Q286">
        <v>2.046414113</v>
      </c>
      <c r="R286">
        <v>0</v>
      </c>
      <c r="S286">
        <v>0</v>
      </c>
      <c r="T286" s="15">
        <v>3.9699999999999996E-3</v>
      </c>
      <c r="U286">
        <v>15.25189709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0.2</v>
      </c>
      <c r="AB286">
        <v>99.7</v>
      </c>
      <c r="AC286">
        <v>0</v>
      </c>
      <c r="AD286">
        <v>0.77465750700000002</v>
      </c>
      <c r="AE286">
        <v>43.651726480000001</v>
      </c>
      <c r="AF286">
        <v>44.422409620000003</v>
      </c>
      <c r="AG286">
        <v>30.216422860000002</v>
      </c>
      <c r="AH286">
        <v>22.162473469999998</v>
      </c>
      <c r="AI286">
        <v>100</v>
      </c>
      <c r="AJ286">
        <v>0</v>
      </c>
      <c r="AK286">
        <v>0</v>
      </c>
      <c r="AL286">
        <v>1</v>
      </c>
      <c r="AM286">
        <v>1</v>
      </c>
      <c r="AN286">
        <v>0</v>
      </c>
      <c r="AO286">
        <v>0</v>
      </c>
      <c r="AP286">
        <v>1</v>
      </c>
      <c r="AQ286">
        <v>0</v>
      </c>
      <c r="AR286">
        <v>13.0656</v>
      </c>
      <c r="AS286">
        <v>18.044</v>
      </c>
      <c r="AT286">
        <v>39.3992</v>
      </c>
      <c r="AU286">
        <v>86.637600000000006</v>
      </c>
      <c r="AV286">
        <v>0</v>
      </c>
    </row>
    <row r="287" spans="1:48">
      <c r="A287">
        <v>286</v>
      </c>
      <c r="B287" s="15">
        <v>1.9599999999999999E-2</v>
      </c>
      <c r="C287">
        <v>19.456605029999999</v>
      </c>
      <c r="D287">
        <v>6.5152845680000002</v>
      </c>
      <c r="E287">
        <v>1.775404939</v>
      </c>
      <c r="F287">
        <v>0</v>
      </c>
      <c r="G287">
        <v>0</v>
      </c>
      <c r="H287">
        <v>0.61809794299999998</v>
      </c>
      <c r="I287">
        <v>0</v>
      </c>
      <c r="J287" s="15">
        <v>1.9599999999999999E-2</v>
      </c>
      <c r="K287" s="15">
        <v>1.9599999999999999E-2</v>
      </c>
      <c r="L287" s="15">
        <v>1.9599999999999999E-2</v>
      </c>
      <c r="M287">
        <v>0</v>
      </c>
      <c r="N287">
        <v>0</v>
      </c>
      <c r="O287" s="15">
        <v>1.9599999999999999E-2</v>
      </c>
      <c r="P287">
        <v>2.1304859409999999</v>
      </c>
      <c r="Q287">
        <v>1.914652485</v>
      </c>
      <c r="R287">
        <v>0</v>
      </c>
      <c r="S287">
        <v>0</v>
      </c>
      <c r="T287" s="15">
        <v>7.3899999999999997E-4</v>
      </c>
      <c r="U287">
        <v>13.356095590000001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0.2</v>
      </c>
      <c r="AB287">
        <v>99.7</v>
      </c>
      <c r="AC287">
        <v>0</v>
      </c>
      <c r="AD287">
        <v>0.63935951000000002</v>
      </c>
      <c r="AE287">
        <v>43.013105830000001</v>
      </c>
      <c r="AF287">
        <v>43.651726480000001</v>
      </c>
      <c r="AG287">
        <v>30.159476359999999</v>
      </c>
      <c r="AH287">
        <v>22.121797399999998</v>
      </c>
      <c r="AI287">
        <v>100</v>
      </c>
      <c r="AJ287">
        <v>0</v>
      </c>
      <c r="AK287">
        <v>0</v>
      </c>
      <c r="AL287">
        <v>1</v>
      </c>
      <c r="AM287">
        <v>1</v>
      </c>
      <c r="AN287">
        <v>0</v>
      </c>
      <c r="AO287">
        <v>0</v>
      </c>
      <c r="AP287">
        <v>1</v>
      </c>
      <c r="AQ287">
        <v>0</v>
      </c>
      <c r="AR287">
        <v>13.0656</v>
      </c>
      <c r="AS287">
        <v>18.044</v>
      </c>
      <c r="AT287">
        <v>39.3992</v>
      </c>
      <c r="AU287">
        <v>86.637600000000006</v>
      </c>
      <c r="AV287">
        <v>0</v>
      </c>
    </row>
    <row r="288" spans="1:48">
      <c r="A288">
        <v>287</v>
      </c>
      <c r="B288">
        <v>0</v>
      </c>
      <c r="C288">
        <v>17.964055200000001</v>
      </c>
      <c r="D288">
        <v>6.472015667</v>
      </c>
      <c r="E288">
        <v>1.737571363</v>
      </c>
      <c r="F288">
        <v>0</v>
      </c>
      <c r="G288">
        <v>0</v>
      </c>
      <c r="H288">
        <v>0.61478056000000003</v>
      </c>
      <c r="I288">
        <v>0</v>
      </c>
      <c r="J288">
        <v>0</v>
      </c>
      <c r="K288">
        <v>0</v>
      </c>
      <c r="L288">
        <v>0</v>
      </c>
      <c r="M288">
        <v>0</v>
      </c>
      <c r="N288" s="15">
        <v>0</v>
      </c>
      <c r="O288">
        <v>0</v>
      </c>
      <c r="P288">
        <v>2.0850856549999999</v>
      </c>
      <c r="Q288">
        <v>1.5554104049999999</v>
      </c>
      <c r="R288">
        <v>0</v>
      </c>
      <c r="S288">
        <v>0</v>
      </c>
      <c r="T288" s="15">
        <v>1.2E-4</v>
      </c>
      <c r="U288">
        <v>11.80056536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0.2</v>
      </c>
      <c r="AB288">
        <v>99.7</v>
      </c>
      <c r="AC288">
        <v>0</v>
      </c>
      <c r="AD288">
        <v>0.542469702</v>
      </c>
      <c r="AE288">
        <v>42.470755959999998</v>
      </c>
      <c r="AF288">
        <v>43.013105830000001</v>
      </c>
      <c r="AG288">
        <v>30.20906673</v>
      </c>
      <c r="AH288">
        <v>22.157219090000002</v>
      </c>
      <c r="AI288">
        <v>100</v>
      </c>
      <c r="AJ288">
        <v>0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1</v>
      </c>
      <c r="AQ288">
        <v>0</v>
      </c>
      <c r="AR288">
        <v>13.0656</v>
      </c>
      <c r="AS288">
        <v>18.044</v>
      </c>
      <c r="AT288">
        <v>39.3992</v>
      </c>
      <c r="AU288">
        <v>86.637600000000006</v>
      </c>
      <c r="AV288">
        <v>0</v>
      </c>
    </row>
    <row r="289" spans="1:48">
      <c r="A289">
        <v>288</v>
      </c>
      <c r="B289">
        <v>0</v>
      </c>
      <c r="C289">
        <v>18.55660503</v>
      </c>
      <c r="D289">
        <v>4.4332650730000003</v>
      </c>
      <c r="E289">
        <v>1.564694402</v>
      </c>
      <c r="F289">
        <v>0</v>
      </c>
      <c r="G289">
        <v>0</v>
      </c>
      <c r="H289">
        <v>0.61659657099999998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1.877633305</v>
      </c>
      <c r="Q289">
        <v>1.1742945149999999</v>
      </c>
      <c r="R289">
        <v>0</v>
      </c>
      <c r="S289">
        <v>0</v>
      </c>
      <c r="T289" s="15">
        <v>2.0000000000000002E-5</v>
      </c>
      <c r="U289">
        <v>10.62625083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0.2</v>
      </c>
      <c r="AB289">
        <v>99.7</v>
      </c>
      <c r="AC289">
        <v>0</v>
      </c>
      <c r="AD289">
        <v>0.46994734300000002</v>
      </c>
      <c r="AE289">
        <v>42.000828630000001</v>
      </c>
      <c r="AF289">
        <v>42.470755959999998</v>
      </c>
      <c r="AG289">
        <v>30.181919829999998</v>
      </c>
      <c r="AH289">
        <v>22.137828450000001</v>
      </c>
      <c r="AI289">
        <v>100</v>
      </c>
      <c r="AJ289">
        <v>0</v>
      </c>
      <c r="AK289">
        <v>0</v>
      </c>
      <c r="AL289">
        <v>1</v>
      </c>
      <c r="AM289">
        <v>1</v>
      </c>
      <c r="AN289">
        <v>0</v>
      </c>
      <c r="AO289">
        <v>0</v>
      </c>
      <c r="AP289">
        <v>1</v>
      </c>
      <c r="AQ289">
        <v>0</v>
      </c>
      <c r="AR289">
        <v>13.0656</v>
      </c>
      <c r="AS289">
        <v>18.044</v>
      </c>
      <c r="AT289">
        <v>39.3992</v>
      </c>
      <c r="AU289">
        <v>86.637600000000006</v>
      </c>
      <c r="AV289">
        <v>0</v>
      </c>
    </row>
    <row r="290" spans="1:48">
      <c r="A290">
        <v>289</v>
      </c>
      <c r="B290">
        <v>0</v>
      </c>
      <c r="C290">
        <v>19.87454387</v>
      </c>
      <c r="D290">
        <v>4.3586795370000004</v>
      </c>
      <c r="E290">
        <v>1.583634169</v>
      </c>
      <c r="F290">
        <v>0</v>
      </c>
      <c r="G290">
        <v>0</v>
      </c>
      <c r="H290">
        <v>0.62489466500000002</v>
      </c>
      <c r="I290">
        <v>0</v>
      </c>
      <c r="J290">
        <v>0</v>
      </c>
      <c r="K290">
        <v>0</v>
      </c>
      <c r="L290">
        <v>0</v>
      </c>
      <c r="M290">
        <v>0</v>
      </c>
      <c r="N290" s="15">
        <v>0</v>
      </c>
      <c r="O290">
        <v>0</v>
      </c>
      <c r="P290">
        <v>1.9003610289999999</v>
      </c>
      <c r="Q290">
        <v>1.005043525</v>
      </c>
      <c r="R290">
        <v>0</v>
      </c>
      <c r="S290">
        <v>0</v>
      </c>
      <c r="T290" s="15">
        <v>3.7400000000000002E-6</v>
      </c>
      <c r="U290">
        <v>9.6212035670000002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0.2</v>
      </c>
      <c r="AB290">
        <v>99.7</v>
      </c>
      <c r="AC290">
        <v>0</v>
      </c>
      <c r="AD290">
        <v>0.41375220099999999</v>
      </c>
      <c r="AE290">
        <v>41.58708017</v>
      </c>
      <c r="AF290">
        <v>42.000828630000001</v>
      </c>
      <c r="AG290">
        <v>30.05787462</v>
      </c>
      <c r="AH290">
        <v>22.049224729999999</v>
      </c>
      <c r="AI290">
        <v>100</v>
      </c>
      <c r="AJ290">
        <v>0</v>
      </c>
      <c r="AK290">
        <v>0</v>
      </c>
      <c r="AL290">
        <v>1</v>
      </c>
      <c r="AM290">
        <v>1</v>
      </c>
      <c r="AN290">
        <v>0</v>
      </c>
      <c r="AO290">
        <v>0</v>
      </c>
      <c r="AP290">
        <v>1</v>
      </c>
      <c r="AQ290">
        <v>0</v>
      </c>
      <c r="AR290">
        <v>13.0656</v>
      </c>
      <c r="AS290">
        <v>18.044</v>
      </c>
      <c r="AT290">
        <v>39.3992</v>
      </c>
      <c r="AU290">
        <v>86.637600000000006</v>
      </c>
      <c r="AV290">
        <v>0</v>
      </c>
    </row>
    <row r="291" spans="1:48">
      <c r="A291">
        <v>290</v>
      </c>
      <c r="B291">
        <v>0</v>
      </c>
      <c r="C291">
        <v>20.32798433</v>
      </c>
      <c r="D291">
        <v>5.3073241009999998</v>
      </c>
      <c r="E291">
        <v>1.5297740580000001</v>
      </c>
      <c r="F291">
        <v>0</v>
      </c>
      <c r="G291">
        <v>0</v>
      </c>
      <c r="H291">
        <v>0.62398555600000005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1.8357288979999999</v>
      </c>
      <c r="Q291">
        <v>0.82241238500000002</v>
      </c>
      <c r="R291">
        <v>0</v>
      </c>
      <c r="S291">
        <v>0</v>
      </c>
      <c r="T291" s="15">
        <v>6.7400000000000003E-7</v>
      </c>
      <c r="U291">
        <v>8.7987905079999997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0.2</v>
      </c>
      <c r="AB291">
        <v>99.7</v>
      </c>
      <c r="AC291">
        <v>0</v>
      </c>
      <c r="AD291">
        <v>0.36900028200000001</v>
      </c>
      <c r="AE291">
        <v>41.218080559999997</v>
      </c>
      <c r="AF291">
        <v>41.58708017</v>
      </c>
      <c r="AG291">
        <v>30.071464559999999</v>
      </c>
      <c r="AH291">
        <v>22.058931829999999</v>
      </c>
      <c r="AI291">
        <v>100</v>
      </c>
      <c r="AJ291">
        <v>0</v>
      </c>
      <c r="AK291">
        <v>0</v>
      </c>
      <c r="AL291">
        <v>1</v>
      </c>
      <c r="AM291">
        <v>1</v>
      </c>
      <c r="AN291">
        <v>0</v>
      </c>
      <c r="AO291">
        <v>0</v>
      </c>
      <c r="AP291">
        <v>1</v>
      </c>
      <c r="AQ291">
        <v>0</v>
      </c>
      <c r="AR291">
        <v>13.0656</v>
      </c>
      <c r="AS291">
        <v>18.044</v>
      </c>
      <c r="AT291">
        <v>39.3992</v>
      </c>
      <c r="AU291">
        <v>86.637600000000006</v>
      </c>
      <c r="AV291">
        <v>0</v>
      </c>
    </row>
    <row r="292" spans="1:48">
      <c r="A292">
        <v>291</v>
      </c>
      <c r="B292">
        <v>0</v>
      </c>
      <c r="C292">
        <v>20.55660503</v>
      </c>
      <c r="D292">
        <v>5.3405891749999999</v>
      </c>
      <c r="E292">
        <v>1.4829287099999999</v>
      </c>
      <c r="F292">
        <v>0</v>
      </c>
      <c r="G292">
        <v>0</v>
      </c>
      <c r="H292">
        <v>0.62657084100000005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1.779514483</v>
      </c>
      <c r="Q292">
        <v>0.67890158</v>
      </c>
      <c r="R292">
        <v>0</v>
      </c>
      <c r="S292">
        <v>0</v>
      </c>
      <c r="T292" s="15">
        <v>1.24E-7</v>
      </c>
      <c r="U292">
        <v>8.1198888050000004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0.2</v>
      </c>
      <c r="AB292">
        <v>99.7</v>
      </c>
      <c r="AC292">
        <v>0</v>
      </c>
      <c r="AD292">
        <v>0.33256611400000002</v>
      </c>
      <c r="AE292">
        <v>40.885514569999998</v>
      </c>
      <c r="AF292">
        <v>41.218080559999997</v>
      </c>
      <c r="AG292">
        <v>30.03281806</v>
      </c>
      <c r="AH292">
        <v>22.031327189999999</v>
      </c>
      <c r="AI292">
        <v>100</v>
      </c>
      <c r="AJ292">
        <v>0</v>
      </c>
      <c r="AK292">
        <v>0</v>
      </c>
      <c r="AL292">
        <v>1</v>
      </c>
      <c r="AM292">
        <v>1</v>
      </c>
      <c r="AN292">
        <v>0</v>
      </c>
      <c r="AO292">
        <v>0</v>
      </c>
      <c r="AP292">
        <v>1</v>
      </c>
      <c r="AQ292">
        <v>0</v>
      </c>
      <c r="AR292">
        <v>13.0656</v>
      </c>
      <c r="AS292">
        <v>18.044</v>
      </c>
      <c r="AT292">
        <v>39.3992</v>
      </c>
      <c r="AU292">
        <v>86.637600000000006</v>
      </c>
      <c r="AV292">
        <v>0</v>
      </c>
    </row>
    <row r="293" spans="1:48">
      <c r="A293">
        <v>292</v>
      </c>
      <c r="B293" s="15">
        <v>0</v>
      </c>
      <c r="C293">
        <v>19.846074699999999</v>
      </c>
      <c r="D293">
        <v>7.3688511009999997</v>
      </c>
      <c r="E293">
        <v>1.288210461</v>
      </c>
      <c r="F293">
        <v>0</v>
      </c>
      <c r="G293">
        <v>0</v>
      </c>
      <c r="H293">
        <v>0.62881941799999996</v>
      </c>
      <c r="I293">
        <v>0</v>
      </c>
      <c r="J293" s="15">
        <v>0</v>
      </c>
      <c r="K293" s="15">
        <v>0</v>
      </c>
      <c r="L293" s="15">
        <v>0</v>
      </c>
      <c r="M293">
        <v>0</v>
      </c>
      <c r="N293">
        <v>0</v>
      </c>
      <c r="O293" s="15">
        <v>0</v>
      </c>
      <c r="P293">
        <v>1.545852582</v>
      </c>
      <c r="Q293">
        <v>0.50862688300000003</v>
      </c>
      <c r="R293">
        <v>0</v>
      </c>
      <c r="S293">
        <v>0</v>
      </c>
      <c r="T293" s="15">
        <v>2.37E-8</v>
      </c>
      <c r="U293">
        <v>7.6112618980000004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0.2</v>
      </c>
      <c r="AB293">
        <v>99.7</v>
      </c>
      <c r="AC293">
        <v>0</v>
      </c>
      <c r="AD293">
        <v>0.30236025900000002</v>
      </c>
      <c r="AE293">
        <v>40.583154329999999</v>
      </c>
      <c r="AF293">
        <v>40.885514569999998</v>
      </c>
      <c r="AG293">
        <v>29.999204899999999</v>
      </c>
      <c r="AH293">
        <v>22.007317780000001</v>
      </c>
      <c r="AI293">
        <v>100</v>
      </c>
      <c r="AJ293">
        <v>0</v>
      </c>
      <c r="AK293">
        <v>0</v>
      </c>
      <c r="AL293">
        <v>1</v>
      </c>
      <c r="AM293">
        <v>1</v>
      </c>
      <c r="AN293">
        <v>0</v>
      </c>
      <c r="AO293">
        <v>0</v>
      </c>
      <c r="AP293">
        <v>1</v>
      </c>
      <c r="AQ293">
        <v>0</v>
      </c>
      <c r="AR293">
        <v>13.0656</v>
      </c>
      <c r="AS293">
        <v>18.044</v>
      </c>
      <c r="AT293">
        <v>39.3992</v>
      </c>
      <c r="AU293">
        <v>86.637600000000006</v>
      </c>
      <c r="AV293">
        <v>0</v>
      </c>
    </row>
    <row r="294" spans="1:48">
      <c r="A294">
        <v>293</v>
      </c>
      <c r="B294" s="15">
        <v>1.9599999999999999E-2</v>
      </c>
      <c r="C294">
        <v>18.982019489999999</v>
      </c>
      <c r="D294">
        <v>7.9507190699999999</v>
      </c>
      <c r="E294">
        <v>1.049240164</v>
      </c>
      <c r="F294">
        <v>0</v>
      </c>
      <c r="G294">
        <v>0</v>
      </c>
      <c r="H294">
        <v>0.63816589400000001</v>
      </c>
      <c r="I294">
        <v>0</v>
      </c>
      <c r="J294" s="15">
        <v>1.9599999999999999E-2</v>
      </c>
      <c r="K294" s="15">
        <v>1.9599999999999999E-2</v>
      </c>
      <c r="L294" s="15">
        <v>1.9599999999999999E-2</v>
      </c>
      <c r="M294">
        <v>0</v>
      </c>
      <c r="N294">
        <v>0</v>
      </c>
      <c r="O294" s="15">
        <v>1.9599999999999999E-2</v>
      </c>
      <c r="P294">
        <v>1.2590882219999999</v>
      </c>
      <c r="Q294">
        <v>0.36683929199999998</v>
      </c>
      <c r="R294">
        <v>0</v>
      </c>
      <c r="S294">
        <v>0</v>
      </c>
      <c r="T294" s="15">
        <v>5.7100000000000003E-9</v>
      </c>
      <c r="U294">
        <v>7.2640124449999997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0.2</v>
      </c>
      <c r="AB294">
        <v>99.7</v>
      </c>
      <c r="AC294">
        <v>0</v>
      </c>
      <c r="AD294">
        <v>0.27693448799999998</v>
      </c>
      <c r="AE294">
        <v>40.306219849999998</v>
      </c>
      <c r="AF294">
        <v>40.583154329999999</v>
      </c>
      <c r="AG294">
        <v>29.8594878</v>
      </c>
      <c r="AH294">
        <v>21.90751985</v>
      </c>
      <c r="AI294">
        <v>100</v>
      </c>
      <c r="AJ294">
        <v>0</v>
      </c>
      <c r="AK294">
        <v>0</v>
      </c>
      <c r="AL294">
        <v>1</v>
      </c>
      <c r="AM294">
        <v>1</v>
      </c>
      <c r="AN294">
        <v>0</v>
      </c>
      <c r="AO294">
        <v>0</v>
      </c>
      <c r="AP294">
        <v>1</v>
      </c>
      <c r="AQ294">
        <v>0</v>
      </c>
      <c r="AR294">
        <v>13.0656</v>
      </c>
      <c r="AS294">
        <v>18.044</v>
      </c>
      <c r="AT294">
        <v>39.3992</v>
      </c>
      <c r="AU294">
        <v>86.637600000000006</v>
      </c>
      <c r="AV294">
        <v>0</v>
      </c>
    </row>
    <row r="295" spans="1:48">
      <c r="A295">
        <v>294</v>
      </c>
      <c r="B295" s="15">
        <v>2.2224008849999999</v>
      </c>
      <c r="C295">
        <v>15.7640552</v>
      </c>
      <c r="D295">
        <v>11.112120000000001</v>
      </c>
      <c r="E295">
        <v>0.613181168</v>
      </c>
      <c r="F295">
        <v>0</v>
      </c>
      <c r="G295">
        <v>0</v>
      </c>
      <c r="H295">
        <v>0.64963646799999997</v>
      </c>
      <c r="I295">
        <v>0</v>
      </c>
      <c r="J295" s="15">
        <v>2.2224008849999999</v>
      </c>
      <c r="K295" s="15">
        <v>2.2224008849999999</v>
      </c>
      <c r="L295" s="15">
        <v>2.2224008849999999</v>
      </c>
      <c r="M295">
        <v>0</v>
      </c>
      <c r="N295">
        <v>0</v>
      </c>
      <c r="O295" s="15">
        <v>2.222400951</v>
      </c>
      <c r="P295">
        <v>0.73581741599999995</v>
      </c>
      <c r="Q295">
        <v>0.266963793</v>
      </c>
      <c r="R295">
        <v>0</v>
      </c>
      <c r="S295">
        <v>0</v>
      </c>
      <c r="T295" s="15">
        <v>1.09E-7</v>
      </c>
      <c r="U295">
        <v>9.2194494939999991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0.2</v>
      </c>
      <c r="AB295">
        <v>99.7</v>
      </c>
      <c r="AC295">
        <v>0</v>
      </c>
      <c r="AD295">
        <v>0.25525424299999999</v>
      </c>
      <c r="AE295">
        <v>40.050965720000001</v>
      </c>
      <c r="AF295">
        <v>40.306219849999998</v>
      </c>
      <c r="AG295">
        <v>29.68801831</v>
      </c>
      <c r="AH295">
        <v>21.78504165</v>
      </c>
      <c r="AI295">
        <v>100</v>
      </c>
      <c r="AJ295">
        <v>0</v>
      </c>
      <c r="AK295">
        <v>0</v>
      </c>
      <c r="AL295">
        <v>1</v>
      </c>
      <c r="AM295">
        <v>1</v>
      </c>
      <c r="AN295">
        <v>0</v>
      </c>
      <c r="AO295">
        <v>0</v>
      </c>
      <c r="AP295">
        <v>1</v>
      </c>
      <c r="AQ295">
        <v>0</v>
      </c>
      <c r="AR295">
        <v>13.0656</v>
      </c>
      <c r="AS295">
        <v>18.044</v>
      </c>
      <c r="AT295">
        <v>39.3992</v>
      </c>
      <c r="AU295">
        <v>86.637600000000006</v>
      </c>
      <c r="AV295">
        <v>0</v>
      </c>
    </row>
    <row r="296" spans="1:48">
      <c r="A296">
        <v>295</v>
      </c>
      <c r="B296" s="15">
        <v>4.7500000000000001E-2</v>
      </c>
      <c r="C296">
        <v>20.3926759</v>
      </c>
      <c r="D296">
        <v>9.7332650730000001</v>
      </c>
      <c r="E296">
        <v>1.205969716</v>
      </c>
      <c r="F296">
        <v>0</v>
      </c>
      <c r="G296">
        <v>0</v>
      </c>
      <c r="H296">
        <v>0.67056729999999998</v>
      </c>
      <c r="I296">
        <v>0</v>
      </c>
      <c r="J296" s="15">
        <v>4.7500000000000001E-2</v>
      </c>
      <c r="K296" s="15">
        <v>4.7500000000000001E-2</v>
      </c>
      <c r="L296" s="15">
        <v>4.7500000000000001E-2</v>
      </c>
      <c r="M296">
        <v>0</v>
      </c>
      <c r="N296">
        <v>0</v>
      </c>
      <c r="O296" s="15">
        <v>4.7500000000000001E-2</v>
      </c>
      <c r="P296">
        <v>1.4471636910000001</v>
      </c>
      <c r="Q296">
        <v>0.61371200000000004</v>
      </c>
      <c r="R296">
        <v>0</v>
      </c>
      <c r="S296">
        <v>0</v>
      </c>
      <c r="T296" s="15">
        <v>3.4299999999999999E-7</v>
      </c>
      <c r="U296">
        <v>8.6532504120000002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0.2</v>
      </c>
      <c r="AB296">
        <v>99.7</v>
      </c>
      <c r="AC296">
        <v>0</v>
      </c>
      <c r="AD296">
        <v>0.236561352</v>
      </c>
      <c r="AE296">
        <v>39.814404709999998</v>
      </c>
      <c r="AF296">
        <v>40.050965720000001</v>
      </c>
      <c r="AG296">
        <v>29.375130840000001</v>
      </c>
      <c r="AH296">
        <v>21.5615506</v>
      </c>
      <c r="AI296">
        <v>100</v>
      </c>
      <c r="AJ296">
        <v>0</v>
      </c>
      <c r="AK296">
        <v>0</v>
      </c>
      <c r="AL296">
        <v>1</v>
      </c>
      <c r="AM296">
        <v>1</v>
      </c>
      <c r="AN296">
        <v>0</v>
      </c>
      <c r="AO296">
        <v>0</v>
      </c>
      <c r="AP296">
        <v>1</v>
      </c>
      <c r="AQ296">
        <v>0</v>
      </c>
      <c r="AR296">
        <v>13.0656</v>
      </c>
      <c r="AS296">
        <v>18.044</v>
      </c>
      <c r="AT296">
        <v>39.3992</v>
      </c>
      <c r="AU296">
        <v>86.637600000000006</v>
      </c>
      <c r="AV296">
        <v>0</v>
      </c>
    </row>
    <row r="297" spans="1:48">
      <c r="A297">
        <v>296</v>
      </c>
      <c r="B297">
        <v>0</v>
      </c>
      <c r="C297">
        <v>19.238750589999999</v>
      </c>
      <c r="D297">
        <v>9.6073241009999997</v>
      </c>
      <c r="E297">
        <v>1.0784246129999999</v>
      </c>
      <c r="F297">
        <v>0</v>
      </c>
      <c r="G297">
        <v>0</v>
      </c>
      <c r="H297">
        <v>0.642113449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1.294109564</v>
      </c>
      <c r="Q297">
        <v>0.488386237</v>
      </c>
      <c r="R297">
        <v>0</v>
      </c>
      <c r="S297">
        <v>0</v>
      </c>
      <c r="T297" s="15">
        <v>9.8500000000000002E-8</v>
      </c>
      <c r="U297">
        <v>8.1648640770000007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0.2</v>
      </c>
      <c r="AB297">
        <v>99.7</v>
      </c>
      <c r="AC297">
        <v>0</v>
      </c>
      <c r="AD297">
        <v>0.220287812</v>
      </c>
      <c r="AE297">
        <v>39.594116990000003</v>
      </c>
      <c r="AF297">
        <v>39.814404709999998</v>
      </c>
      <c r="AG297">
        <v>29.80047721</v>
      </c>
      <c r="AH297">
        <v>21.865369430000001</v>
      </c>
      <c r="AI297">
        <v>100</v>
      </c>
      <c r="AJ297">
        <v>0</v>
      </c>
      <c r="AK297">
        <v>0</v>
      </c>
      <c r="AL297">
        <v>1</v>
      </c>
      <c r="AM297">
        <v>1</v>
      </c>
      <c r="AN297">
        <v>0</v>
      </c>
      <c r="AO297">
        <v>0</v>
      </c>
      <c r="AP297">
        <v>1</v>
      </c>
      <c r="AQ297">
        <v>0</v>
      </c>
      <c r="AR297">
        <v>13.0656</v>
      </c>
      <c r="AS297">
        <v>18.044</v>
      </c>
      <c r="AT297">
        <v>39.3992</v>
      </c>
      <c r="AU297">
        <v>86.637600000000006</v>
      </c>
      <c r="AV297">
        <v>0</v>
      </c>
    </row>
    <row r="298" spans="1:48">
      <c r="A298">
        <v>297</v>
      </c>
      <c r="B298" s="15">
        <v>2.52E-2</v>
      </c>
      <c r="C298">
        <v>17.427984330000001</v>
      </c>
      <c r="D298">
        <v>8.3507190700000002</v>
      </c>
      <c r="E298">
        <v>1.260235196</v>
      </c>
      <c r="F298">
        <v>0</v>
      </c>
      <c r="G298">
        <v>0</v>
      </c>
      <c r="H298">
        <v>0.64823561399999996</v>
      </c>
      <c r="I298">
        <v>0</v>
      </c>
      <c r="J298" s="15">
        <v>2.52E-2</v>
      </c>
      <c r="K298" s="15">
        <v>2.52E-2</v>
      </c>
      <c r="L298" s="15">
        <v>2.52E-2</v>
      </c>
      <c r="M298">
        <v>0</v>
      </c>
      <c r="N298">
        <v>0</v>
      </c>
      <c r="O298" s="15">
        <v>2.52E-2</v>
      </c>
      <c r="P298">
        <v>1.51228227</v>
      </c>
      <c r="Q298">
        <v>0.50554125100000002</v>
      </c>
      <c r="R298">
        <v>0</v>
      </c>
      <c r="S298">
        <v>0</v>
      </c>
      <c r="T298" s="15">
        <v>2.77E-8</v>
      </c>
      <c r="U298">
        <v>7.6845365110000001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0.2</v>
      </c>
      <c r="AB298">
        <v>99.7</v>
      </c>
      <c r="AC298">
        <v>0</v>
      </c>
      <c r="AD298">
        <v>0.205999985</v>
      </c>
      <c r="AE298">
        <v>39.388117039999997</v>
      </c>
      <c r="AF298">
        <v>39.594116990000003</v>
      </c>
      <c r="AG298">
        <v>29.70895917</v>
      </c>
      <c r="AH298">
        <v>21.799999410000002</v>
      </c>
      <c r="AI298">
        <v>100</v>
      </c>
      <c r="AJ298">
        <v>0</v>
      </c>
      <c r="AK298">
        <v>0</v>
      </c>
      <c r="AL298">
        <v>1</v>
      </c>
      <c r="AM298">
        <v>1</v>
      </c>
      <c r="AN298">
        <v>0</v>
      </c>
      <c r="AO298">
        <v>0</v>
      </c>
      <c r="AP298">
        <v>1</v>
      </c>
      <c r="AQ298">
        <v>0</v>
      </c>
      <c r="AR298">
        <v>13.0656</v>
      </c>
      <c r="AS298">
        <v>18.044</v>
      </c>
      <c r="AT298">
        <v>39.3992</v>
      </c>
      <c r="AU298">
        <v>86.637600000000006</v>
      </c>
      <c r="AV298">
        <v>0</v>
      </c>
    </row>
    <row r="299" spans="1:48">
      <c r="A299">
        <v>298</v>
      </c>
      <c r="B299" s="15">
        <v>0</v>
      </c>
      <c r="C299">
        <v>15.71048867</v>
      </c>
      <c r="D299">
        <v>6.1539253049999996</v>
      </c>
      <c r="E299">
        <v>1.062123419</v>
      </c>
      <c r="F299">
        <v>0</v>
      </c>
      <c r="G299">
        <v>0</v>
      </c>
      <c r="H299">
        <v>0.63950870599999998</v>
      </c>
      <c r="I299">
        <v>0</v>
      </c>
      <c r="J299" s="15">
        <v>0</v>
      </c>
      <c r="K299" s="15">
        <v>0</v>
      </c>
      <c r="L299" s="15">
        <v>0</v>
      </c>
      <c r="M299">
        <v>0</v>
      </c>
      <c r="N299">
        <v>0</v>
      </c>
      <c r="O299" s="15">
        <v>0</v>
      </c>
      <c r="P299">
        <v>1.2745481329999999</v>
      </c>
      <c r="Q299">
        <v>0.37788682600000001</v>
      </c>
      <c r="R299">
        <v>0</v>
      </c>
      <c r="S299">
        <v>0</v>
      </c>
      <c r="T299" s="15">
        <v>7.0299999999999999E-9</v>
      </c>
      <c r="U299">
        <v>7.3066496780000003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0.2</v>
      </c>
      <c r="AB299">
        <v>99.7</v>
      </c>
      <c r="AC299">
        <v>0</v>
      </c>
      <c r="AD299">
        <v>0.19336123699999999</v>
      </c>
      <c r="AE299">
        <v>39.194755809999997</v>
      </c>
      <c r="AF299">
        <v>39.388117039999997</v>
      </c>
      <c r="AG299">
        <v>29.83941458</v>
      </c>
      <c r="AH299">
        <v>21.89318184</v>
      </c>
      <c r="AI299">
        <v>100</v>
      </c>
      <c r="AJ299">
        <v>0</v>
      </c>
      <c r="AK299">
        <v>0</v>
      </c>
      <c r="AL299">
        <v>1</v>
      </c>
      <c r="AM299">
        <v>1</v>
      </c>
      <c r="AN299">
        <v>0</v>
      </c>
      <c r="AO299">
        <v>0</v>
      </c>
      <c r="AP299">
        <v>1</v>
      </c>
      <c r="AQ299">
        <v>0</v>
      </c>
      <c r="AR299">
        <v>13.0656</v>
      </c>
      <c r="AS299">
        <v>18.044</v>
      </c>
      <c r="AT299">
        <v>39.3992</v>
      </c>
      <c r="AU299">
        <v>86.637600000000006</v>
      </c>
      <c r="AV299">
        <v>0</v>
      </c>
    </row>
    <row r="300" spans="1:48">
      <c r="A300">
        <v>299</v>
      </c>
      <c r="B300" s="15">
        <v>0</v>
      </c>
      <c r="C300">
        <v>17.410488669999999</v>
      </c>
      <c r="D300">
        <v>3.176660042</v>
      </c>
      <c r="E300">
        <v>1.179148211</v>
      </c>
      <c r="F300">
        <v>0</v>
      </c>
      <c r="G300">
        <v>0</v>
      </c>
      <c r="H300">
        <v>0.64901807099999997</v>
      </c>
      <c r="I300">
        <v>0</v>
      </c>
      <c r="J300" s="15">
        <v>0</v>
      </c>
      <c r="K300" s="15">
        <v>0</v>
      </c>
      <c r="L300" s="15">
        <v>0</v>
      </c>
      <c r="M300">
        <v>0</v>
      </c>
      <c r="N300">
        <v>0</v>
      </c>
      <c r="O300" s="15">
        <v>0</v>
      </c>
      <c r="P300">
        <v>1.414977887</v>
      </c>
      <c r="Q300">
        <v>0.37223973399999999</v>
      </c>
      <c r="R300">
        <v>0</v>
      </c>
      <c r="S300">
        <v>0</v>
      </c>
      <c r="T300" s="15">
        <v>1.87E-9</v>
      </c>
      <c r="U300">
        <v>6.9344099430000004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0.2</v>
      </c>
      <c r="AB300">
        <v>99.7</v>
      </c>
      <c r="AC300">
        <v>0</v>
      </c>
      <c r="AD300">
        <v>0.18210635999999999</v>
      </c>
      <c r="AE300">
        <v>39.012649449999998</v>
      </c>
      <c r="AF300">
        <v>39.194755809999997</v>
      </c>
      <c r="AG300">
        <v>29.697262500000001</v>
      </c>
      <c r="AH300">
        <v>21.791644640000001</v>
      </c>
      <c r="AI300">
        <v>100</v>
      </c>
      <c r="AJ300">
        <v>0</v>
      </c>
      <c r="AK300">
        <v>0</v>
      </c>
      <c r="AL300">
        <v>1</v>
      </c>
      <c r="AM300">
        <v>1</v>
      </c>
      <c r="AN300">
        <v>0</v>
      </c>
      <c r="AO300">
        <v>0</v>
      </c>
      <c r="AP300">
        <v>1</v>
      </c>
      <c r="AQ300">
        <v>0</v>
      </c>
      <c r="AR300">
        <v>13.0656</v>
      </c>
      <c r="AS300">
        <v>18.044</v>
      </c>
      <c r="AT300">
        <v>39.3992</v>
      </c>
      <c r="AU300">
        <v>86.637600000000006</v>
      </c>
      <c r="AV300">
        <v>0</v>
      </c>
    </row>
    <row r="301" spans="1:48">
      <c r="A301">
        <v>300</v>
      </c>
      <c r="B301">
        <v>0.30256455399999999</v>
      </c>
      <c r="C301">
        <v>19.727984330000002</v>
      </c>
      <c r="D301">
        <v>4.4688511010000003</v>
      </c>
      <c r="E301">
        <v>1.294095953</v>
      </c>
      <c r="F301">
        <v>0</v>
      </c>
      <c r="G301">
        <v>0</v>
      </c>
      <c r="H301">
        <v>0.64340088100000004</v>
      </c>
      <c r="I301">
        <v>0</v>
      </c>
      <c r="J301">
        <v>0.30256455399999999</v>
      </c>
      <c r="K301">
        <v>0.30256455399999999</v>
      </c>
      <c r="L301">
        <v>0.30256455399999999</v>
      </c>
      <c r="M301">
        <v>0</v>
      </c>
      <c r="N301">
        <v>0</v>
      </c>
      <c r="O301">
        <v>0.30256456300000001</v>
      </c>
      <c r="P301">
        <v>1.5529151809999999</v>
      </c>
      <c r="Q301">
        <v>0.37772187200000001</v>
      </c>
      <c r="R301">
        <v>0</v>
      </c>
      <c r="S301">
        <v>0</v>
      </c>
      <c r="T301" s="15">
        <v>6.6399999999999998E-10</v>
      </c>
      <c r="U301">
        <v>6.8592526329999997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0.2</v>
      </c>
      <c r="AB301">
        <v>99.7</v>
      </c>
      <c r="AC301">
        <v>0</v>
      </c>
      <c r="AD301">
        <v>0.17202366999999999</v>
      </c>
      <c r="AE301">
        <v>38.840625780000003</v>
      </c>
      <c r="AF301">
        <v>39.012649449999998</v>
      </c>
      <c r="AG301">
        <v>29.781231850000001</v>
      </c>
      <c r="AH301">
        <v>21.851622750000001</v>
      </c>
      <c r="AI301">
        <v>100</v>
      </c>
      <c r="AJ301">
        <v>0</v>
      </c>
      <c r="AK301">
        <v>0</v>
      </c>
      <c r="AL301">
        <v>1</v>
      </c>
      <c r="AM301">
        <v>1</v>
      </c>
      <c r="AN301">
        <v>0</v>
      </c>
      <c r="AO301">
        <v>0</v>
      </c>
      <c r="AP301">
        <v>1</v>
      </c>
      <c r="AQ301">
        <v>0</v>
      </c>
      <c r="AR301">
        <v>13.0656</v>
      </c>
      <c r="AS301">
        <v>18.044</v>
      </c>
      <c r="AT301">
        <v>39.3992</v>
      </c>
      <c r="AU301">
        <v>86.637600000000006</v>
      </c>
      <c r="AV301">
        <v>0</v>
      </c>
    </row>
    <row r="302" spans="1:48">
      <c r="A302">
        <v>301</v>
      </c>
      <c r="B302">
        <v>0</v>
      </c>
      <c r="C302">
        <v>18.527984329999999</v>
      </c>
      <c r="D302">
        <v>3.9688511009999998</v>
      </c>
      <c r="E302">
        <v>1.1284233669999999</v>
      </c>
      <c r="F302">
        <v>0</v>
      </c>
      <c r="G302">
        <v>0</v>
      </c>
      <c r="H302">
        <v>0.63788339000000005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1.354108074</v>
      </c>
      <c r="Q302">
        <v>0.30651831200000001</v>
      </c>
      <c r="R302">
        <v>0</v>
      </c>
      <c r="S302">
        <v>0</v>
      </c>
      <c r="T302" s="15">
        <v>3.14E-10</v>
      </c>
      <c r="U302">
        <v>6.5527343199999999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0.2</v>
      </c>
      <c r="AB302">
        <v>99.7</v>
      </c>
      <c r="AC302">
        <v>0</v>
      </c>
      <c r="AD302">
        <v>0.162942211</v>
      </c>
      <c r="AE302">
        <v>38.677683569999999</v>
      </c>
      <c r="AF302">
        <v>38.840625780000003</v>
      </c>
      <c r="AG302">
        <v>29.86371085</v>
      </c>
      <c r="AH302">
        <v>21.910536319999999</v>
      </c>
      <c r="AI302">
        <v>100</v>
      </c>
      <c r="AJ302">
        <v>0</v>
      </c>
      <c r="AK302">
        <v>0</v>
      </c>
      <c r="AL302">
        <v>1</v>
      </c>
      <c r="AM302">
        <v>1</v>
      </c>
      <c r="AN302">
        <v>0</v>
      </c>
      <c r="AO302">
        <v>0</v>
      </c>
      <c r="AP302">
        <v>1</v>
      </c>
      <c r="AQ302">
        <v>0</v>
      </c>
      <c r="AR302">
        <v>13.0656</v>
      </c>
      <c r="AS302">
        <v>18.044</v>
      </c>
      <c r="AT302">
        <v>39.3992</v>
      </c>
      <c r="AU302">
        <v>86.637600000000006</v>
      </c>
      <c r="AV302">
        <v>0</v>
      </c>
    </row>
    <row r="303" spans="1:48">
      <c r="A303">
        <v>302</v>
      </c>
      <c r="B303">
        <v>0</v>
      </c>
      <c r="C303">
        <v>17.764055200000001</v>
      </c>
      <c r="D303">
        <v>4.815284568</v>
      </c>
      <c r="E303">
        <v>1.0688510849999999</v>
      </c>
      <c r="F303">
        <v>0</v>
      </c>
      <c r="G303">
        <v>0</v>
      </c>
      <c r="H303">
        <v>0.64583567399999997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1.2826213339999999</v>
      </c>
      <c r="Q303">
        <v>0.258209578</v>
      </c>
      <c r="R303">
        <v>0</v>
      </c>
      <c r="S303">
        <v>0</v>
      </c>
      <c r="T303" s="15">
        <v>7.2799999999999997E-11</v>
      </c>
      <c r="U303">
        <v>6.2945247430000002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0.2</v>
      </c>
      <c r="AB303">
        <v>99.7</v>
      </c>
      <c r="AC303">
        <v>0</v>
      </c>
      <c r="AD303">
        <v>0.15472245800000001</v>
      </c>
      <c r="AE303">
        <v>38.522961109999997</v>
      </c>
      <c r="AF303">
        <v>38.677683569999999</v>
      </c>
      <c r="AG303">
        <v>29.744835009999999</v>
      </c>
      <c r="AH303">
        <v>21.82562501</v>
      </c>
      <c r="AI303">
        <v>100</v>
      </c>
      <c r="AJ303">
        <v>0</v>
      </c>
      <c r="AK303">
        <v>0</v>
      </c>
      <c r="AL303">
        <v>1</v>
      </c>
      <c r="AM303">
        <v>1</v>
      </c>
      <c r="AN303">
        <v>0</v>
      </c>
      <c r="AO303">
        <v>0</v>
      </c>
      <c r="AP303">
        <v>1</v>
      </c>
      <c r="AQ303">
        <v>0</v>
      </c>
      <c r="AR303">
        <v>13.0656</v>
      </c>
      <c r="AS303">
        <v>18.044</v>
      </c>
      <c r="AT303">
        <v>39.3992</v>
      </c>
      <c r="AU303">
        <v>86.637600000000006</v>
      </c>
      <c r="AV303">
        <v>0</v>
      </c>
    </row>
    <row r="304" spans="1:48">
      <c r="A304">
        <v>303</v>
      </c>
      <c r="B304" s="15">
        <v>1.455518614</v>
      </c>
      <c r="C304">
        <v>14.020660230000001</v>
      </c>
      <c r="D304">
        <v>7.3022141229999997</v>
      </c>
      <c r="E304">
        <v>0.69936215999999995</v>
      </c>
      <c r="F304">
        <v>0</v>
      </c>
      <c r="G304">
        <v>0</v>
      </c>
      <c r="H304">
        <v>0.64869514299999997</v>
      </c>
      <c r="I304">
        <v>0</v>
      </c>
      <c r="J304" s="15">
        <v>1.455518614</v>
      </c>
      <c r="K304" s="15">
        <v>1.455518614</v>
      </c>
      <c r="L304" s="15">
        <v>1.455518614</v>
      </c>
      <c r="M304">
        <v>0</v>
      </c>
      <c r="N304">
        <v>0</v>
      </c>
      <c r="O304" s="15">
        <v>1.455518657</v>
      </c>
      <c r="P304">
        <v>0.83923461200000005</v>
      </c>
      <c r="Q304">
        <v>0.20550494899999999</v>
      </c>
      <c r="R304">
        <v>0</v>
      </c>
      <c r="S304">
        <v>0</v>
      </c>
      <c r="T304" s="15">
        <v>1.37E-9</v>
      </c>
      <c r="U304">
        <v>7.544538449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0.2</v>
      </c>
      <c r="AB304">
        <v>99.7</v>
      </c>
      <c r="AC304">
        <v>0</v>
      </c>
      <c r="AD304">
        <v>0.14724944300000001</v>
      </c>
      <c r="AE304">
        <v>38.375711670000001</v>
      </c>
      <c r="AF304">
        <v>38.522961109999997</v>
      </c>
      <c r="AG304">
        <v>29.702089829999998</v>
      </c>
      <c r="AH304">
        <v>21.795092740000001</v>
      </c>
      <c r="AI304">
        <v>100</v>
      </c>
      <c r="AJ304">
        <v>0</v>
      </c>
      <c r="AK304">
        <v>0</v>
      </c>
      <c r="AL304">
        <v>1</v>
      </c>
      <c r="AM304">
        <v>1</v>
      </c>
      <c r="AN304">
        <v>0</v>
      </c>
      <c r="AO304">
        <v>0</v>
      </c>
      <c r="AP304">
        <v>1</v>
      </c>
      <c r="AQ304">
        <v>0</v>
      </c>
      <c r="AR304">
        <v>13.0656</v>
      </c>
      <c r="AS304">
        <v>18.044</v>
      </c>
      <c r="AT304">
        <v>39.3992</v>
      </c>
      <c r="AU304">
        <v>86.637600000000006</v>
      </c>
      <c r="AV304">
        <v>0</v>
      </c>
    </row>
    <row r="305" spans="1:48">
      <c r="A305">
        <v>304</v>
      </c>
      <c r="B305" s="15">
        <v>4.7500000000000001E-2</v>
      </c>
      <c r="C305">
        <v>13.68201949</v>
      </c>
      <c r="D305">
        <v>10.035944799999999</v>
      </c>
      <c r="E305">
        <v>0.610283715</v>
      </c>
      <c r="F305">
        <v>0</v>
      </c>
      <c r="G305">
        <v>0</v>
      </c>
      <c r="H305">
        <v>0.66643061199999998</v>
      </c>
      <c r="I305">
        <v>0</v>
      </c>
      <c r="J305" s="15">
        <v>4.7500000000000001E-2</v>
      </c>
      <c r="K305" s="15">
        <v>4.7500000000000001E-2</v>
      </c>
      <c r="L305" s="15">
        <v>4.7500000000000001E-2</v>
      </c>
      <c r="M305">
        <v>0</v>
      </c>
      <c r="N305">
        <v>0</v>
      </c>
      <c r="O305" s="15">
        <v>4.7500000000000001E-2</v>
      </c>
      <c r="P305">
        <v>0.73234047700000005</v>
      </c>
      <c r="Q305">
        <v>0.2151023</v>
      </c>
      <c r="R305">
        <v>0</v>
      </c>
      <c r="S305">
        <v>0</v>
      </c>
      <c r="T305" s="15">
        <v>5.6500000000000001E-9</v>
      </c>
      <c r="U305">
        <v>7.3769494040000003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0.2</v>
      </c>
      <c r="AB305">
        <v>99.7</v>
      </c>
      <c r="AC305">
        <v>0</v>
      </c>
      <c r="AD305">
        <v>0.14042760800000001</v>
      </c>
      <c r="AE305">
        <v>38.235284069999999</v>
      </c>
      <c r="AF305">
        <v>38.375711670000001</v>
      </c>
      <c r="AG305">
        <v>29.436968700000001</v>
      </c>
      <c r="AH305">
        <v>21.6057205</v>
      </c>
      <c r="AI305">
        <v>100</v>
      </c>
      <c r="AJ305">
        <v>0</v>
      </c>
      <c r="AK305">
        <v>0</v>
      </c>
      <c r="AL305">
        <v>1</v>
      </c>
      <c r="AM305">
        <v>1</v>
      </c>
      <c r="AN305">
        <v>0</v>
      </c>
      <c r="AO305">
        <v>0</v>
      </c>
      <c r="AP305">
        <v>1</v>
      </c>
      <c r="AQ305">
        <v>0</v>
      </c>
      <c r="AR305">
        <v>13.0656</v>
      </c>
      <c r="AS305">
        <v>18.044</v>
      </c>
      <c r="AT305">
        <v>39.3992</v>
      </c>
      <c r="AU305">
        <v>86.637600000000006</v>
      </c>
      <c r="AV305">
        <v>0</v>
      </c>
    </row>
    <row r="306" spans="1:48">
      <c r="A306">
        <v>305</v>
      </c>
      <c r="B306" s="15">
        <v>39.750710359999999</v>
      </c>
      <c r="C306">
        <v>11.3</v>
      </c>
      <c r="D306">
        <v>8.6926758989999993</v>
      </c>
      <c r="E306">
        <v>0.44499489800000003</v>
      </c>
      <c r="F306">
        <v>0</v>
      </c>
      <c r="G306">
        <v>0</v>
      </c>
      <c r="H306">
        <v>0.67070637700000002</v>
      </c>
      <c r="I306">
        <v>0</v>
      </c>
      <c r="J306" s="15">
        <v>39.750710359999999</v>
      </c>
      <c r="K306" s="15">
        <v>39.750710359999999</v>
      </c>
      <c r="L306" s="15">
        <v>36.409853720000001</v>
      </c>
      <c r="M306">
        <v>0</v>
      </c>
      <c r="N306">
        <v>3.3408566400000002</v>
      </c>
      <c r="O306" s="15">
        <v>36.409854799999998</v>
      </c>
      <c r="P306">
        <v>0.53399389100000005</v>
      </c>
      <c r="Q306">
        <v>0.53397742999999998</v>
      </c>
      <c r="R306">
        <v>0</v>
      </c>
      <c r="S306">
        <v>0</v>
      </c>
      <c r="T306">
        <v>6.7677870159999998</v>
      </c>
      <c r="U306">
        <v>36.485039759999999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0.2</v>
      </c>
      <c r="AB306">
        <v>99.7</v>
      </c>
      <c r="AC306">
        <v>0</v>
      </c>
      <c r="AD306">
        <v>0.212288223</v>
      </c>
      <c r="AE306">
        <v>44.79078286</v>
      </c>
      <c r="AF306">
        <v>38.235284069999999</v>
      </c>
      <c r="AG306">
        <v>29.373051820000001</v>
      </c>
      <c r="AH306">
        <v>21.560065590000001</v>
      </c>
      <c r="AI306">
        <v>100</v>
      </c>
      <c r="AJ306">
        <v>0</v>
      </c>
      <c r="AK306">
        <v>0</v>
      </c>
      <c r="AL306">
        <v>1</v>
      </c>
      <c r="AM306">
        <v>1</v>
      </c>
      <c r="AN306">
        <v>0</v>
      </c>
      <c r="AO306">
        <v>0</v>
      </c>
      <c r="AP306">
        <v>1</v>
      </c>
      <c r="AQ306">
        <v>0</v>
      </c>
      <c r="AR306">
        <v>13.0656</v>
      </c>
      <c r="AS306">
        <v>18.044</v>
      </c>
      <c r="AT306">
        <v>39.3992</v>
      </c>
      <c r="AU306">
        <v>86.637600000000006</v>
      </c>
      <c r="AV306">
        <v>0</v>
      </c>
    </row>
    <row r="307" spans="1:48">
      <c r="A307">
        <v>306</v>
      </c>
      <c r="B307" s="15">
        <v>2.9754613760000002</v>
      </c>
      <c r="C307">
        <v>13.389511329999999</v>
      </c>
      <c r="D307">
        <v>5.3104886679999996</v>
      </c>
      <c r="E307">
        <v>0.58464461499999998</v>
      </c>
      <c r="F307">
        <v>0</v>
      </c>
      <c r="G307">
        <v>0</v>
      </c>
      <c r="H307">
        <v>0.67864024000000001</v>
      </c>
      <c r="I307">
        <v>0</v>
      </c>
      <c r="J307" s="15">
        <v>2.9754613760000002</v>
      </c>
      <c r="K307" s="15">
        <v>2.9754613760000002</v>
      </c>
      <c r="L307" s="15">
        <v>2.9754613760000002</v>
      </c>
      <c r="M307">
        <v>0</v>
      </c>
      <c r="N307">
        <v>0</v>
      </c>
      <c r="O307" s="15">
        <v>2.975461465</v>
      </c>
      <c r="P307">
        <v>0.70157355600000004</v>
      </c>
      <c r="Q307">
        <v>0.70157355600000004</v>
      </c>
      <c r="R307">
        <v>0</v>
      </c>
      <c r="S307">
        <v>0</v>
      </c>
      <c r="T307">
        <v>8.7317205999999992</v>
      </c>
      <c r="U307">
        <v>30.027207069999999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0.2</v>
      </c>
      <c r="AB307">
        <v>99.7</v>
      </c>
      <c r="AC307">
        <v>0</v>
      </c>
      <c r="AD307">
        <v>3.0091828309999999</v>
      </c>
      <c r="AE307">
        <v>50.513320630000003</v>
      </c>
      <c r="AF307">
        <v>44.79078286</v>
      </c>
      <c r="AG307">
        <v>29.254451360000001</v>
      </c>
      <c r="AH307">
        <v>21.475350970000001</v>
      </c>
      <c r="AI307">
        <v>100</v>
      </c>
      <c r="AJ307">
        <v>0</v>
      </c>
      <c r="AK307">
        <v>0</v>
      </c>
      <c r="AL307">
        <v>1</v>
      </c>
      <c r="AM307">
        <v>1</v>
      </c>
      <c r="AN307">
        <v>0</v>
      </c>
      <c r="AO307">
        <v>0</v>
      </c>
      <c r="AP307">
        <v>1</v>
      </c>
      <c r="AQ307">
        <v>0</v>
      </c>
      <c r="AR307">
        <v>13.0656</v>
      </c>
      <c r="AS307">
        <v>18.044</v>
      </c>
      <c r="AT307">
        <v>39.3992</v>
      </c>
      <c r="AU307">
        <v>86.637600000000006</v>
      </c>
      <c r="AV307">
        <v>0</v>
      </c>
    </row>
    <row r="308" spans="1:48">
      <c r="A308">
        <v>307</v>
      </c>
      <c r="B308">
        <v>23.646188420000001</v>
      </c>
      <c r="C308">
        <v>12.76673493</v>
      </c>
      <c r="D308">
        <v>7.2254561309999996</v>
      </c>
      <c r="E308">
        <v>0.45489117200000001</v>
      </c>
      <c r="F308">
        <v>0</v>
      </c>
      <c r="G308">
        <v>0</v>
      </c>
      <c r="H308">
        <v>0.67193705400000003</v>
      </c>
      <c r="I308">
        <v>0</v>
      </c>
      <c r="J308">
        <v>23.646188420000001</v>
      </c>
      <c r="K308">
        <v>23.646188420000001</v>
      </c>
      <c r="L308">
        <v>14.41321759</v>
      </c>
      <c r="M308">
        <v>0</v>
      </c>
      <c r="N308">
        <v>9.2329708349999997</v>
      </c>
      <c r="O308">
        <v>14.41321802</v>
      </c>
      <c r="P308">
        <v>0.54586942000000005</v>
      </c>
      <c r="Q308">
        <v>0.54586942000000005</v>
      </c>
      <c r="R308">
        <v>0</v>
      </c>
      <c r="S308">
        <v>0</v>
      </c>
      <c r="T308" s="15">
        <v>10.213248180000001</v>
      </c>
      <c r="U308">
        <v>33.681307480000001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0.2</v>
      </c>
      <c r="AB308">
        <v>99.7</v>
      </c>
      <c r="AC308">
        <v>0</v>
      </c>
      <c r="AD308">
        <v>5.8966868720000001</v>
      </c>
      <c r="AE308">
        <v>54.82988194</v>
      </c>
      <c r="AF308">
        <v>50.513320630000003</v>
      </c>
      <c r="AG308">
        <v>29.354654879999998</v>
      </c>
      <c r="AH308">
        <v>21.546924910000001</v>
      </c>
      <c r="AI308">
        <v>100</v>
      </c>
      <c r="AJ308">
        <v>0</v>
      </c>
      <c r="AK308">
        <v>0</v>
      </c>
      <c r="AL308">
        <v>1</v>
      </c>
      <c r="AM308">
        <v>1</v>
      </c>
      <c r="AN308">
        <v>0</v>
      </c>
      <c r="AO308">
        <v>0</v>
      </c>
      <c r="AP308">
        <v>1</v>
      </c>
      <c r="AQ308">
        <v>0</v>
      </c>
      <c r="AR308">
        <v>13.0656</v>
      </c>
      <c r="AS308">
        <v>18.044</v>
      </c>
      <c r="AT308">
        <v>39.3992</v>
      </c>
      <c r="AU308">
        <v>86.637600000000006</v>
      </c>
      <c r="AV308">
        <v>0</v>
      </c>
    </row>
    <row r="309" spans="1:48">
      <c r="T309" s="15"/>
    </row>
    <row r="310" spans="1:48">
      <c r="T310" s="15"/>
    </row>
    <row r="311" spans="1:48">
      <c r="T311" s="15"/>
    </row>
    <row r="312" spans="1:48">
      <c r="T312" s="15"/>
    </row>
    <row r="313" spans="1:48">
      <c r="B313" s="15"/>
      <c r="J313" s="15"/>
      <c r="K313" s="15"/>
      <c r="L313" s="15"/>
      <c r="O313" s="15"/>
      <c r="T313" s="15"/>
    </row>
    <row r="314" spans="1:48">
      <c r="T314" s="15"/>
    </row>
    <row r="315" spans="1:48">
      <c r="B315" s="15"/>
      <c r="J315" s="15"/>
      <c r="K315" s="15"/>
      <c r="L315" s="15"/>
      <c r="O315" s="15"/>
      <c r="T315" s="15"/>
    </row>
    <row r="316" spans="1:48">
      <c r="B316" s="15"/>
      <c r="J316" s="15"/>
      <c r="K316" s="15"/>
      <c r="L316" s="15"/>
      <c r="O316" s="15"/>
      <c r="T316" s="15"/>
    </row>
    <row r="317" spans="1:48">
      <c r="T317" s="15"/>
    </row>
    <row r="318" spans="1:48">
      <c r="B318" s="15"/>
      <c r="J318" s="15"/>
      <c r="K318" s="15"/>
      <c r="L318" s="15"/>
      <c r="O318" s="15"/>
      <c r="T318" s="15"/>
    </row>
    <row r="319" spans="1:48">
      <c r="T319" s="15"/>
    </row>
    <row r="320" spans="1:48">
      <c r="B320" s="15"/>
      <c r="J320" s="15"/>
      <c r="K320" s="15"/>
      <c r="L320" s="15"/>
      <c r="O320" s="15"/>
      <c r="T320" s="15"/>
    </row>
    <row r="321" spans="2:30">
      <c r="B321" s="15"/>
      <c r="J321" s="15"/>
      <c r="K321" s="15"/>
      <c r="L321" s="15"/>
      <c r="O321" s="15"/>
      <c r="T321" s="15"/>
    </row>
    <row r="322" spans="2:30">
      <c r="T322" s="15"/>
    </row>
    <row r="323" spans="2:30">
      <c r="B323" s="15"/>
      <c r="J323" s="15"/>
      <c r="K323" s="15"/>
      <c r="L323" s="15"/>
      <c r="O323" s="15"/>
      <c r="T323" s="15"/>
    </row>
    <row r="324" spans="2:30">
      <c r="T324" s="15"/>
    </row>
    <row r="325" spans="2:30">
      <c r="T325" s="15"/>
    </row>
    <row r="326" spans="2:30">
      <c r="T326" s="15"/>
    </row>
    <row r="327" spans="2:30">
      <c r="T327" s="15"/>
    </row>
    <row r="328" spans="2:30">
      <c r="T328" s="15"/>
    </row>
    <row r="329" spans="2:30">
      <c r="B329" s="15"/>
      <c r="J329" s="15"/>
      <c r="K329" s="15"/>
      <c r="L329" s="15"/>
      <c r="O329" s="15"/>
      <c r="T329" s="15"/>
    </row>
    <row r="330" spans="2:30">
      <c r="T330" s="15"/>
    </row>
    <row r="331" spans="2:30">
      <c r="B331" s="15"/>
      <c r="J331" s="15"/>
      <c r="K331" s="15"/>
      <c r="L331" s="15"/>
      <c r="O331" s="15"/>
      <c r="T331" s="15"/>
    </row>
    <row r="332" spans="2:30">
      <c r="T332" s="15"/>
    </row>
    <row r="333" spans="2:30">
      <c r="T333" s="15"/>
    </row>
    <row r="334" spans="2:30">
      <c r="T334" s="15"/>
    </row>
    <row r="335" spans="2:30">
      <c r="T335" s="15"/>
      <c r="AD335" s="15"/>
    </row>
    <row r="336" spans="2:30">
      <c r="B336" s="15"/>
      <c r="J336" s="15"/>
      <c r="K336" s="15"/>
      <c r="L336" s="15"/>
      <c r="O336" s="15"/>
      <c r="T336" s="15"/>
      <c r="AD336" s="15"/>
    </row>
    <row r="337" spans="2:30">
      <c r="B337" s="15"/>
      <c r="J337" s="15"/>
      <c r="K337" s="15"/>
      <c r="L337" s="15"/>
      <c r="O337" s="15"/>
      <c r="T337" s="15"/>
      <c r="AD337" s="15"/>
    </row>
    <row r="338" spans="2:30">
      <c r="T338" s="15"/>
      <c r="AD338" s="15"/>
    </row>
    <row r="339" spans="2:30">
      <c r="B339" s="15"/>
      <c r="J339" s="15"/>
      <c r="K339" s="15"/>
      <c r="L339" s="15"/>
      <c r="O339" s="15"/>
      <c r="T339" s="15"/>
      <c r="AD339" s="15"/>
    </row>
    <row r="340" spans="2:30">
      <c r="B340" s="15"/>
      <c r="J340" s="15"/>
      <c r="K340" s="15"/>
      <c r="L340" s="15"/>
      <c r="O340" s="15"/>
      <c r="T340" s="15"/>
      <c r="AD340" s="15"/>
    </row>
    <row r="341" spans="2:30">
      <c r="B341" s="15"/>
      <c r="J341" s="15"/>
      <c r="K341" s="15"/>
      <c r="L341" s="15"/>
      <c r="O341" s="15"/>
      <c r="T341" s="15"/>
      <c r="AD341" s="15"/>
    </row>
    <row r="342" spans="2:30">
      <c r="T342" s="15"/>
      <c r="AD342" s="15"/>
    </row>
    <row r="343" spans="2:30">
      <c r="B343" s="15"/>
      <c r="J343" s="15"/>
      <c r="K343" s="15"/>
      <c r="L343" s="15"/>
      <c r="O343" s="15"/>
      <c r="T343" s="15"/>
      <c r="AD343" s="15"/>
    </row>
    <row r="344" spans="2:30">
      <c r="B344" s="15"/>
      <c r="J344" s="15"/>
      <c r="K344" s="15"/>
      <c r="L344" s="15"/>
      <c r="O344" s="15"/>
      <c r="T344" s="15"/>
      <c r="AD344" s="15"/>
    </row>
    <row r="345" spans="2:30">
      <c r="B345" s="15"/>
      <c r="J345" s="15"/>
      <c r="K345" s="15"/>
      <c r="L345" s="15"/>
      <c r="O345" s="15"/>
      <c r="T345" s="15"/>
      <c r="AD345" s="15"/>
    </row>
    <row r="346" spans="2:30">
      <c r="B346" s="15"/>
      <c r="J346" s="15"/>
      <c r="K346" s="15"/>
      <c r="L346" s="15"/>
      <c r="O346" s="15"/>
      <c r="T346" s="15"/>
      <c r="AD346" s="15"/>
    </row>
    <row r="347" spans="2:30">
      <c r="B347" s="15"/>
      <c r="J347" s="15"/>
      <c r="K347" s="15"/>
      <c r="L347" s="15"/>
      <c r="O347" s="15"/>
      <c r="T347" s="15"/>
      <c r="AD347" s="15"/>
    </row>
    <row r="348" spans="2:30">
      <c r="T348" s="15"/>
      <c r="AD348" s="15"/>
    </row>
    <row r="349" spans="2:30">
      <c r="T349" s="15"/>
      <c r="AD349" s="15"/>
    </row>
    <row r="350" spans="2:30">
      <c r="T350" s="15"/>
      <c r="AD350" s="15"/>
    </row>
    <row r="351" spans="2:30">
      <c r="T351" s="15"/>
      <c r="AD351" s="15"/>
    </row>
    <row r="352" spans="2:30">
      <c r="Q352" s="15"/>
      <c r="T352" s="15"/>
      <c r="AD352" s="15"/>
    </row>
    <row r="353" spans="2:46">
      <c r="B353" s="15"/>
      <c r="J353" s="15"/>
      <c r="K353" s="15"/>
      <c r="L353" s="15"/>
      <c r="O353" s="15"/>
      <c r="T353" s="15"/>
      <c r="AD353" s="15"/>
    </row>
    <row r="354" spans="2:46">
      <c r="Q354" s="15"/>
      <c r="T354" s="15"/>
      <c r="AD354" s="15"/>
    </row>
    <row r="355" spans="2:46">
      <c r="B355" s="15"/>
      <c r="J355" s="15"/>
      <c r="K355" s="15"/>
      <c r="L355" s="15"/>
      <c r="O355" s="15"/>
      <c r="Q355" s="15"/>
      <c r="T355" s="15"/>
      <c r="AD355" s="15"/>
    </row>
    <row r="356" spans="2:46">
      <c r="T356" s="15"/>
      <c r="AD356" s="15"/>
    </row>
    <row r="357" spans="2:46">
      <c r="B357" s="15"/>
      <c r="J357" s="15"/>
      <c r="K357" s="15"/>
      <c r="L357" s="15"/>
      <c r="O357" s="15"/>
      <c r="T357" s="15"/>
      <c r="AD357" s="15"/>
    </row>
    <row r="358" spans="2:46">
      <c r="T358" s="15"/>
      <c r="AD358" s="15"/>
    </row>
    <row r="359" spans="2:46">
      <c r="B359" s="15"/>
      <c r="J359" s="15"/>
      <c r="K359" s="15"/>
      <c r="L359" s="15"/>
      <c r="O359" s="15"/>
      <c r="T359" s="15"/>
      <c r="AD359" s="15"/>
    </row>
    <row r="360" spans="2:46">
      <c r="B360" s="15"/>
      <c r="J360" s="15"/>
      <c r="K360" s="15"/>
      <c r="L360" s="15"/>
      <c r="O360" s="15"/>
      <c r="T360" s="15"/>
      <c r="AD360" s="15"/>
    </row>
    <row r="361" spans="2:46">
      <c r="B361" s="15"/>
      <c r="J361" s="15"/>
      <c r="K361" s="15"/>
      <c r="L361" s="15"/>
      <c r="O361" s="15"/>
      <c r="T361" s="15"/>
      <c r="AD361" s="15"/>
    </row>
    <row r="362" spans="2:46">
      <c r="Q362" s="15"/>
      <c r="T362" s="15"/>
      <c r="AD362" s="15"/>
    </row>
    <row r="363" spans="2:46">
      <c r="T363" s="15"/>
      <c r="AD363" s="15"/>
    </row>
    <row r="364" spans="2:46">
      <c r="Q364" s="15"/>
      <c r="T364" s="15"/>
      <c r="AD364" s="15"/>
    </row>
    <row r="365" spans="2:46">
      <c r="B365" s="15"/>
      <c r="J365" s="15"/>
      <c r="K365" s="15"/>
      <c r="L365" s="15"/>
      <c r="O365" s="15"/>
      <c r="T365" s="15"/>
      <c r="AD365" s="15"/>
    </row>
    <row r="366" spans="2:46">
      <c r="T366" s="15"/>
      <c r="AD366" s="15"/>
    </row>
    <row r="367" spans="2:46">
      <c r="AT367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246A-34A4-4FA9-944D-AE810700B78E}">
  <sheetPr codeName="Foglio4">
    <tabColor theme="6" tint="0.59996337778862885"/>
  </sheetPr>
  <dimension ref="A1:I18"/>
  <sheetViews>
    <sheetView zoomScale="85" zoomScaleNormal="85" workbookViewId="0">
      <selection activeCell="F17" sqref="F17"/>
    </sheetView>
  </sheetViews>
  <sheetFormatPr defaultColWidth="9.140625" defaultRowHeight="15"/>
  <cols>
    <col min="1" max="1" width="8" bestFit="1" customWidth="1"/>
    <col min="2" max="2" width="12.7109375" customWidth="1"/>
    <col min="3" max="3" width="5.140625" customWidth="1"/>
  </cols>
  <sheetData>
    <row r="1" spans="1:9">
      <c r="A1" t="s">
        <v>127</v>
      </c>
    </row>
    <row r="2" spans="1:9">
      <c r="A2" t="s">
        <v>128</v>
      </c>
      <c r="B2">
        <v>0.32500000000000001</v>
      </c>
      <c r="C2" t="s">
        <v>115</v>
      </c>
    </row>
    <row r="3" spans="1:9">
      <c r="A3" t="s">
        <v>129</v>
      </c>
      <c r="B3">
        <v>0.45</v>
      </c>
      <c r="C3" t="s">
        <v>115</v>
      </c>
    </row>
    <row r="4" spans="1:9">
      <c r="A4" t="s">
        <v>130</v>
      </c>
      <c r="B4">
        <v>1.25</v>
      </c>
      <c r="C4" t="s">
        <v>115</v>
      </c>
    </row>
    <row r="5" spans="1:9">
      <c r="A5" t="s">
        <v>131</v>
      </c>
      <c r="B5">
        <v>0.4</v>
      </c>
      <c r="C5" t="s">
        <v>115</v>
      </c>
    </row>
    <row r="6" spans="1:9">
      <c r="A6" t="s">
        <v>132</v>
      </c>
      <c r="B6">
        <v>0.9</v>
      </c>
      <c r="C6" t="s">
        <v>115</v>
      </c>
    </row>
    <row r="7" spans="1:9">
      <c r="A7" t="s">
        <v>133</v>
      </c>
      <c r="B7">
        <v>1.5</v>
      </c>
      <c r="C7" t="s">
        <v>115</v>
      </c>
    </row>
    <row r="8" spans="1:9">
      <c r="A8" t="s">
        <v>134</v>
      </c>
      <c r="B8">
        <v>0.5</v>
      </c>
      <c r="C8" t="s">
        <v>115</v>
      </c>
    </row>
    <row r="9" spans="1:9">
      <c r="A9" t="s">
        <v>135</v>
      </c>
      <c r="B9">
        <v>32</v>
      </c>
      <c r="C9" t="s">
        <v>115</v>
      </c>
    </row>
    <row r="10" spans="1:9">
      <c r="A10" t="s">
        <v>136</v>
      </c>
      <c r="B10">
        <v>40</v>
      </c>
      <c r="C10" t="s">
        <v>115</v>
      </c>
      <c r="I10" t="s">
        <v>93</v>
      </c>
    </row>
    <row r="11" spans="1:9">
      <c r="A11" t="s">
        <v>137</v>
      </c>
      <c r="B11">
        <v>0</v>
      </c>
      <c r="C11" t="s">
        <v>115</v>
      </c>
    </row>
    <row r="12" spans="1:9">
      <c r="A12" t="s">
        <v>138</v>
      </c>
      <c r="B12">
        <v>0.15</v>
      </c>
      <c r="C12" t="s">
        <v>115</v>
      </c>
    </row>
    <row r="13" spans="1:9">
      <c r="A13" t="s">
        <v>139</v>
      </c>
      <c r="B13">
        <v>1.046</v>
      </c>
      <c r="C13" t="s">
        <v>115</v>
      </c>
    </row>
    <row r="14" spans="1:9">
      <c r="A14" t="s">
        <v>140</v>
      </c>
      <c r="B14">
        <v>98</v>
      </c>
      <c r="C14" t="s">
        <v>115</v>
      </c>
    </row>
    <row r="15" spans="1:9">
      <c r="A15" t="s">
        <v>141</v>
      </c>
      <c r="B15">
        <v>240</v>
      </c>
      <c r="C15" t="s">
        <v>115</v>
      </c>
    </row>
    <row r="16" spans="1:9">
      <c r="A16" t="s">
        <v>142</v>
      </c>
      <c r="B16">
        <v>143.90205080000001</v>
      </c>
      <c r="C16" t="s">
        <v>115</v>
      </c>
    </row>
    <row r="17" spans="1:3">
      <c r="A17" t="s">
        <v>143</v>
      </c>
      <c r="B17">
        <v>1.0006806660000001</v>
      </c>
      <c r="C17" t="s">
        <v>115</v>
      </c>
    </row>
    <row r="18" spans="1:3">
      <c r="A18" t="s">
        <v>144</v>
      </c>
      <c r="B18">
        <v>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>
    <tabColor theme="6" tint="0.59996337778862885"/>
  </sheetPr>
  <dimension ref="A1:B41"/>
  <sheetViews>
    <sheetView zoomScale="85" zoomScaleNormal="85" workbookViewId="0">
      <selection activeCell="B12" sqref="B12"/>
    </sheetView>
  </sheetViews>
  <sheetFormatPr defaultColWidth="9.140625" defaultRowHeight="15"/>
  <cols>
    <col min="1" max="1" width="29.28515625" bestFit="1" customWidth="1"/>
    <col min="2" max="2" width="12.7109375" bestFit="1" customWidth="1"/>
  </cols>
  <sheetData>
    <row r="1" spans="1:2">
      <c r="A1" t="s">
        <v>127</v>
      </c>
    </row>
    <row r="2" spans="1:2">
      <c r="A2" t="s">
        <v>145</v>
      </c>
      <c r="B2">
        <v>1</v>
      </c>
    </row>
    <row r="3" spans="1:2">
      <c r="A3" t="s">
        <v>146</v>
      </c>
      <c r="B3" s="15">
        <v>1E-3</v>
      </c>
    </row>
    <row r="4" spans="1:2">
      <c r="A4" t="s">
        <v>147</v>
      </c>
      <c r="B4">
        <v>13</v>
      </c>
    </row>
    <row r="5" spans="1:2">
      <c r="A5" t="s">
        <v>148</v>
      </c>
      <c r="B5" t="s">
        <v>149</v>
      </c>
    </row>
    <row r="6" spans="1:2">
      <c r="A6" t="s">
        <v>150</v>
      </c>
      <c r="B6">
        <v>1</v>
      </c>
    </row>
    <row r="7" spans="1:2">
      <c r="A7" t="s">
        <v>151</v>
      </c>
      <c r="B7" t="s">
        <v>149</v>
      </c>
    </row>
    <row r="8" spans="1:2">
      <c r="A8" t="s">
        <v>152</v>
      </c>
      <c r="B8" t="s">
        <v>149</v>
      </c>
    </row>
    <row r="9" spans="1:2">
      <c r="A9" t="s">
        <v>153</v>
      </c>
      <c r="B9">
        <v>2</v>
      </c>
    </row>
    <row r="10" spans="1:2">
      <c r="A10" t="s">
        <v>154</v>
      </c>
      <c r="B10">
        <v>1</v>
      </c>
    </row>
    <row r="11" spans="1:2">
      <c r="A11" t="s">
        <v>155</v>
      </c>
      <c r="B11">
        <v>0.51802400000000004</v>
      </c>
    </row>
    <row r="12" spans="1:2">
      <c r="A12" t="s">
        <v>156</v>
      </c>
      <c r="B12">
        <v>0.229209</v>
      </c>
    </row>
    <row r="13" spans="1:2">
      <c r="A13" t="s">
        <v>157</v>
      </c>
      <c r="B13" s="15">
        <v>8.3099999999999993E-2</v>
      </c>
    </row>
    <row r="14" spans="1:2">
      <c r="A14" t="s">
        <v>158</v>
      </c>
      <c r="B14" s="15">
        <v>4.8000000000000001E-2</v>
      </c>
    </row>
    <row r="15" spans="1:2">
      <c r="A15" t="s">
        <v>159</v>
      </c>
      <c r="B15">
        <v>0.43318800000000002</v>
      </c>
    </row>
    <row r="16" spans="1:2">
      <c r="A16" t="s">
        <v>160</v>
      </c>
      <c r="B16">
        <v>0.196996</v>
      </c>
    </row>
    <row r="17" spans="1:2">
      <c r="A17" t="s">
        <v>161</v>
      </c>
      <c r="B17" s="15">
        <v>9.0200000000000002E-2</v>
      </c>
    </row>
    <row r="18" spans="1:2">
      <c r="A18" t="s">
        <v>162</v>
      </c>
      <c r="B18" s="15">
        <v>6.5299999999999997E-2</v>
      </c>
    </row>
    <row r="19" spans="1:2">
      <c r="A19" t="s">
        <v>163</v>
      </c>
      <c r="B19">
        <v>4.7618400000000003</v>
      </c>
    </row>
    <row r="20" spans="1:2">
      <c r="A20" t="s">
        <v>164</v>
      </c>
      <c r="B20">
        <v>4.4110709999999997</v>
      </c>
    </row>
    <row r="21" spans="1:2">
      <c r="A21" t="s">
        <v>165</v>
      </c>
      <c r="B21">
        <v>9.0749200590000001</v>
      </c>
    </row>
    <row r="22" spans="1:2">
      <c r="A22" t="s">
        <v>166</v>
      </c>
      <c r="B22">
        <v>8.3453739769999995</v>
      </c>
    </row>
    <row r="23" spans="1:2">
      <c r="A23" t="s">
        <v>167</v>
      </c>
      <c r="B23">
        <v>0.1</v>
      </c>
    </row>
    <row r="24" spans="1:2">
      <c r="A24" t="s">
        <v>168</v>
      </c>
      <c r="B24">
        <v>0.9</v>
      </c>
    </row>
    <row r="25" spans="1:2">
      <c r="A25" t="s">
        <v>169</v>
      </c>
      <c r="B25">
        <v>2021</v>
      </c>
    </row>
    <row r="26" spans="1:2">
      <c r="A26" t="s">
        <v>170</v>
      </c>
      <c r="B26" t="s">
        <v>149</v>
      </c>
    </row>
    <row r="27" spans="1:2">
      <c r="A27" t="s">
        <v>171</v>
      </c>
      <c r="B27" t="s">
        <v>149</v>
      </c>
    </row>
    <row r="28" spans="1:2">
      <c r="A28" t="s">
        <v>172</v>
      </c>
      <c r="B28" t="s">
        <v>149</v>
      </c>
    </row>
    <row r="29" spans="1:2">
      <c r="A29" t="s">
        <v>173</v>
      </c>
      <c r="B29" t="s">
        <v>149</v>
      </c>
    </row>
    <row r="30" spans="1:2">
      <c r="A30" t="s">
        <v>174</v>
      </c>
      <c r="B30" t="s">
        <v>149</v>
      </c>
    </row>
    <row r="31" spans="1:2">
      <c r="A31" t="s">
        <v>175</v>
      </c>
      <c r="B31" t="s">
        <v>149</v>
      </c>
    </row>
    <row r="32" spans="1:2">
      <c r="A32" t="s">
        <v>176</v>
      </c>
      <c r="B32" t="s">
        <v>149</v>
      </c>
    </row>
    <row r="33" spans="1:2">
      <c r="A33" t="s">
        <v>177</v>
      </c>
      <c r="B33">
        <v>6.8762411620000004</v>
      </c>
    </row>
    <row r="34" spans="1:2">
      <c r="A34" t="s">
        <v>178</v>
      </c>
      <c r="B34">
        <v>6.9109861300000004</v>
      </c>
    </row>
    <row r="35" spans="1:2">
      <c r="A35" t="s">
        <v>179</v>
      </c>
      <c r="B35">
        <v>0.69331559300000001</v>
      </c>
    </row>
    <row r="36" spans="1:2">
      <c r="A36" t="s">
        <v>180</v>
      </c>
      <c r="B36">
        <v>0.68115485399999998</v>
      </c>
    </row>
    <row r="37" spans="1:2">
      <c r="A37" t="s">
        <v>181</v>
      </c>
      <c r="B37">
        <v>297.48484059999998</v>
      </c>
    </row>
    <row r="38" spans="1:2">
      <c r="A38" t="s">
        <v>182</v>
      </c>
      <c r="B38">
        <v>50.151524510000002</v>
      </c>
    </row>
    <row r="39" spans="1:2">
      <c r="A39" t="s">
        <v>183</v>
      </c>
      <c r="B39">
        <v>306.13961710000001</v>
      </c>
    </row>
    <row r="40" spans="1:2">
      <c r="A40" t="s">
        <v>184</v>
      </c>
      <c r="B40">
        <v>51.12606856</v>
      </c>
    </row>
    <row r="41" spans="1:2">
      <c r="A41" t="s">
        <v>185</v>
      </c>
      <c r="B41">
        <v>89.097949220000004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D0A1-9CDC-4B73-A40D-E201B68843A0}">
  <dimension ref="A1:R366"/>
  <sheetViews>
    <sheetView tabSelected="1" topLeftCell="R39" zoomScale="115" zoomScaleNormal="115" workbookViewId="0">
      <selection activeCell="AF43" sqref="AF43"/>
    </sheetView>
  </sheetViews>
  <sheetFormatPr defaultRowHeight="15"/>
  <cols>
    <col min="1" max="1" width="8.7109375" style="1" bestFit="1" customWidth="1"/>
    <col min="2" max="2" width="10.140625" style="1" bestFit="1" customWidth="1"/>
    <col min="3" max="3" width="10" bestFit="1" customWidth="1"/>
    <col min="4" max="4" width="9" bestFit="1" customWidth="1"/>
    <col min="5" max="5" width="9.5703125" style="1" customWidth="1"/>
    <col min="6" max="7" width="6.5703125" customWidth="1"/>
    <col min="8" max="8" width="7.28515625" style="1" customWidth="1"/>
    <col min="9" max="9" width="7" customWidth="1"/>
    <col min="10" max="10" width="10.42578125" customWidth="1"/>
    <col min="11" max="11" width="10.28515625" bestFit="1" customWidth="1"/>
    <col min="12" max="12" width="7.28515625" bestFit="1" customWidth="1"/>
    <col min="13" max="18" width="9" bestFit="1" customWidth="1"/>
  </cols>
  <sheetData>
    <row r="1" spans="1:18" ht="34.5">
      <c r="A1" s="3" t="s">
        <v>118</v>
      </c>
      <c r="B1" s="3" t="s">
        <v>119</v>
      </c>
      <c r="C1" s="3" t="s">
        <v>116</v>
      </c>
      <c r="D1" s="3" t="s">
        <v>117</v>
      </c>
      <c r="E1" s="4" t="s">
        <v>40</v>
      </c>
      <c r="F1" s="3" t="s">
        <v>120</v>
      </c>
      <c r="G1" s="3" t="s">
        <v>121</v>
      </c>
      <c r="H1" s="3" t="s">
        <v>122</v>
      </c>
      <c r="I1" s="3" t="s">
        <v>123</v>
      </c>
      <c r="J1" s="3" t="s">
        <v>124</v>
      </c>
      <c r="K1" s="3" t="s">
        <v>125</v>
      </c>
      <c r="L1" s="3" t="s">
        <v>126</v>
      </c>
      <c r="M1" s="3" t="s">
        <v>233</v>
      </c>
      <c r="N1" s="3" t="s">
        <v>234</v>
      </c>
      <c r="O1" s="3" t="s">
        <v>235</v>
      </c>
      <c r="P1" s="3" t="s">
        <v>236</v>
      </c>
      <c r="Q1" s="3" t="s">
        <v>237</v>
      </c>
      <c r="R1" s="3" t="s">
        <v>238</v>
      </c>
    </row>
    <row r="2" spans="1:18">
      <c r="A2" s="41">
        <v>1</v>
      </c>
      <c r="B2" s="42">
        <f>DATE(Sintesi!$C$4-1,12,31)+A2</f>
        <v>44197</v>
      </c>
      <c r="C2" s="41">
        <f>'Paste cell here'!B2</f>
        <v>16.783060930000001</v>
      </c>
      <c r="D2" s="41">
        <f>'Paste cell here'!I2</f>
        <v>0</v>
      </c>
      <c r="E2" s="1">
        <f>'Paste cell here'!H2</f>
        <v>0.69999999599999996</v>
      </c>
      <c r="F2" s="1">
        <f>Sintesi!$C$5</f>
        <v>0.1</v>
      </c>
      <c r="G2" s="1">
        <f>'Paste cell here'!AA2</f>
        <v>0.9</v>
      </c>
      <c r="H2" s="43">
        <f>'Paste cell here'!U2</f>
        <v>32.236066190000003</v>
      </c>
      <c r="I2" s="43">
        <f>'Paste cell here'!AE2</f>
        <v>180.26525699999999</v>
      </c>
      <c r="J2" s="44"/>
      <c r="K2" s="45">
        <f>'Paste cell here'!AG2</f>
        <v>130.2081843</v>
      </c>
      <c r="L2" s="41"/>
      <c r="M2" s="1">
        <f>(Sintesi!$C$29*F2*1000)</f>
        <v>22.9209</v>
      </c>
      <c r="N2" s="1">
        <f>Sintesi!$C$30*F2*1000</f>
        <v>8.31</v>
      </c>
      <c r="O2" s="1">
        <f>M2-N2</f>
        <v>14.610899999999999</v>
      </c>
      <c r="P2" s="1">
        <f>Sintesi!$C$33*G2*1000</f>
        <v>177.29640000000003</v>
      </c>
      <c r="Q2" s="1">
        <f>Sintesi!$C$34*G2*1000</f>
        <v>81.180000000000007</v>
      </c>
      <c r="R2" s="1">
        <f>P2-Q2</f>
        <v>96.116400000000027</v>
      </c>
    </row>
    <row r="3" spans="1:18">
      <c r="A3" s="41">
        <v>2</v>
      </c>
      <c r="B3" s="42">
        <f>DATE(Sintesi!$C$4-1,12,31)+A3</f>
        <v>44198</v>
      </c>
      <c r="C3" s="41">
        <f>'Paste cell here'!B3</f>
        <v>20.88713147</v>
      </c>
      <c r="D3" s="41">
        <f>'Paste cell here'!I3</f>
        <v>0</v>
      </c>
      <c r="E3" s="1">
        <f>'Paste cell here'!H3</f>
        <v>0.68866744599999996</v>
      </c>
      <c r="F3" s="1">
        <f>Sintesi!$C$5</f>
        <v>0.1</v>
      </c>
      <c r="G3" s="1">
        <f>'Paste cell here'!AA3</f>
        <v>0.9</v>
      </c>
      <c r="H3" s="43">
        <f>'Paste cell here'!U3</f>
        <v>33.629799730000002</v>
      </c>
      <c r="I3" s="43">
        <f>'Paste cell here'!AE3</f>
        <v>192.00456890000001</v>
      </c>
      <c r="J3" s="44">
        <f>H2*'Paste cell here'!AO3+'Paste cell here'!AF3*'Paste cell here'!AP3</f>
        <v>180.26525699999999</v>
      </c>
      <c r="K3" s="45">
        <f>'Paste cell here'!AG3</f>
        <v>130.9705122</v>
      </c>
      <c r="L3" s="41" t="str">
        <f>IF(J3&lt;K3,"YES","NO")</f>
        <v>NO</v>
      </c>
      <c r="M3" s="1">
        <f>(Sintesi!$C$29*F3*1000)</f>
        <v>22.9209</v>
      </c>
      <c r="N3" s="1">
        <f>Sintesi!$C$30*F3*1000</f>
        <v>8.31</v>
      </c>
      <c r="O3" s="1">
        <f t="shared" ref="O3:O66" si="0">M3-N3</f>
        <v>14.610899999999999</v>
      </c>
      <c r="P3" s="1">
        <f>Sintesi!$C$33*G3*1000</f>
        <v>177.29640000000003</v>
      </c>
      <c r="Q3" s="1">
        <f>Sintesi!$C$34*G3*1000</f>
        <v>81.180000000000007</v>
      </c>
      <c r="R3" s="1">
        <f t="shared" ref="R3:R66" si="1">P3-Q3</f>
        <v>96.116400000000027</v>
      </c>
    </row>
    <row r="4" spans="1:18">
      <c r="A4" s="41">
        <v>3</v>
      </c>
      <c r="B4" s="42">
        <f>DATE(Sintesi!$C$4-1,12,31)+A4</f>
        <v>44199</v>
      </c>
      <c r="C4" s="41">
        <f>'Paste cell here'!B4</f>
        <v>4.5169534960000002</v>
      </c>
      <c r="D4" s="41">
        <f>'Paste cell here'!I4</f>
        <v>0</v>
      </c>
      <c r="E4" s="1">
        <f>'Paste cell here'!H4</f>
        <v>0.68780485499999999</v>
      </c>
      <c r="F4" s="1">
        <f>Sintesi!$C$5</f>
        <v>0.1</v>
      </c>
      <c r="G4" s="1">
        <f>'Paste cell here'!AA4</f>
        <v>0.9</v>
      </c>
      <c r="H4" s="43">
        <f>'Paste cell here'!U4</f>
        <v>30.69110169</v>
      </c>
      <c r="I4" s="43">
        <f>'Paste cell here'!AE4</f>
        <v>198.52288300000001</v>
      </c>
      <c r="J4" s="44">
        <f>H3*'Paste cell here'!AO4+'Paste cell here'!AF4*'Paste cell here'!AP4</f>
        <v>192.00456890000001</v>
      </c>
      <c r="K4" s="45">
        <f>'Paste cell here'!AG4</f>
        <v>131.02853780000001</v>
      </c>
      <c r="L4" s="41" t="str">
        <f t="shared" ref="L4:L67" si="2">IF(J4&lt;K4,"YES","NO")</f>
        <v>NO</v>
      </c>
      <c r="M4" s="1">
        <f>(Sintesi!$C$29*F4*1000)</f>
        <v>22.9209</v>
      </c>
      <c r="N4" s="1">
        <f>Sintesi!$C$30*F4*1000</f>
        <v>8.31</v>
      </c>
      <c r="O4" s="1">
        <f t="shared" si="0"/>
        <v>14.610899999999999</v>
      </c>
      <c r="P4" s="1">
        <f>Sintesi!$C$33*G4*1000</f>
        <v>177.29640000000003</v>
      </c>
      <c r="Q4" s="1">
        <f>Sintesi!$C$34*G4*1000</f>
        <v>81.180000000000007</v>
      </c>
      <c r="R4" s="1">
        <f t="shared" si="1"/>
        <v>96.116400000000027</v>
      </c>
    </row>
    <row r="5" spans="1:18">
      <c r="A5" s="41">
        <v>4</v>
      </c>
      <c r="B5" s="42">
        <f>DATE(Sintesi!$C$4-1,12,31)+A5</f>
        <v>44200</v>
      </c>
      <c r="C5" s="41">
        <f>'Paste cell here'!B5</f>
        <v>6.3450449080000002</v>
      </c>
      <c r="D5" s="41">
        <f>'Paste cell here'!I5</f>
        <v>0</v>
      </c>
      <c r="E5" s="1">
        <f>'Paste cell here'!H5</f>
        <v>0.68965712099999998</v>
      </c>
      <c r="F5" s="1">
        <f>Sintesi!$C$5</f>
        <v>0.1</v>
      </c>
      <c r="G5" s="1">
        <f>'Paste cell here'!AA5</f>
        <v>0.9</v>
      </c>
      <c r="H5" s="43">
        <f>'Paste cell here'!U5</f>
        <v>31.068607409999998</v>
      </c>
      <c r="I5" s="43">
        <f>'Paste cell here'!AE5</f>
        <v>203.1374706</v>
      </c>
      <c r="J5" s="44">
        <f>H4*'Paste cell here'!AO5+'Paste cell here'!AF5*'Paste cell here'!AP5</f>
        <v>198.52288300000001</v>
      </c>
      <c r="K5" s="45">
        <f>'Paste cell here'!AG5</f>
        <v>130.90393789999999</v>
      </c>
      <c r="L5" s="41" t="str">
        <f t="shared" si="2"/>
        <v>NO</v>
      </c>
      <c r="M5" s="1">
        <f>(Sintesi!$C$29*F5*1000)</f>
        <v>22.9209</v>
      </c>
      <c r="N5" s="1">
        <f>Sintesi!$C$30*F5*1000</f>
        <v>8.31</v>
      </c>
      <c r="O5" s="1">
        <f t="shared" si="0"/>
        <v>14.610899999999999</v>
      </c>
      <c r="P5" s="1">
        <f>Sintesi!$C$33*G5*1000</f>
        <v>177.29640000000003</v>
      </c>
      <c r="Q5" s="1">
        <f>Sintesi!$C$34*G5*1000</f>
        <v>81.180000000000007</v>
      </c>
      <c r="R5" s="1">
        <f t="shared" si="1"/>
        <v>96.116400000000027</v>
      </c>
    </row>
    <row r="6" spans="1:18">
      <c r="A6" s="41">
        <v>5</v>
      </c>
      <c r="B6" s="42">
        <f>DATE(Sintesi!$C$4-1,12,31)+A6</f>
        <v>44201</v>
      </c>
      <c r="C6" s="41">
        <f>'Paste cell here'!B6</f>
        <v>8.610897692</v>
      </c>
      <c r="D6" s="41">
        <f>'Paste cell here'!I6</f>
        <v>0</v>
      </c>
      <c r="E6" s="1">
        <f>'Paste cell here'!H6</f>
        <v>0.68877461100000004</v>
      </c>
      <c r="F6" s="1">
        <f>Sintesi!$C$5</f>
        <v>0.1</v>
      </c>
      <c r="G6" s="1">
        <f>'Paste cell here'!AA6</f>
        <v>0.9</v>
      </c>
      <c r="H6" s="43">
        <f>'Paste cell here'!U6</f>
        <v>31.779896229999999</v>
      </c>
      <c r="I6" s="43">
        <f>'Paste cell here'!AE6</f>
        <v>208.71626240000001</v>
      </c>
      <c r="J6" s="44">
        <f>H5*'Paste cell here'!AO6+'Paste cell here'!AF6*'Paste cell here'!AP6</f>
        <v>203.1374706</v>
      </c>
      <c r="K6" s="45">
        <f>'Paste cell here'!AG6</f>
        <v>130.9633034</v>
      </c>
      <c r="L6" s="41" t="str">
        <f t="shared" si="2"/>
        <v>NO</v>
      </c>
      <c r="M6" s="1">
        <f>(Sintesi!$C$29*F6*1000)</f>
        <v>22.9209</v>
      </c>
      <c r="N6" s="1">
        <f>Sintesi!$C$30*F6*1000</f>
        <v>8.31</v>
      </c>
      <c r="O6" s="1">
        <f t="shared" si="0"/>
        <v>14.610899999999999</v>
      </c>
      <c r="P6" s="1">
        <f>Sintesi!$C$33*G6*1000</f>
        <v>177.29640000000003</v>
      </c>
      <c r="Q6" s="1">
        <f>Sintesi!$C$34*G6*1000</f>
        <v>81.180000000000007</v>
      </c>
      <c r="R6" s="1">
        <f t="shared" si="1"/>
        <v>96.116400000000027</v>
      </c>
    </row>
    <row r="7" spans="1:18">
      <c r="A7" s="41">
        <v>6</v>
      </c>
      <c r="B7" s="42">
        <f>DATE(Sintesi!$C$4-1,12,31)+A7</f>
        <v>44202</v>
      </c>
      <c r="C7" s="41">
        <f>'Paste cell here'!B7</f>
        <v>0.76821910699999996</v>
      </c>
      <c r="D7" s="41">
        <f>'Paste cell here'!I7</f>
        <v>0</v>
      </c>
      <c r="E7" s="1">
        <f>'Paste cell here'!H7</f>
        <v>0.68413463900000004</v>
      </c>
      <c r="F7" s="1">
        <f>Sintesi!$C$5</f>
        <v>0.1</v>
      </c>
      <c r="G7" s="1">
        <f>'Paste cell here'!AA7</f>
        <v>0.9</v>
      </c>
      <c r="H7" s="43">
        <f>'Paste cell here'!U7</f>
        <v>28.415853760000001</v>
      </c>
      <c r="I7" s="43">
        <f>'Paste cell here'!AE7</f>
        <v>210.96758</v>
      </c>
      <c r="J7" s="44">
        <f>H6*'Paste cell here'!AO7+'Paste cell here'!AF7*'Paste cell here'!AP7</f>
        <v>208.71626240000001</v>
      </c>
      <c r="K7" s="45">
        <f>'Paste cell here'!AG7</f>
        <v>131.2754291</v>
      </c>
      <c r="L7" s="41" t="str">
        <f t="shared" si="2"/>
        <v>NO</v>
      </c>
      <c r="M7" s="1">
        <f>(Sintesi!$C$29*F7*1000)</f>
        <v>22.9209</v>
      </c>
      <c r="N7" s="1">
        <f>Sintesi!$C$30*F7*1000</f>
        <v>8.31</v>
      </c>
      <c r="O7" s="1">
        <f t="shared" si="0"/>
        <v>14.610899999999999</v>
      </c>
      <c r="P7" s="1">
        <f>Sintesi!$C$33*G7*1000</f>
        <v>177.29640000000003</v>
      </c>
      <c r="Q7" s="1">
        <f>Sintesi!$C$34*G7*1000</f>
        <v>81.180000000000007</v>
      </c>
      <c r="R7" s="1">
        <f t="shared" si="1"/>
        <v>96.116400000000027</v>
      </c>
    </row>
    <row r="8" spans="1:18">
      <c r="A8" s="41">
        <v>7</v>
      </c>
      <c r="B8" s="42">
        <f>DATE(Sintesi!$C$4-1,12,31)+A8</f>
        <v>44203</v>
      </c>
      <c r="C8" s="41">
        <f>'Paste cell here'!B8</f>
        <v>0</v>
      </c>
      <c r="D8" s="41">
        <f>'Paste cell here'!I8</f>
        <v>0</v>
      </c>
      <c r="E8" s="1">
        <f>'Paste cell here'!H8</f>
        <v>0.686749265</v>
      </c>
      <c r="F8" s="1">
        <f>Sintesi!$C$5</f>
        <v>0.1</v>
      </c>
      <c r="G8" s="1">
        <f>'Paste cell here'!AA8</f>
        <v>0.9</v>
      </c>
      <c r="H8" s="43">
        <f>'Paste cell here'!U8</f>
        <v>26.50554176</v>
      </c>
      <c r="I8" s="43">
        <f>'Paste cell here'!AE8</f>
        <v>210.8495585</v>
      </c>
      <c r="J8" s="44">
        <f>H7*'Paste cell here'!AO8+'Paste cell here'!AF8*'Paste cell here'!AP8</f>
        <v>210.96758</v>
      </c>
      <c r="K8" s="45">
        <f>'Paste cell here'!AG8</f>
        <v>131.0995461</v>
      </c>
      <c r="L8" s="41" t="str">
        <f t="shared" si="2"/>
        <v>NO</v>
      </c>
      <c r="M8" s="1">
        <f>(Sintesi!$C$29*F8*1000)</f>
        <v>22.9209</v>
      </c>
      <c r="N8" s="1">
        <f>Sintesi!$C$30*F8*1000</f>
        <v>8.31</v>
      </c>
      <c r="O8" s="1">
        <f t="shared" si="0"/>
        <v>14.610899999999999</v>
      </c>
      <c r="P8" s="1">
        <f>Sintesi!$C$33*G8*1000</f>
        <v>177.29640000000003</v>
      </c>
      <c r="Q8" s="1">
        <f>Sintesi!$C$34*G8*1000</f>
        <v>81.180000000000007</v>
      </c>
      <c r="R8" s="1">
        <f t="shared" si="1"/>
        <v>96.116400000000027</v>
      </c>
    </row>
    <row r="9" spans="1:18">
      <c r="A9" s="41">
        <v>8</v>
      </c>
      <c r="B9" s="42">
        <f>DATE(Sintesi!$C$4-1,12,31)+A9</f>
        <v>44204</v>
      </c>
      <c r="C9" s="41">
        <f>'Paste cell here'!B9</f>
        <v>1.8182940620000001</v>
      </c>
      <c r="D9" s="41">
        <f>'Paste cell here'!I9</f>
        <v>0</v>
      </c>
      <c r="E9" s="1">
        <f>'Paste cell here'!H9</f>
        <v>0.68351954000000004</v>
      </c>
      <c r="F9" s="1">
        <f>Sintesi!$C$5</f>
        <v>0.1</v>
      </c>
      <c r="G9" s="1">
        <f>'Paste cell here'!AA9</f>
        <v>0.9</v>
      </c>
      <c r="H9" s="43">
        <f>'Paste cell here'!U9</f>
        <v>26.992483270000001</v>
      </c>
      <c r="I9" s="43">
        <f>'Paste cell here'!AE9</f>
        <v>210.41555009999999</v>
      </c>
      <c r="J9" s="44">
        <f>H8*'Paste cell here'!AO9+'Paste cell here'!AF9*'Paste cell here'!AP9</f>
        <v>210.8495585</v>
      </c>
      <c r="K9" s="45">
        <f>'Paste cell here'!AG9</f>
        <v>131.31680610000001</v>
      </c>
      <c r="L9" s="41" t="str">
        <f t="shared" si="2"/>
        <v>NO</v>
      </c>
      <c r="M9" s="1">
        <f>(Sintesi!$C$29*F9*1000)</f>
        <v>22.9209</v>
      </c>
      <c r="N9" s="1">
        <f>Sintesi!$C$30*F9*1000</f>
        <v>8.31</v>
      </c>
      <c r="O9" s="1">
        <f t="shared" si="0"/>
        <v>14.610899999999999</v>
      </c>
      <c r="P9" s="1">
        <f>Sintesi!$C$33*G9*1000</f>
        <v>177.29640000000003</v>
      </c>
      <c r="Q9" s="1">
        <f>Sintesi!$C$34*G9*1000</f>
        <v>81.180000000000007</v>
      </c>
      <c r="R9" s="1">
        <f t="shared" si="1"/>
        <v>96.116400000000027</v>
      </c>
    </row>
    <row r="10" spans="1:18">
      <c r="A10" s="41">
        <v>9</v>
      </c>
      <c r="B10" s="42">
        <f>DATE(Sintesi!$C$4-1,12,31)+A10</f>
        <v>44205</v>
      </c>
      <c r="C10" s="41">
        <f>'Paste cell here'!B10</f>
        <v>0</v>
      </c>
      <c r="D10" s="41">
        <f>'Paste cell here'!I10</f>
        <v>0</v>
      </c>
      <c r="E10" s="1">
        <f>'Paste cell here'!H10</f>
        <v>0.69265359699999995</v>
      </c>
      <c r="F10" s="1">
        <f>Sintesi!$C$5</f>
        <v>0.1</v>
      </c>
      <c r="G10" s="1">
        <f>'Paste cell here'!AA10</f>
        <v>0.9</v>
      </c>
      <c r="H10" s="43">
        <f>'Paste cell here'!U10</f>
        <v>25.652441069999998</v>
      </c>
      <c r="I10" s="43">
        <f>'Paste cell here'!AE10</f>
        <v>209.8201622</v>
      </c>
      <c r="J10" s="44">
        <f>H9*'Paste cell here'!AO10+'Paste cell here'!AF10*'Paste cell here'!AP10</f>
        <v>210.41555009999999</v>
      </c>
      <c r="K10" s="45">
        <f>'Paste cell here'!AG10</f>
        <v>130.70236829999999</v>
      </c>
      <c r="L10" s="41" t="str">
        <f t="shared" si="2"/>
        <v>NO</v>
      </c>
      <c r="M10" s="1">
        <f>(Sintesi!$C$29*F10*1000)</f>
        <v>22.9209</v>
      </c>
      <c r="N10" s="1">
        <f>Sintesi!$C$30*F10*1000</f>
        <v>8.31</v>
      </c>
      <c r="O10" s="1">
        <f t="shared" si="0"/>
        <v>14.610899999999999</v>
      </c>
      <c r="P10" s="1">
        <f>Sintesi!$C$33*G10*1000</f>
        <v>177.29640000000003</v>
      </c>
      <c r="Q10" s="1">
        <f>Sintesi!$C$34*G10*1000</f>
        <v>81.180000000000007</v>
      </c>
      <c r="R10" s="1">
        <f t="shared" si="1"/>
        <v>96.116400000000027</v>
      </c>
    </row>
    <row r="11" spans="1:18">
      <c r="A11" s="41">
        <v>10</v>
      </c>
      <c r="B11" s="42">
        <f>DATE(Sintesi!$C$4-1,12,31)+A11</f>
        <v>44206</v>
      </c>
      <c r="C11" s="41">
        <f>'Paste cell here'!B11</f>
        <v>0</v>
      </c>
      <c r="D11" s="41">
        <f>'Paste cell here'!I11</f>
        <v>0</v>
      </c>
      <c r="E11" s="1">
        <f>'Paste cell here'!H11</f>
        <v>0.68431070800000005</v>
      </c>
      <c r="F11" s="1">
        <f>Sintesi!$C$5</f>
        <v>0.1</v>
      </c>
      <c r="G11" s="1">
        <f>'Paste cell here'!AA11</f>
        <v>0.9</v>
      </c>
      <c r="H11" s="43">
        <f>'Paste cell here'!U11</f>
        <v>24.619054500000001</v>
      </c>
      <c r="I11" s="43">
        <f>'Paste cell here'!AE11</f>
        <v>208.91242700000001</v>
      </c>
      <c r="J11" s="44">
        <f>H10*'Paste cell here'!AO11+'Paste cell here'!AF11*'Paste cell here'!AP11</f>
        <v>209.8201622</v>
      </c>
      <c r="K11" s="45">
        <f>'Paste cell here'!AG11</f>
        <v>131.2635851</v>
      </c>
      <c r="L11" s="41" t="str">
        <f t="shared" si="2"/>
        <v>NO</v>
      </c>
      <c r="M11" s="1">
        <f>(Sintesi!$C$29*F11*1000)</f>
        <v>22.9209</v>
      </c>
      <c r="N11" s="1">
        <f>Sintesi!$C$30*F11*1000</f>
        <v>8.31</v>
      </c>
      <c r="O11" s="1">
        <f t="shared" si="0"/>
        <v>14.610899999999999</v>
      </c>
      <c r="P11" s="1">
        <f>Sintesi!$C$33*G11*1000</f>
        <v>177.29640000000003</v>
      </c>
      <c r="Q11" s="1">
        <f>Sintesi!$C$34*G11*1000</f>
        <v>81.180000000000007</v>
      </c>
      <c r="R11" s="1">
        <f t="shared" si="1"/>
        <v>96.116400000000027</v>
      </c>
    </row>
    <row r="12" spans="1:18">
      <c r="A12" s="41">
        <v>11</v>
      </c>
      <c r="B12" s="42">
        <f>DATE(Sintesi!$C$4-1,12,31)+A12</f>
        <v>44207</v>
      </c>
      <c r="C12" s="41">
        <f>'Paste cell here'!B12</f>
        <v>0</v>
      </c>
      <c r="D12" s="41">
        <f>'Paste cell here'!I12</f>
        <v>0</v>
      </c>
      <c r="E12" s="1">
        <f>'Paste cell here'!H12</f>
        <v>0.68150050699999998</v>
      </c>
      <c r="F12" s="1">
        <f>Sintesi!$C$5</f>
        <v>0.1</v>
      </c>
      <c r="G12" s="1">
        <f>'Paste cell here'!AA12</f>
        <v>0.9</v>
      </c>
      <c r="H12" s="43">
        <f>'Paste cell here'!U12</f>
        <v>23.971390159999999</v>
      </c>
      <c r="I12" s="43">
        <f>'Paste cell here'!AE12</f>
        <v>207.90057340000001</v>
      </c>
      <c r="J12" s="44">
        <f>H11*'Paste cell here'!AO12+'Paste cell here'!AF12*'Paste cell here'!AP12</f>
        <v>208.91242700000001</v>
      </c>
      <c r="K12" s="45">
        <f>'Paste cell here'!AG12</f>
        <v>131.4526242</v>
      </c>
      <c r="L12" s="41" t="str">
        <f t="shared" si="2"/>
        <v>NO</v>
      </c>
      <c r="M12" s="1">
        <f>(Sintesi!$C$29*F12*1000)</f>
        <v>22.9209</v>
      </c>
      <c r="N12" s="1">
        <f>Sintesi!$C$30*F12*1000</f>
        <v>8.31</v>
      </c>
      <c r="O12" s="1">
        <f t="shared" si="0"/>
        <v>14.610899999999999</v>
      </c>
      <c r="P12" s="1">
        <f>Sintesi!$C$33*G12*1000</f>
        <v>177.29640000000003</v>
      </c>
      <c r="Q12" s="1">
        <f>Sintesi!$C$34*G12*1000</f>
        <v>81.180000000000007</v>
      </c>
      <c r="R12" s="1">
        <f t="shared" si="1"/>
        <v>96.116400000000027</v>
      </c>
    </row>
    <row r="13" spans="1:18">
      <c r="A13" s="41">
        <v>12</v>
      </c>
      <c r="B13" s="42">
        <f>DATE(Sintesi!$C$4-1,12,31)+A13</f>
        <v>44208</v>
      </c>
      <c r="C13" s="41">
        <f>'Paste cell here'!B13</f>
        <v>0</v>
      </c>
      <c r="D13" s="41">
        <f>'Paste cell here'!I13</f>
        <v>0</v>
      </c>
      <c r="E13" s="1">
        <f>'Paste cell here'!H13</f>
        <v>0.68964871999999999</v>
      </c>
      <c r="F13" s="1">
        <f>Sintesi!$C$5</f>
        <v>0.1</v>
      </c>
      <c r="G13" s="1">
        <f>'Paste cell here'!AA13</f>
        <v>0.9</v>
      </c>
      <c r="H13" s="43">
        <f>'Paste cell here'!U13</f>
        <v>23.303537290000001</v>
      </c>
      <c r="I13" s="43">
        <f>'Paste cell here'!AE13</f>
        <v>206.8634983</v>
      </c>
      <c r="J13" s="44">
        <f>H12*'Paste cell here'!AO13+'Paste cell here'!AF13*'Paste cell here'!AP13</f>
        <v>207.90057340000001</v>
      </c>
      <c r="K13" s="45">
        <f>'Paste cell here'!AG13</f>
        <v>130.90450300000001</v>
      </c>
      <c r="L13" s="41" t="str">
        <f t="shared" si="2"/>
        <v>NO</v>
      </c>
      <c r="M13" s="1">
        <f>(Sintesi!$C$29*F13*1000)</f>
        <v>22.9209</v>
      </c>
      <c r="N13" s="1">
        <f>Sintesi!$C$30*F13*1000</f>
        <v>8.31</v>
      </c>
      <c r="O13" s="1">
        <f t="shared" si="0"/>
        <v>14.610899999999999</v>
      </c>
      <c r="P13" s="1">
        <f>Sintesi!$C$33*G13*1000</f>
        <v>177.29640000000003</v>
      </c>
      <c r="Q13" s="1">
        <f>Sintesi!$C$34*G13*1000</f>
        <v>81.180000000000007</v>
      </c>
      <c r="R13" s="1">
        <f t="shared" si="1"/>
        <v>96.116400000000027</v>
      </c>
    </row>
    <row r="14" spans="1:18">
      <c r="A14" s="41">
        <v>13</v>
      </c>
      <c r="B14" s="42">
        <f>DATE(Sintesi!$C$4-1,12,31)+A14</f>
        <v>44209</v>
      </c>
      <c r="C14" s="41">
        <f>'Paste cell here'!B14</f>
        <v>0</v>
      </c>
      <c r="D14" s="41">
        <f>'Paste cell here'!I14</f>
        <v>0</v>
      </c>
      <c r="E14" s="1">
        <f>'Paste cell here'!H14</f>
        <v>0.68470619099999996</v>
      </c>
      <c r="F14" s="1">
        <f>Sintesi!$C$5</f>
        <v>0.1</v>
      </c>
      <c r="G14" s="1">
        <f>'Paste cell here'!AA14</f>
        <v>0.9</v>
      </c>
      <c r="H14" s="43">
        <f>'Paste cell here'!U14</f>
        <v>22.397878039999998</v>
      </c>
      <c r="I14" s="43">
        <f>'Paste cell here'!AE14</f>
        <v>205.81197689999999</v>
      </c>
      <c r="J14" s="44">
        <f>H13*'Paste cell here'!AO14+'Paste cell here'!AF14*'Paste cell here'!AP14</f>
        <v>206.8634983</v>
      </c>
      <c r="K14" s="45">
        <f>'Paste cell here'!AG14</f>
        <v>131.23698139999999</v>
      </c>
      <c r="L14" s="41" t="str">
        <f t="shared" si="2"/>
        <v>NO</v>
      </c>
      <c r="M14" s="1">
        <f>(Sintesi!$C$29*F14*1000)</f>
        <v>22.9209</v>
      </c>
      <c r="N14" s="1">
        <f>Sintesi!$C$30*F14*1000</f>
        <v>8.31</v>
      </c>
      <c r="O14" s="1">
        <f t="shared" si="0"/>
        <v>14.610899999999999</v>
      </c>
      <c r="P14" s="1">
        <f>Sintesi!$C$33*G14*1000</f>
        <v>177.29640000000003</v>
      </c>
      <c r="Q14" s="1">
        <f>Sintesi!$C$34*G14*1000</f>
        <v>81.180000000000007</v>
      </c>
      <c r="R14" s="1">
        <f t="shared" si="1"/>
        <v>96.116400000000027</v>
      </c>
    </row>
    <row r="15" spans="1:18">
      <c r="A15" s="41">
        <v>14</v>
      </c>
      <c r="B15" s="42">
        <f>DATE(Sintesi!$C$4-1,12,31)+A15</f>
        <v>44210</v>
      </c>
      <c r="C15" s="41">
        <f>'Paste cell here'!B15</f>
        <v>0</v>
      </c>
      <c r="D15" s="41">
        <f>'Paste cell here'!I15</f>
        <v>0</v>
      </c>
      <c r="E15" s="1">
        <f>'Paste cell here'!H15</f>
        <v>0.67159476100000004</v>
      </c>
      <c r="F15" s="1">
        <f>Sintesi!$C$5</f>
        <v>0.1</v>
      </c>
      <c r="G15" s="1">
        <f>'Paste cell here'!AA15</f>
        <v>0.9</v>
      </c>
      <c r="H15" s="43">
        <f>'Paste cell here'!U15</f>
        <v>21.66364587</v>
      </c>
      <c r="I15" s="43">
        <f>'Paste cell here'!AE15</f>
        <v>204.76553530000001</v>
      </c>
      <c r="J15" s="44">
        <f>H14*'Paste cell here'!AO15+'Paste cell here'!AF15*'Paste cell here'!AP15</f>
        <v>205.81197689999999</v>
      </c>
      <c r="K15" s="45">
        <f>'Paste cell here'!AG15</f>
        <v>132.11897260000001</v>
      </c>
      <c r="L15" s="41" t="str">
        <f t="shared" si="2"/>
        <v>NO</v>
      </c>
      <c r="M15" s="1">
        <f>(Sintesi!$C$29*F15*1000)</f>
        <v>22.9209</v>
      </c>
      <c r="N15" s="1">
        <f>Sintesi!$C$30*F15*1000</f>
        <v>8.31</v>
      </c>
      <c r="O15" s="1">
        <f t="shared" si="0"/>
        <v>14.610899999999999</v>
      </c>
      <c r="P15" s="1">
        <f>Sintesi!$C$33*G15*1000</f>
        <v>177.29640000000003</v>
      </c>
      <c r="Q15" s="1">
        <f>Sintesi!$C$34*G15*1000</f>
        <v>81.180000000000007</v>
      </c>
      <c r="R15" s="1">
        <f t="shared" si="1"/>
        <v>96.116400000000027</v>
      </c>
    </row>
    <row r="16" spans="1:18">
      <c r="A16" s="41">
        <v>15</v>
      </c>
      <c r="B16" s="42">
        <f>DATE(Sintesi!$C$4-1,12,31)+A16</f>
        <v>44211</v>
      </c>
      <c r="C16" s="41">
        <f>'Paste cell here'!B16</f>
        <v>1.9599999999999999E-2</v>
      </c>
      <c r="D16" s="41">
        <f>'Paste cell here'!I16</f>
        <v>0</v>
      </c>
      <c r="E16" s="1">
        <f>'Paste cell here'!H16</f>
        <v>0.67576091100000002</v>
      </c>
      <c r="F16" s="1">
        <f>Sintesi!$C$5</f>
        <v>0.1</v>
      </c>
      <c r="G16" s="1">
        <f>'Paste cell here'!AA16</f>
        <v>0.9</v>
      </c>
      <c r="H16" s="43">
        <f>'Paste cell here'!U16</f>
        <v>20.96343968</v>
      </c>
      <c r="I16" s="43">
        <f>'Paste cell here'!AE16</f>
        <v>203.74563499999999</v>
      </c>
      <c r="J16" s="44">
        <f>H15*'Paste cell here'!AO16+'Paste cell here'!AF16*'Paste cell here'!AP16</f>
        <v>204.76553530000001</v>
      </c>
      <c r="K16" s="45">
        <f>'Paste cell here'!AG16</f>
        <v>131.8387204</v>
      </c>
      <c r="L16" s="41" t="str">
        <f t="shared" si="2"/>
        <v>NO</v>
      </c>
      <c r="M16" s="1">
        <f>(Sintesi!$C$29*F16*1000)</f>
        <v>22.9209</v>
      </c>
      <c r="N16" s="1">
        <f>Sintesi!$C$30*F16*1000</f>
        <v>8.31</v>
      </c>
      <c r="O16" s="1">
        <f t="shared" si="0"/>
        <v>14.610899999999999</v>
      </c>
      <c r="P16" s="1">
        <f>Sintesi!$C$33*G16*1000</f>
        <v>177.29640000000003</v>
      </c>
      <c r="Q16" s="1">
        <f>Sintesi!$C$34*G16*1000</f>
        <v>81.180000000000007</v>
      </c>
      <c r="R16" s="1">
        <f t="shared" si="1"/>
        <v>96.116400000000027</v>
      </c>
    </row>
    <row r="17" spans="1:18">
      <c r="A17" s="41">
        <v>16</v>
      </c>
      <c r="B17" s="42">
        <f>DATE(Sintesi!$C$4-1,12,31)+A17</f>
        <v>44212</v>
      </c>
      <c r="C17" s="41">
        <f>'Paste cell here'!B17</f>
        <v>0</v>
      </c>
      <c r="D17" s="41">
        <f>'Paste cell here'!I17</f>
        <v>0</v>
      </c>
      <c r="E17" s="1">
        <f>'Paste cell here'!H17</f>
        <v>0.674700996</v>
      </c>
      <c r="F17" s="1">
        <f>Sintesi!$C$5</f>
        <v>0.1</v>
      </c>
      <c r="G17" s="1">
        <f>'Paste cell here'!AA17</f>
        <v>0.9</v>
      </c>
      <c r="H17" s="43">
        <f>'Paste cell here'!U17</f>
        <v>20.447050870000002</v>
      </c>
      <c r="I17" s="43">
        <f>'Paste cell here'!AE17</f>
        <v>202.76234400000001</v>
      </c>
      <c r="J17" s="44">
        <f>H16*'Paste cell here'!AO17+'Paste cell here'!AF17*'Paste cell here'!AP17</f>
        <v>203.74563499999999</v>
      </c>
      <c r="K17" s="45">
        <f>'Paste cell here'!AG17</f>
        <v>131.9100196</v>
      </c>
      <c r="L17" s="41" t="str">
        <f t="shared" si="2"/>
        <v>NO</v>
      </c>
      <c r="M17" s="1">
        <f>(Sintesi!$C$29*F17*1000)</f>
        <v>22.9209</v>
      </c>
      <c r="N17" s="1">
        <f>Sintesi!$C$30*F17*1000</f>
        <v>8.31</v>
      </c>
      <c r="O17" s="1">
        <f t="shared" si="0"/>
        <v>14.610899999999999</v>
      </c>
      <c r="P17" s="1">
        <f>Sintesi!$C$33*G17*1000</f>
        <v>177.29640000000003</v>
      </c>
      <c r="Q17" s="1">
        <f>Sintesi!$C$34*G17*1000</f>
        <v>81.180000000000007</v>
      </c>
      <c r="R17" s="1">
        <f t="shared" si="1"/>
        <v>96.116400000000027</v>
      </c>
    </row>
    <row r="18" spans="1:18">
      <c r="A18" s="41">
        <v>17</v>
      </c>
      <c r="B18" s="42">
        <f>DATE(Sintesi!$C$4-1,12,31)+A18</f>
        <v>44213</v>
      </c>
      <c r="C18" s="41">
        <f>'Paste cell here'!B18</f>
        <v>0</v>
      </c>
      <c r="D18" s="41">
        <f>'Paste cell here'!I18</f>
        <v>0</v>
      </c>
      <c r="E18" s="1">
        <f>'Paste cell here'!H18</f>
        <v>0.68181573299999998</v>
      </c>
      <c r="F18" s="1">
        <f>Sintesi!$C$5</f>
        <v>0.1</v>
      </c>
      <c r="G18" s="1">
        <f>'Paste cell here'!AA18</f>
        <v>0.9</v>
      </c>
      <c r="H18" s="43">
        <f>'Paste cell here'!U18</f>
        <v>20.07699504</v>
      </c>
      <c r="I18" s="43">
        <f>'Paste cell here'!AE18</f>
        <v>201.8216377</v>
      </c>
      <c r="J18" s="44">
        <f>H17*'Paste cell here'!AO18+'Paste cell here'!AF18*'Paste cell here'!AP18</f>
        <v>202.76234400000001</v>
      </c>
      <c r="K18" s="45">
        <f>'Paste cell here'!AG18</f>
        <v>131.43141929999999</v>
      </c>
      <c r="L18" s="41" t="str">
        <f t="shared" si="2"/>
        <v>NO</v>
      </c>
      <c r="M18" s="1">
        <f>(Sintesi!$C$29*F18*1000)</f>
        <v>22.9209</v>
      </c>
      <c r="N18" s="1">
        <f>Sintesi!$C$30*F18*1000</f>
        <v>8.31</v>
      </c>
      <c r="O18" s="1">
        <f t="shared" si="0"/>
        <v>14.610899999999999</v>
      </c>
      <c r="P18" s="1">
        <f>Sintesi!$C$33*G18*1000</f>
        <v>177.29640000000003</v>
      </c>
      <c r="Q18" s="1">
        <f>Sintesi!$C$34*G18*1000</f>
        <v>81.180000000000007</v>
      </c>
      <c r="R18" s="1">
        <f t="shared" si="1"/>
        <v>96.116400000000027</v>
      </c>
    </row>
    <row r="19" spans="1:18">
      <c r="A19" s="41">
        <v>18</v>
      </c>
      <c r="B19" s="42">
        <f>DATE(Sintesi!$C$4-1,12,31)+A19</f>
        <v>44214</v>
      </c>
      <c r="C19" s="41">
        <f>'Paste cell here'!B19</f>
        <v>0</v>
      </c>
      <c r="D19" s="41">
        <f>'Paste cell here'!I19</f>
        <v>0</v>
      </c>
      <c r="E19" s="1">
        <f>'Paste cell here'!H19</f>
        <v>0.68710295200000004</v>
      </c>
      <c r="F19" s="1">
        <f>Sintesi!$C$5</f>
        <v>0.1</v>
      </c>
      <c r="G19" s="1">
        <f>'Paste cell here'!AA19</f>
        <v>0.9</v>
      </c>
      <c r="H19" s="43">
        <f>'Paste cell here'!U19</f>
        <v>19.815332829999999</v>
      </c>
      <c r="I19" s="43">
        <f>'Paste cell here'!AE19</f>
        <v>200.92433800000001</v>
      </c>
      <c r="J19" s="44">
        <f>H18*'Paste cell here'!AO19+'Paste cell here'!AF19*'Paste cell here'!AP19</f>
        <v>201.8216377</v>
      </c>
      <c r="K19" s="45">
        <f>'Paste cell here'!AG19</f>
        <v>131.07575399999999</v>
      </c>
      <c r="L19" s="41" t="str">
        <f t="shared" si="2"/>
        <v>NO</v>
      </c>
      <c r="M19" s="1">
        <f>(Sintesi!$C$29*F19*1000)</f>
        <v>22.9209</v>
      </c>
      <c r="N19" s="1">
        <f>Sintesi!$C$30*F19*1000</f>
        <v>8.31</v>
      </c>
      <c r="O19" s="1">
        <f t="shared" si="0"/>
        <v>14.610899999999999</v>
      </c>
      <c r="P19" s="1">
        <f>Sintesi!$C$33*G19*1000</f>
        <v>177.29640000000003</v>
      </c>
      <c r="Q19" s="1">
        <f>Sintesi!$C$34*G19*1000</f>
        <v>81.180000000000007</v>
      </c>
      <c r="R19" s="1">
        <f t="shared" si="1"/>
        <v>96.116400000000027</v>
      </c>
    </row>
    <row r="20" spans="1:18">
      <c r="A20" s="41">
        <v>19</v>
      </c>
      <c r="B20" s="42">
        <f>DATE(Sintesi!$C$4-1,12,31)+A20</f>
        <v>44215</v>
      </c>
      <c r="C20" s="41">
        <f>'Paste cell here'!B20</f>
        <v>1.0433467199999999</v>
      </c>
      <c r="D20" s="41">
        <f>'Paste cell here'!I20</f>
        <v>0</v>
      </c>
      <c r="E20" s="1">
        <f>'Paste cell here'!H20</f>
        <v>0.69110965199999996</v>
      </c>
      <c r="F20" s="1">
        <f>Sintesi!$C$5</f>
        <v>0.1</v>
      </c>
      <c r="G20" s="1">
        <f>'Paste cell here'!AA20</f>
        <v>0.9</v>
      </c>
      <c r="H20" s="43">
        <f>'Paste cell here'!U20</f>
        <v>20.52503622</v>
      </c>
      <c r="I20" s="43">
        <f>'Paste cell here'!AE20</f>
        <v>200.07937920000001</v>
      </c>
      <c r="J20" s="44">
        <f>H19*'Paste cell here'!AO20+'Paste cell here'!AF20*'Paste cell here'!AP20</f>
        <v>200.92433800000001</v>
      </c>
      <c r="K20" s="45">
        <f>'Paste cell here'!AG20</f>
        <v>130.80622779999999</v>
      </c>
      <c r="L20" s="41" t="str">
        <f t="shared" si="2"/>
        <v>NO</v>
      </c>
      <c r="M20" s="1">
        <f>(Sintesi!$C$29*F20*1000)</f>
        <v>22.9209</v>
      </c>
      <c r="N20" s="1">
        <f>Sintesi!$C$30*F20*1000</f>
        <v>8.31</v>
      </c>
      <c r="O20" s="1">
        <f t="shared" si="0"/>
        <v>14.610899999999999</v>
      </c>
      <c r="P20" s="1">
        <f>Sintesi!$C$33*G20*1000</f>
        <v>177.29640000000003</v>
      </c>
      <c r="Q20" s="1">
        <f>Sintesi!$C$34*G20*1000</f>
        <v>81.180000000000007</v>
      </c>
      <c r="R20" s="1">
        <f t="shared" si="1"/>
        <v>96.116400000000027</v>
      </c>
    </row>
    <row r="21" spans="1:18">
      <c r="A21" s="41">
        <v>20</v>
      </c>
      <c r="B21" s="42">
        <f>DATE(Sintesi!$C$4-1,12,31)+A21</f>
        <v>44216</v>
      </c>
      <c r="C21" s="41">
        <f>'Paste cell here'!B21</f>
        <v>3.1811167189999998</v>
      </c>
      <c r="D21" s="41">
        <f>'Paste cell here'!I21</f>
        <v>0</v>
      </c>
      <c r="E21" s="1">
        <f>'Paste cell here'!H21</f>
        <v>0.688451166</v>
      </c>
      <c r="F21" s="1">
        <f>Sintesi!$C$5</f>
        <v>0.1</v>
      </c>
      <c r="G21" s="1">
        <f>'Paste cell here'!AA21</f>
        <v>0.9</v>
      </c>
      <c r="H21" s="43">
        <f>'Paste cell here'!U21</f>
        <v>23.226565149999999</v>
      </c>
      <c r="I21" s="43">
        <f>'Paste cell here'!AE21</f>
        <v>199.3550381</v>
      </c>
      <c r="J21" s="44">
        <f>H20*'Paste cell here'!AO21+'Paste cell here'!AF21*'Paste cell here'!AP21</f>
        <v>200.07937920000001</v>
      </c>
      <c r="K21" s="45">
        <f>'Paste cell here'!AG21</f>
        <v>130.9850611</v>
      </c>
      <c r="L21" s="41" t="str">
        <f t="shared" si="2"/>
        <v>NO</v>
      </c>
      <c r="M21" s="1">
        <f>(Sintesi!$C$29*F21*1000)</f>
        <v>22.9209</v>
      </c>
      <c r="N21" s="1">
        <f>Sintesi!$C$30*F21*1000</f>
        <v>8.31</v>
      </c>
      <c r="O21" s="1">
        <f t="shared" si="0"/>
        <v>14.610899999999999</v>
      </c>
      <c r="P21" s="1">
        <f>Sintesi!$C$33*G21*1000</f>
        <v>177.29640000000003</v>
      </c>
      <c r="Q21" s="1">
        <f>Sintesi!$C$34*G21*1000</f>
        <v>81.180000000000007</v>
      </c>
      <c r="R21" s="1">
        <f t="shared" si="1"/>
        <v>96.116400000000027</v>
      </c>
    </row>
    <row r="22" spans="1:18">
      <c r="A22" s="41">
        <v>21</v>
      </c>
      <c r="B22" s="42">
        <f>DATE(Sintesi!$C$4-1,12,31)+A22</f>
        <v>44217</v>
      </c>
      <c r="C22" s="41">
        <f>'Paste cell here'!B22</f>
        <v>11.35560072</v>
      </c>
      <c r="D22" s="41">
        <f>'Paste cell here'!I22</f>
        <v>0</v>
      </c>
      <c r="E22" s="1">
        <f>'Paste cell here'!H22</f>
        <v>0.68579928300000004</v>
      </c>
      <c r="F22" s="1">
        <f>Sintesi!$C$5</f>
        <v>0.1</v>
      </c>
      <c r="G22" s="1">
        <f>'Paste cell here'!AA22</f>
        <v>0.9</v>
      </c>
      <c r="H22" s="43">
        <f>'Paste cell here'!U22</f>
        <v>30.719421260000001</v>
      </c>
      <c r="I22" s="43">
        <f>'Paste cell here'!AE22</f>
        <v>200.48355789999999</v>
      </c>
      <c r="J22" s="44">
        <f>H21*'Paste cell here'!AO22+'Paste cell here'!AF22*'Paste cell here'!AP22</f>
        <v>199.3550381</v>
      </c>
      <c r="K22" s="45">
        <f>'Paste cell here'!AG22</f>
        <v>131.16345039999999</v>
      </c>
      <c r="L22" s="41" t="str">
        <f t="shared" si="2"/>
        <v>NO</v>
      </c>
      <c r="M22" s="1">
        <f>(Sintesi!$C$29*F22*1000)</f>
        <v>22.9209</v>
      </c>
      <c r="N22" s="1">
        <f>Sintesi!$C$30*F22*1000</f>
        <v>8.31</v>
      </c>
      <c r="O22" s="1">
        <f t="shared" si="0"/>
        <v>14.610899999999999</v>
      </c>
      <c r="P22" s="1">
        <f>Sintesi!$C$33*G22*1000</f>
        <v>177.29640000000003</v>
      </c>
      <c r="Q22" s="1">
        <f>Sintesi!$C$34*G22*1000</f>
        <v>81.180000000000007</v>
      </c>
      <c r="R22" s="1">
        <f t="shared" si="1"/>
        <v>96.116400000000027</v>
      </c>
    </row>
    <row r="23" spans="1:18">
      <c r="A23" s="41">
        <v>22</v>
      </c>
      <c r="B23" s="42">
        <f>DATE(Sintesi!$C$4-1,12,31)+A23</f>
        <v>44218</v>
      </c>
      <c r="C23" s="41">
        <f>'Paste cell here'!B23</f>
        <v>22.29129709</v>
      </c>
      <c r="D23" s="41">
        <f>'Paste cell here'!I23</f>
        <v>0</v>
      </c>
      <c r="E23" s="1">
        <f>'Paste cell here'!H23</f>
        <v>0.68366461599999995</v>
      </c>
      <c r="F23" s="1">
        <f>Sintesi!$C$5</f>
        <v>0.1</v>
      </c>
      <c r="G23" s="1">
        <f>'Paste cell here'!AA23</f>
        <v>0.9</v>
      </c>
      <c r="H23" s="43">
        <f>'Paste cell here'!U23</f>
        <v>33.671279370000001</v>
      </c>
      <c r="I23" s="43">
        <f>'Paste cell here'!AE23</f>
        <v>210.17127669999999</v>
      </c>
      <c r="J23" s="44">
        <f>H22*'Paste cell here'!AO23+'Paste cell here'!AF23*'Paste cell here'!AP23</f>
        <v>200.48355789999999</v>
      </c>
      <c r="K23" s="45">
        <f>'Paste cell here'!AG23</f>
        <v>131.30704700000001</v>
      </c>
      <c r="L23" s="41" t="str">
        <f t="shared" si="2"/>
        <v>NO</v>
      </c>
      <c r="M23" s="1">
        <f>(Sintesi!$C$29*F23*1000)</f>
        <v>22.9209</v>
      </c>
      <c r="N23" s="1">
        <f>Sintesi!$C$30*F23*1000</f>
        <v>8.31</v>
      </c>
      <c r="O23" s="1">
        <f t="shared" si="0"/>
        <v>14.610899999999999</v>
      </c>
      <c r="P23" s="1">
        <f>Sintesi!$C$33*G23*1000</f>
        <v>177.29640000000003</v>
      </c>
      <c r="Q23" s="1">
        <f>Sintesi!$C$34*G23*1000</f>
        <v>81.180000000000007</v>
      </c>
      <c r="R23" s="1">
        <f t="shared" si="1"/>
        <v>96.116400000000027</v>
      </c>
    </row>
    <row r="24" spans="1:18">
      <c r="A24" s="41">
        <v>23</v>
      </c>
      <c r="B24" s="42">
        <f>DATE(Sintesi!$C$4-1,12,31)+A24</f>
        <v>44219</v>
      </c>
      <c r="C24" s="41">
        <f>'Paste cell here'!B24</f>
        <v>14.612226359999999</v>
      </c>
      <c r="D24" s="41">
        <f>'Paste cell here'!I24</f>
        <v>0</v>
      </c>
      <c r="E24" s="1">
        <f>'Paste cell here'!H24</f>
        <v>0.68390504399999996</v>
      </c>
      <c r="F24" s="1">
        <f>Sintesi!$C$5</f>
        <v>0.1</v>
      </c>
      <c r="G24" s="1">
        <f>'Paste cell here'!AA24</f>
        <v>0.9</v>
      </c>
      <c r="H24" s="43">
        <f>'Paste cell here'!U24</f>
        <v>32.92307108</v>
      </c>
      <c r="I24" s="43">
        <f>'Paste cell here'!AE24</f>
        <v>219.3970764</v>
      </c>
      <c r="J24" s="44">
        <f>H23*'Paste cell here'!AO24+'Paste cell here'!AF24*'Paste cell here'!AP24</f>
        <v>210.17127669999999</v>
      </c>
      <c r="K24" s="45">
        <f>'Paste cell here'!AG24</f>
        <v>131.2908736</v>
      </c>
      <c r="L24" s="41" t="str">
        <f t="shared" si="2"/>
        <v>NO</v>
      </c>
      <c r="M24" s="1">
        <f>(Sintesi!$C$29*F24*1000)</f>
        <v>22.9209</v>
      </c>
      <c r="N24" s="1">
        <f>Sintesi!$C$30*F24*1000</f>
        <v>8.31</v>
      </c>
      <c r="O24" s="1">
        <f t="shared" si="0"/>
        <v>14.610899999999999</v>
      </c>
      <c r="P24" s="1">
        <f>Sintesi!$C$33*G24*1000</f>
        <v>177.29640000000003</v>
      </c>
      <c r="Q24" s="1">
        <f>Sintesi!$C$34*G24*1000</f>
        <v>81.180000000000007</v>
      </c>
      <c r="R24" s="1">
        <f t="shared" si="1"/>
        <v>96.116400000000027</v>
      </c>
    </row>
    <row r="25" spans="1:18">
      <c r="A25" s="41">
        <v>24</v>
      </c>
      <c r="B25" s="42">
        <f>DATE(Sintesi!$C$4-1,12,31)+A25</f>
        <v>44220</v>
      </c>
      <c r="C25" s="41">
        <f>'Paste cell here'!B25</f>
        <v>0</v>
      </c>
      <c r="D25" s="41">
        <f>'Paste cell here'!I25</f>
        <v>0</v>
      </c>
      <c r="E25" s="1">
        <f>'Paste cell here'!H25</f>
        <v>0.67449899099999999</v>
      </c>
      <c r="F25" s="1">
        <f>Sintesi!$C$5</f>
        <v>0.1</v>
      </c>
      <c r="G25" s="1">
        <f>'Paste cell here'!AA25</f>
        <v>0.9</v>
      </c>
      <c r="H25" s="43">
        <f>'Paste cell here'!U25</f>
        <v>27.748201999999999</v>
      </c>
      <c r="I25" s="43">
        <f>'Paste cell here'!AE25</f>
        <v>220.79090020000001</v>
      </c>
      <c r="J25" s="44">
        <f>H24*'Paste cell here'!AO25+'Paste cell here'!AF25*'Paste cell here'!AP25</f>
        <v>219.3970764</v>
      </c>
      <c r="K25" s="45">
        <f>'Paste cell here'!AG25</f>
        <v>131.92360830000001</v>
      </c>
      <c r="L25" s="41" t="str">
        <f t="shared" si="2"/>
        <v>NO</v>
      </c>
      <c r="M25" s="1">
        <f>(Sintesi!$C$29*F25*1000)</f>
        <v>22.9209</v>
      </c>
      <c r="N25" s="1">
        <f>Sintesi!$C$30*F25*1000</f>
        <v>8.31</v>
      </c>
      <c r="O25" s="1">
        <f t="shared" si="0"/>
        <v>14.610899999999999</v>
      </c>
      <c r="P25" s="1">
        <f>Sintesi!$C$33*G25*1000</f>
        <v>177.29640000000003</v>
      </c>
      <c r="Q25" s="1">
        <f>Sintesi!$C$34*G25*1000</f>
        <v>81.180000000000007</v>
      </c>
      <c r="R25" s="1">
        <f t="shared" si="1"/>
        <v>96.116400000000027</v>
      </c>
    </row>
    <row r="26" spans="1:18">
      <c r="A26" s="41">
        <v>25</v>
      </c>
      <c r="B26" s="42">
        <f>DATE(Sintesi!$C$4-1,12,31)+A26</f>
        <v>44221</v>
      </c>
      <c r="C26" s="41">
        <f>'Paste cell here'!B26</f>
        <v>0</v>
      </c>
      <c r="D26" s="41">
        <f>'Paste cell here'!I26</f>
        <v>0</v>
      </c>
      <c r="E26" s="1">
        <f>'Paste cell here'!H26</f>
        <v>0.65732720600000005</v>
      </c>
      <c r="F26" s="1">
        <f>Sintesi!$C$5</f>
        <v>0.1</v>
      </c>
      <c r="G26" s="1">
        <f>'Paste cell here'!AA26</f>
        <v>0.9</v>
      </c>
      <c r="H26" s="43">
        <f>'Paste cell here'!U26</f>
        <v>25.670892479999999</v>
      </c>
      <c r="I26" s="43">
        <f>'Paste cell here'!AE26</f>
        <v>219.28730100000001</v>
      </c>
      <c r="J26" s="44">
        <f>H25*'Paste cell here'!AO26+'Paste cell here'!AF26*'Paste cell here'!AP26</f>
        <v>220.79090020000001</v>
      </c>
      <c r="K26" s="45">
        <f>'Paste cell here'!AG26</f>
        <v>133.07873509999999</v>
      </c>
      <c r="L26" s="41" t="str">
        <f t="shared" si="2"/>
        <v>NO</v>
      </c>
      <c r="M26" s="1">
        <f>(Sintesi!$C$29*F26*1000)</f>
        <v>22.9209</v>
      </c>
      <c r="N26" s="1">
        <f>Sintesi!$C$30*F26*1000</f>
        <v>8.31</v>
      </c>
      <c r="O26" s="1">
        <f t="shared" si="0"/>
        <v>14.610899999999999</v>
      </c>
      <c r="P26" s="1">
        <f>Sintesi!$C$33*G26*1000</f>
        <v>177.29640000000003</v>
      </c>
      <c r="Q26" s="1">
        <f>Sintesi!$C$34*G26*1000</f>
        <v>81.180000000000007</v>
      </c>
      <c r="R26" s="1">
        <f t="shared" si="1"/>
        <v>96.116400000000027</v>
      </c>
    </row>
    <row r="27" spans="1:18">
      <c r="A27" s="41">
        <v>26</v>
      </c>
      <c r="B27" s="42">
        <f>DATE(Sintesi!$C$4-1,12,31)+A27</f>
        <v>44222</v>
      </c>
      <c r="C27" s="41">
        <f>'Paste cell here'!B27</f>
        <v>0</v>
      </c>
      <c r="D27" s="41">
        <f>'Paste cell here'!I27</f>
        <v>0</v>
      </c>
      <c r="E27" s="1">
        <f>'Paste cell here'!H27</f>
        <v>0.661813867</v>
      </c>
      <c r="F27" s="1">
        <f>Sintesi!$C$5</f>
        <v>0.1</v>
      </c>
      <c r="G27" s="1">
        <f>'Paste cell here'!AA27</f>
        <v>0.9</v>
      </c>
      <c r="H27" s="43">
        <f>'Paste cell here'!U27</f>
        <v>23.219484229999999</v>
      </c>
      <c r="I27" s="43">
        <f>'Paste cell here'!AE27</f>
        <v>217.3400675</v>
      </c>
      <c r="J27" s="44">
        <f>H26*'Paste cell here'!AO27+'Paste cell here'!AF27*'Paste cell here'!AP27</f>
        <v>219.28730100000001</v>
      </c>
      <c r="K27" s="45">
        <f>'Paste cell here'!AG27</f>
        <v>132.77692239999999</v>
      </c>
      <c r="L27" s="41" t="str">
        <f t="shared" si="2"/>
        <v>NO</v>
      </c>
      <c r="M27" s="1">
        <f>(Sintesi!$C$29*F27*1000)</f>
        <v>22.9209</v>
      </c>
      <c r="N27" s="1">
        <f>Sintesi!$C$30*F27*1000</f>
        <v>8.31</v>
      </c>
      <c r="O27" s="1">
        <f t="shared" si="0"/>
        <v>14.610899999999999</v>
      </c>
      <c r="P27" s="1">
        <f>Sintesi!$C$33*G27*1000</f>
        <v>177.29640000000003</v>
      </c>
      <c r="Q27" s="1">
        <f>Sintesi!$C$34*G27*1000</f>
        <v>81.180000000000007</v>
      </c>
      <c r="R27" s="1">
        <f t="shared" si="1"/>
        <v>96.116400000000027</v>
      </c>
    </row>
    <row r="28" spans="1:18">
      <c r="A28" s="41">
        <v>27</v>
      </c>
      <c r="B28" s="42">
        <f>DATE(Sintesi!$C$4-1,12,31)+A28</f>
        <v>44223</v>
      </c>
      <c r="C28" s="41">
        <f>'Paste cell here'!B28</f>
        <v>0</v>
      </c>
      <c r="D28" s="41">
        <f>'Paste cell here'!I28</f>
        <v>0</v>
      </c>
      <c r="E28" s="1">
        <f>'Paste cell here'!H28</f>
        <v>0.61986292799999998</v>
      </c>
      <c r="F28" s="1">
        <f>Sintesi!$C$5</f>
        <v>0.1</v>
      </c>
      <c r="G28" s="1">
        <f>'Paste cell here'!AA28</f>
        <v>0.9</v>
      </c>
      <c r="H28" s="43">
        <f>'Paste cell here'!U28</f>
        <v>22.198373610000001</v>
      </c>
      <c r="I28" s="43">
        <f>'Paste cell here'!AE28</f>
        <v>215.36613080000001</v>
      </c>
      <c r="J28" s="44">
        <f>H27*'Paste cell here'!AO28+'Paste cell here'!AF28*'Paste cell here'!AP28</f>
        <v>217.3400675</v>
      </c>
      <c r="K28" s="45">
        <f>'Paste cell here'!AG28</f>
        <v>135.5989151</v>
      </c>
      <c r="L28" s="41" t="str">
        <f t="shared" si="2"/>
        <v>NO</v>
      </c>
      <c r="M28" s="1">
        <f>(Sintesi!$C$29*F28*1000)</f>
        <v>22.9209</v>
      </c>
      <c r="N28" s="1">
        <f>Sintesi!$C$30*F28*1000</f>
        <v>8.31</v>
      </c>
      <c r="O28" s="1">
        <f t="shared" si="0"/>
        <v>14.610899999999999</v>
      </c>
      <c r="P28" s="1">
        <f>Sintesi!$C$33*G28*1000</f>
        <v>177.29640000000003</v>
      </c>
      <c r="Q28" s="1">
        <f>Sintesi!$C$34*G28*1000</f>
        <v>81.180000000000007</v>
      </c>
      <c r="R28" s="1">
        <f t="shared" si="1"/>
        <v>96.116400000000027</v>
      </c>
    </row>
    <row r="29" spans="1:18">
      <c r="A29" s="41">
        <v>28</v>
      </c>
      <c r="B29" s="42">
        <f>DATE(Sintesi!$C$4-1,12,31)+A29</f>
        <v>44224</v>
      </c>
      <c r="C29" s="41">
        <f>'Paste cell here'!B29</f>
        <v>0</v>
      </c>
      <c r="D29" s="41">
        <f>'Paste cell here'!I29</f>
        <v>0</v>
      </c>
      <c r="E29" s="1">
        <f>'Paste cell here'!H29</f>
        <v>0.66647230000000002</v>
      </c>
      <c r="F29" s="1">
        <f>Sintesi!$C$5</f>
        <v>0.1</v>
      </c>
      <c r="G29" s="1">
        <f>'Paste cell here'!AA29</f>
        <v>0.9</v>
      </c>
      <c r="H29" s="43">
        <f>'Paste cell here'!U29</f>
        <v>21.474387799999999</v>
      </c>
      <c r="I29" s="43">
        <f>'Paste cell here'!AE29</f>
        <v>213.5329629</v>
      </c>
      <c r="J29" s="44">
        <f>H28*'Paste cell here'!AO29+'Paste cell here'!AF29*'Paste cell here'!AP29</f>
        <v>215.36613080000001</v>
      </c>
      <c r="K29" s="45">
        <f>'Paste cell here'!AG29</f>
        <v>132.4635548</v>
      </c>
      <c r="L29" s="41" t="str">
        <f t="shared" si="2"/>
        <v>NO</v>
      </c>
      <c r="M29" s="1">
        <f>(Sintesi!$C$29*F29*1000)</f>
        <v>22.9209</v>
      </c>
      <c r="N29" s="1">
        <f>Sintesi!$C$30*F29*1000</f>
        <v>8.31</v>
      </c>
      <c r="O29" s="1">
        <f t="shared" si="0"/>
        <v>14.610899999999999</v>
      </c>
      <c r="P29" s="1">
        <f>Sintesi!$C$33*G29*1000</f>
        <v>177.29640000000003</v>
      </c>
      <c r="Q29" s="1">
        <f>Sintesi!$C$34*G29*1000</f>
        <v>81.180000000000007</v>
      </c>
      <c r="R29" s="1">
        <f t="shared" si="1"/>
        <v>96.116400000000027</v>
      </c>
    </row>
    <row r="30" spans="1:18">
      <c r="A30" s="41">
        <v>29</v>
      </c>
      <c r="B30" s="42">
        <f>DATE(Sintesi!$C$4-1,12,31)+A30</f>
        <v>44225</v>
      </c>
      <c r="C30" s="41">
        <f>'Paste cell here'!B30</f>
        <v>0</v>
      </c>
      <c r="D30" s="41">
        <f>'Paste cell here'!I30</f>
        <v>0</v>
      </c>
      <c r="E30" s="1">
        <f>'Paste cell here'!H30</f>
        <v>0.67566981000000004</v>
      </c>
      <c r="F30" s="1">
        <f>Sintesi!$C$5</f>
        <v>0.1</v>
      </c>
      <c r="G30" s="1">
        <f>'Paste cell here'!AA30</f>
        <v>0.9</v>
      </c>
      <c r="H30" s="43">
        <f>'Paste cell here'!U30</f>
        <v>20.774787150000002</v>
      </c>
      <c r="I30" s="43">
        <f>'Paste cell here'!AE30</f>
        <v>211.83962650000001</v>
      </c>
      <c r="J30" s="44">
        <f>H29*'Paste cell here'!AO30+'Paste cell here'!AF30*'Paste cell here'!AP30</f>
        <v>213.5329629</v>
      </c>
      <c r="K30" s="45">
        <f>'Paste cell here'!AG30</f>
        <v>131.84484860000001</v>
      </c>
      <c r="L30" s="41" t="str">
        <f t="shared" si="2"/>
        <v>NO</v>
      </c>
      <c r="M30" s="1">
        <f>(Sintesi!$C$29*F30*1000)</f>
        <v>22.9209</v>
      </c>
      <c r="N30" s="1">
        <f>Sintesi!$C$30*F30*1000</f>
        <v>8.31</v>
      </c>
      <c r="O30" s="1">
        <f t="shared" si="0"/>
        <v>14.610899999999999</v>
      </c>
      <c r="P30" s="1">
        <f>Sintesi!$C$33*G30*1000</f>
        <v>177.29640000000003</v>
      </c>
      <c r="Q30" s="1">
        <f>Sintesi!$C$34*G30*1000</f>
        <v>81.180000000000007</v>
      </c>
      <c r="R30" s="1">
        <f t="shared" si="1"/>
        <v>96.116400000000027</v>
      </c>
    </row>
    <row r="31" spans="1:18">
      <c r="A31" s="41">
        <v>30</v>
      </c>
      <c r="B31" s="42">
        <f>DATE(Sintesi!$C$4-1,12,31)+A31</f>
        <v>44226</v>
      </c>
      <c r="C31" s="41">
        <f>'Paste cell here'!B31</f>
        <v>1.7677414840000001</v>
      </c>
      <c r="D31" s="41">
        <f>'Paste cell here'!I31</f>
        <v>0</v>
      </c>
      <c r="E31" s="1">
        <f>'Paste cell here'!H31</f>
        <v>0.67516299599999996</v>
      </c>
      <c r="F31" s="1">
        <f>Sintesi!$C$5</f>
        <v>0.1</v>
      </c>
      <c r="G31" s="1">
        <f>'Paste cell here'!AA31</f>
        <v>0.9</v>
      </c>
      <c r="H31" s="43">
        <f>'Paste cell here'!U31</f>
        <v>21.578893690000001</v>
      </c>
      <c r="I31" s="43">
        <f>'Paste cell here'!AE31</f>
        <v>210.2975447</v>
      </c>
      <c r="J31" s="44">
        <f>H30*'Paste cell here'!AO31+'Paste cell here'!AF31*'Paste cell here'!AP31</f>
        <v>211.83962650000001</v>
      </c>
      <c r="K31" s="45">
        <f>'Paste cell here'!AG31</f>
        <v>131.8789414</v>
      </c>
      <c r="L31" s="41" t="str">
        <f t="shared" si="2"/>
        <v>NO</v>
      </c>
      <c r="M31" s="1">
        <f>(Sintesi!$C$29*F31*1000)</f>
        <v>22.9209</v>
      </c>
      <c r="N31" s="1">
        <f>Sintesi!$C$30*F31*1000</f>
        <v>8.31</v>
      </c>
      <c r="O31" s="1">
        <f t="shared" si="0"/>
        <v>14.610899999999999</v>
      </c>
      <c r="P31" s="1">
        <f>Sintesi!$C$33*G31*1000</f>
        <v>177.29640000000003</v>
      </c>
      <c r="Q31" s="1">
        <f>Sintesi!$C$34*G31*1000</f>
        <v>81.180000000000007</v>
      </c>
      <c r="R31" s="1">
        <f t="shared" si="1"/>
        <v>96.116400000000027</v>
      </c>
    </row>
    <row r="32" spans="1:18">
      <c r="A32" s="41">
        <v>31</v>
      </c>
      <c r="B32" s="42">
        <f>DATE(Sintesi!$C$4-1,12,31)+A32</f>
        <v>44227</v>
      </c>
      <c r="C32" s="41">
        <f>'Paste cell here'!B32</f>
        <v>4.5454105550000001</v>
      </c>
      <c r="D32" s="41">
        <f>'Paste cell here'!I32</f>
        <v>0</v>
      </c>
      <c r="E32" s="1">
        <f>'Paste cell here'!H32</f>
        <v>0.66464990700000004</v>
      </c>
      <c r="F32" s="1">
        <f>Sintesi!$C$5</f>
        <v>0.1</v>
      </c>
      <c r="G32" s="1">
        <f>'Paste cell here'!AA32</f>
        <v>0.9</v>
      </c>
      <c r="H32" s="43">
        <f>'Paste cell here'!U32</f>
        <v>25.014775159999999</v>
      </c>
      <c r="I32" s="43">
        <f>'Paste cell here'!AE32</f>
        <v>209.06326780000001</v>
      </c>
      <c r="J32" s="44">
        <f>H31*'Paste cell here'!AO32+'Paste cell here'!AF32*'Paste cell here'!AP32</f>
        <v>210.2975447</v>
      </c>
      <c r="K32" s="45">
        <f>'Paste cell here'!AG32</f>
        <v>132.5861452</v>
      </c>
      <c r="L32" s="41" t="str">
        <f t="shared" si="2"/>
        <v>NO</v>
      </c>
      <c r="M32" s="1">
        <f>(Sintesi!$C$29*F32*1000)</f>
        <v>22.9209</v>
      </c>
      <c r="N32" s="1">
        <f>Sintesi!$C$30*F32*1000</f>
        <v>8.31</v>
      </c>
      <c r="O32" s="1">
        <f t="shared" si="0"/>
        <v>14.610899999999999</v>
      </c>
      <c r="P32" s="1">
        <f>Sintesi!$C$33*G32*1000</f>
        <v>177.29640000000003</v>
      </c>
      <c r="Q32" s="1">
        <f>Sintesi!$C$34*G32*1000</f>
        <v>81.180000000000007</v>
      </c>
      <c r="R32" s="1">
        <f t="shared" si="1"/>
        <v>96.116400000000027</v>
      </c>
    </row>
    <row r="33" spans="1:18">
      <c r="A33" s="41">
        <v>32</v>
      </c>
      <c r="B33" s="42">
        <f>DATE(Sintesi!$C$4-1,12,31)+A33</f>
        <v>44228</v>
      </c>
      <c r="C33" s="41">
        <f>'Paste cell here'!B33</f>
        <v>0</v>
      </c>
      <c r="D33" s="41">
        <f>'Paste cell here'!I33</f>
        <v>0</v>
      </c>
      <c r="E33" s="1">
        <f>'Paste cell here'!H33</f>
        <v>0.66624545499999999</v>
      </c>
      <c r="F33" s="1">
        <f>Sintesi!$C$5</f>
        <v>0.1</v>
      </c>
      <c r="G33" s="1">
        <f>'Paste cell here'!AA33</f>
        <v>0.9</v>
      </c>
      <c r="H33" s="43">
        <f>'Paste cell here'!U33</f>
        <v>23.896950560000001</v>
      </c>
      <c r="I33" s="43">
        <f>'Paste cell here'!AE33</f>
        <v>208.07095179999999</v>
      </c>
      <c r="J33" s="44">
        <f>H32*'Paste cell here'!AO33+'Paste cell here'!AF33*'Paste cell here'!AP33</f>
        <v>209.06326780000001</v>
      </c>
      <c r="K33" s="45">
        <f>'Paste cell here'!AG33</f>
        <v>132.4788145</v>
      </c>
      <c r="L33" s="41" t="str">
        <f t="shared" si="2"/>
        <v>NO</v>
      </c>
      <c r="M33" s="1">
        <f>(Sintesi!$C$29*F33*1000)</f>
        <v>22.9209</v>
      </c>
      <c r="N33" s="1">
        <f>Sintesi!$C$30*F33*1000</f>
        <v>8.31</v>
      </c>
      <c r="O33" s="1">
        <f t="shared" si="0"/>
        <v>14.610899999999999</v>
      </c>
      <c r="P33" s="1">
        <f>Sintesi!$C$33*G33*1000</f>
        <v>177.29640000000003</v>
      </c>
      <c r="Q33" s="1">
        <f>Sintesi!$C$34*G33*1000</f>
        <v>81.180000000000007</v>
      </c>
      <c r="R33" s="1">
        <f t="shared" si="1"/>
        <v>96.116400000000027</v>
      </c>
    </row>
    <row r="34" spans="1:18">
      <c r="A34" s="41">
        <v>33</v>
      </c>
      <c r="B34" s="42">
        <f>DATE(Sintesi!$C$4-1,12,31)+A34</f>
        <v>44229</v>
      </c>
      <c r="C34" s="41">
        <f>'Paste cell here'!B34</f>
        <v>0</v>
      </c>
      <c r="D34" s="41">
        <f>'Paste cell here'!I34</f>
        <v>0</v>
      </c>
      <c r="E34" s="1">
        <f>'Paste cell here'!H34</f>
        <v>0.67216354599999995</v>
      </c>
      <c r="F34" s="1">
        <f>Sintesi!$C$5</f>
        <v>0.1</v>
      </c>
      <c r="G34" s="1">
        <f>'Paste cell here'!AA34</f>
        <v>0.9</v>
      </c>
      <c r="H34" s="43">
        <f>'Paste cell here'!U34</f>
        <v>23.176155420000001</v>
      </c>
      <c r="I34" s="43">
        <f>'Paste cell here'!AE34</f>
        <v>207.00873910000001</v>
      </c>
      <c r="J34" s="44">
        <f>H33*'Paste cell here'!AO34+'Paste cell here'!AF34*'Paste cell here'!AP34</f>
        <v>208.07095179999999</v>
      </c>
      <c r="K34" s="45">
        <f>'Paste cell here'!AG34</f>
        <v>132.0807111</v>
      </c>
      <c r="L34" s="41" t="str">
        <f t="shared" si="2"/>
        <v>NO</v>
      </c>
      <c r="M34" s="1">
        <f>(Sintesi!$C$29*F34*1000)</f>
        <v>22.9209</v>
      </c>
      <c r="N34" s="1">
        <f>Sintesi!$C$30*F34*1000</f>
        <v>8.31</v>
      </c>
      <c r="O34" s="1">
        <f t="shared" si="0"/>
        <v>14.610899999999999</v>
      </c>
      <c r="P34" s="1">
        <f>Sintesi!$C$33*G34*1000</f>
        <v>177.29640000000003</v>
      </c>
      <c r="Q34" s="1">
        <f>Sintesi!$C$34*G34*1000</f>
        <v>81.180000000000007</v>
      </c>
      <c r="R34" s="1">
        <f t="shared" si="1"/>
        <v>96.116400000000027</v>
      </c>
    </row>
    <row r="35" spans="1:18">
      <c r="A35" s="41">
        <v>34</v>
      </c>
      <c r="B35" s="42">
        <f>DATE(Sintesi!$C$4-1,12,31)+A35</f>
        <v>44230</v>
      </c>
      <c r="C35" s="41">
        <f>'Paste cell here'!B35</f>
        <v>22.313542989999998</v>
      </c>
      <c r="D35" s="41">
        <f>'Paste cell here'!I35</f>
        <v>0</v>
      </c>
      <c r="E35" s="1">
        <f>'Paste cell here'!H35</f>
        <v>0.68205562399999997</v>
      </c>
      <c r="F35" s="1">
        <f>Sintesi!$C$5</f>
        <v>0.1</v>
      </c>
      <c r="G35" s="1">
        <f>'Paste cell here'!AA35</f>
        <v>0.9</v>
      </c>
      <c r="H35" s="43">
        <f>'Paste cell here'!U35</f>
        <v>33.04704959</v>
      </c>
      <c r="I35" s="43">
        <f>'Paste cell here'!AE35</f>
        <v>209.99853039999999</v>
      </c>
      <c r="J35" s="44">
        <f>H34*'Paste cell here'!AO35+'Paste cell here'!AF35*'Paste cell here'!AP35</f>
        <v>207.00873910000001</v>
      </c>
      <c r="K35" s="45">
        <f>'Paste cell here'!AG35</f>
        <v>131.41528210000001</v>
      </c>
      <c r="L35" s="41" t="str">
        <f t="shared" si="2"/>
        <v>NO</v>
      </c>
      <c r="M35" s="1">
        <f>(Sintesi!$C$29*F35*1000)</f>
        <v>22.9209</v>
      </c>
      <c r="N35" s="1">
        <f>Sintesi!$C$30*F35*1000</f>
        <v>8.31</v>
      </c>
      <c r="O35" s="1">
        <f t="shared" si="0"/>
        <v>14.610899999999999</v>
      </c>
      <c r="P35" s="1">
        <f>Sintesi!$C$33*G35*1000</f>
        <v>177.29640000000003</v>
      </c>
      <c r="Q35" s="1">
        <f>Sintesi!$C$34*G35*1000</f>
        <v>81.180000000000007</v>
      </c>
      <c r="R35" s="1">
        <f t="shared" si="1"/>
        <v>96.116400000000027</v>
      </c>
    </row>
    <row r="36" spans="1:18">
      <c r="A36" s="41">
        <v>35</v>
      </c>
      <c r="B36" s="42">
        <f>DATE(Sintesi!$C$4-1,12,31)+A36</f>
        <v>44231</v>
      </c>
      <c r="C36" s="41">
        <f>'Paste cell here'!B36</f>
        <v>1.2048973620000001</v>
      </c>
      <c r="D36" s="41">
        <f>'Paste cell here'!I36</f>
        <v>0</v>
      </c>
      <c r="E36" s="1">
        <f>'Paste cell here'!H36</f>
        <v>0.68103942900000003</v>
      </c>
      <c r="F36" s="1">
        <f>Sintesi!$C$5</f>
        <v>0.1</v>
      </c>
      <c r="G36" s="1">
        <f>'Paste cell here'!AA36</f>
        <v>0.9</v>
      </c>
      <c r="H36" s="43">
        <f>'Paste cell here'!U36</f>
        <v>28.80770283</v>
      </c>
      <c r="I36" s="43">
        <f>'Paste cell here'!AE36</f>
        <v>213.14477969999999</v>
      </c>
      <c r="J36" s="44">
        <f>H35*'Paste cell here'!AO36+'Paste cell here'!AF36*'Paste cell here'!AP36</f>
        <v>209.99853039999999</v>
      </c>
      <c r="K36" s="45">
        <f>'Paste cell here'!AG36</f>
        <v>131.48364040000001</v>
      </c>
      <c r="L36" s="41" t="str">
        <f t="shared" si="2"/>
        <v>NO</v>
      </c>
      <c r="M36" s="1">
        <f>(Sintesi!$C$29*F36*1000)</f>
        <v>22.9209</v>
      </c>
      <c r="N36" s="1">
        <f>Sintesi!$C$30*F36*1000</f>
        <v>8.31</v>
      </c>
      <c r="O36" s="1">
        <f t="shared" si="0"/>
        <v>14.610899999999999</v>
      </c>
      <c r="P36" s="1">
        <f>Sintesi!$C$33*G36*1000</f>
        <v>177.29640000000003</v>
      </c>
      <c r="Q36" s="1">
        <f>Sintesi!$C$34*G36*1000</f>
        <v>81.180000000000007</v>
      </c>
      <c r="R36" s="1">
        <f t="shared" si="1"/>
        <v>96.116400000000027</v>
      </c>
    </row>
    <row r="37" spans="1:18">
      <c r="A37" s="41">
        <v>36</v>
      </c>
      <c r="B37" s="42">
        <f>DATE(Sintesi!$C$4-1,12,31)+A37</f>
        <v>44232</v>
      </c>
      <c r="C37" s="41">
        <f>'Paste cell here'!B37</f>
        <v>9.0899999999999995E-2</v>
      </c>
      <c r="D37" s="41">
        <f>'Paste cell here'!I37</f>
        <v>0</v>
      </c>
      <c r="E37" s="1">
        <f>'Paste cell here'!H37</f>
        <v>0.67712503999999996</v>
      </c>
      <c r="F37" s="1">
        <f>Sintesi!$C$5</f>
        <v>0.1</v>
      </c>
      <c r="G37" s="1">
        <f>'Paste cell here'!AA37</f>
        <v>0.9</v>
      </c>
      <c r="H37" s="43">
        <f>'Paste cell here'!U37</f>
        <v>26.649607809999999</v>
      </c>
      <c r="I37" s="43">
        <f>'Paste cell here'!AE37</f>
        <v>212.98741290000001</v>
      </c>
      <c r="J37" s="44">
        <f>H36*'Paste cell here'!AO37+'Paste cell here'!AF37*'Paste cell here'!AP37</f>
        <v>213.14477969999999</v>
      </c>
      <c r="K37" s="45">
        <f>'Paste cell here'!AG37</f>
        <v>131.74695700000001</v>
      </c>
      <c r="L37" s="41" t="str">
        <f t="shared" si="2"/>
        <v>NO</v>
      </c>
      <c r="M37" s="1">
        <f>(Sintesi!$C$29*F37*1000)</f>
        <v>22.9209</v>
      </c>
      <c r="N37" s="1">
        <f>Sintesi!$C$30*F37*1000</f>
        <v>8.31</v>
      </c>
      <c r="O37" s="1">
        <f t="shared" si="0"/>
        <v>14.610899999999999</v>
      </c>
      <c r="P37" s="1">
        <f>Sintesi!$C$33*G37*1000</f>
        <v>177.29640000000003</v>
      </c>
      <c r="Q37" s="1">
        <f>Sintesi!$C$34*G37*1000</f>
        <v>81.180000000000007</v>
      </c>
      <c r="R37" s="1">
        <f t="shared" si="1"/>
        <v>96.116400000000027</v>
      </c>
    </row>
    <row r="38" spans="1:18">
      <c r="A38" s="41">
        <v>37</v>
      </c>
      <c r="B38" s="42">
        <f>DATE(Sintesi!$C$4-1,12,31)+A38</f>
        <v>44233</v>
      </c>
      <c r="C38" s="41">
        <f>'Paste cell here'!B38</f>
        <v>0</v>
      </c>
      <c r="D38" s="41">
        <f>'Paste cell here'!I38</f>
        <v>0</v>
      </c>
      <c r="E38" s="1">
        <f>'Paste cell here'!H38</f>
        <v>0.67656310099999994</v>
      </c>
      <c r="F38" s="1">
        <f>Sintesi!$C$5</f>
        <v>0.1</v>
      </c>
      <c r="G38" s="1">
        <f>'Paste cell here'!AA38</f>
        <v>0.9</v>
      </c>
      <c r="H38" s="43">
        <f>'Paste cell here'!U38</f>
        <v>25.253750549999999</v>
      </c>
      <c r="I38" s="43">
        <f>'Paste cell here'!AE38</f>
        <v>212.04188930000001</v>
      </c>
      <c r="J38" s="44">
        <f>H37*'Paste cell here'!AO38+'Paste cell here'!AF38*'Paste cell here'!AP38</f>
        <v>212.98741290000001</v>
      </c>
      <c r="K38" s="45">
        <f>'Paste cell here'!AG38</f>
        <v>131.78475800000001</v>
      </c>
      <c r="L38" s="41" t="str">
        <f t="shared" si="2"/>
        <v>NO</v>
      </c>
      <c r="M38" s="1">
        <f>(Sintesi!$C$29*F38*1000)</f>
        <v>22.9209</v>
      </c>
      <c r="N38" s="1">
        <f>Sintesi!$C$30*F38*1000</f>
        <v>8.31</v>
      </c>
      <c r="O38" s="1">
        <f t="shared" si="0"/>
        <v>14.610899999999999</v>
      </c>
      <c r="P38" s="1">
        <f>Sintesi!$C$33*G38*1000</f>
        <v>177.29640000000003</v>
      </c>
      <c r="Q38" s="1">
        <f>Sintesi!$C$34*G38*1000</f>
        <v>81.180000000000007</v>
      </c>
      <c r="R38" s="1">
        <f t="shared" si="1"/>
        <v>96.116400000000027</v>
      </c>
    </row>
    <row r="39" spans="1:18">
      <c r="A39" s="41">
        <v>38</v>
      </c>
      <c r="B39" s="42">
        <f>DATE(Sintesi!$C$4-1,12,31)+A39</f>
        <v>44234</v>
      </c>
      <c r="C39" s="41">
        <f>'Paste cell here'!B39</f>
        <v>33.062226529999997</v>
      </c>
      <c r="D39" s="41">
        <f>'Paste cell here'!I39</f>
        <v>0</v>
      </c>
      <c r="E39" s="1">
        <f>'Paste cell here'!H39</f>
        <v>0.676715179</v>
      </c>
      <c r="F39" s="1">
        <f>Sintesi!$C$5</f>
        <v>0.1</v>
      </c>
      <c r="G39" s="1">
        <f>'Paste cell here'!AA39</f>
        <v>0.9</v>
      </c>
      <c r="H39" s="43">
        <f>'Paste cell here'!U39</f>
        <v>34.099778700000002</v>
      </c>
      <c r="I39" s="43">
        <f>'Paste cell here'!AE39</f>
        <v>217.9747409</v>
      </c>
      <c r="J39" s="44">
        <f>H38*'Paste cell here'!AO39+'Paste cell here'!AF39*'Paste cell here'!AP39</f>
        <v>212.04188930000001</v>
      </c>
      <c r="K39" s="45">
        <f>'Paste cell here'!AG39</f>
        <v>131.77452779999999</v>
      </c>
      <c r="L39" s="41" t="str">
        <f t="shared" si="2"/>
        <v>NO</v>
      </c>
      <c r="M39" s="1">
        <f>(Sintesi!$C$29*F39*1000)</f>
        <v>22.9209</v>
      </c>
      <c r="N39" s="1">
        <f>Sintesi!$C$30*F39*1000</f>
        <v>8.31</v>
      </c>
      <c r="O39" s="1">
        <f t="shared" si="0"/>
        <v>14.610899999999999</v>
      </c>
      <c r="P39" s="1">
        <f>Sintesi!$C$33*G39*1000</f>
        <v>177.29640000000003</v>
      </c>
      <c r="Q39" s="1">
        <f>Sintesi!$C$34*G39*1000</f>
        <v>81.180000000000007</v>
      </c>
      <c r="R39" s="1">
        <f t="shared" si="1"/>
        <v>96.116400000000027</v>
      </c>
    </row>
    <row r="40" spans="1:18">
      <c r="A40" s="41">
        <v>39</v>
      </c>
      <c r="B40" s="42">
        <f>DATE(Sintesi!$C$4-1,12,31)+A40</f>
        <v>44235</v>
      </c>
      <c r="C40" s="41">
        <f>'Paste cell here'!B40</f>
        <v>0.29090438000000002</v>
      </c>
      <c r="D40" s="41">
        <f>'Paste cell here'!I40</f>
        <v>0</v>
      </c>
      <c r="E40" s="1">
        <f>'Paste cell here'!H40</f>
        <v>0.67981883499999995</v>
      </c>
      <c r="F40" s="1">
        <f>Sintesi!$C$5</f>
        <v>0.1</v>
      </c>
      <c r="G40" s="1">
        <f>'Paste cell here'!AA40</f>
        <v>0.9</v>
      </c>
      <c r="H40" s="43">
        <f>'Paste cell here'!U40</f>
        <v>27.91077434</v>
      </c>
      <c r="I40" s="43">
        <f>'Paste cell here'!AE40</f>
        <v>220.3588565</v>
      </c>
      <c r="J40" s="44">
        <f>H39*'Paste cell here'!AO40+'Paste cell here'!AF40*'Paste cell here'!AP40</f>
        <v>217.9747409</v>
      </c>
      <c r="K40" s="45">
        <f>'Paste cell here'!AG40</f>
        <v>131.56574839999999</v>
      </c>
      <c r="L40" s="41" t="str">
        <f t="shared" si="2"/>
        <v>NO</v>
      </c>
      <c r="M40" s="1">
        <f>(Sintesi!$C$29*F40*1000)</f>
        <v>22.9209</v>
      </c>
      <c r="N40" s="1">
        <f>Sintesi!$C$30*F40*1000</f>
        <v>8.31</v>
      </c>
      <c r="O40" s="1">
        <f t="shared" si="0"/>
        <v>14.610899999999999</v>
      </c>
      <c r="P40" s="1">
        <f>Sintesi!$C$33*G40*1000</f>
        <v>177.29640000000003</v>
      </c>
      <c r="Q40" s="1">
        <f>Sintesi!$C$34*G40*1000</f>
        <v>81.180000000000007</v>
      </c>
      <c r="R40" s="1">
        <f t="shared" si="1"/>
        <v>96.116400000000027</v>
      </c>
    </row>
    <row r="41" spans="1:18">
      <c r="A41" s="41">
        <v>40</v>
      </c>
      <c r="B41" s="42">
        <f>DATE(Sintesi!$C$4-1,12,31)+A41</f>
        <v>44236</v>
      </c>
      <c r="C41" s="41">
        <f>'Paste cell here'!B41</f>
        <v>2.7938365869999999</v>
      </c>
      <c r="D41" s="41">
        <f>'Paste cell here'!I41</f>
        <v>0</v>
      </c>
      <c r="E41" s="1">
        <f>'Paste cell here'!H41</f>
        <v>0.64119052499999996</v>
      </c>
      <c r="F41" s="1">
        <f>Sintesi!$C$5</f>
        <v>0.1</v>
      </c>
      <c r="G41" s="1">
        <f>'Paste cell here'!AA41</f>
        <v>0.9</v>
      </c>
      <c r="H41" s="43">
        <f>'Paste cell here'!U41</f>
        <v>28.04744195</v>
      </c>
      <c r="I41" s="43">
        <f>'Paste cell here'!AE41</f>
        <v>219.61112220000001</v>
      </c>
      <c r="J41" s="44">
        <f>H40*'Paste cell here'!AO41+'Paste cell here'!AF41*'Paste cell here'!AP41</f>
        <v>220.3588565</v>
      </c>
      <c r="K41" s="45">
        <f>'Paste cell here'!AG41</f>
        <v>134.1642315</v>
      </c>
      <c r="L41" s="41" t="str">
        <f t="shared" si="2"/>
        <v>NO</v>
      </c>
      <c r="M41" s="1">
        <f>(Sintesi!$C$29*F41*1000)</f>
        <v>22.9209</v>
      </c>
      <c r="N41" s="1">
        <f>Sintesi!$C$30*F41*1000</f>
        <v>8.31</v>
      </c>
      <c r="O41" s="1">
        <f t="shared" si="0"/>
        <v>14.610899999999999</v>
      </c>
      <c r="P41" s="1">
        <f>Sintesi!$C$33*G41*1000</f>
        <v>177.29640000000003</v>
      </c>
      <c r="Q41" s="1">
        <f>Sintesi!$C$34*G41*1000</f>
        <v>81.180000000000007</v>
      </c>
      <c r="R41" s="1">
        <f t="shared" si="1"/>
        <v>96.116400000000027</v>
      </c>
    </row>
    <row r="42" spans="1:18">
      <c r="A42" s="41">
        <v>41</v>
      </c>
      <c r="B42" s="42">
        <f>DATE(Sintesi!$C$4-1,12,31)+A42</f>
        <v>44237</v>
      </c>
      <c r="C42" s="41">
        <f>'Paste cell here'!B42</f>
        <v>14.38476088</v>
      </c>
      <c r="D42" s="41">
        <f>'Paste cell here'!I42</f>
        <v>0</v>
      </c>
      <c r="E42" s="1">
        <f>'Paste cell here'!H42</f>
        <v>0.66814899900000002</v>
      </c>
      <c r="F42" s="1">
        <f>Sintesi!$C$5</f>
        <v>0.1</v>
      </c>
      <c r="G42" s="1">
        <f>'Paste cell here'!AA42</f>
        <v>0.9</v>
      </c>
      <c r="H42" s="43">
        <f>'Paste cell here'!U42</f>
        <v>32.623591329999996</v>
      </c>
      <c r="I42" s="43">
        <f>'Paste cell here'!AE42</f>
        <v>223.0545138</v>
      </c>
      <c r="J42" s="44">
        <f>H41*'Paste cell here'!AO42+'Paste cell here'!AF42*'Paste cell here'!AP42</f>
        <v>219.61112220000001</v>
      </c>
      <c r="K42" s="45">
        <f>'Paste cell here'!AG42</f>
        <v>132.35076520000001</v>
      </c>
      <c r="L42" s="41" t="str">
        <f t="shared" si="2"/>
        <v>NO</v>
      </c>
      <c r="M42" s="1">
        <f>(Sintesi!$C$29*F42*1000)</f>
        <v>22.9209</v>
      </c>
      <c r="N42" s="1">
        <f>Sintesi!$C$30*F42*1000</f>
        <v>8.31</v>
      </c>
      <c r="O42" s="1">
        <f t="shared" si="0"/>
        <v>14.610899999999999</v>
      </c>
      <c r="P42" s="1">
        <f>Sintesi!$C$33*G42*1000</f>
        <v>177.29640000000003</v>
      </c>
      <c r="Q42" s="1">
        <f>Sintesi!$C$34*G42*1000</f>
        <v>81.180000000000007</v>
      </c>
      <c r="R42" s="1">
        <f t="shared" si="1"/>
        <v>96.116400000000027</v>
      </c>
    </row>
    <row r="43" spans="1:18">
      <c r="A43" s="41">
        <v>42</v>
      </c>
      <c r="B43" s="42">
        <f>DATE(Sintesi!$C$4-1,12,31)+A43</f>
        <v>44238</v>
      </c>
      <c r="C43" s="41">
        <f>'Paste cell here'!B43</f>
        <v>0.35261719800000002</v>
      </c>
      <c r="D43" s="41">
        <f>'Paste cell here'!I43</f>
        <v>0</v>
      </c>
      <c r="E43" s="1">
        <f>'Paste cell here'!H43</f>
        <v>0.67928222500000002</v>
      </c>
      <c r="F43" s="1">
        <f>Sintesi!$C$5</f>
        <v>0.1</v>
      </c>
      <c r="G43" s="1">
        <f>'Paste cell here'!AA43</f>
        <v>0.9</v>
      </c>
      <c r="H43" s="43">
        <f>'Paste cell here'!U43</f>
        <v>27.781483850000001</v>
      </c>
      <c r="I43" s="43">
        <f>'Paste cell here'!AE43</f>
        <v>223.79049409999999</v>
      </c>
      <c r="J43" s="44">
        <f>H42*'Paste cell here'!AO43+'Paste cell here'!AF43*'Paste cell here'!AP43</f>
        <v>223.0545138</v>
      </c>
      <c r="K43" s="45">
        <f>'Paste cell here'!AG43</f>
        <v>131.6018455</v>
      </c>
      <c r="L43" s="41" t="str">
        <f t="shared" si="2"/>
        <v>NO</v>
      </c>
      <c r="M43" s="1">
        <f>(Sintesi!$C$29*F43*1000)</f>
        <v>22.9209</v>
      </c>
      <c r="N43" s="1">
        <f>Sintesi!$C$30*F43*1000</f>
        <v>8.31</v>
      </c>
      <c r="O43" s="1">
        <f t="shared" si="0"/>
        <v>14.610899999999999</v>
      </c>
      <c r="P43" s="1">
        <f>Sintesi!$C$33*G43*1000</f>
        <v>177.29640000000003</v>
      </c>
      <c r="Q43" s="1">
        <f>Sintesi!$C$34*G43*1000</f>
        <v>81.180000000000007</v>
      </c>
      <c r="R43" s="1">
        <f t="shared" si="1"/>
        <v>96.116400000000027</v>
      </c>
    </row>
    <row r="44" spans="1:18">
      <c r="A44" s="41">
        <v>43</v>
      </c>
      <c r="B44" s="42">
        <f>DATE(Sintesi!$C$4-1,12,31)+A44</f>
        <v>44239</v>
      </c>
      <c r="C44" s="41">
        <f>'Paste cell here'!B44</f>
        <v>0</v>
      </c>
      <c r="D44" s="41">
        <f>'Paste cell here'!I44</f>
        <v>0</v>
      </c>
      <c r="E44" s="1">
        <f>'Paste cell here'!H44</f>
        <v>0.64994886699999999</v>
      </c>
      <c r="F44" s="1">
        <f>Sintesi!$C$5</f>
        <v>0.1</v>
      </c>
      <c r="G44" s="1">
        <f>'Paste cell here'!AA44</f>
        <v>0.9</v>
      </c>
      <c r="H44" s="43">
        <f>'Paste cell here'!U44</f>
        <v>25.406663009999999</v>
      </c>
      <c r="I44" s="43">
        <f>'Paste cell here'!AE44</f>
        <v>221.84503889999999</v>
      </c>
      <c r="J44" s="44">
        <f>H43*'Paste cell here'!AO44+'Paste cell here'!AF44*'Paste cell here'!AP44</f>
        <v>223.79049409999999</v>
      </c>
      <c r="K44" s="45">
        <f>'Paste cell here'!AG44</f>
        <v>133.57506760000001</v>
      </c>
      <c r="L44" s="41" t="str">
        <f t="shared" si="2"/>
        <v>NO</v>
      </c>
      <c r="M44" s="1">
        <f>(Sintesi!$C$29*F44*1000)</f>
        <v>22.9209</v>
      </c>
      <c r="N44" s="1">
        <f>Sintesi!$C$30*F44*1000</f>
        <v>8.31</v>
      </c>
      <c r="O44" s="1">
        <f t="shared" si="0"/>
        <v>14.610899999999999</v>
      </c>
      <c r="P44" s="1">
        <f>Sintesi!$C$33*G44*1000</f>
        <v>177.29640000000003</v>
      </c>
      <c r="Q44" s="1">
        <f>Sintesi!$C$34*G44*1000</f>
        <v>81.180000000000007</v>
      </c>
      <c r="R44" s="1">
        <f t="shared" si="1"/>
        <v>96.116400000000027</v>
      </c>
    </row>
    <row r="45" spans="1:18">
      <c r="A45" s="41">
        <v>44</v>
      </c>
      <c r="B45" s="42">
        <f>DATE(Sintesi!$C$4-1,12,31)+A45</f>
        <v>44240</v>
      </c>
      <c r="C45" s="41">
        <f>'Paste cell here'!B45</f>
        <v>0</v>
      </c>
      <c r="D45" s="41">
        <f>'Paste cell here'!I45</f>
        <v>0</v>
      </c>
      <c r="E45" s="1">
        <f>'Paste cell here'!H45</f>
        <v>0.64832948000000001</v>
      </c>
      <c r="F45" s="1">
        <f>Sintesi!$C$5</f>
        <v>0.1</v>
      </c>
      <c r="G45" s="1">
        <f>'Paste cell here'!AA45</f>
        <v>0.9</v>
      </c>
      <c r="H45" s="43">
        <f>'Paste cell here'!U45</f>
        <v>23.874924650000001</v>
      </c>
      <c r="I45" s="43">
        <f>'Paste cell here'!AE45</f>
        <v>219.59896620000001</v>
      </c>
      <c r="J45" s="44">
        <f>H44*'Paste cell here'!AO45+'Paste cell here'!AF45*'Paste cell here'!AP45</f>
        <v>221.84503889999999</v>
      </c>
      <c r="K45" s="45">
        <f>'Paste cell here'!AG45</f>
        <v>133.68400199999999</v>
      </c>
      <c r="L45" s="41" t="str">
        <f t="shared" si="2"/>
        <v>NO</v>
      </c>
      <c r="M45" s="1">
        <f>(Sintesi!$C$29*F45*1000)</f>
        <v>22.9209</v>
      </c>
      <c r="N45" s="1">
        <f>Sintesi!$C$30*F45*1000</f>
        <v>8.31</v>
      </c>
      <c r="O45" s="1">
        <f t="shared" si="0"/>
        <v>14.610899999999999</v>
      </c>
      <c r="P45" s="1">
        <f>Sintesi!$C$33*G45*1000</f>
        <v>177.29640000000003</v>
      </c>
      <c r="Q45" s="1">
        <f>Sintesi!$C$34*G45*1000</f>
        <v>81.180000000000007</v>
      </c>
      <c r="R45" s="1">
        <f t="shared" si="1"/>
        <v>96.116400000000027</v>
      </c>
    </row>
    <row r="46" spans="1:18">
      <c r="A46" s="41">
        <v>45</v>
      </c>
      <c r="B46" s="42">
        <f>DATE(Sintesi!$C$4-1,12,31)+A46</f>
        <v>44241</v>
      </c>
      <c r="C46" s="41">
        <f>'Paste cell here'!B46</f>
        <v>0</v>
      </c>
      <c r="D46" s="41">
        <f>'Paste cell here'!I46</f>
        <v>0</v>
      </c>
      <c r="E46" s="1">
        <f>'Paste cell here'!H46</f>
        <v>0.65730615599999997</v>
      </c>
      <c r="F46" s="1">
        <f>Sintesi!$C$5</f>
        <v>0.1</v>
      </c>
      <c r="G46" s="1">
        <f>'Paste cell here'!AA46</f>
        <v>0.9</v>
      </c>
      <c r="H46" s="43">
        <f>'Paste cell here'!U46</f>
        <v>22.4388088</v>
      </c>
      <c r="I46" s="43">
        <f>'Paste cell here'!AE46</f>
        <v>217.41659709999999</v>
      </c>
      <c r="J46" s="44">
        <f>H45*'Paste cell here'!AO46+'Paste cell here'!AF46*'Paste cell here'!AP46</f>
        <v>219.59896620000001</v>
      </c>
      <c r="K46" s="45">
        <f>'Paste cell here'!AG46</f>
        <v>133.080151</v>
      </c>
      <c r="L46" s="41" t="str">
        <f t="shared" si="2"/>
        <v>NO</v>
      </c>
      <c r="M46" s="1">
        <f>(Sintesi!$C$29*F46*1000)</f>
        <v>22.9209</v>
      </c>
      <c r="N46" s="1">
        <f>Sintesi!$C$30*F46*1000</f>
        <v>8.31</v>
      </c>
      <c r="O46" s="1">
        <f t="shared" si="0"/>
        <v>14.610899999999999</v>
      </c>
      <c r="P46" s="1">
        <f>Sintesi!$C$33*G46*1000</f>
        <v>177.29640000000003</v>
      </c>
      <c r="Q46" s="1">
        <f>Sintesi!$C$34*G46*1000</f>
        <v>81.180000000000007</v>
      </c>
      <c r="R46" s="1">
        <f t="shared" si="1"/>
        <v>96.116400000000027</v>
      </c>
    </row>
    <row r="47" spans="1:18">
      <c r="A47" s="41">
        <v>46</v>
      </c>
      <c r="B47" s="42">
        <f>DATE(Sintesi!$C$4-1,12,31)+A47</f>
        <v>44242</v>
      </c>
      <c r="C47" s="41">
        <f>'Paste cell here'!B47</f>
        <v>0</v>
      </c>
      <c r="D47" s="41">
        <f>'Paste cell here'!I47</f>
        <v>0</v>
      </c>
      <c r="E47" s="1">
        <f>'Paste cell here'!H47</f>
        <v>0.65184221799999997</v>
      </c>
      <c r="F47" s="1">
        <f>Sintesi!$C$5</f>
        <v>0.1</v>
      </c>
      <c r="G47" s="1">
        <f>'Paste cell here'!AA47</f>
        <v>0.9</v>
      </c>
      <c r="H47" s="43">
        <f>'Paste cell here'!U47</f>
        <v>21.193065910000001</v>
      </c>
      <c r="I47" s="43">
        <f>'Paste cell here'!AE47</f>
        <v>215.37304280000001</v>
      </c>
      <c r="J47" s="44">
        <f>H46*'Paste cell here'!AO47+'Paste cell here'!AF47*'Paste cell here'!AP47</f>
        <v>217.41659709999999</v>
      </c>
      <c r="K47" s="45">
        <f>'Paste cell here'!AG47</f>
        <v>133.44770410000001</v>
      </c>
      <c r="L47" s="41" t="str">
        <f t="shared" si="2"/>
        <v>NO</v>
      </c>
      <c r="M47" s="1">
        <f>(Sintesi!$C$29*F47*1000)</f>
        <v>22.9209</v>
      </c>
      <c r="N47" s="1">
        <f>Sintesi!$C$30*F47*1000</f>
        <v>8.31</v>
      </c>
      <c r="O47" s="1">
        <f t="shared" si="0"/>
        <v>14.610899999999999</v>
      </c>
      <c r="P47" s="1">
        <f>Sintesi!$C$33*G47*1000</f>
        <v>177.29640000000003</v>
      </c>
      <c r="Q47" s="1">
        <f>Sintesi!$C$34*G47*1000</f>
        <v>81.180000000000007</v>
      </c>
      <c r="R47" s="1">
        <f t="shared" si="1"/>
        <v>96.116400000000027</v>
      </c>
    </row>
    <row r="48" spans="1:18">
      <c r="A48" s="41">
        <v>47</v>
      </c>
      <c r="B48" s="42">
        <f>DATE(Sintesi!$C$4-1,12,31)+A48</f>
        <v>44243</v>
      </c>
      <c r="C48" s="41">
        <f>'Paste cell here'!B48</f>
        <v>0</v>
      </c>
      <c r="D48" s="41">
        <f>'Paste cell here'!I48</f>
        <v>0</v>
      </c>
      <c r="E48" s="1">
        <f>'Paste cell here'!H48</f>
        <v>0.65484970399999998</v>
      </c>
      <c r="F48" s="1">
        <f>Sintesi!$C$5</f>
        <v>0.1</v>
      </c>
      <c r="G48" s="1">
        <f>'Paste cell here'!AA48</f>
        <v>0.9</v>
      </c>
      <c r="H48" s="43">
        <f>'Paste cell here'!U48</f>
        <v>19.957753199999999</v>
      </c>
      <c r="I48" s="43">
        <f>'Paste cell here'!AE48</f>
        <v>213.48580050000001</v>
      </c>
      <c r="J48" s="44">
        <f>H47*'Paste cell here'!AO48+'Paste cell here'!AF48*'Paste cell here'!AP48</f>
        <v>215.37304280000001</v>
      </c>
      <c r="K48" s="45">
        <f>'Paste cell here'!AG48</f>
        <v>133.24539379999999</v>
      </c>
      <c r="L48" s="41" t="str">
        <f t="shared" si="2"/>
        <v>NO</v>
      </c>
      <c r="M48" s="1">
        <f>(Sintesi!$C$29*F48*1000)</f>
        <v>22.9209</v>
      </c>
      <c r="N48" s="1">
        <f>Sintesi!$C$30*F48*1000</f>
        <v>8.31</v>
      </c>
      <c r="O48" s="1">
        <f t="shared" si="0"/>
        <v>14.610899999999999</v>
      </c>
      <c r="P48" s="1">
        <f>Sintesi!$C$33*G48*1000</f>
        <v>177.29640000000003</v>
      </c>
      <c r="Q48" s="1">
        <f>Sintesi!$C$34*G48*1000</f>
        <v>81.180000000000007</v>
      </c>
      <c r="R48" s="1">
        <f t="shared" si="1"/>
        <v>96.116400000000027</v>
      </c>
    </row>
    <row r="49" spans="1:18">
      <c r="A49" s="41">
        <v>48</v>
      </c>
      <c r="B49" s="42">
        <f>DATE(Sintesi!$C$4-1,12,31)+A49</f>
        <v>44244</v>
      </c>
      <c r="C49" s="41">
        <f>'Paste cell here'!B49</f>
        <v>0</v>
      </c>
      <c r="D49" s="41">
        <f>'Paste cell here'!I49</f>
        <v>0</v>
      </c>
      <c r="E49" s="1">
        <f>'Paste cell here'!H49</f>
        <v>0.65297085600000004</v>
      </c>
      <c r="F49" s="1">
        <f>Sintesi!$C$5</f>
        <v>0.1</v>
      </c>
      <c r="G49" s="1">
        <f>'Paste cell here'!AA49</f>
        <v>0.9</v>
      </c>
      <c r="H49" s="43">
        <f>'Paste cell here'!U49</f>
        <v>18.646076690000001</v>
      </c>
      <c r="I49" s="43">
        <f>'Paste cell here'!AE49</f>
        <v>211.74869179999999</v>
      </c>
      <c r="J49" s="44">
        <f>H48*'Paste cell here'!AO49+'Paste cell here'!AF49*'Paste cell here'!AP49</f>
        <v>213.48580050000001</v>
      </c>
      <c r="K49" s="45">
        <f>'Paste cell here'!AG49</f>
        <v>133.37178180000001</v>
      </c>
      <c r="L49" s="41" t="str">
        <f t="shared" si="2"/>
        <v>NO</v>
      </c>
      <c r="M49" s="1">
        <f>(Sintesi!$C$29*F49*1000)</f>
        <v>22.9209</v>
      </c>
      <c r="N49" s="1">
        <f>Sintesi!$C$30*F49*1000</f>
        <v>8.31</v>
      </c>
      <c r="O49" s="1">
        <f t="shared" si="0"/>
        <v>14.610899999999999</v>
      </c>
      <c r="P49" s="1">
        <f>Sintesi!$C$33*G49*1000</f>
        <v>177.29640000000003</v>
      </c>
      <c r="Q49" s="1">
        <f>Sintesi!$C$34*G49*1000</f>
        <v>81.180000000000007</v>
      </c>
      <c r="R49" s="1">
        <f t="shared" si="1"/>
        <v>96.116400000000027</v>
      </c>
    </row>
    <row r="50" spans="1:18">
      <c r="A50" s="41">
        <v>49</v>
      </c>
      <c r="B50" s="42">
        <f>DATE(Sintesi!$C$4-1,12,31)+A50</f>
        <v>44245</v>
      </c>
      <c r="C50" s="41">
        <f>'Paste cell here'!B50</f>
        <v>1.3129702350000001</v>
      </c>
      <c r="D50" s="41">
        <f>'Paste cell here'!I50</f>
        <v>0</v>
      </c>
      <c r="E50" s="1">
        <f>'Paste cell here'!H50</f>
        <v>0.64866244699999998</v>
      </c>
      <c r="F50" s="1">
        <f>Sintesi!$C$5</f>
        <v>0.1</v>
      </c>
      <c r="G50" s="1">
        <f>'Paste cell here'!AA50</f>
        <v>0.9</v>
      </c>
      <c r="H50" s="43">
        <f>'Paste cell here'!U50</f>
        <v>18.821900840000001</v>
      </c>
      <c r="I50" s="43">
        <f>'Paste cell here'!AE50</f>
        <v>210.1553863</v>
      </c>
      <c r="J50" s="44">
        <f>H49*'Paste cell here'!AO50+'Paste cell here'!AF50*'Paste cell here'!AP50</f>
        <v>211.74869179999999</v>
      </c>
      <c r="K50" s="45">
        <f>'Paste cell here'!AG50</f>
        <v>133.6616037</v>
      </c>
      <c r="L50" s="41" t="str">
        <f t="shared" si="2"/>
        <v>NO</v>
      </c>
      <c r="M50" s="1">
        <f>(Sintesi!$C$29*F50*1000)</f>
        <v>22.9209</v>
      </c>
      <c r="N50" s="1">
        <f>Sintesi!$C$30*F50*1000</f>
        <v>8.31</v>
      </c>
      <c r="O50" s="1">
        <f t="shared" si="0"/>
        <v>14.610899999999999</v>
      </c>
      <c r="P50" s="1">
        <f>Sintesi!$C$33*G50*1000</f>
        <v>177.29640000000003</v>
      </c>
      <c r="Q50" s="1">
        <f>Sintesi!$C$34*G50*1000</f>
        <v>81.180000000000007</v>
      </c>
      <c r="R50" s="1">
        <f t="shared" si="1"/>
        <v>96.116400000000027</v>
      </c>
    </row>
    <row r="51" spans="1:18">
      <c r="A51" s="41">
        <v>50</v>
      </c>
      <c r="B51" s="42">
        <f>DATE(Sintesi!$C$4-1,12,31)+A51</f>
        <v>44246</v>
      </c>
      <c r="C51" s="41">
        <f>'Paste cell here'!B51</f>
        <v>0</v>
      </c>
      <c r="D51" s="41">
        <f>'Paste cell here'!I51</f>
        <v>0</v>
      </c>
      <c r="E51" s="1">
        <f>'Paste cell here'!H51</f>
        <v>0.65525551699999995</v>
      </c>
      <c r="F51" s="1">
        <f>Sintesi!$C$5</f>
        <v>0.1</v>
      </c>
      <c r="G51" s="1">
        <f>'Paste cell here'!AA51</f>
        <v>0.9</v>
      </c>
      <c r="H51" s="43">
        <f>'Paste cell here'!U51</f>
        <v>18.025560070000001</v>
      </c>
      <c r="I51" s="43">
        <f>'Paste cell here'!AE51</f>
        <v>208.68932040000001</v>
      </c>
      <c r="J51" s="44">
        <f>H50*'Paste cell here'!AO51+'Paste cell here'!AF51*'Paste cell here'!AP51</f>
        <v>210.1553863</v>
      </c>
      <c r="K51" s="45">
        <f>'Paste cell here'!AG51</f>
        <v>133.21809519999999</v>
      </c>
      <c r="L51" s="41" t="str">
        <f t="shared" si="2"/>
        <v>NO</v>
      </c>
      <c r="M51" s="1">
        <f>(Sintesi!$C$29*F51*1000)</f>
        <v>22.9209</v>
      </c>
      <c r="N51" s="1">
        <f>Sintesi!$C$30*F51*1000</f>
        <v>8.31</v>
      </c>
      <c r="O51" s="1">
        <f t="shared" si="0"/>
        <v>14.610899999999999</v>
      </c>
      <c r="P51" s="1">
        <f>Sintesi!$C$33*G51*1000</f>
        <v>177.29640000000003</v>
      </c>
      <c r="Q51" s="1">
        <f>Sintesi!$C$34*G51*1000</f>
        <v>81.180000000000007</v>
      </c>
      <c r="R51" s="1">
        <f t="shared" si="1"/>
        <v>96.116400000000027</v>
      </c>
    </row>
    <row r="52" spans="1:18">
      <c r="A52" s="41">
        <v>51</v>
      </c>
      <c r="B52" s="42">
        <f>DATE(Sintesi!$C$4-1,12,31)+A52</f>
        <v>44247</v>
      </c>
      <c r="C52" s="41">
        <f>'Paste cell here'!B52</f>
        <v>0</v>
      </c>
      <c r="D52" s="41">
        <f>'Paste cell here'!I52</f>
        <v>0</v>
      </c>
      <c r="E52" s="1">
        <f>'Paste cell here'!H52</f>
        <v>0.66876484400000002</v>
      </c>
      <c r="F52" s="1">
        <f>Sintesi!$C$5</f>
        <v>0.1</v>
      </c>
      <c r="G52" s="1">
        <f>'Paste cell here'!AA52</f>
        <v>0.9</v>
      </c>
      <c r="H52" s="43">
        <f>'Paste cell here'!U52</f>
        <v>17.15250215</v>
      </c>
      <c r="I52" s="43">
        <f>'Paste cell here'!AE52</f>
        <v>207.32872370000001</v>
      </c>
      <c r="J52" s="44">
        <f>H51*'Paste cell here'!AO52+'Paste cell here'!AF52*'Paste cell here'!AP52</f>
        <v>208.68932040000001</v>
      </c>
      <c r="K52" s="45">
        <f>'Paste cell here'!AG52</f>
        <v>132.309338</v>
      </c>
      <c r="L52" s="41" t="str">
        <f t="shared" si="2"/>
        <v>NO</v>
      </c>
      <c r="M52" s="1">
        <f>(Sintesi!$C$29*F52*1000)</f>
        <v>22.9209</v>
      </c>
      <c r="N52" s="1">
        <f>Sintesi!$C$30*F52*1000</f>
        <v>8.31</v>
      </c>
      <c r="O52" s="1">
        <f t="shared" si="0"/>
        <v>14.610899999999999</v>
      </c>
      <c r="P52" s="1">
        <f>Sintesi!$C$33*G52*1000</f>
        <v>177.29640000000003</v>
      </c>
      <c r="Q52" s="1">
        <f>Sintesi!$C$34*G52*1000</f>
        <v>81.180000000000007</v>
      </c>
      <c r="R52" s="1">
        <f t="shared" si="1"/>
        <v>96.116400000000027</v>
      </c>
    </row>
    <row r="53" spans="1:18">
      <c r="A53" s="41">
        <v>52</v>
      </c>
      <c r="B53" s="42">
        <f>DATE(Sintesi!$C$4-1,12,31)+A53</f>
        <v>44248</v>
      </c>
      <c r="C53" s="41">
        <f>'Paste cell here'!B53</f>
        <v>0</v>
      </c>
      <c r="D53" s="41">
        <f>'Paste cell here'!I53</f>
        <v>0</v>
      </c>
      <c r="E53" s="1">
        <f>'Paste cell here'!H53</f>
        <v>0.66542960399999995</v>
      </c>
      <c r="F53" s="1">
        <f>Sintesi!$C$5</f>
        <v>0.1</v>
      </c>
      <c r="G53" s="1">
        <f>'Paste cell here'!AA53</f>
        <v>0.9</v>
      </c>
      <c r="H53" s="43">
        <f>'Paste cell here'!U53</f>
        <v>15.927167819999999</v>
      </c>
      <c r="I53" s="43">
        <f>'Paste cell here'!AE53</f>
        <v>206.06105210000001</v>
      </c>
      <c r="J53" s="44">
        <f>H52*'Paste cell here'!AO53+'Paste cell here'!AF53*'Paste cell here'!AP53</f>
        <v>207.32872370000001</v>
      </c>
      <c r="K53" s="45">
        <f>'Paste cell here'!AG53</f>
        <v>132.5336958</v>
      </c>
      <c r="L53" s="41" t="str">
        <f t="shared" si="2"/>
        <v>NO</v>
      </c>
      <c r="M53" s="1">
        <f>(Sintesi!$C$29*F53*1000)</f>
        <v>22.9209</v>
      </c>
      <c r="N53" s="1">
        <f>Sintesi!$C$30*F53*1000</f>
        <v>8.31</v>
      </c>
      <c r="O53" s="1">
        <f t="shared" si="0"/>
        <v>14.610899999999999</v>
      </c>
      <c r="P53" s="1">
        <f>Sintesi!$C$33*G53*1000</f>
        <v>177.29640000000003</v>
      </c>
      <c r="Q53" s="1">
        <f>Sintesi!$C$34*G53*1000</f>
        <v>81.180000000000007</v>
      </c>
      <c r="R53" s="1">
        <f t="shared" si="1"/>
        <v>96.116400000000027</v>
      </c>
    </row>
    <row r="54" spans="1:18">
      <c r="A54" s="41">
        <v>53</v>
      </c>
      <c r="B54" s="42">
        <f>DATE(Sintesi!$C$4-1,12,31)+A54</f>
        <v>44249</v>
      </c>
      <c r="C54" s="41">
        <f>'Paste cell here'!B54</f>
        <v>0</v>
      </c>
      <c r="D54" s="41">
        <f>'Paste cell here'!I54</f>
        <v>0</v>
      </c>
      <c r="E54" s="1">
        <f>'Paste cell here'!H54</f>
        <v>0.65115621199999996</v>
      </c>
      <c r="F54" s="1">
        <f>Sintesi!$C$5</f>
        <v>0.1</v>
      </c>
      <c r="G54" s="1">
        <f>'Paste cell here'!AA54</f>
        <v>0.9</v>
      </c>
      <c r="H54" s="43">
        <f>'Paste cell here'!U54</f>
        <v>14.87079527</v>
      </c>
      <c r="I54" s="43">
        <f>'Paste cell here'!AE54</f>
        <v>204.8762093</v>
      </c>
      <c r="J54" s="44">
        <f>H53*'Paste cell here'!AO54+'Paste cell here'!AF54*'Paste cell here'!AP54</f>
        <v>206.06105210000001</v>
      </c>
      <c r="K54" s="45">
        <f>'Paste cell here'!AG54</f>
        <v>133.49385090000001</v>
      </c>
      <c r="L54" s="41" t="str">
        <f t="shared" si="2"/>
        <v>NO</v>
      </c>
      <c r="M54" s="1">
        <f>(Sintesi!$C$29*F54*1000)</f>
        <v>22.9209</v>
      </c>
      <c r="N54" s="1">
        <f>Sintesi!$C$30*F54*1000</f>
        <v>8.31</v>
      </c>
      <c r="O54" s="1">
        <f t="shared" si="0"/>
        <v>14.610899999999999</v>
      </c>
      <c r="P54" s="1">
        <f>Sintesi!$C$33*G54*1000</f>
        <v>177.29640000000003</v>
      </c>
      <c r="Q54" s="1">
        <f>Sintesi!$C$34*G54*1000</f>
        <v>81.180000000000007</v>
      </c>
      <c r="R54" s="1">
        <f t="shared" si="1"/>
        <v>96.116400000000027</v>
      </c>
    </row>
    <row r="55" spans="1:18">
      <c r="A55" s="41">
        <v>54</v>
      </c>
      <c r="B55" s="42">
        <f>DATE(Sintesi!$C$4-1,12,31)+A55</f>
        <v>44250</v>
      </c>
      <c r="C55" s="41">
        <f>'Paste cell here'!B55</f>
        <v>0</v>
      </c>
      <c r="D55" s="41">
        <f>'Paste cell here'!I55</f>
        <v>0</v>
      </c>
      <c r="E55" s="1">
        <f>'Paste cell here'!H55</f>
        <v>0.65727250500000001</v>
      </c>
      <c r="F55" s="1">
        <f>Sintesi!$C$5</f>
        <v>0.1</v>
      </c>
      <c r="G55" s="1">
        <f>'Paste cell here'!AA55</f>
        <v>0.9</v>
      </c>
      <c r="H55" s="43">
        <f>'Paste cell here'!U55</f>
        <v>13.581191090000001</v>
      </c>
      <c r="I55" s="43">
        <f>'Paste cell here'!AE55</f>
        <v>203.76562469999999</v>
      </c>
      <c r="J55" s="44">
        <f>H54*'Paste cell here'!AO55+'Paste cell here'!AF55*'Paste cell here'!AP55</f>
        <v>204.8762093</v>
      </c>
      <c r="K55" s="45">
        <f>'Paste cell here'!AG55</f>
        <v>133.08241469999999</v>
      </c>
      <c r="L55" s="41" t="str">
        <f t="shared" si="2"/>
        <v>NO</v>
      </c>
      <c r="M55" s="1">
        <f>(Sintesi!$C$29*F55*1000)</f>
        <v>22.9209</v>
      </c>
      <c r="N55" s="1">
        <f>Sintesi!$C$30*F55*1000</f>
        <v>8.31</v>
      </c>
      <c r="O55" s="1">
        <f t="shared" si="0"/>
        <v>14.610899999999999</v>
      </c>
      <c r="P55" s="1">
        <f>Sintesi!$C$33*G55*1000</f>
        <v>177.29640000000003</v>
      </c>
      <c r="Q55" s="1">
        <f>Sintesi!$C$34*G55*1000</f>
        <v>81.180000000000007</v>
      </c>
      <c r="R55" s="1">
        <f t="shared" si="1"/>
        <v>96.116400000000027</v>
      </c>
    </row>
    <row r="56" spans="1:18">
      <c r="A56" s="41">
        <v>55</v>
      </c>
      <c r="B56" s="42">
        <f>DATE(Sintesi!$C$4-1,12,31)+A56</f>
        <v>44251</v>
      </c>
      <c r="C56" s="41">
        <f>'Paste cell here'!B56</f>
        <v>0</v>
      </c>
      <c r="D56" s="41">
        <f>'Paste cell here'!I56</f>
        <v>0</v>
      </c>
      <c r="E56" s="1">
        <f>'Paste cell here'!H56</f>
        <v>0.642278982</v>
      </c>
      <c r="F56" s="1">
        <f>Sintesi!$C$5</f>
        <v>0.1</v>
      </c>
      <c r="G56" s="1">
        <f>'Paste cell here'!AA56</f>
        <v>0.9</v>
      </c>
      <c r="H56" s="43">
        <f>'Paste cell here'!U56</f>
        <v>12.086209009999999</v>
      </c>
      <c r="I56" s="43">
        <f>'Paste cell here'!AE56</f>
        <v>202.72142919999999</v>
      </c>
      <c r="J56" s="44">
        <f>H55*'Paste cell here'!AO56+'Paste cell here'!AF56*'Paste cell here'!AP56</f>
        <v>203.76562469999999</v>
      </c>
      <c r="K56" s="45">
        <f>'Paste cell here'!AG56</f>
        <v>134.09101219999999</v>
      </c>
      <c r="L56" s="41" t="str">
        <f t="shared" si="2"/>
        <v>NO</v>
      </c>
      <c r="M56" s="1">
        <f>(Sintesi!$C$29*F56*1000)</f>
        <v>22.9209</v>
      </c>
      <c r="N56" s="1">
        <f>Sintesi!$C$30*F56*1000</f>
        <v>8.31</v>
      </c>
      <c r="O56" s="1">
        <f t="shared" si="0"/>
        <v>14.610899999999999</v>
      </c>
      <c r="P56" s="1">
        <f>Sintesi!$C$33*G56*1000</f>
        <v>177.29640000000003</v>
      </c>
      <c r="Q56" s="1">
        <f>Sintesi!$C$34*G56*1000</f>
        <v>81.180000000000007</v>
      </c>
      <c r="R56" s="1">
        <f t="shared" si="1"/>
        <v>96.116400000000027</v>
      </c>
    </row>
    <row r="57" spans="1:18">
      <c r="A57" s="41">
        <v>56</v>
      </c>
      <c r="B57" s="42">
        <f>DATE(Sintesi!$C$4-1,12,31)+A57</f>
        <v>44252</v>
      </c>
      <c r="C57" s="41">
        <f>'Paste cell here'!B57</f>
        <v>0</v>
      </c>
      <c r="D57" s="41">
        <f>'Paste cell here'!I57</f>
        <v>0</v>
      </c>
      <c r="E57" s="1">
        <f>'Paste cell here'!H57</f>
        <v>0.62223224799999999</v>
      </c>
      <c r="F57" s="1">
        <f>Sintesi!$C$5</f>
        <v>0.1</v>
      </c>
      <c r="G57" s="1">
        <f>'Paste cell here'!AA57</f>
        <v>0.9</v>
      </c>
      <c r="H57" s="43">
        <f>'Paste cell here'!U57</f>
        <v>10.799605550000001</v>
      </c>
      <c r="I57" s="43">
        <f>'Paste cell here'!AE57</f>
        <v>201.73677369999999</v>
      </c>
      <c r="J57" s="44">
        <f>H56*'Paste cell here'!AO57+'Paste cell here'!AF57*'Paste cell here'!AP57</f>
        <v>202.72142919999999</v>
      </c>
      <c r="K57" s="45">
        <f>'Paste cell here'!AG57</f>
        <v>135.4395336</v>
      </c>
      <c r="L57" s="41" t="str">
        <f t="shared" si="2"/>
        <v>NO</v>
      </c>
      <c r="M57" s="1">
        <f>(Sintesi!$C$29*F57*1000)</f>
        <v>22.9209</v>
      </c>
      <c r="N57" s="1">
        <f>Sintesi!$C$30*F57*1000</f>
        <v>8.31</v>
      </c>
      <c r="O57" s="1">
        <f t="shared" si="0"/>
        <v>14.610899999999999</v>
      </c>
      <c r="P57" s="1">
        <f>Sintesi!$C$33*G57*1000</f>
        <v>177.29640000000003</v>
      </c>
      <c r="Q57" s="1">
        <f>Sintesi!$C$34*G57*1000</f>
        <v>81.180000000000007</v>
      </c>
      <c r="R57" s="1">
        <f t="shared" si="1"/>
        <v>96.116400000000027</v>
      </c>
    </row>
    <row r="58" spans="1:18">
      <c r="A58" s="41">
        <v>57</v>
      </c>
      <c r="B58" s="42">
        <f>DATE(Sintesi!$C$4-1,12,31)+A58</f>
        <v>44253</v>
      </c>
      <c r="C58" s="41">
        <f>'Paste cell here'!B58</f>
        <v>0</v>
      </c>
      <c r="D58" s="41">
        <f>'Paste cell here'!I58</f>
        <v>0</v>
      </c>
      <c r="E58" s="1">
        <f>'Paste cell here'!H58</f>
        <v>0.62028198499999998</v>
      </c>
      <c r="F58" s="1">
        <f>Sintesi!$C$5</f>
        <v>0.1</v>
      </c>
      <c r="G58" s="1">
        <f>'Paste cell here'!AA58</f>
        <v>0.9</v>
      </c>
      <c r="H58" s="43">
        <f>'Paste cell here'!U58</f>
        <v>9.6724285079999994</v>
      </c>
      <c r="I58" s="43">
        <f>'Paste cell here'!AE58</f>
        <v>200.80565970000001</v>
      </c>
      <c r="J58" s="44">
        <f>H57*'Paste cell here'!AO58+'Paste cell here'!AF58*'Paste cell here'!AP58</f>
        <v>201.73677369999999</v>
      </c>
      <c r="K58" s="45">
        <f>'Paste cell here'!AG58</f>
        <v>135.5707256</v>
      </c>
      <c r="L58" s="41" t="str">
        <f t="shared" si="2"/>
        <v>NO</v>
      </c>
      <c r="M58" s="1">
        <f>(Sintesi!$C$29*F58*1000)</f>
        <v>22.9209</v>
      </c>
      <c r="N58" s="1">
        <f>Sintesi!$C$30*F58*1000</f>
        <v>8.31</v>
      </c>
      <c r="O58" s="1">
        <f t="shared" si="0"/>
        <v>14.610899999999999</v>
      </c>
      <c r="P58" s="1">
        <f>Sintesi!$C$33*G58*1000</f>
        <v>177.29640000000003</v>
      </c>
      <c r="Q58" s="1">
        <f>Sintesi!$C$34*G58*1000</f>
        <v>81.180000000000007</v>
      </c>
      <c r="R58" s="1">
        <f t="shared" si="1"/>
        <v>96.116400000000027</v>
      </c>
    </row>
    <row r="59" spans="1:18">
      <c r="A59" s="41">
        <v>58</v>
      </c>
      <c r="B59" s="42">
        <f>DATE(Sintesi!$C$4-1,12,31)+A59</f>
        <v>44254</v>
      </c>
      <c r="C59" s="41">
        <f>'Paste cell here'!B59</f>
        <v>0</v>
      </c>
      <c r="D59" s="41">
        <f>'Paste cell here'!I59</f>
        <v>0</v>
      </c>
      <c r="E59" s="1">
        <f>'Paste cell here'!H59</f>
        <v>0.61627341300000005</v>
      </c>
      <c r="F59" s="1">
        <f>Sintesi!$C$5</f>
        <v>0.1</v>
      </c>
      <c r="G59" s="1">
        <f>'Paste cell here'!AA59</f>
        <v>0.9</v>
      </c>
      <c r="H59" s="43">
        <f>'Paste cell here'!U59</f>
        <v>8.6285534599999991</v>
      </c>
      <c r="I59" s="43">
        <f>'Paste cell here'!AE59</f>
        <v>199.922877</v>
      </c>
      <c r="J59" s="44">
        <f>H58*'Paste cell here'!AO59+'Paste cell here'!AF59*'Paste cell here'!AP59</f>
        <v>200.80565970000001</v>
      </c>
      <c r="K59" s="45">
        <f>'Paste cell here'!AG59</f>
        <v>135.8403778</v>
      </c>
      <c r="L59" s="41" t="str">
        <f t="shared" si="2"/>
        <v>NO</v>
      </c>
      <c r="M59" s="1">
        <f>(Sintesi!$C$29*F59*1000)</f>
        <v>22.9209</v>
      </c>
      <c r="N59" s="1">
        <f>Sintesi!$C$30*F59*1000</f>
        <v>8.31</v>
      </c>
      <c r="O59" s="1">
        <f t="shared" si="0"/>
        <v>14.610899999999999</v>
      </c>
      <c r="P59" s="1">
        <f>Sintesi!$C$33*G59*1000</f>
        <v>177.29640000000003</v>
      </c>
      <c r="Q59" s="1">
        <f>Sintesi!$C$34*G59*1000</f>
        <v>81.180000000000007</v>
      </c>
      <c r="R59" s="1">
        <f t="shared" si="1"/>
        <v>96.116400000000027</v>
      </c>
    </row>
    <row r="60" spans="1:18">
      <c r="A60" s="41">
        <v>59</v>
      </c>
      <c r="B60" s="42">
        <f>DATE(Sintesi!$C$4-1,12,31)+A60</f>
        <v>44255</v>
      </c>
      <c r="C60" s="41">
        <f>'Paste cell here'!B60</f>
        <v>0</v>
      </c>
      <c r="D60" s="41">
        <f>'Paste cell here'!I60</f>
        <v>0</v>
      </c>
      <c r="E60" s="1">
        <f>'Paste cell here'!H60</f>
        <v>0.60553544199999998</v>
      </c>
      <c r="F60" s="1">
        <f>Sintesi!$C$5</f>
        <v>0.1</v>
      </c>
      <c r="G60" s="1">
        <f>'Paste cell here'!AA60</f>
        <v>0.9</v>
      </c>
      <c r="H60" s="43">
        <f>'Paste cell here'!U60</f>
        <v>7.8404992929999997</v>
      </c>
      <c r="I60" s="43">
        <f>'Paste cell here'!AE60</f>
        <v>199.08391599999999</v>
      </c>
      <c r="J60" s="44">
        <f>H59*'Paste cell here'!AO60+'Paste cell here'!AF60*'Paste cell here'!AP60</f>
        <v>199.922877</v>
      </c>
      <c r="K60" s="45">
        <f>'Paste cell here'!AG60</f>
        <v>136.56270900000001</v>
      </c>
      <c r="L60" s="41" t="str">
        <f t="shared" si="2"/>
        <v>NO</v>
      </c>
      <c r="M60" s="1">
        <f>(Sintesi!$C$29*F60*1000)</f>
        <v>22.9209</v>
      </c>
      <c r="N60" s="1">
        <f>Sintesi!$C$30*F60*1000</f>
        <v>8.31</v>
      </c>
      <c r="O60" s="1">
        <f t="shared" si="0"/>
        <v>14.610899999999999</v>
      </c>
      <c r="P60" s="1">
        <f>Sintesi!$C$33*G60*1000</f>
        <v>177.29640000000003</v>
      </c>
      <c r="Q60" s="1">
        <f>Sintesi!$C$34*G60*1000</f>
        <v>81.180000000000007</v>
      </c>
      <c r="R60" s="1">
        <f t="shared" si="1"/>
        <v>96.116400000000027</v>
      </c>
    </row>
    <row r="61" spans="1:18">
      <c r="A61" s="41">
        <v>60</v>
      </c>
      <c r="B61" s="42">
        <f>DATE(Sintesi!$C$4-1,12,31)+A61</f>
        <v>44256</v>
      </c>
      <c r="C61" s="41">
        <f>'Paste cell here'!B61</f>
        <v>0</v>
      </c>
      <c r="D61" s="41">
        <f>'Paste cell here'!I61</f>
        <v>0</v>
      </c>
      <c r="E61" s="1">
        <f>'Paste cell here'!H61</f>
        <v>0.61272663599999999</v>
      </c>
      <c r="F61" s="1">
        <f>Sintesi!$C$5</f>
        <v>0.1</v>
      </c>
      <c r="G61" s="1">
        <f>'Paste cell here'!AA61</f>
        <v>0.9</v>
      </c>
      <c r="H61" s="43">
        <f>'Paste cell here'!U61</f>
        <v>7.1989153010000004</v>
      </c>
      <c r="I61" s="43">
        <f>'Paste cell here'!AE61</f>
        <v>198.28485699999999</v>
      </c>
      <c r="J61" s="44">
        <f>H60*'Paste cell here'!AO61+'Paste cell here'!AF61*'Paste cell here'!AP61</f>
        <v>199.08391599999999</v>
      </c>
      <c r="K61" s="45">
        <f>'Paste cell here'!AG61</f>
        <v>136.07896550000001</v>
      </c>
      <c r="L61" s="41" t="str">
        <f t="shared" si="2"/>
        <v>NO</v>
      </c>
      <c r="M61" s="1">
        <f>(Sintesi!$C$29*F61*1000)</f>
        <v>22.9209</v>
      </c>
      <c r="N61" s="1">
        <f>Sintesi!$C$30*F61*1000</f>
        <v>8.31</v>
      </c>
      <c r="O61" s="1">
        <f t="shared" si="0"/>
        <v>14.610899999999999</v>
      </c>
      <c r="P61" s="1">
        <f>Sintesi!$C$33*G61*1000</f>
        <v>177.29640000000003</v>
      </c>
      <c r="Q61" s="1">
        <f>Sintesi!$C$34*G61*1000</f>
        <v>81.180000000000007</v>
      </c>
      <c r="R61" s="1">
        <f t="shared" si="1"/>
        <v>96.116400000000027</v>
      </c>
    </row>
    <row r="62" spans="1:18">
      <c r="A62" s="41">
        <v>61</v>
      </c>
      <c r="B62" s="42">
        <f>DATE(Sintesi!$C$4-1,12,31)+A62</f>
        <v>44257</v>
      </c>
      <c r="C62" s="41">
        <f>'Paste cell here'!B62</f>
        <v>0</v>
      </c>
      <c r="D62" s="41">
        <f>'Paste cell here'!I62</f>
        <v>0</v>
      </c>
      <c r="E62" s="1">
        <f>'Paste cell here'!H62</f>
        <v>0.61386583299999997</v>
      </c>
      <c r="F62" s="1">
        <f>Sintesi!$C$5</f>
        <v>0.1</v>
      </c>
      <c r="G62" s="1">
        <f>'Paste cell here'!AA62</f>
        <v>0.9</v>
      </c>
      <c r="H62" s="43">
        <f>'Paste cell here'!U62</f>
        <v>6.677937204</v>
      </c>
      <c r="I62" s="43">
        <f>'Paste cell here'!AE62</f>
        <v>197.52227400000001</v>
      </c>
      <c r="J62" s="44">
        <f>H61*'Paste cell here'!AO62+'Paste cell here'!AF62*'Paste cell here'!AP62</f>
        <v>198.28485699999999</v>
      </c>
      <c r="K62" s="45">
        <f>'Paste cell here'!AG62</f>
        <v>136.0023329</v>
      </c>
      <c r="L62" s="41" t="str">
        <f t="shared" si="2"/>
        <v>NO</v>
      </c>
      <c r="M62" s="1">
        <f>(Sintesi!$C$29*F62*1000)</f>
        <v>22.9209</v>
      </c>
      <c r="N62" s="1">
        <f>Sintesi!$C$30*F62*1000</f>
        <v>8.31</v>
      </c>
      <c r="O62" s="1">
        <f t="shared" si="0"/>
        <v>14.610899999999999</v>
      </c>
      <c r="P62" s="1">
        <f>Sintesi!$C$33*G62*1000</f>
        <v>177.29640000000003</v>
      </c>
      <c r="Q62" s="1">
        <f>Sintesi!$C$34*G62*1000</f>
        <v>81.180000000000007</v>
      </c>
      <c r="R62" s="1">
        <f t="shared" si="1"/>
        <v>96.116400000000027</v>
      </c>
    </row>
    <row r="63" spans="1:18">
      <c r="A63" s="41">
        <v>62</v>
      </c>
      <c r="B63" s="42">
        <f>DATE(Sintesi!$C$4-1,12,31)+A63</f>
        <v>44258</v>
      </c>
      <c r="C63" s="41">
        <f>'Paste cell here'!B63</f>
        <v>0</v>
      </c>
      <c r="D63" s="41">
        <f>'Paste cell here'!I63</f>
        <v>0</v>
      </c>
      <c r="E63" s="1">
        <f>'Paste cell here'!H63</f>
        <v>0.61545524200000001</v>
      </c>
      <c r="F63" s="1">
        <f>Sintesi!$C$5</f>
        <v>0.1</v>
      </c>
      <c r="G63" s="1">
        <f>'Paste cell here'!AA63</f>
        <v>0.9</v>
      </c>
      <c r="H63" s="43">
        <f>'Paste cell here'!U63</f>
        <v>6.3301550510000002</v>
      </c>
      <c r="I63" s="43">
        <f>'Paste cell here'!AE63</f>
        <v>196.7931566</v>
      </c>
      <c r="J63" s="44">
        <f>H62*'Paste cell here'!AO63+'Paste cell here'!AF63*'Paste cell here'!AP63</f>
        <v>197.52227400000001</v>
      </c>
      <c r="K63" s="45">
        <f>'Paste cell here'!AG63</f>
        <v>135.8954152</v>
      </c>
      <c r="L63" s="41" t="str">
        <f t="shared" si="2"/>
        <v>NO</v>
      </c>
      <c r="M63" s="1">
        <f>(Sintesi!$C$29*F63*1000)</f>
        <v>22.9209</v>
      </c>
      <c r="N63" s="1">
        <f>Sintesi!$C$30*F63*1000</f>
        <v>8.31</v>
      </c>
      <c r="O63" s="1">
        <f t="shared" si="0"/>
        <v>14.610899999999999</v>
      </c>
      <c r="P63" s="1">
        <f>Sintesi!$C$33*G63*1000</f>
        <v>177.29640000000003</v>
      </c>
      <c r="Q63" s="1">
        <f>Sintesi!$C$34*G63*1000</f>
        <v>81.180000000000007</v>
      </c>
      <c r="R63" s="1">
        <f t="shared" si="1"/>
        <v>96.116400000000027</v>
      </c>
    </row>
    <row r="64" spans="1:18">
      <c r="A64" s="41">
        <v>63</v>
      </c>
      <c r="B64" s="42">
        <f>DATE(Sintesi!$C$4-1,12,31)+A64</f>
        <v>44259</v>
      </c>
      <c r="C64" s="41">
        <f>'Paste cell here'!B64</f>
        <v>0</v>
      </c>
      <c r="D64" s="41">
        <f>'Paste cell here'!I64</f>
        <v>0</v>
      </c>
      <c r="E64" s="1">
        <f>'Paste cell here'!H64</f>
        <v>0.63319027000000006</v>
      </c>
      <c r="F64" s="1">
        <f>Sintesi!$C$5</f>
        <v>0.1</v>
      </c>
      <c r="G64" s="1">
        <f>'Paste cell here'!AA64</f>
        <v>0.9</v>
      </c>
      <c r="H64" s="43">
        <f>'Paste cell here'!U64</f>
        <v>6.0165568110000001</v>
      </c>
      <c r="I64" s="43">
        <f>'Paste cell here'!AE64</f>
        <v>196.09484520000001</v>
      </c>
      <c r="J64" s="44">
        <f>H63*'Paste cell here'!AO64+'Paste cell here'!AF64*'Paste cell here'!AP64</f>
        <v>196.7931566</v>
      </c>
      <c r="K64" s="45">
        <f>'Paste cell here'!AG64</f>
        <v>134.7023997</v>
      </c>
      <c r="L64" s="41" t="str">
        <f t="shared" si="2"/>
        <v>NO</v>
      </c>
      <c r="M64" s="1">
        <f>(Sintesi!$C$29*F64*1000)</f>
        <v>22.9209</v>
      </c>
      <c r="N64" s="1">
        <f>Sintesi!$C$30*F64*1000</f>
        <v>8.31</v>
      </c>
      <c r="O64" s="1">
        <f t="shared" si="0"/>
        <v>14.610899999999999</v>
      </c>
      <c r="P64" s="1">
        <f>Sintesi!$C$33*G64*1000</f>
        <v>177.29640000000003</v>
      </c>
      <c r="Q64" s="1">
        <f>Sintesi!$C$34*G64*1000</f>
        <v>81.180000000000007</v>
      </c>
      <c r="R64" s="1">
        <f t="shared" si="1"/>
        <v>96.116400000000027</v>
      </c>
    </row>
    <row r="65" spans="1:18">
      <c r="A65" s="41">
        <v>64</v>
      </c>
      <c r="B65" s="42">
        <f>DATE(Sintesi!$C$4-1,12,31)+A65</f>
        <v>44260</v>
      </c>
      <c r="C65" s="41">
        <f>'Paste cell here'!B65</f>
        <v>0</v>
      </c>
      <c r="D65" s="41">
        <f>'Paste cell here'!I65</f>
        <v>0</v>
      </c>
      <c r="E65" s="1">
        <f>'Paste cell here'!H65</f>
        <v>0.62987026999999995</v>
      </c>
      <c r="F65" s="1">
        <f>Sintesi!$C$5</f>
        <v>0.1</v>
      </c>
      <c r="G65" s="1">
        <f>'Paste cell here'!AA65</f>
        <v>0.9</v>
      </c>
      <c r="H65" s="43">
        <f>'Paste cell here'!U65</f>
        <v>5.6739854630000002</v>
      </c>
      <c r="I65" s="43">
        <f>'Paste cell here'!AE65</f>
        <v>195.42497969999999</v>
      </c>
      <c r="J65" s="44">
        <f>H64*'Paste cell here'!AO65+'Paste cell here'!AF65*'Paste cell here'!AP65</f>
        <v>196.09484520000001</v>
      </c>
      <c r="K65" s="45">
        <f>'Paste cell here'!AG65</f>
        <v>134.92573239999999</v>
      </c>
      <c r="L65" s="41" t="str">
        <f t="shared" si="2"/>
        <v>NO</v>
      </c>
      <c r="M65" s="1">
        <f>(Sintesi!$C$29*F65*1000)</f>
        <v>22.9209</v>
      </c>
      <c r="N65" s="1">
        <f>Sintesi!$C$30*F65*1000</f>
        <v>8.31</v>
      </c>
      <c r="O65" s="1">
        <f t="shared" si="0"/>
        <v>14.610899999999999</v>
      </c>
      <c r="P65" s="1">
        <f>Sintesi!$C$33*G65*1000</f>
        <v>177.29640000000003</v>
      </c>
      <c r="Q65" s="1">
        <f>Sintesi!$C$34*G65*1000</f>
        <v>81.180000000000007</v>
      </c>
      <c r="R65" s="1">
        <f t="shared" si="1"/>
        <v>96.116400000000027</v>
      </c>
    </row>
    <row r="66" spans="1:18">
      <c r="A66" s="41">
        <v>65</v>
      </c>
      <c r="B66" s="42">
        <f>DATE(Sintesi!$C$4-1,12,31)+A66</f>
        <v>44261</v>
      </c>
      <c r="C66" s="41">
        <f>'Paste cell here'!B66</f>
        <v>0</v>
      </c>
      <c r="D66" s="41">
        <f>'Paste cell here'!I66</f>
        <v>0</v>
      </c>
      <c r="E66" s="1">
        <f>'Paste cell here'!H66</f>
        <v>0.60839070500000003</v>
      </c>
      <c r="F66" s="1">
        <f>Sintesi!$C$5</f>
        <v>0.1</v>
      </c>
      <c r="G66" s="1">
        <f>'Paste cell here'!AA66</f>
        <v>0.9</v>
      </c>
      <c r="H66" s="43">
        <f>'Paste cell here'!U66</f>
        <v>5.4621778839999999</v>
      </c>
      <c r="I66" s="43">
        <f>'Paste cell here'!AE66</f>
        <v>194.78145649999999</v>
      </c>
      <c r="J66" s="44">
        <f>H65*'Paste cell here'!AO66+'Paste cell here'!AF66*'Paste cell here'!AP66</f>
        <v>195.42497969999999</v>
      </c>
      <c r="K66" s="45">
        <f>'Paste cell here'!AG66</f>
        <v>136.37063860000001</v>
      </c>
      <c r="L66" s="41" t="str">
        <f t="shared" si="2"/>
        <v>NO</v>
      </c>
      <c r="M66" s="1">
        <f>(Sintesi!$C$29*F66*1000)</f>
        <v>22.9209</v>
      </c>
      <c r="N66" s="1">
        <f>Sintesi!$C$30*F66*1000</f>
        <v>8.31</v>
      </c>
      <c r="O66" s="1">
        <f t="shared" si="0"/>
        <v>14.610899999999999</v>
      </c>
      <c r="P66" s="1">
        <f>Sintesi!$C$33*G66*1000</f>
        <v>177.29640000000003</v>
      </c>
      <c r="Q66" s="1">
        <f>Sintesi!$C$34*G66*1000</f>
        <v>81.180000000000007</v>
      </c>
      <c r="R66" s="1">
        <f t="shared" si="1"/>
        <v>96.116400000000027</v>
      </c>
    </row>
    <row r="67" spans="1:18">
      <c r="A67" s="41">
        <v>66</v>
      </c>
      <c r="B67" s="42">
        <f>DATE(Sintesi!$C$4-1,12,31)+A67</f>
        <v>44262</v>
      </c>
      <c r="C67" s="41">
        <f>'Paste cell here'!B67</f>
        <v>0</v>
      </c>
      <c r="D67" s="41">
        <f>'Paste cell here'!I67</f>
        <v>0</v>
      </c>
      <c r="E67" s="1">
        <f>'Paste cell here'!H67</f>
        <v>0.63238697499999996</v>
      </c>
      <c r="F67" s="1">
        <f>Sintesi!$C$5</f>
        <v>0.1</v>
      </c>
      <c r="G67" s="1">
        <f>'Paste cell here'!AA67</f>
        <v>0.9</v>
      </c>
      <c r="H67" s="43">
        <f>'Paste cell here'!U67</f>
        <v>5.2565810610000003</v>
      </c>
      <c r="I67" s="43">
        <f>'Paste cell here'!AE67</f>
        <v>194.16239229999999</v>
      </c>
      <c r="J67" s="44">
        <f>H66*'Paste cell here'!AO67+'Paste cell here'!AF67*'Paste cell here'!AP67</f>
        <v>194.78145649999999</v>
      </c>
      <c r="K67" s="45">
        <f>'Paste cell here'!AG67</f>
        <v>134.75643640000001</v>
      </c>
      <c r="L67" s="41" t="str">
        <f t="shared" si="2"/>
        <v>NO</v>
      </c>
      <c r="M67" s="1">
        <f>(Sintesi!$C$29*F67*1000)</f>
        <v>22.9209</v>
      </c>
      <c r="N67" s="1">
        <f>Sintesi!$C$30*F67*1000</f>
        <v>8.31</v>
      </c>
      <c r="O67" s="1">
        <f t="shared" ref="O67:O130" si="3">M67-N67</f>
        <v>14.610899999999999</v>
      </c>
      <c r="P67" s="1">
        <f>Sintesi!$C$33*G67*1000</f>
        <v>177.29640000000003</v>
      </c>
      <c r="Q67" s="1">
        <f>Sintesi!$C$34*G67*1000</f>
        <v>81.180000000000007</v>
      </c>
      <c r="R67" s="1">
        <f t="shared" ref="R67:R130" si="4">P67-Q67</f>
        <v>96.116400000000027</v>
      </c>
    </row>
    <row r="68" spans="1:18">
      <c r="A68" s="41">
        <v>67</v>
      </c>
      <c r="B68" s="42">
        <f>DATE(Sintesi!$C$4-1,12,31)+A68</f>
        <v>44263</v>
      </c>
      <c r="C68" s="41">
        <f>'Paste cell here'!B68</f>
        <v>0</v>
      </c>
      <c r="D68" s="41">
        <f>'Paste cell here'!I68</f>
        <v>0</v>
      </c>
      <c r="E68" s="1">
        <f>'Paste cell here'!H68</f>
        <v>0.62295540299999996</v>
      </c>
      <c r="F68" s="1">
        <f>Sintesi!$C$5</f>
        <v>0.1</v>
      </c>
      <c r="G68" s="1">
        <f>'Paste cell here'!AA68</f>
        <v>0.9</v>
      </c>
      <c r="H68" s="43">
        <f>'Paste cell here'!U68</f>
        <v>5.0758128200000003</v>
      </c>
      <c r="I68" s="43">
        <f>'Paste cell here'!AE68</f>
        <v>193.56609560000001</v>
      </c>
      <c r="J68" s="44">
        <f>H67*'Paste cell here'!AO68+'Paste cell here'!AF68*'Paste cell here'!AP68</f>
        <v>194.16239229999999</v>
      </c>
      <c r="K68" s="45">
        <f>'Paste cell here'!AG68</f>
        <v>135.39088770000001</v>
      </c>
      <c r="L68" s="41" t="str">
        <f t="shared" ref="L68:L131" si="5">IF(J68&lt;K68,"YES","NO")</f>
        <v>NO</v>
      </c>
      <c r="M68" s="1">
        <f>(Sintesi!$C$29*F68*1000)</f>
        <v>22.9209</v>
      </c>
      <c r="N68" s="1">
        <f>Sintesi!$C$30*F68*1000</f>
        <v>8.31</v>
      </c>
      <c r="O68" s="1">
        <f t="shared" si="3"/>
        <v>14.610899999999999</v>
      </c>
      <c r="P68" s="1">
        <f>Sintesi!$C$33*G68*1000</f>
        <v>177.29640000000003</v>
      </c>
      <c r="Q68" s="1">
        <f>Sintesi!$C$34*G68*1000</f>
        <v>81.180000000000007</v>
      </c>
      <c r="R68" s="1">
        <f t="shared" si="4"/>
        <v>96.116400000000027</v>
      </c>
    </row>
    <row r="69" spans="1:18">
      <c r="A69" s="41">
        <v>68</v>
      </c>
      <c r="B69" s="42">
        <f>DATE(Sintesi!$C$4-1,12,31)+A69</f>
        <v>44264</v>
      </c>
      <c r="C69" s="41">
        <f>'Paste cell here'!B69</f>
        <v>0</v>
      </c>
      <c r="D69" s="41">
        <f>'Paste cell here'!I69</f>
        <v>0</v>
      </c>
      <c r="E69" s="1">
        <f>'Paste cell here'!H69</f>
        <v>0.61929168300000004</v>
      </c>
      <c r="F69" s="1">
        <f>Sintesi!$C$5</f>
        <v>0.1</v>
      </c>
      <c r="G69" s="1">
        <f>'Paste cell here'!AA69</f>
        <v>0.9</v>
      </c>
      <c r="H69" s="43">
        <f>'Paste cell here'!U69</f>
        <v>4.9116406990000003</v>
      </c>
      <c r="I69" s="43">
        <f>'Paste cell here'!AE69</f>
        <v>192.991041</v>
      </c>
      <c r="J69" s="44">
        <f>H68*'Paste cell here'!AO69+'Paste cell here'!AF69*'Paste cell here'!AP69</f>
        <v>193.56609560000001</v>
      </c>
      <c r="K69" s="45">
        <f>'Paste cell here'!AG69</f>
        <v>135.63734210000001</v>
      </c>
      <c r="L69" s="41" t="str">
        <f t="shared" si="5"/>
        <v>NO</v>
      </c>
      <c r="M69" s="1">
        <f>(Sintesi!$C$29*F69*1000)</f>
        <v>22.9209</v>
      </c>
      <c r="N69" s="1">
        <f>Sintesi!$C$30*F69*1000</f>
        <v>8.31</v>
      </c>
      <c r="O69" s="1">
        <f t="shared" si="3"/>
        <v>14.610899999999999</v>
      </c>
      <c r="P69" s="1">
        <f>Sintesi!$C$33*G69*1000</f>
        <v>177.29640000000003</v>
      </c>
      <c r="Q69" s="1">
        <f>Sintesi!$C$34*G69*1000</f>
        <v>81.180000000000007</v>
      </c>
      <c r="R69" s="1">
        <f t="shared" si="4"/>
        <v>96.116400000000027</v>
      </c>
    </row>
    <row r="70" spans="1:18">
      <c r="A70" s="41">
        <v>69</v>
      </c>
      <c r="B70" s="42">
        <f>DATE(Sintesi!$C$4-1,12,31)+A70</f>
        <v>44265</v>
      </c>
      <c r="C70" s="41">
        <f>'Paste cell here'!B70</f>
        <v>0</v>
      </c>
      <c r="D70" s="41">
        <f>'Paste cell here'!I70</f>
        <v>0</v>
      </c>
      <c r="E70" s="1">
        <f>'Paste cell here'!H70</f>
        <v>0.61157483099999999</v>
      </c>
      <c r="F70" s="1">
        <f>Sintesi!$C$5</f>
        <v>0.1</v>
      </c>
      <c r="G70" s="1">
        <f>'Paste cell here'!AA70</f>
        <v>0.9</v>
      </c>
      <c r="H70" s="43">
        <f>'Paste cell here'!U70</f>
        <v>4.770506954</v>
      </c>
      <c r="I70" s="43">
        <f>'Paste cell here'!AE70</f>
        <v>192.43584860000001</v>
      </c>
      <c r="J70" s="44">
        <f>H69*'Paste cell here'!AO70+'Paste cell here'!AF70*'Paste cell here'!AP70</f>
        <v>192.991041</v>
      </c>
      <c r="K70" s="45">
        <f>'Paste cell here'!AG70</f>
        <v>136.15644610000001</v>
      </c>
      <c r="L70" s="41" t="str">
        <f t="shared" si="5"/>
        <v>NO</v>
      </c>
      <c r="M70" s="1">
        <f>(Sintesi!$C$29*F70*1000)</f>
        <v>22.9209</v>
      </c>
      <c r="N70" s="1">
        <f>Sintesi!$C$30*F70*1000</f>
        <v>8.31</v>
      </c>
      <c r="O70" s="1">
        <f t="shared" si="3"/>
        <v>14.610899999999999</v>
      </c>
      <c r="P70" s="1">
        <f>Sintesi!$C$33*G70*1000</f>
        <v>177.29640000000003</v>
      </c>
      <c r="Q70" s="1">
        <f>Sintesi!$C$34*G70*1000</f>
        <v>81.180000000000007</v>
      </c>
      <c r="R70" s="1">
        <f t="shared" si="4"/>
        <v>96.116400000000027</v>
      </c>
    </row>
    <row r="71" spans="1:18">
      <c r="A71" s="41">
        <v>70</v>
      </c>
      <c r="B71" s="42">
        <f>DATE(Sintesi!$C$4-1,12,31)+A71</f>
        <v>44266</v>
      </c>
      <c r="C71" s="41">
        <f>'Paste cell here'!B71</f>
        <v>0</v>
      </c>
      <c r="D71" s="41">
        <f>'Paste cell here'!I71</f>
        <v>0</v>
      </c>
      <c r="E71" s="1">
        <f>'Paste cell here'!H71</f>
        <v>0.607021692</v>
      </c>
      <c r="F71" s="1">
        <f>Sintesi!$C$5</f>
        <v>0.1</v>
      </c>
      <c r="G71" s="1">
        <f>'Paste cell here'!AA71</f>
        <v>0.9</v>
      </c>
      <c r="H71" s="43">
        <f>'Paste cell here'!U71</f>
        <v>4.6991921290000001</v>
      </c>
      <c r="I71" s="43">
        <f>'Paste cell here'!AE71</f>
        <v>191.89926639999999</v>
      </c>
      <c r="J71" s="44">
        <f>H70*'Paste cell here'!AO71+'Paste cell here'!AF71*'Paste cell here'!AP71</f>
        <v>192.43584860000001</v>
      </c>
      <c r="K71" s="45">
        <f>'Paste cell here'!AG71</f>
        <v>136.46273059999999</v>
      </c>
      <c r="L71" s="41" t="str">
        <f t="shared" si="5"/>
        <v>NO</v>
      </c>
      <c r="M71" s="1">
        <f>(Sintesi!$C$29*F71*1000)</f>
        <v>22.9209</v>
      </c>
      <c r="N71" s="1">
        <f>Sintesi!$C$30*F71*1000</f>
        <v>8.31</v>
      </c>
      <c r="O71" s="1">
        <f t="shared" si="3"/>
        <v>14.610899999999999</v>
      </c>
      <c r="P71" s="1">
        <f>Sintesi!$C$33*G71*1000</f>
        <v>177.29640000000003</v>
      </c>
      <c r="Q71" s="1">
        <f>Sintesi!$C$34*G71*1000</f>
        <v>81.180000000000007</v>
      </c>
      <c r="R71" s="1">
        <f t="shared" si="4"/>
        <v>96.116400000000027</v>
      </c>
    </row>
    <row r="72" spans="1:18">
      <c r="A72" s="41">
        <v>71</v>
      </c>
      <c r="B72" s="42">
        <f>DATE(Sintesi!$C$4-1,12,31)+A72</f>
        <v>44267</v>
      </c>
      <c r="C72" s="41">
        <f>'Paste cell here'!B72</f>
        <v>0</v>
      </c>
      <c r="D72" s="41">
        <f>'Paste cell here'!I72</f>
        <v>0</v>
      </c>
      <c r="E72" s="1">
        <f>'Paste cell here'!H72</f>
        <v>0.64466115400000001</v>
      </c>
      <c r="F72" s="1">
        <f>Sintesi!$C$5</f>
        <v>0.1</v>
      </c>
      <c r="G72" s="1">
        <f>'Paste cell here'!AA72</f>
        <v>0.9</v>
      </c>
      <c r="H72" s="43">
        <f>'Paste cell here'!U72</f>
        <v>4.5999002449999997</v>
      </c>
      <c r="I72" s="43">
        <f>'Paste cell here'!AE72</f>
        <v>191.380155</v>
      </c>
      <c r="J72" s="44">
        <f>H71*'Paste cell here'!AO72+'Paste cell here'!AF72*'Paste cell here'!AP72</f>
        <v>191.89926639999999</v>
      </c>
      <c r="K72" s="45">
        <f>'Paste cell here'!AG72</f>
        <v>133.93076619999999</v>
      </c>
      <c r="L72" s="41" t="str">
        <f t="shared" si="5"/>
        <v>NO</v>
      </c>
      <c r="M72" s="1">
        <f>(Sintesi!$C$29*F72*1000)</f>
        <v>22.9209</v>
      </c>
      <c r="N72" s="1">
        <f>Sintesi!$C$30*F72*1000</f>
        <v>8.31</v>
      </c>
      <c r="O72" s="1">
        <f t="shared" si="3"/>
        <v>14.610899999999999</v>
      </c>
      <c r="P72" s="1">
        <f>Sintesi!$C$33*G72*1000</f>
        <v>177.29640000000003</v>
      </c>
      <c r="Q72" s="1">
        <f>Sintesi!$C$34*G72*1000</f>
        <v>81.180000000000007</v>
      </c>
      <c r="R72" s="1">
        <f t="shared" si="4"/>
        <v>96.116400000000027</v>
      </c>
    </row>
    <row r="73" spans="1:18">
      <c r="A73" s="41">
        <v>72</v>
      </c>
      <c r="B73" s="42">
        <f>DATE(Sintesi!$C$4-1,12,31)+A73</f>
        <v>44268</v>
      </c>
      <c r="C73" s="41">
        <f>'Paste cell here'!B73</f>
        <v>0</v>
      </c>
      <c r="D73" s="41">
        <f>'Paste cell here'!I73</f>
        <v>0</v>
      </c>
      <c r="E73" s="1">
        <f>'Paste cell here'!H73</f>
        <v>0.60930899000000005</v>
      </c>
      <c r="F73" s="1">
        <f>Sintesi!$C$5</f>
        <v>0.1</v>
      </c>
      <c r="G73" s="1">
        <f>'Paste cell here'!AA73</f>
        <v>0.9</v>
      </c>
      <c r="H73" s="43">
        <f>'Paste cell here'!U73</f>
        <v>4.5106403339999996</v>
      </c>
      <c r="I73" s="43">
        <f>'Paste cell here'!AE73</f>
        <v>190.87747419999999</v>
      </c>
      <c r="J73" s="44">
        <f>H72*'Paste cell here'!AO73+'Paste cell here'!AF73*'Paste cell here'!AP73</f>
        <v>191.380155</v>
      </c>
      <c r="K73" s="45">
        <f>'Paste cell here'!AG73</f>
        <v>136.30886670000001</v>
      </c>
      <c r="L73" s="41" t="str">
        <f t="shared" si="5"/>
        <v>NO</v>
      </c>
      <c r="M73" s="1">
        <f>(Sintesi!$C$29*F73*1000)</f>
        <v>22.9209</v>
      </c>
      <c r="N73" s="1">
        <f>Sintesi!$C$30*F73*1000</f>
        <v>8.31</v>
      </c>
      <c r="O73" s="1">
        <f t="shared" si="3"/>
        <v>14.610899999999999</v>
      </c>
      <c r="P73" s="1">
        <f>Sintesi!$C$33*G73*1000</f>
        <v>177.29640000000003</v>
      </c>
      <c r="Q73" s="1">
        <f>Sintesi!$C$34*G73*1000</f>
        <v>81.180000000000007</v>
      </c>
      <c r="R73" s="1">
        <f t="shared" si="4"/>
        <v>96.116400000000027</v>
      </c>
    </row>
    <row r="74" spans="1:18">
      <c r="A74" s="41">
        <v>73</v>
      </c>
      <c r="B74" s="42">
        <f>DATE(Sintesi!$C$4-1,12,31)+A74</f>
        <v>44269</v>
      </c>
      <c r="C74" s="41">
        <f>'Paste cell here'!B74</f>
        <v>0</v>
      </c>
      <c r="D74" s="41">
        <f>'Paste cell here'!I74</f>
        <v>0</v>
      </c>
      <c r="E74" s="1">
        <f>'Paste cell here'!H74</f>
        <v>0.59917004900000004</v>
      </c>
      <c r="F74" s="1">
        <f>Sintesi!$C$5</f>
        <v>0.1</v>
      </c>
      <c r="G74" s="1">
        <f>'Paste cell here'!AA74</f>
        <v>0.9</v>
      </c>
      <c r="H74" s="43">
        <f>'Paste cell here'!U74</f>
        <v>4.4024134940000001</v>
      </c>
      <c r="I74" s="43">
        <f>'Paste cell here'!AE74</f>
        <v>190.39027279999999</v>
      </c>
      <c r="J74" s="44">
        <f>H73*'Paste cell here'!AO74+'Paste cell here'!AF74*'Paste cell here'!AP74</f>
        <v>190.87747419999999</v>
      </c>
      <c r="K74" s="45">
        <f>'Paste cell here'!AG74</f>
        <v>136.99090190000001</v>
      </c>
      <c r="L74" s="41" t="str">
        <f t="shared" si="5"/>
        <v>NO</v>
      </c>
      <c r="M74" s="1">
        <f>(Sintesi!$C$29*F74*1000)</f>
        <v>22.9209</v>
      </c>
      <c r="N74" s="1">
        <f>Sintesi!$C$30*F74*1000</f>
        <v>8.31</v>
      </c>
      <c r="O74" s="1">
        <f t="shared" si="3"/>
        <v>14.610899999999999</v>
      </c>
      <c r="P74" s="1">
        <f>Sintesi!$C$33*G74*1000</f>
        <v>177.29640000000003</v>
      </c>
      <c r="Q74" s="1">
        <f>Sintesi!$C$34*G74*1000</f>
        <v>81.180000000000007</v>
      </c>
      <c r="R74" s="1">
        <f t="shared" si="4"/>
        <v>96.116400000000027</v>
      </c>
    </row>
    <row r="75" spans="1:18">
      <c r="A75" s="41">
        <v>74</v>
      </c>
      <c r="B75" s="42">
        <f>DATE(Sintesi!$C$4-1,12,31)+A75</f>
        <v>44270</v>
      </c>
      <c r="C75" s="41">
        <f>'Paste cell here'!B75</f>
        <v>0</v>
      </c>
      <c r="D75" s="41">
        <f>'Paste cell here'!I75</f>
        <v>0</v>
      </c>
      <c r="E75" s="1">
        <f>'Paste cell here'!H75</f>
        <v>0.53631689100000002</v>
      </c>
      <c r="F75" s="1">
        <f>Sintesi!$C$5</f>
        <v>0.1</v>
      </c>
      <c r="G75" s="1">
        <f>'Paste cell here'!AA75</f>
        <v>0.9</v>
      </c>
      <c r="H75" s="43">
        <f>'Paste cell here'!U75</f>
        <v>4.3298198650000002</v>
      </c>
      <c r="I75" s="43">
        <f>'Paste cell here'!AE75</f>
        <v>189.91767780000001</v>
      </c>
      <c r="J75" s="44">
        <f>H74*'Paste cell here'!AO75+'Paste cell here'!AF75*'Paste cell here'!AP75</f>
        <v>190.39027279999999</v>
      </c>
      <c r="K75" s="45">
        <f>'Paste cell here'!AG75</f>
        <v>141.21896340000001</v>
      </c>
      <c r="L75" s="41" t="str">
        <f t="shared" si="5"/>
        <v>NO</v>
      </c>
      <c r="M75" s="1">
        <f>(Sintesi!$C$29*F75*1000)</f>
        <v>22.9209</v>
      </c>
      <c r="N75" s="1">
        <f>Sintesi!$C$30*F75*1000</f>
        <v>8.31</v>
      </c>
      <c r="O75" s="1">
        <f t="shared" si="3"/>
        <v>14.610899999999999</v>
      </c>
      <c r="P75" s="1">
        <f>Sintesi!$C$33*G75*1000</f>
        <v>177.29640000000003</v>
      </c>
      <c r="Q75" s="1">
        <f>Sintesi!$C$34*G75*1000</f>
        <v>81.180000000000007</v>
      </c>
      <c r="R75" s="1">
        <f t="shared" si="4"/>
        <v>96.116400000000027</v>
      </c>
    </row>
    <row r="76" spans="1:18">
      <c r="A76" s="41">
        <v>75</v>
      </c>
      <c r="B76" s="42">
        <f>DATE(Sintesi!$C$4-1,12,31)+A76</f>
        <v>44271</v>
      </c>
      <c r="C76" s="41">
        <f>'Paste cell here'!B76</f>
        <v>0</v>
      </c>
      <c r="D76" s="41">
        <f>'Paste cell here'!I76</f>
        <v>0</v>
      </c>
      <c r="E76" s="1">
        <f>'Paste cell here'!H76</f>
        <v>0.543235472</v>
      </c>
      <c r="F76" s="1">
        <f>Sintesi!$C$5</f>
        <v>0.1</v>
      </c>
      <c r="G76" s="1">
        <f>'Paste cell here'!AA76</f>
        <v>0.9</v>
      </c>
      <c r="H76" s="43">
        <f>'Paste cell here'!U76</f>
        <v>4.2582035879999998</v>
      </c>
      <c r="I76" s="43">
        <f>'Paste cell here'!AE76</f>
        <v>189.4588871</v>
      </c>
      <c r="J76" s="44">
        <f>H75*'Paste cell here'!AO76+'Paste cell here'!AF76*'Paste cell here'!AP76</f>
        <v>189.91767780000001</v>
      </c>
      <c r="K76" s="45">
        <f>'Paste cell here'!AG76</f>
        <v>140.75355819999999</v>
      </c>
      <c r="L76" s="41" t="str">
        <f t="shared" si="5"/>
        <v>NO</v>
      </c>
      <c r="M76" s="1">
        <f>(Sintesi!$C$29*F76*1000)</f>
        <v>22.9209</v>
      </c>
      <c r="N76" s="1">
        <f>Sintesi!$C$30*F76*1000</f>
        <v>8.31</v>
      </c>
      <c r="O76" s="1">
        <f t="shared" si="3"/>
        <v>14.610899999999999</v>
      </c>
      <c r="P76" s="1">
        <f>Sintesi!$C$33*G76*1000</f>
        <v>177.29640000000003</v>
      </c>
      <c r="Q76" s="1">
        <f>Sintesi!$C$34*G76*1000</f>
        <v>81.180000000000007</v>
      </c>
      <c r="R76" s="1">
        <f t="shared" si="4"/>
        <v>96.116400000000027</v>
      </c>
    </row>
    <row r="77" spans="1:18">
      <c r="A77" s="41">
        <v>76</v>
      </c>
      <c r="B77" s="42">
        <f>DATE(Sintesi!$C$4-1,12,31)+A77</f>
        <v>44272</v>
      </c>
      <c r="C77" s="41">
        <f>'Paste cell here'!B77</f>
        <v>0</v>
      </c>
      <c r="D77" s="41">
        <f>'Paste cell here'!I77</f>
        <v>0</v>
      </c>
      <c r="E77" s="1">
        <f>'Paste cell here'!H77</f>
        <v>0.46150123900000001</v>
      </c>
      <c r="F77" s="1">
        <f>Sintesi!$C$5</f>
        <v>0.1</v>
      </c>
      <c r="G77" s="1">
        <f>'Paste cell here'!AA77</f>
        <v>0.9</v>
      </c>
      <c r="H77" s="43">
        <f>'Paste cell here'!U77</f>
        <v>4.2266720099999997</v>
      </c>
      <c r="I77" s="43">
        <f>'Paste cell here'!AE77</f>
        <v>189.0131614</v>
      </c>
      <c r="J77" s="44">
        <f>H76*'Paste cell here'!AO77+'Paste cell here'!AF77*'Paste cell here'!AP77</f>
        <v>189.4588871</v>
      </c>
      <c r="K77" s="45">
        <f>'Paste cell here'!AG77</f>
        <v>146.25172860000001</v>
      </c>
      <c r="L77" s="41" t="str">
        <f t="shared" si="5"/>
        <v>NO</v>
      </c>
      <c r="M77" s="1">
        <f>(Sintesi!$C$29*F77*1000)</f>
        <v>22.9209</v>
      </c>
      <c r="N77" s="1">
        <f>Sintesi!$C$30*F77*1000</f>
        <v>8.31</v>
      </c>
      <c r="O77" s="1">
        <f t="shared" si="3"/>
        <v>14.610899999999999</v>
      </c>
      <c r="P77" s="1">
        <f>Sintesi!$C$33*G77*1000</f>
        <v>177.29640000000003</v>
      </c>
      <c r="Q77" s="1">
        <f>Sintesi!$C$34*G77*1000</f>
        <v>81.180000000000007</v>
      </c>
      <c r="R77" s="1">
        <f t="shared" si="4"/>
        <v>96.116400000000027</v>
      </c>
    </row>
    <row r="78" spans="1:18">
      <c r="A78" s="41">
        <v>77</v>
      </c>
      <c r="B78" s="42">
        <f>DATE(Sintesi!$C$4-1,12,31)+A78</f>
        <v>44273</v>
      </c>
      <c r="C78" s="41">
        <f>'Paste cell here'!B78</f>
        <v>1.163617519</v>
      </c>
      <c r="D78" s="41">
        <f>'Paste cell here'!I78</f>
        <v>0</v>
      </c>
      <c r="E78" s="1">
        <f>'Paste cell here'!H78</f>
        <v>0.53578282899999996</v>
      </c>
      <c r="F78" s="1">
        <f>Sintesi!$C$5</f>
        <v>0.1</v>
      </c>
      <c r="G78" s="1">
        <f>'Paste cell here'!AA78</f>
        <v>0.9</v>
      </c>
      <c r="H78" s="43">
        <f>'Paste cell here'!U78</f>
        <v>5.2617815290000003</v>
      </c>
      <c r="I78" s="43">
        <f>'Paste cell here'!AE78</f>
        <v>188.57981810000001</v>
      </c>
      <c r="J78" s="44">
        <f>H77*'Paste cell here'!AO78+'Paste cell here'!AF78*'Paste cell here'!AP78</f>
        <v>189.0131614</v>
      </c>
      <c r="K78" s="45">
        <f>'Paste cell here'!AG78</f>
        <v>141.25488920000001</v>
      </c>
      <c r="L78" s="41" t="str">
        <f t="shared" si="5"/>
        <v>NO</v>
      </c>
      <c r="M78" s="1">
        <f>(Sintesi!$C$29*F78*1000)</f>
        <v>22.9209</v>
      </c>
      <c r="N78" s="1">
        <f>Sintesi!$C$30*F78*1000</f>
        <v>8.31</v>
      </c>
      <c r="O78" s="1">
        <f t="shared" si="3"/>
        <v>14.610899999999999</v>
      </c>
      <c r="P78" s="1">
        <f>Sintesi!$C$33*G78*1000</f>
        <v>177.29640000000003</v>
      </c>
      <c r="Q78" s="1">
        <f>Sintesi!$C$34*G78*1000</f>
        <v>81.180000000000007</v>
      </c>
      <c r="R78" s="1">
        <f t="shared" si="4"/>
        <v>96.116400000000027</v>
      </c>
    </row>
    <row r="79" spans="1:18">
      <c r="A79" s="41">
        <v>78</v>
      </c>
      <c r="B79" s="42">
        <f>DATE(Sintesi!$C$4-1,12,31)+A79</f>
        <v>44274</v>
      </c>
      <c r="C79" s="41">
        <f>'Paste cell here'!B79</f>
        <v>0</v>
      </c>
      <c r="D79" s="41">
        <f>'Paste cell here'!I79</f>
        <v>0</v>
      </c>
      <c r="E79" s="1">
        <f>'Paste cell here'!H79</f>
        <v>0.60223541700000005</v>
      </c>
      <c r="F79" s="1">
        <f>Sintesi!$C$5</f>
        <v>0.1</v>
      </c>
      <c r="G79" s="1">
        <f>'Paste cell here'!AA79</f>
        <v>0.9</v>
      </c>
      <c r="H79" s="43">
        <f>'Paste cell here'!U79</f>
        <v>5.0445558119999996</v>
      </c>
      <c r="I79" s="43">
        <f>'Paste cell here'!AE79</f>
        <v>188.1582258</v>
      </c>
      <c r="J79" s="44">
        <f>H78*'Paste cell here'!AO79+'Paste cell here'!AF79*'Paste cell here'!AP79</f>
        <v>188.57981810000001</v>
      </c>
      <c r="K79" s="45">
        <f>'Paste cell here'!AG79</f>
        <v>136.78469799999999</v>
      </c>
      <c r="L79" s="41" t="str">
        <f t="shared" si="5"/>
        <v>NO</v>
      </c>
      <c r="M79" s="1">
        <f>(Sintesi!$C$29*F79*1000)</f>
        <v>22.9209</v>
      </c>
      <c r="N79" s="1">
        <f>Sintesi!$C$30*F79*1000</f>
        <v>8.31</v>
      </c>
      <c r="O79" s="1">
        <f t="shared" si="3"/>
        <v>14.610899999999999</v>
      </c>
      <c r="P79" s="1">
        <f>Sintesi!$C$33*G79*1000</f>
        <v>177.29640000000003</v>
      </c>
      <c r="Q79" s="1">
        <f>Sintesi!$C$34*G79*1000</f>
        <v>81.180000000000007</v>
      </c>
      <c r="R79" s="1">
        <f t="shared" si="4"/>
        <v>96.116400000000027</v>
      </c>
    </row>
    <row r="80" spans="1:18">
      <c r="A80" s="41">
        <v>79</v>
      </c>
      <c r="B80" s="42">
        <f>DATE(Sintesi!$C$4-1,12,31)+A80</f>
        <v>44275</v>
      </c>
      <c r="C80" s="41">
        <f>'Paste cell here'!B80</f>
        <v>0</v>
      </c>
      <c r="D80" s="41">
        <f>'Paste cell here'!I80</f>
        <v>0</v>
      </c>
      <c r="E80" s="1">
        <f>'Paste cell here'!H80</f>
        <v>0.60155306099999994</v>
      </c>
      <c r="F80" s="1">
        <f>Sintesi!$C$5</f>
        <v>0.1</v>
      </c>
      <c r="G80" s="1">
        <f>'Paste cell here'!AA80</f>
        <v>0.9</v>
      </c>
      <c r="H80" s="43">
        <f>'Paste cell here'!U80</f>
        <v>4.8582196910000004</v>
      </c>
      <c r="I80" s="43">
        <f>'Paste cell here'!AE80</f>
        <v>187.7477993</v>
      </c>
      <c r="J80" s="44">
        <f>H79*'Paste cell here'!AO80+'Paste cell here'!AF80*'Paste cell here'!AP80</f>
        <v>188.1582258</v>
      </c>
      <c r="K80" s="45">
        <f>'Paste cell here'!AG80</f>
        <v>136.83059929999999</v>
      </c>
      <c r="L80" s="41" t="str">
        <f t="shared" si="5"/>
        <v>NO</v>
      </c>
      <c r="M80" s="1">
        <f>(Sintesi!$C$29*F80*1000)</f>
        <v>22.9209</v>
      </c>
      <c r="N80" s="1">
        <f>Sintesi!$C$30*F80*1000</f>
        <v>8.31</v>
      </c>
      <c r="O80" s="1">
        <f t="shared" si="3"/>
        <v>14.610899999999999</v>
      </c>
      <c r="P80" s="1">
        <f>Sintesi!$C$33*G80*1000</f>
        <v>177.29640000000003</v>
      </c>
      <c r="Q80" s="1">
        <f>Sintesi!$C$34*G80*1000</f>
        <v>81.180000000000007</v>
      </c>
      <c r="R80" s="1">
        <f t="shared" si="4"/>
        <v>96.116400000000027</v>
      </c>
    </row>
    <row r="81" spans="1:18">
      <c r="A81" s="41">
        <v>80</v>
      </c>
      <c r="B81" s="42">
        <f>DATE(Sintesi!$C$4-1,12,31)+A81</f>
        <v>44276</v>
      </c>
      <c r="C81" s="41">
        <f>'Paste cell here'!B81</f>
        <v>0</v>
      </c>
      <c r="D81" s="41">
        <f>'Paste cell here'!I81</f>
        <v>0</v>
      </c>
      <c r="E81" s="1">
        <f>'Paste cell here'!H81</f>
        <v>0.59412684400000004</v>
      </c>
      <c r="F81" s="1">
        <f>Sintesi!$C$5</f>
        <v>0.1</v>
      </c>
      <c r="G81" s="1">
        <f>'Paste cell here'!AA81</f>
        <v>0.9</v>
      </c>
      <c r="H81" s="43">
        <f>'Paste cell here'!U81</f>
        <v>4.7221385409999996</v>
      </c>
      <c r="I81" s="43">
        <f>'Paste cell here'!AE81</f>
        <v>187.347995</v>
      </c>
      <c r="J81" s="44">
        <f>H80*'Paste cell here'!AO81+'Paste cell here'!AF81*'Paste cell here'!AP81</f>
        <v>187.7477993</v>
      </c>
      <c r="K81" s="45">
        <f>'Paste cell here'!AG81</f>
        <v>137.33015259999999</v>
      </c>
      <c r="L81" s="41" t="str">
        <f t="shared" si="5"/>
        <v>NO</v>
      </c>
      <c r="M81" s="1">
        <f>(Sintesi!$C$29*F81*1000)</f>
        <v>22.9209</v>
      </c>
      <c r="N81" s="1">
        <f>Sintesi!$C$30*F81*1000</f>
        <v>8.31</v>
      </c>
      <c r="O81" s="1">
        <f t="shared" si="3"/>
        <v>14.610899999999999</v>
      </c>
      <c r="P81" s="1">
        <f>Sintesi!$C$33*G81*1000</f>
        <v>177.29640000000003</v>
      </c>
      <c r="Q81" s="1">
        <f>Sintesi!$C$34*G81*1000</f>
        <v>81.180000000000007</v>
      </c>
      <c r="R81" s="1">
        <f t="shared" si="4"/>
        <v>96.116400000000027</v>
      </c>
    </row>
    <row r="82" spans="1:18">
      <c r="A82" s="41">
        <v>81</v>
      </c>
      <c r="B82" s="42">
        <f>DATE(Sintesi!$C$4-1,12,31)+A82</f>
        <v>44277</v>
      </c>
      <c r="C82" s="41">
        <f>'Paste cell here'!B82</f>
        <v>0</v>
      </c>
      <c r="D82" s="41">
        <f>'Paste cell here'!I82</f>
        <v>0</v>
      </c>
      <c r="E82" s="1">
        <f>'Paste cell here'!H82</f>
        <v>0.60314057799999998</v>
      </c>
      <c r="F82" s="1">
        <f>Sintesi!$C$5</f>
        <v>0.1</v>
      </c>
      <c r="G82" s="1">
        <f>'Paste cell here'!AA82</f>
        <v>0.9</v>
      </c>
      <c r="H82" s="43">
        <f>'Paste cell here'!U82</f>
        <v>4.5877206060000004</v>
      </c>
      <c r="I82" s="43">
        <f>'Paste cell here'!AE82</f>
        <v>186.95830770000001</v>
      </c>
      <c r="J82" s="44">
        <f>H81*'Paste cell here'!AO82+'Paste cell here'!AF82*'Paste cell here'!AP82</f>
        <v>187.347995</v>
      </c>
      <c r="K82" s="45">
        <f>'Paste cell here'!AG82</f>
        <v>136.7238088</v>
      </c>
      <c r="L82" s="41" t="str">
        <f t="shared" si="5"/>
        <v>NO</v>
      </c>
      <c r="M82" s="1">
        <f>(Sintesi!$C$29*F82*1000)</f>
        <v>22.9209</v>
      </c>
      <c r="N82" s="1">
        <f>Sintesi!$C$30*F82*1000</f>
        <v>8.31</v>
      </c>
      <c r="O82" s="1">
        <f t="shared" si="3"/>
        <v>14.610899999999999</v>
      </c>
      <c r="P82" s="1">
        <f>Sintesi!$C$33*G82*1000</f>
        <v>177.29640000000003</v>
      </c>
      <c r="Q82" s="1">
        <f>Sintesi!$C$34*G82*1000</f>
        <v>81.180000000000007</v>
      </c>
      <c r="R82" s="1">
        <f t="shared" si="4"/>
        <v>96.116400000000027</v>
      </c>
    </row>
    <row r="83" spans="1:18">
      <c r="A83" s="41">
        <v>82</v>
      </c>
      <c r="B83" s="42">
        <f>DATE(Sintesi!$C$4-1,12,31)+A83</f>
        <v>44278</v>
      </c>
      <c r="C83" s="41">
        <f>'Paste cell here'!B83</f>
        <v>0</v>
      </c>
      <c r="D83" s="41">
        <f>'Paste cell here'!I83</f>
        <v>0</v>
      </c>
      <c r="E83" s="1">
        <f>'Paste cell here'!H83</f>
        <v>0.57816716700000004</v>
      </c>
      <c r="F83" s="1">
        <f>Sintesi!$C$5</f>
        <v>0.1</v>
      </c>
      <c r="G83" s="1">
        <f>'Paste cell here'!AA83</f>
        <v>0.9</v>
      </c>
      <c r="H83" s="43">
        <f>'Paste cell here'!U83</f>
        <v>4.477644186</v>
      </c>
      <c r="I83" s="43">
        <f>'Paste cell here'!AE83</f>
        <v>186.5782663</v>
      </c>
      <c r="J83" s="44">
        <f>H82*'Paste cell here'!AO83+'Paste cell here'!AF83*'Paste cell here'!AP83</f>
        <v>186.95830770000001</v>
      </c>
      <c r="K83" s="45">
        <f>'Paste cell here'!AG83</f>
        <v>138.40374220000001</v>
      </c>
      <c r="L83" s="41" t="str">
        <f t="shared" si="5"/>
        <v>NO</v>
      </c>
      <c r="M83" s="1">
        <f>(Sintesi!$C$29*F83*1000)</f>
        <v>22.9209</v>
      </c>
      <c r="N83" s="1">
        <f>Sintesi!$C$30*F83*1000</f>
        <v>8.31</v>
      </c>
      <c r="O83" s="1">
        <f t="shared" si="3"/>
        <v>14.610899999999999</v>
      </c>
      <c r="P83" s="1">
        <f>Sintesi!$C$33*G83*1000</f>
        <v>177.29640000000003</v>
      </c>
      <c r="Q83" s="1">
        <f>Sintesi!$C$34*G83*1000</f>
        <v>81.180000000000007</v>
      </c>
      <c r="R83" s="1">
        <f t="shared" si="4"/>
        <v>96.116400000000027</v>
      </c>
    </row>
    <row r="84" spans="1:18">
      <c r="A84" s="41">
        <v>83</v>
      </c>
      <c r="B84" s="42">
        <f>DATE(Sintesi!$C$4-1,12,31)+A84</f>
        <v>44279</v>
      </c>
      <c r="C84" s="41">
        <f>'Paste cell here'!B84</f>
        <v>0</v>
      </c>
      <c r="D84" s="41">
        <f>'Paste cell here'!I84</f>
        <v>0</v>
      </c>
      <c r="E84" s="1">
        <f>'Paste cell here'!H84</f>
        <v>0.56773429799999997</v>
      </c>
      <c r="F84" s="1">
        <f>Sintesi!$C$5</f>
        <v>0.1</v>
      </c>
      <c r="G84" s="1">
        <f>'Paste cell here'!AA84</f>
        <v>0.9</v>
      </c>
      <c r="H84" s="43">
        <f>'Paste cell here'!U84</f>
        <v>4.3990268180000003</v>
      </c>
      <c r="I84" s="43">
        <f>'Paste cell here'!AE84</f>
        <v>186.20743139999999</v>
      </c>
      <c r="J84" s="44">
        <f>H83*'Paste cell here'!AO84+'Paste cell here'!AF84*'Paste cell here'!AP84</f>
        <v>186.5782663</v>
      </c>
      <c r="K84" s="45">
        <f>'Paste cell here'!AG84</f>
        <v>139.10554970000001</v>
      </c>
      <c r="L84" s="41" t="str">
        <f t="shared" si="5"/>
        <v>NO</v>
      </c>
      <c r="M84" s="1">
        <f>(Sintesi!$C$29*F84*1000)</f>
        <v>22.9209</v>
      </c>
      <c r="N84" s="1">
        <f>Sintesi!$C$30*F84*1000</f>
        <v>8.31</v>
      </c>
      <c r="O84" s="1">
        <f t="shared" si="3"/>
        <v>14.610899999999999</v>
      </c>
      <c r="P84" s="1">
        <f>Sintesi!$C$33*G84*1000</f>
        <v>177.29640000000003</v>
      </c>
      <c r="Q84" s="1">
        <f>Sintesi!$C$34*G84*1000</f>
        <v>81.180000000000007</v>
      </c>
      <c r="R84" s="1">
        <f t="shared" si="4"/>
        <v>96.116400000000027</v>
      </c>
    </row>
    <row r="85" spans="1:18">
      <c r="A85" s="41">
        <v>84</v>
      </c>
      <c r="B85" s="42">
        <f>DATE(Sintesi!$C$4-1,12,31)+A85</f>
        <v>44280</v>
      </c>
      <c r="C85" s="41">
        <f>'Paste cell here'!B85</f>
        <v>0</v>
      </c>
      <c r="D85" s="41">
        <f>'Paste cell here'!I85</f>
        <v>0</v>
      </c>
      <c r="E85" s="1">
        <f>'Paste cell here'!H85</f>
        <v>0.57420910800000002</v>
      </c>
      <c r="F85" s="1">
        <f>Sintesi!$C$5</f>
        <v>0.1</v>
      </c>
      <c r="G85" s="1">
        <f>'Paste cell here'!AA85</f>
        <v>0.9</v>
      </c>
      <c r="H85" s="43">
        <f>'Paste cell here'!U85</f>
        <v>4.3377023929999998</v>
      </c>
      <c r="I85" s="43">
        <f>'Paste cell here'!AE85</f>
        <v>185.84539240000001</v>
      </c>
      <c r="J85" s="44">
        <f>H84*'Paste cell here'!AO85+'Paste cell here'!AF85*'Paste cell here'!AP85</f>
        <v>186.20743139999999</v>
      </c>
      <c r="K85" s="45">
        <f>'Paste cell here'!AG85</f>
        <v>138.6699964</v>
      </c>
      <c r="L85" s="41" t="str">
        <f t="shared" si="5"/>
        <v>NO</v>
      </c>
      <c r="M85" s="1">
        <f>(Sintesi!$C$29*F85*1000)</f>
        <v>22.9209</v>
      </c>
      <c r="N85" s="1">
        <f>Sintesi!$C$30*F85*1000</f>
        <v>8.31</v>
      </c>
      <c r="O85" s="1">
        <f t="shared" si="3"/>
        <v>14.610899999999999</v>
      </c>
      <c r="P85" s="1">
        <f>Sintesi!$C$33*G85*1000</f>
        <v>177.29640000000003</v>
      </c>
      <c r="Q85" s="1">
        <f>Sintesi!$C$34*G85*1000</f>
        <v>81.180000000000007</v>
      </c>
      <c r="R85" s="1">
        <f t="shared" si="4"/>
        <v>96.116400000000027</v>
      </c>
    </row>
    <row r="86" spans="1:18">
      <c r="A86" s="41">
        <v>85</v>
      </c>
      <c r="B86" s="42">
        <f>DATE(Sintesi!$C$4-1,12,31)+A86</f>
        <v>44281</v>
      </c>
      <c r="C86" s="41">
        <f>'Paste cell here'!B86</f>
        <v>0</v>
      </c>
      <c r="D86" s="41">
        <f>'Paste cell here'!I86</f>
        <v>0</v>
      </c>
      <c r="E86" s="1">
        <f>'Paste cell here'!H86</f>
        <v>0.56968185900000001</v>
      </c>
      <c r="F86" s="1">
        <f>Sintesi!$C$5</f>
        <v>0.1</v>
      </c>
      <c r="G86" s="1">
        <f>'Paste cell here'!AA86</f>
        <v>0.9</v>
      </c>
      <c r="H86" s="43">
        <f>'Paste cell here'!U86</f>
        <v>4.2930599599999999</v>
      </c>
      <c r="I86" s="43">
        <f>'Paste cell here'!AE86</f>
        <v>185.49176510000001</v>
      </c>
      <c r="J86" s="44">
        <f>H85*'Paste cell here'!AO86+'Paste cell here'!AF86*'Paste cell here'!AP86</f>
        <v>185.84539240000001</v>
      </c>
      <c r="K86" s="45">
        <f>'Paste cell here'!AG86</f>
        <v>138.9745394</v>
      </c>
      <c r="L86" s="41" t="str">
        <f t="shared" si="5"/>
        <v>NO</v>
      </c>
      <c r="M86" s="1">
        <f>(Sintesi!$C$29*F86*1000)</f>
        <v>22.9209</v>
      </c>
      <c r="N86" s="1">
        <f>Sintesi!$C$30*F86*1000</f>
        <v>8.31</v>
      </c>
      <c r="O86" s="1">
        <f t="shared" si="3"/>
        <v>14.610899999999999</v>
      </c>
      <c r="P86" s="1">
        <f>Sintesi!$C$33*G86*1000</f>
        <v>177.29640000000003</v>
      </c>
      <c r="Q86" s="1">
        <f>Sintesi!$C$34*G86*1000</f>
        <v>81.180000000000007</v>
      </c>
      <c r="R86" s="1">
        <f t="shared" si="4"/>
        <v>96.116400000000027</v>
      </c>
    </row>
    <row r="87" spans="1:18">
      <c r="A87" s="41">
        <v>86</v>
      </c>
      <c r="B87" s="42">
        <f>DATE(Sintesi!$C$4-1,12,31)+A87</f>
        <v>44282</v>
      </c>
      <c r="C87" s="41">
        <f>'Paste cell here'!B87</f>
        <v>0</v>
      </c>
      <c r="D87" s="41">
        <f>'Paste cell here'!I87</f>
        <v>0</v>
      </c>
      <c r="E87" s="1">
        <f>'Paste cell here'!H87</f>
        <v>0.57408849699999998</v>
      </c>
      <c r="F87" s="1">
        <f>Sintesi!$C$5</f>
        <v>0.1</v>
      </c>
      <c r="G87" s="1">
        <f>'Paste cell here'!AA87</f>
        <v>0.9</v>
      </c>
      <c r="H87" s="43">
        <f>'Paste cell here'!U87</f>
        <v>4.2704786260000001</v>
      </c>
      <c r="I87" s="43">
        <f>'Paste cell here'!AE87</f>
        <v>185.14618909999999</v>
      </c>
      <c r="J87" s="44">
        <f>H86*'Paste cell here'!AO87+'Paste cell here'!AF87*'Paste cell here'!AP87</f>
        <v>185.49176510000001</v>
      </c>
      <c r="K87" s="45">
        <f>'Paste cell here'!AG87</f>
        <v>138.67810979999999</v>
      </c>
      <c r="L87" s="41" t="str">
        <f t="shared" si="5"/>
        <v>NO</v>
      </c>
      <c r="M87" s="1">
        <f>(Sintesi!$C$29*F87*1000)</f>
        <v>22.9209</v>
      </c>
      <c r="N87" s="1">
        <f>Sintesi!$C$30*F87*1000</f>
        <v>8.31</v>
      </c>
      <c r="O87" s="1">
        <f t="shared" si="3"/>
        <v>14.610899999999999</v>
      </c>
      <c r="P87" s="1">
        <f>Sintesi!$C$33*G87*1000</f>
        <v>177.29640000000003</v>
      </c>
      <c r="Q87" s="1">
        <f>Sintesi!$C$34*G87*1000</f>
        <v>81.180000000000007</v>
      </c>
      <c r="R87" s="1">
        <f t="shared" si="4"/>
        <v>96.116400000000027</v>
      </c>
    </row>
    <row r="88" spans="1:18">
      <c r="A88" s="41">
        <v>87</v>
      </c>
      <c r="B88" s="42">
        <f>DATE(Sintesi!$C$4-1,12,31)+A88</f>
        <v>44283</v>
      </c>
      <c r="C88" s="41">
        <f>'Paste cell here'!B88</f>
        <v>0</v>
      </c>
      <c r="D88" s="41">
        <f>'Paste cell here'!I88</f>
        <v>0</v>
      </c>
      <c r="E88" s="1">
        <f>'Paste cell here'!H88</f>
        <v>0.61937170900000005</v>
      </c>
      <c r="F88" s="1">
        <f>Sintesi!$C$5</f>
        <v>0.1</v>
      </c>
      <c r="G88" s="1">
        <f>'Paste cell here'!AA88</f>
        <v>0.9</v>
      </c>
      <c r="H88" s="43">
        <f>'Paste cell here'!U88</f>
        <v>4.2421878279999996</v>
      </c>
      <c r="I88" s="43">
        <f>'Paste cell here'!AE88</f>
        <v>184.8083268</v>
      </c>
      <c r="J88" s="44">
        <f>H87*'Paste cell here'!AO88+'Paste cell here'!AF88*'Paste cell here'!AP88</f>
        <v>185.14618909999999</v>
      </c>
      <c r="K88" s="45">
        <f>'Paste cell here'!AG88</f>
        <v>135.63195880000001</v>
      </c>
      <c r="L88" s="41" t="str">
        <f t="shared" si="5"/>
        <v>NO</v>
      </c>
      <c r="M88" s="1">
        <f>(Sintesi!$C$29*F88*1000)</f>
        <v>22.9209</v>
      </c>
      <c r="N88" s="1">
        <f>Sintesi!$C$30*F88*1000</f>
        <v>8.31</v>
      </c>
      <c r="O88" s="1">
        <f t="shared" si="3"/>
        <v>14.610899999999999</v>
      </c>
      <c r="P88" s="1">
        <f>Sintesi!$C$33*G88*1000</f>
        <v>177.29640000000003</v>
      </c>
      <c r="Q88" s="1">
        <f>Sintesi!$C$34*G88*1000</f>
        <v>81.180000000000007</v>
      </c>
      <c r="R88" s="1">
        <f t="shared" si="4"/>
        <v>96.116400000000027</v>
      </c>
    </row>
    <row r="89" spans="1:18">
      <c r="A89" s="41">
        <v>88</v>
      </c>
      <c r="B89" s="42">
        <f>DATE(Sintesi!$C$4-1,12,31)+A89</f>
        <v>44284</v>
      </c>
      <c r="C89" s="41">
        <f>'Paste cell here'!B89</f>
        <v>0</v>
      </c>
      <c r="D89" s="41">
        <f>'Paste cell here'!I89</f>
        <v>0</v>
      </c>
      <c r="E89" s="1">
        <f>'Paste cell here'!H89</f>
        <v>0.57325796500000004</v>
      </c>
      <c r="F89" s="1">
        <f>Sintesi!$C$5</f>
        <v>0.1</v>
      </c>
      <c r="G89" s="1">
        <f>'Paste cell here'!AA89</f>
        <v>0.9</v>
      </c>
      <c r="H89" s="43">
        <f>'Paste cell here'!U89</f>
        <v>4.2182628160000002</v>
      </c>
      <c r="I89" s="43">
        <f>'Paste cell here'!AE89</f>
        <v>184.4778604</v>
      </c>
      <c r="J89" s="44">
        <f>H88*'Paste cell here'!AO89+'Paste cell here'!AF89*'Paste cell here'!AP89</f>
        <v>184.8083268</v>
      </c>
      <c r="K89" s="45">
        <f>'Paste cell here'!AG89</f>
        <v>138.73397869999999</v>
      </c>
      <c r="L89" s="41" t="str">
        <f t="shared" si="5"/>
        <v>NO</v>
      </c>
      <c r="M89" s="1">
        <f>(Sintesi!$C$29*F89*1000)</f>
        <v>22.9209</v>
      </c>
      <c r="N89" s="1">
        <f>Sintesi!$C$30*F89*1000</f>
        <v>8.31</v>
      </c>
      <c r="O89" s="1">
        <f t="shared" si="3"/>
        <v>14.610899999999999</v>
      </c>
      <c r="P89" s="1">
        <f>Sintesi!$C$33*G89*1000</f>
        <v>177.29640000000003</v>
      </c>
      <c r="Q89" s="1">
        <f>Sintesi!$C$34*G89*1000</f>
        <v>81.180000000000007</v>
      </c>
      <c r="R89" s="1">
        <f t="shared" si="4"/>
        <v>96.116400000000027</v>
      </c>
    </row>
    <row r="90" spans="1:18">
      <c r="A90" s="41">
        <v>89</v>
      </c>
      <c r="B90" s="42">
        <f>DATE(Sintesi!$C$4-1,12,31)+A90</f>
        <v>44285</v>
      </c>
      <c r="C90" s="41">
        <f>'Paste cell here'!B90</f>
        <v>0</v>
      </c>
      <c r="D90" s="41">
        <f>'Paste cell here'!I90</f>
        <v>0</v>
      </c>
      <c r="E90" s="1">
        <f>'Paste cell here'!H90</f>
        <v>0.55500652800000005</v>
      </c>
      <c r="F90" s="1">
        <f>Sintesi!$C$5</f>
        <v>0.1</v>
      </c>
      <c r="G90" s="1">
        <f>'Paste cell here'!AA90</f>
        <v>0.9</v>
      </c>
      <c r="H90" s="43">
        <f>'Paste cell here'!U90</f>
        <v>4.1993413950000003</v>
      </c>
      <c r="I90" s="43">
        <f>'Paste cell here'!AE90</f>
        <v>184.15449129999999</v>
      </c>
      <c r="J90" s="44">
        <f>H89*'Paste cell here'!AO90+'Paste cell here'!AF90*'Paste cell here'!AP90</f>
        <v>184.4778604</v>
      </c>
      <c r="K90" s="45">
        <f>'Paste cell here'!AG90</f>
        <v>139.96173239999999</v>
      </c>
      <c r="L90" s="41" t="str">
        <f t="shared" si="5"/>
        <v>NO</v>
      </c>
      <c r="M90" s="1">
        <f>(Sintesi!$C$29*F90*1000)</f>
        <v>22.9209</v>
      </c>
      <c r="N90" s="1">
        <f>Sintesi!$C$30*F90*1000</f>
        <v>8.31</v>
      </c>
      <c r="O90" s="1">
        <f t="shared" si="3"/>
        <v>14.610899999999999</v>
      </c>
      <c r="P90" s="1">
        <f>Sintesi!$C$33*G90*1000</f>
        <v>177.29640000000003</v>
      </c>
      <c r="Q90" s="1">
        <f>Sintesi!$C$34*G90*1000</f>
        <v>81.180000000000007</v>
      </c>
      <c r="R90" s="1">
        <f t="shared" si="4"/>
        <v>96.116400000000027</v>
      </c>
    </row>
    <row r="91" spans="1:18">
      <c r="A91" s="41">
        <v>90</v>
      </c>
      <c r="B91" s="42">
        <f>DATE(Sintesi!$C$4-1,12,31)+A91</f>
        <v>44286</v>
      </c>
      <c r="C91" s="41">
        <f>'Paste cell here'!B91</f>
        <v>0</v>
      </c>
      <c r="D91" s="41">
        <f>'Paste cell here'!I91</f>
        <v>0</v>
      </c>
      <c r="E91" s="1">
        <f>'Paste cell here'!H91</f>
        <v>0.53867558599999998</v>
      </c>
      <c r="F91" s="1">
        <f>Sintesi!$C$5</f>
        <v>0.1</v>
      </c>
      <c r="G91" s="1">
        <f>'Paste cell here'!AA91</f>
        <v>0.9</v>
      </c>
      <c r="H91" s="43">
        <f>'Paste cell here'!U91</f>
        <v>4.1856596980000003</v>
      </c>
      <c r="I91" s="43">
        <f>'Paste cell here'!AE91</f>
        <v>183.8379382</v>
      </c>
      <c r="J91" s="44">
        <f>H90*'Paste cell here'!AO91+'Paste cell here'!AF91*'Paste cell here'!AP91</f>
        <v>184.15449129999999</v>
      </c>
      <c r="K91" s="45">
        <f>'Paste cell here'!AG91</f>
        <v>141.06029659999999</v>
      </c>
      <c r="L91" s="41" t="str">
        <f t="shared" si="5"/>
        <v>NO</v>
      </c>
      <c r="M91" s="1">
        <f>(Sintesi!$C$29*F91*1000)</f>
        <v>22.9209</v>
      </c>
      <c r="N91" s="1">
        <f>Sintesi!$C$30*F91*1000</f>
        <v>8.31</v>
      </c>
      <c r="O91" s="1">
        <f t="shared" si="3"/>
        <v>14.610899999999999</v>
      </c>
      <c r="P91" s="1">
        <f>Sintesi!$C$33*G91*1000</f>
        <v>177.29640000000003</v>
      </c>
      <c r="Q91" s="1">
        <f>Sintesi!$C$34*G91*1000</f>
        <v>81.180000000000007</v>
      </c>
      <c r="R91" s="1">
        <f t="shared" si="4"/>
        <v>96.116400000000027</v>
      </c>
    </row>
    <row r="92" spans="1:18">
      <c r="A92" s="41">
        <v>91</v>
      </c>
      <c r="B92" s="42">
        <f>DATE(Sintesi!$C$4-1,12,31)+A92</f>
        <v>44287</v>
      </c>
      <c r="C92" s="41">
        <f>'Paste cell here'!B92</f>
        <v>0</v>
      </c>
      <c r="D92" s="41">
        <f>'Paste cell here'!I92</f>
        <v>0</v>
      </c>
      <c r="E92" s="1">
        <f>'Paste cell here'!H92</f>
        <v>0.53122374800000005</v>
      </c>
      <c r="F92" s="1">
        <f>Sintesi!$C$5</f>
        <v>0.1</v>
      </c>
      <c r="G92" s="1">
        <f>'Paste cell here'!AA92</f>
        <v>0.9</v>
      </c>
      <c r="H92" s="43">
        <f>'Paste cell here'!U92</f>
        <v>4.1752455670000002</v>
      </c>
      <c r="I92" s="43">
        <f>'Paste cell here'!AE92</f>
        <v>183.52793600000001</v>
      </c>
      <c r="J92" s="44">
        <f>H91*'Paste cell here'!AO92+'Paste cell here'!AF92*'Paste cell here'!AP92</f>
        <v>183.8379382</v>
      </c>
      <c r="K92" s="45">
        <f>'Paste cell here'!AG92</f>
        <v>141.56157339999999</v>
      </c>
      <c r="L92" s="41" t="str">
        <f t="shared" si="5"/>
        <v>NO</v>
      </c>
      <c r="M92" s="1">
        <f>(Sintesi!$C$29*F92*1000)</f>
        <v>22.9209</v>
      </c>
      <c r="N92" s="1">
        <f>Sintesi!$C$30*F92*1000</f>
        <v>8.31</v>
      </c>
      <c r="O92" s="1">
        <f t="shared" si="3"/>
        <v>14.610899999999999</v>
      </c>
      <c r="P92" s="1">
        <f>Sintesi!$C$33*G92*1000</f>
        <v>177.29640000000003</v>
      </c>
      <c r="Q92" s="1">
        <f>Sintesi!$C$34*G92*1000</f>
        <v>81.180000000000007</v>
      </c>
      <c r="R92" s="1">
        <f t="shared" si="4"/>
        <v>96.116400000000027</v>
      </c>
    </row>
    <row r="93" spans="1:18">
      <c r="A93" s="41">
        <v>92</v>
      </c>
      <c r="B93" s="42">
        <f>DATE(Sintesi!$C$4-1,12,31)+A93</f>
        <v>44288</v>
      </c>
      <c r="C93" s="41">
        <f>'Paste cell here'!B93</f>
        <v>0</v>
      </c>
      <c r="D93" s="41">
        <f>'Paste cell here'!I93</f>
        <v>0</v>
      </c>
      <c r="E93" s="1">
        <f>'Paste cell here'!H93</f>
        <v>0.50796950200000002</v>
      </c>
      <c r="F93" s="1">
        <f>Sintesi!$C$5</f>
        <v>0.1</v>
      </c>
      <c r="G93" s="1">
        <f>'Paste cell here'!AA93</f>
        <v>0.9</v>
      </c>
      <c r="H93" s="43">
        <f>'Paste cell here'!U93</f>
        <v>4.1677847249999997</v>
      </c>
      <c r="I93" s="43">
        <f>'Paste cell here'!AE93</f>
        <v>183.22423409999999</v>
      </c>
      <c r="J93" s="44">
        <f>H92*'Paste cell here'!AO93+'Paste cell here'!AF93*'Paste cell here'!AP93</f>
        <v>183.52793600000001</v>
      </c>
      <c r="K93" s="45">
        <f>'Paste cell here'!AG93</f>
        <v>143.12586049999999</v>
      </c>
      <c r="L93" s="41" t="str">
        <f t="shared" si="5"/>
        <v>NO</v>
      </c>
      <c r="M93" s="1">
        <f>(Sintesi!$C$29*F93*1000)</f>
        <v>22.9209</v>
      </c>
      <c r="N93" s="1">
        <f>Sintesi!$C$30*F93*1000</f>
        <v>8.31</v>
      </c>
      <c r="O93" s="1">
        <f t="shared" si="3"/>
        <v>14.610899999999999</v>
      </c>
      <c r="P93" s="1">
        <f>Sintesi!$C$33*G93*1000</f>
        <v>177.29640000000003</v>
      </c>
      <c r="Q93" s="1">
        <f>Sintesi!$C$34*G93*1000</f>
        <v>81.180000000000007</v>
      </c>
      <c r="R93" s="1">
        <f t="shared" si="4"/>
        <v>96.116400000000027</v>
      </c>
    </row>
    <row r="94" spans="1:18">
      <c r="A94" s="41">
        <v>93</v>
      </c>
      <c r="B94" s="42">
        <f>DATE(Sintesi!$C$4-1,12,31)+A94</f>
        <v>44289</v>
      </c>
      <c r="C94" s="41">
        <f>'Paste cell here'!B94</f>
        <v>0</v>
      </c>
      <c r="D94" s="41">
        <f>'Paste cell here'!I94</f>
        <v>0</v>
      </c>
      <c r="E94" s="1">
        <f>'Paste cell here'!H94</f>
        <v>0.48284470899999998</v>
      </c>
      <c r="F94" s="1">
        <f>Sintesi!$C$5</f>
        <v>0.1</v>
      </c>
      <c r="G94" s="1">
        <f>'Paste cell here'!AA94</f>
        <v>0.2</v>
      </c>
      <c r="H94" s="43">
        <f>'Paste cell here'!U94</f>
        <v>4.1640917140000004</v>
      </c>
      <c r="I94" s="43">
        <f>'Paste cell here'!AE94</f>
        <v>40.162444190000002</v>
      </c>
      <c r="J94" s="44">
        <f>H93*'Paste cell here'!AO94+'Paste cell here'!AF94*'Paste cell here'!AP94</f>
        <v>40.716496460000002</v>
      </c>
      <c r="K94" s="45">
        <f>'Paste cell here'!AG94</f>
        <v>32.181328270000002</v>
      </c>
      <c r="L94" s="41" t="str">
        <f t="shared" si="5"/>
        <v>NO</v>
      </c>
      <c r="M94" s="1">
        <f>(Sintesi!$C$29*F94*1000)</f>
        <v>22.9209</v>
      </c>
      <c r="N94" s="1">
        <f>Sintesi!$C$30*F94*1000</f>
        <v>8.31</v>
      </c>
      <c r="O94" s="1">
        <f t="shared" si="3"/>
        <v>14.610899999999999</v>
      </c>
      <c r="P94" s="1">
        <f>Sintesi!$C$33*G94*1000</f>
        <v>39.3992</v>
      </c>
      <c r="Q94" s="1">
        <f>Sintesi!$C$34*G94*1000</f>
        <v>18.04</v>
      </c>
      <c r="R94" s="1">
        <f t="shared" si="4"/>
        <v>21.359200000000001</v>
      </c>
    </row>
    <row r="95" spans="1:18">
      <c r="A95" s="41">
        <v>94</v>
      </c>
      <c r="B95" s="42">
        <f>DATE(Sintesi!$C$4-1,12,31)+A95</f>
        <v>44290</v>
      </c>
      <c r="C95" s="41">
        <f>'Paste cell here'!B95</f>
        <v>0</v>
      </c>
      <c r="D95" s="41">
        <f>'Paste cell here'!I95</f>
        <v>0</v>
      </c>
      <c r="E95" s="1">
        <f>'Paste cell here'!H95</f>
        <v>0.52221524799999997</v>
      </c>
      <c r="F95" s="1">
        <f>Sintesi!$C$5</f>
        <v>0.1</v>
      </c>
      <c r="G95" s="1">
        <f>'Paste cell here'!AA95</f>
        <v>0.2</v>
      </c>
      <c r="H95" s="43">
        <f>'Paste cell here'!U95</f>
        <v>4.161916433</v>
      </c>
      <c r="I95" s="43">
        <f>'Paste cell here'!AE95</f>
        <v>39.443789430000002</v>
      </c>
      <c r="J95" s="44">
        <f>H94*'Paste cell here'!AO95+'Paste cell here'!AF95*'Paste cell here'!AP95</f>
        <v>40.162444190000002</v>
      </c>
      <c r="K95" s="45">
        <f>'Paste cell here'!AG95</f>
        <v>31.59279226</v>
      </c>
      <c r="L95" s="41" t="str">
        <f t="shared" si="5"/>
        <v>NO</v>
      </c>
      <c r="M95" s="1">
        <f>(Sintesi!$C$29*F95*1000)</f>
        <v>22.9209</v>
      </c>
      <c r="N95" s="1">
        <f>Sintesi!$C$30*F95*1000</f>
        <v>8.31</v>
      </c>
      <c r="O95" s="1">
        <f t="shared" si="3"/>
        <v>14.610899999999999</v>
      </c>
      <c r="P95" s="1">
        <f>Sintesi!$C$33*G95*1000</f>
        <v>39.3992</v>
      </c>
      <c r="Q95" s="1">
        <f>Sintesi!$C$34*G95*1000</f>
        <v>18.04</v>
      </c>
      <c r="R95" s="1">
        <f t="shared" si="4"/>
        <v>21.359200000000001</v>
      </c>
    </row>
    <row r="96" spans="1:18">
      <c r="A96" s="41">
        <v>95</v>
      </c>
      <c r="B96" s="42">
        <f>DATE(Sintesi!$C$4-1,12,31)+A96</f>
        <v>44291</v>
      </c>
      <c r="C96" s="41">
        <f>'Paste cell here'!B96</f>
        <v>0</v>
      </c>
      <c r="D96" s="41">
        <f>'Paste cell here'!I96</f>
        <v>0</v>
      </c>
      <c r="E96" s="1">
        <f>'Paste cell here'!H96</f>
        <v>0.54160819199999999</v>
      </c>
      <c r="F96" s="1">
        <f>Sintesi!$C$5</f>
        <v>0.1</v>
      </c>
      <c r="G96" s="1">
        <f>'Paste cell here'!AA96</f>
        <v>0.20699999999999999</v>
      </c>
      <c r="H96" s="43">
        <f>'Paste cell here'!U96</f>
        <v>4.1603241090000003</v>
      </c>
      <c r="I96" s="43">
        <f>'Paste cell here'!AE96</f>
        <v>40.15103526</v>
      </c>
      <c r="J96" s="44">
        <f>H95*'Paste cell here'!AO96+'Paste cell here'!AF96*'Paste cell here'!AP96</f>
        <v>40.82276143</v>
      </c>
      <c r="K96" s="45">
        <f>'Paste cell here'!AG96</f>
        <v>32.398495410000002</v>
      </c>
      <c r="L96" s="41" t="str">
        <f t="shared" si="5"/>
        <v>NO</v>
      </c>
      <c r="M96" s="1">
        <f>(Sintesi!$C$29*F96*1000)</f>
        <v>22.9209</v>
      </c>
      <c r="N96" s="1">
        <f>Sintesi!$C$30*F96*1000</f>
        <v>8.31</v>
      </c>
      <c r="O96" s="1">
        <f t="shared" si="3"/>
        <v>14.610899999999999</v>
      </c>
      <c r="P96" s="1">
        <f>Sintesi!$C$33*G96*1000</f>
        <v>40.778171999999998</v>
      </c>
      <c r="Q96" s="1">
        <f>Sintesi!$C$34*G96*1000</f>
        <v>18.671400000000002</v>
      </c>
      <c r="R96" s="1">
        <f t="shared" si="4"/>
        <v>22.106771999999996</v>
      </c>
    </row>
    <row r="97" spans="1:18">
      <c r="A97" s="41">
        <v>96</v>
      </c>
      <c r="B97" s="42">
        <f>DATE(Sintesi!$C$4-1,12,31)+A97</f>
        <v>44292</v>
      </c>
      <c r="C97" s="41">
        <f>'Paste cell here'!B97</f>
        <v>0</v>
      </c>
      <c r="D97" s="41">
        <f>'Paste cell here'!I97</f>
        <v>0</v>
      </c>
      <c r="E97" s="1">
        <f>'Paste cell here'!H97</f>
        <v>0.54192249299999995</v>
      </c>
      <c r="F97" s="1">
        <f>Sintesi!$C$5</f>
        <v>0.1</v>
      </c>
      <c r="G97" s="1">
        <f>'Paste cell here'!AA97</f>
        <v>0.214</v>
      </c>
      <c r="H97" s="43">
        <f>'Paste cell here'!U97</f>
        <v>4.1591121869999998</v>
      </c>
      <c r="I97" s="43">
        <f>'Paste cell here'!AE97</f>
        <v>40.880186600000002</v>
      </c>
      <c r="J97" s="44">
        <f>H96*'Paste cell here'!AO97+'Paste cell here'!AF97*'Paste cell here'!AP97</f>
        <v>41.530007259999998</v>
      </c>
      <c r="K97" s="45">
        <f>'Paste cell here'!AG97</f>
        <v>33.489069450000002</v>
      </c>
      <c r="L97" s="41" t="str">
        <f t="shared" si="5"/>
        <v>NO</v>
      </c>
      <c r="M97" s="1">
        <f>(Sintesi!$C$29*F97*1000)</f>
        <v>22.9209</v>
      </c>
      <c r="N97" s="1">
        <f>Sintesi!$C$30*F97*1000</f>
        <v>8.31</v>
      </c>
      <c r="O97" s="1">
        <f t="shared" si="3"/>
        <v>14.610899999999999</v>
      </c>
      <c r="P97" s="1">
        <f>Sintesi!$C$33*G97*1000</f>
        <v>42.157144000000002</v>
      </c>
      <c r="Q97" s="1">
        <f>Sintesi!$C$34*G97*1000</f>
        <v>19.302799999999998</v>
      </c>
      <c r="R97" s="1">
        <f t="shared" si="4"/>
        <v>22.854344000000005</v>
      </c>
    </row>
    <row r="98" spans="1:18">
      <c r="A98" s="41">
        <v>97</v>
      </c>
      <c r="B98" s="42">
        <f>DATE(Sintesi!$C$4-1,12,31)+A98</f>
        <v>44293</v>
      </c>
      <c r="C98" s="41">
        <f>'Paste cell here'!B98</f>
        <v>0</v>
      </c>
      <c r="D98" s="41">
        <f>'Paste cell here'!I98</f>
        <v>0</v>
      </c>
      <c r="E98" s="1">
        <f>'Paste cell here'!H98</f>
        <v>0.53533876499999999</v>
      </c>
      <c r="F98" s="1">
        <f>Sintesi!$C$5</f>
        <v>0.1</v>
      </c>
      <c r="G98" s="1">
        <f>'Paste cell here'!AA98</f>
        <v>0.221</v>
      </c>
      <c r="H98" s="43">
        <f>'Paste cell here'!U98</f>
        <v>4.1581502280000002</v>
      </c>
      <c r="I98" s="43">
        <f>'Paste cell here'!AE98</f>
        <v>41.59048189</v>
      </c>
      <c r="J98" s="44">
        <f>H97*'Paste cell here'!AO98+'Paste cell here'!AF98*'Paste cell here'!AP98</f>
        <v>42.259158599999999</v>
      </c>
      <c r="K98" s="45">
        <f>'Paste cell here'!AG98</f>
        <v>34.693257940000002</v>
      </c>
      <c r="L98" s="41" t="str">
        <f t="shared" si="5"/>
        <v>NO</v>
      </c>
      <c r="M98" s="1">
        <f>(Sintesi!$C$29*F98*1000)</f>
        <v>22.9209</v>
      </c>
      <c r="N98" s="1">
        <f>Sintesi!$C$30*F98*1000</f>
        <v>8.31</v>
      </c>
      <c r="O98" s="1">
        <f t="shared" si="3"/>
        <v>14.610899999999999</v>
      </c>
      <c r="P98" s="1">
        <f>Sintesi!$C$33*G98*1000</f>
        <v>43.536116</v>
      </c>
      <c r="Q98" s="1">
        <f>Sintesi!$C$34*G98*1000</f>
        <v>19.934200000000001</v>
      </c>
      <c r="R98" s="1">
        <f t="shared" si="4"/>
        <v>23.601915999999999</v>
      </c>
    </row>
    <row r="99" spans="1:18">
      <c r="A99" s="41">
        <v>98</v>
      </c>
      <c r="B99" s="42">
        <f>DATE(Sintesi!$C$4-1,12,31)+A99</f>
        <v>44294</v>
      </c>
      <c r="C99" s="41">
        <f>'Paste cell here'!B99</f>
        <v>0</v>
      </c>
      <c r="D99" s="41">
        <f>'Paste cell here'!I99</f>
        <v>0</v>
      </c>
      <c r="E99" s="1">
        <f>'Paste cell here'!H99</f>
        <v>0.51680301399999995</v>
      </c>
      <c r="F99" s="1">
        <f>Sintesi!$C$5</f>
        <v>0.1</v>
      </c>
      <c r="G99" s="1">
        <f>'Paste cell here'!AA99</f>
        <v>0.22900000000000001</v>
      </c>
      <c r="H99" s="43">
        <f>'Paste cell here'!U99</f>
        <v>4.1575209830000004</v>
      </c>
      <c r="I99" s="43">
        <f>'Paste cell here'!AE99</f>
        <v>42.543785419999999</v>
      </c>
      <c r="J99" s="44">
        <f>H98*'Paste cell here'!AO99+'Paste cell here'!AF99*'Paste cell here'!AP99</f>
        <v>43.166449890000003</v>
      </c>
      <c r="K99" s="45">
        <f>'Paste cell here'!AG99</f>
        <v>36.266383959999999</v>
      </c>
      <c r="L99" s="41" t="str">
        <f t="shared" si="5"/>
        <v>NO</v>
      </c>
      <c r="M99" s="1">
        <f>(Sintesi!$C$29*F99*1000)</f>
        <v>22.9209</v>
      </c>
      <c r="N99" s="1">
        <f>Sintesi!$C$30*F99*1000</f>
        <v>8.31</v>
      </c>
      <c r="O99" s="1">
        <f t="shared" si="3"/>
        <v>14.610899999999999</v>
      </c>
      <c r="P99" s="1">
        <f>Sintesi!$C$33*G99*1000</f>
        <v>45.112084000000003</v>
      </c>
      <c r="Q99" s="1">
        <f>Sintesi!$C$34*G99*1000</f>
        <v>20.655800000000003</v>
      </c>
      <c r="R99" s="1">
        <f t="shared" si="4"/>
        <v>24.456284</v>
      </c>
    </row>
    <row r="100" spans="1:18">
      <c r="A100" s="41">
        <v>99</v>
      </c>
      <c r="B100" s="42">
        <f>DATE(Sintesi!$C$4-1,12,31)+A100</f>
        <v>44295</v>
      </c>
      <c r="C100" s="41">
        <f>'Paste cell here'!B100</f>
        <v>0</v>
      </c>
      <c r="D100" s="41">
        <f>'Paste cell here'!I100</f>
        <v>0</v>
      </c>
      <c r="E100" s="1">
        <f>'Paste cell here'!H100</f>
        <v>0.53034326700000001</v>
      </c>
      <c r="F100" s="1">
        <f>Sintesi!$C$5</f>
        <v>0.1</v>
      </c>
      <c r="G100" s="1">
        <f>'Paste cell here'!AA100</f>
        <v>0.23599999999999999</v>
      </c>
      <c r="H100" s="43">
        <f>'Paste cell here'!U100</f>
        <v>4.1572154680000004</v>
      </c>
      <c r="I100" s="43">
        <f>'Paste cell here'!AE100</f>
        <v>43.486041530000001</v>
      </c>
      <c r="J100" s="44">
        <f>H99*'Paste cell here'!AO100+'Paste cell here'!AF100*'Paste cell here'!AP100</f>
        <v>43.922757420000003</v>
      </c>
      <c r="K100" s="45">
        <f>'Paste cell here'!AG100</f>
        <v>37.136121520000003</v>
      </c>
      <c r="L100" s="41" t="str">
        <f t="shared" si="5"/>
        <v>NO</v>
      </c>
      <c r="M100" s="1">
        <f>(Sintesi!$C$29*F100*1000)</f>
        <v>22.9209</v>
      </c>
      <c r="N100" s="1">
        <f>Sintesi!$C$30*F100*1000</f>
        <v>8.31</v>
      </c>
      <c r="O100" s="1">
        <f t="shared" si="3"/>
        <v>14.610899999999999</v>
      </c>
      <c r="P100" s="1">
        <f>Sintesi!$C$33*G100*1000</f>
        <v>46.491055999999993</v>
      </c>
      <c r="Q100" s="1">
        <f>Sintesi!$C$34*G100*1000</f>
        <v>21.287199999999999</v>
      </c>
      <c r="R100" s="1">
        <f t="shared" si="4"/>
        <v>25.203855999999995</v>
      </c>
    </row>
    <row r="101" spans="1:18">
      <c r="A101" s="41">
        <v>100</v>
      </c>
      <c r="B101" s="42">
        <f>DATE(Sintesi!$C$4-1,12,31)+A101</f>
        <v>44296</v>
      </c>
      <c r="C101" s="41">
        <f>'Paste cell here'!B101</f>
        <v>1.9796382800000001</v>
      </c>
      <c r="D101" s="41">
        <f>'Paste cell here'!I101</f>
        <v>0</v>
      </c>
      <c r="E101" s="1">
        <f>'Paste cell here'!H101</f>
        <v>0.589934128</v>
      </c>
      <c r="F101" s="1">
        <f>Sintesi!$C$5</f>
        <v>0.1</v>
      </c>
      <c r="G101" s="1">
        <f>'Paste cell here'!AA101</f>
        <v>0.24299999999999999</v>
      </c>
      <c r="H101" s="43">
        <f>'Paste cell here'!U101</f>
        <v>5.9297892470000004</v>
      </c>
      <c r="I101" s="43">
        <f>'Paste cell here'!AE101</f>
        <v>44.489494610000001</v>
      </c>
      <c r="J101" s="44">
        <f>H100*'Paste cell here'!AO101+'Paste cell here'!AF101*'Paste cell here'!AP101</f>
        <v>44.865013529999999</v>
      </c>
      <c r="K101" s="45">
        <f>'Paste cell here'!AG101</f>
        <v>37.155291830000003</v>
      </c>
      <c r="L101" s="41" t="str">
        <f t="shared" si="5"/>
        <v>NO</v>
      </c>
      <c r="M101" s="1">
        <f>(Sintesi!$C$29*F101*1000)</f>
        <v>22.9209</v>
      </c>
      <c r="N101" s="1">
        <f>Sintesi!$C$30*F101*1000</f>
        <v>8.31</v>
      </c>
      <c r="O101" s="1">
        <f t="shared" si="3"/>
        <v>14.610899999999999</v>
      </c>
      <c r="P101" s="1">
        <f>Sintesi!$C$33*G101*1000</f>
        <v>47.870028000000005</v>
      </c>
      <c r="Q101" s="1">
        <f>Sintesi!$C$34*G101*1000</f>
        <v>21.918600000000001</v>
      </c>
      <c r="R101" s="1">
        <f t="shared" si="4"/>
        <v>25.951428000000003</v>
      </c>
    </row>
    <row r="102" spans="1:18">
      <c r="A102" s="41">
        <v>101</v>
      </c>
      <c r="B102" s="42">
        <f>DATE(Sintesi!$C$4-1,12,31)+A102</f>
        <v>44297</v>
      </c>
      <c r="C102" s="41">
        <f>'Paste cell here'!B102</f>
        <v>7.3786207069999996</v>
      </c>
      <c r="D102" s="41">
        <f>'Paste cell here'!I102</f>
        <v>0</v>
      </c>
      <c r="E102" s="1">
        <f>'Paste cell here'!H102</f>
        <v>0.60718670200000002</v>
      </c>
      <c r="F102" s="1">
        <f>Sintesi!$C$5</f>
        <v>0.1</v>
      </c>
      <c r="G102" s="1">
        <f>'Paste cell here'!AA102</f>
        <v>0.25</v>
      </c>
      <c r="H102" s="43">
        <f>'Paste cell here'!U102</f>
        <v>12.73770506</v>
      </c>
      <c r="I102" s="43">
        <f>'Paste cell here'!AE102</f>
        <v>45.628175910000003</v>
      </c>
      <c r="J102" s="44">
        <f>H101*'Paste cell here'!AO102+'Paste cell here'!AF102*'Paste cell here'!AP102</f>
        <v>45.868466609999999</v>
      </c>
      <c r="K102" s="45">
        <f>'Paste cell here'!AG102</f>
        <v>37.903230720000003</v>
      </c>
      <c r="L102" s="41" t="str">
        <f t="shared" si="5"/>
        <v>NO</v>
      </c>
      <c r="M102" s="1">
        <f>(Sintesi!$C$29*F102*1000)</f>
        <v>22.9209</v>
      </c>
      <c r="N102" s="1">
        <f>Sintesi!$C$30*F102*1000</f>
        <v>8.31</v>
      </c>
      <c r="O102" s="1">
        <f t="shared" si="3"/>
        <v>14.610899999999999</v>
      </c>
      <c r="P102" s="1">
        <f>Sintesi!$C$33*G102*1000</f>
        <v>49.249000000000002</v>
      </c>
      <c r="Q102" s="1">
        <f>Sintesi!$C$34*G102*1000</f>
        <v>22.55</v>
      </c>
      <c r="R102" s="1">
        <f t="shared" si="4"/>
        <v>26.699000000000002</v>
      </c>
    </row>
    <row r="103" spans="1:18">
      <c r="A103" s="41">
        <v>102</v>
      </c>
      <c r="B103" s="42">
        <f>DATE(Sintesi!$C$4-1,12,31)+A103</f>
        <v>44298</v>
      </c>
      <c r="C103" s="41">
        <f>'Paste cell here'!B103</f>
        <v>7.0435778119999997</v>
      </c>
      <c r="D103" s="41">
        <f>'Paste cell here'!I103</f>
        <v>0</v>
      </c>
      <c r="E103" s="1">
        <f>'Paste cell here'!H103</f>
        <v>0.65085172800000002</v>
      </c>
      <c r="F103" s="1">
        <f>Sintesi!$C$5</f>
        <v>0.1</v>
      </c>
      <c r="G103" s="1">
        <f>'Paste cell here'!AA103</f>
        <v>0.25700000000000001</v>
      </c>
      <c r="H103" s="43">
        <f>'Paste cell here'!U103</f>
        <v>18.675718499999999</v>
      </c>
      <c r="I103" s="43">
        <f>'Paste cell here'!AE103</f>
        <v>46.777552530000001</v>
      </c>
      <c r="J103" s="44">
        <f>H102*'Paste cell here'!AO103+'Paste cell here'!AF103*'Paste cell here'!AP103</f>
        <v>47.00714791</v>
      </c>
      <c r="K103" s="45">
        <f>'Paste cell here'!AG103</f>
        <v>38.125759590000001</v>
      </c>
      <c r="L103" s="41" t="str">
        <f t="shared" si="5"/>
        <v>NO</v>
      </c>
      <c r="M103" s="1">
        <f>(Sintesi!$C$29*F103*1000)</f>
        <v>22.9209</v>
      </c>
      <c r="N103" s="1">
        <f>Sintesi!$C$30*F103*1000</f>
        <v>8.31</v>
      </c>
      <c r="O103" s="1">
        <f t="shared" si="3"/>
        <v>14.610899999999999</v>
      </c>
      <c r="P103" s="1">
        <f>Sintesi!$C$33*G103*1000</f>
        <v>50.627972</v>
      </c>
      <c r="Q103" s="1">
        <f>Sintesi!$C$34*G103*1000</f>
        <v>23.1814</v>
      </c>
      <c r="R103" s="1">
        <f t="shared" si="4"/>
        <v>27.446572</v>
      </c>
    </row>
    <row r="104" spans="1:18">
      <c r="A104" s="41">
        <v>103</v>
      </c>
      <c r="B104" s="42">
        <f>DATE(Sintesi!$C$4-1,12,31)+A104</f>
        <v>44299</v>
      </c>
      <c r="C104" s="41">
        <f>'Paste cell here'!B104</f>
        <v>1.8789038650000001</v>
      </c>
      <c r="D104" s="41">
        <f>'Paste cell here'!I104</f>
        <v>0</v>
      </c>
      <c r="E104" s="1">
        <f>'Paste cell here'!H104</f>
        <v>0.65275704800000001</v>
      </c>
      <c r="F104" s="1">
        <f>Sintesi!$C$5</f>
        <v>0.1</v>
      </c>
      <c r="G104" s="1">
        <f>'Paste cell here'!AA104</f>
        <v>0.26400000000000001</v>
      </c>
      <c r="H104" s="43">
        <f>'Paste cell here'!U104</f>
        <v>17.71263798</v>
      </c>
      <c r="I104" s="43">
        <f>'Paste cell here'!AE104</f>
        <v>47.700113289999997</v>
      </c>
      <c r="J104" s="44">
        <f>H103*'Paste cell here'!AO104+'Paste cell here'!AF104*'Paste cell here'!AP104</f>
        <v>48.156524529999999</v>
      </c>
      <c r="K104" s="45">
        <f>'Paste cell here'!AG104</f>
        <v>39.126608240000003</v>
      </c>
      <c r="L104" s="41" t="str">
        <f t="shared" si="5"/>
        <v>NO</v>
      </c>
      <c r="M104" s="1">
        <f>(Sintesi!$C$29*F104*1000)</f>
        <v>22.9209</v>
      </c>
      <c r="N104" s="1">
        <f>Sintesi!$C$30*F104*1000</f>
        <v>8.31</v>
      </c>
      <c r="O104" s="1">
        <f t="shared" si="3"/>
        <v>14.610899999999999</v>
      </c>
      <c r="P104" s="1">
        <f>Sintesi!$C$33*G104*1000</f>
        <v>52.006944000000004</v>
      </c>
      <c r="Q104" s="1">
        <f>Sintesi!$C$34*G104*1000</f>
        <v>23.812800000000003</v>
      </c>
      <c r="R104" s="1">
        <f t="shared" si="4"/>
        <v>28.194144000000001</v>
      </c>
    </row>
    <row r="105" spans="1:18">
      <c r="A105" s="41">
        <v>104</v>
      </c>
      <c r="B105" s="42">
        <f>DATE(Sintesi!$C$4-1,12,31)+A105</f>
        <v>44300</v>
      </c>
      <c r="C105" s="41">
        <f>'Paste cell here'!B105</f>
        <v>0</v>
      </c>
      <c r="D105" s="41">
        <f>'Paste cell here'!I105</f>
        <v>0</v>
      </c>
      <c r="E105" s="1">
        <f>'Paste cell here'!H105</f>
        <v>0.57328489199999999</v>
      </c>
      <c r="F105" s="1">
        <f>Sintesi!$C$5</f>
        <v>0.1</v>
      </c>
      <c r="G105" s="1">
        <f>'Paste cell here'!AA105</f>
        <v>0.27100000000000002</v>
      </c>
      <c r="H105" s="43">
        <f>'Paste cell here'!U105</f>
        <v>14.408635889999999</v>
      </c>
      <c r="I105" s="43">
        <f>'Paste cell here'!AE105</f>
        <v>48.553530840000001</v>
      </c>
      <c r="J105" s="44">
        <f>H104*'Paste cell here'!AO105+'Paste cell here'!AF105*'Paste cell here'!AP105</f>
        <v>49.079085290000002</v>
      </c>
      <c r="K105" s="45">
        <f>'Paste cell here'!AG105</f>
        <v>41.773797070000001</v>
      </c>
      <c r="L105" s="41" t="str">
        <f t="shared" si="5"/>
        <v>NO</v>
      </c>
      <c r="M105" s="1">
        <f>(Sintesi!$C$29*F105*1000)</f>
        <v>22.9209</v>
      </c>
      <c r="N105" s="1">
        <f>Sintesi!$C$30*F105*1000</f>
        <v>8.31</v>
      </c>
      <c r="O105" s="1">
        <f t="shared" si="3"/>
        <v>14.610899999999999</v>
      </c>
      <c r="P105" s="1">
        <f>Sintesi!$C$33*G105*1000</f>
        <v>53.385916000000009</v>
      </c>
      <c r="Q105" s="1">
        <f>Sintesi!$C$34*G105*1000</f>
        <v>24.444200000000002</v>
      </c>
      <c r="R105" s="1">
        <f t="shared" si="4"/>
        <v>28.941716000000007</v>
      </c>
    </row>
    <row r="106" spans="1:18">
      <c r="A106" s="41">
        <v>105</v>
      </c>
      <c r="B106" s="42">
        <f>DATE(Sintesi!$C$4-1,12,31)+A106</f>
        <v>44301</v>
      </c>
      <c r="C106" s="41">
        <f>'Paste cell here'!B106</f>
        <v>0</v>
      </c>
      <c r="D106" s="41">
        <f>'Paste cell here'!I106</f>
        <v>0</v>
      </c>
      <c r="E106" s="1">
        <f>'Paste cell here'!H106</f>
        <v>0.54762958900000003</v>
      </c>
      <c r="F106" s="1">
        <f>Sintesi!$C$5</f>
        <v>0.1</v>
      </c>
      <c r="G106" s="1">
        <f>'Paste cell here'!AA106</f>
        <v>0.27900000000000003</v>
      </c>
      <c r="H106" s="43">
        <f>'Paste cell here'!U106</f>
        <v>12.28293197</v>
      </c>
      <c r="I106" s="43">
        <f>'Paste cell here'!AE106</f>
        <v>49.697665919999999</v>
      </c>
      <c r="J106" s="44">
        <f>H105*'Paste cell here'!AO106+'Paste cell here'!AF106*'Paste cell here'!AP106</f>
        <v>50.129498839999997</v>
      </c>
      <c r="K106" s="45">
        <f>'Paste cell here'!AG106</f>
        <v>43.541970970000001</v>
      </c>
      <c r="L106" s="41" t="str">
        <f t="shared" si="5"/>
        <v>NO</v>
      </c>
      <c r="M106" s="1">
        <f>(Sintesi!$C$29*F106*1000)</f>
        <v>22.9209</v>
      </c>
      <c r="N106" s="1">
        <f>Sintesi!$C$30*F106*1000</f>
        <v>8.31</v>
      </c>
      <c r="O106" s="1">
        <f t="shared" si="3"/>
        <v>14.610899999999999</v>
      </c>
      <c r="P106" s="1">
        <f>Sintesi!$C$33*G106*1000</f>
        <v>54.961884000000012</v>
      </c>
      <c r="Q106" s="1">
        <f>Sintesi!$C$34*G106*1000</f>
        <v>25.165800000000001</v>
      </c>
      <c r="R106" s="1">
        <f t="shared" si="4"/>
        <v>29.796084000000011</v>
      </c>
    </row>
    <row r="107" spans="1:18">
      <c r="A107" s="41">
        <v>106</v>
      </c>
      <c r="B107" s="42">
        <f>DATE(Sintesi!$C$4-1,12,31)+A107</f>
        <v>44302</v>
      </c>
      <c r="C107" s="41">
        <f>'Paste cell here'!B107</f>
        <v>0.72731762499999997</v>
      </c>
      <c r="D107" s="41">
        <f>'Paste cell here'!I107</f>
        <v>0</v>
      </c>
      <c r="E107" s="1">
        <f>'Paste cell here'!H107</f>
        <v>0.58042810700000003</v>
      </c>
      <c r="F107" s="1">
        <f>Sintesi!$C$5</f>
        <v>0.1</v>
      </c>
      <c r="G107" s="1">
        <f>'Paste cell here'!AA107</f>
        <v>0.28599999999999998</v>
      </c>
      <c r="H107" s="43">
        <f>'Paste cell here'!U107</f>
        <v>10.942538920000001</v>
      </c>
      <c r="I107" s="43">
        <f>'Paste cell here'!AE107</f>
        <v>50.589198809999999</v>
      </c>
      <c r="J107" s="44">
        <f>H106*'Paste cell here'!AO107+'Paste cell here'!AF107*'Paste cell here'!AP107</f>
        <v>51.076637920000003</v>
      </c>
      <c r="K107" s="45">
        <f>'Paste cell here'!AG107</f>
        <v>43.933302529999999</v>
      </c>
      <c r="L107" s="41" t="str">
        <f t="shared" si="5"/>
        <v>NO</v>
      </c>
      <c r="M107" s="1">
        <f>(Sintesi!$C$29*F107*1000)</f>
        <v>22.9209</v>
      </c>
      <c r="N107" s="1">
        <f>Sintesi!$C$30*F107*1000</f>
        <v>8.31</v>
      </c>
      <c r="O107" s="1">
        <f t="shared" si="3"/>
        <v>14.610899999999999</v>
      </c>
      <c r="P107" s="1">
        <f>Sintesi!$C$33*G107*1000</f>
        <v>56.340855999999995</v>
      </c>
      <c r="Q107" s="1">
        <f>Sintesi!$C$34*G107*1000</f>
        <v>25.7972</v>
      </c>
      <c r="R107" s="1">
        <f t="shared" si="4"/>
        <v>30.543655999999995</v>
      </c>
    </row>
    <row r="108" spans="1:18">
      <c r="A108" s="41">
        <v>107</v>
      </c>
      <c r="B108" s="42">
        <f>DATE(Sintesi!$C$4-1,12,31)+A108</f>
        <v>44303</v>
      </c>
      <c r="C108" s="41">
        <f>'Paste cell here'!B108</f>
        <v>0</v>
      </c>
      <c r="D108" s="41">
        <f>'Paste cell here'!I108</f>
        <v>0</v>
      </c>
      <c r="E108" s="1">
        <f>'Paste cell here'!H108</f>
        <v>0.55964464899999999</v>
      </c>
      <c r="F108" s="1">
        <f>Sintesi!$C$5</f>
        <v>0.1</v>
      </c>
      <c r="G108" s="1">
        <f>'Paste cell here'!AA108</f>
        <v>0.29299999999999998</v>
      </c>
      <c r="H108" s="43">
        <f>'Paste cell here'!U108</f>
        <v>9.2340773479999996</v>
      </c>
      <c r="I108" s="43">
        <f>'Paste cell here'!AE108</f>
        <v>51.452497630000003</v>
      </c>
      <c r="J108" s="44">
        <f>H107*'Paste cell here'!AO108+'Paste cell here'!AF108*'Paste cell here'!AP108</f>
        <v>51.968170809999997</v>
      </c>
      <c r="K108" s="45">
        <f>'Paste cell here'!AG108</f>
        <v>45.463745840000001</v>
      </c>
      <c r="L108" s="41" t="str">
        <f t="shared" si="5"/>
        <v>NO</v>
      </c>
      <c r="M108" s="1">
        <f>(Sintesi!$C$29*F108*1000)</f>
        <v>22.9209</v>
      </c>
      <c r="N108" s="1">
        <f>Sintesi!$C$30*F108*1000</f>
        <v>8.31</v>
      </c>
      <c r="O108" s="1">
        <f t="shared" si="3"/>
        <v>14.610899999999999</v>
      </c>
      <c r="P108" s="1">
        <f>Sintesi!$C$33*G108*1000</f>
        <v>57.719828</v>
      </c>
      <c r="Q108" s="1">
        <f>Sintesi!$C$34*G108*1000</f>
        <v>26.428599999999999</v>
      </c>
      <c r="R108" s="1">
        <f t="shared" si="4"/>
        <v>31.291228</v>
      </c>
    </row>
    <row r="109" spans="1:18">
      <c r="A109" s="41">
        <v>108</v>
      </c>
      <c r="B109" s="42">
        <f>DATE(Sintesi!$C$4-1,12,31)+A109</f>
        <v>44304</v>
      </c>
      <c r="C109" s="41">
        <f>'Paste cell here'!B109</f>
        <v>0</v>
      </c>
      <c r="D109" s="41">
        <f>'Paste cell here'!I109</f>
        <v>0</v>
      </c>
      <c r="E109" s="1">
        <f>'Paste cell here'!H109</f>
        <v>0.55072924000000001</v>
      </c>
      <c r="F109" s="1">
        <f>Sintesi!$C$5</f>
        <v>0.1</v>
      </c>
      <c r="G109" s="1">
        <f>'Paste cell here'!AA109</f>
        <v>0.3</v>
      </c>
      <c r="H109" s="43">
        <f>'Paste cell here'!U109</f>
        <v>7.9975250549999997</v>
      </c>
      <c r="I109" s="43">
        <f>'Paste cell here'!AE109</f>
        <v>52.33819716</v>
      </c>
      <c r="J109" s="44">
        <f>H108*'Paste cell here'!AO109+'Paste cell here'!AF109*'Paste cell here'!AP109</f>
        <v>52.831469630000001</v>
      </c>
      <c r="K109" s="45">
        <f>'Paste cell here'!AG109</f>
        <v>46.749820270000001</v>
      </c>
      <c r="L109" s="41" t="str">
        <f t="shared" si="5"/>
        <v>NO</v>
      </c>
      <c r="M109" s="1">
        <f>(Sintesi!$C$29*F109*1000)</f>
        <v>22.9209</v>
      </c>
      <c r="N109" s="1">
        <f>Sintesi!$C$30*F109*1000</f>
        <v>8.31</v>
      </c>
      <c r="O109" s="1">
        <f t="shared" si="3"/>
        <v>14.610899999999999</v>
      </c>
      <c r="P109" s="1">
        <f>Sintesi!$C$33*G109*1000</f>
        <v>59.098799999999997</v>
      </c>
      <c r="Q109" s="1">
        <f>Sintesi!$C$34*G109*1000</f>
        <v>27.060000000000002</v>
      </c>
      <c r="R109" s="1">
        <f t="shared" si="4"/>
        <v>32.038799999999995</v>
      </c>
    </row>
    <row r="110" spans="1:18">
      <c r="A110" s="41">
        <v>109</v>
      </c>
      <c r="B110" s="42">
        <f>DATE(Sintesi!$C$4-1,12,31)+A110</f>
        <v>44305</v>
      </c>
      <c r="C110" s="41">
        <f>'Paste cell here'!B110</f>
        <v>0</v>
      </c>
      <c r="D110" s="41">
        <f>'Paste cell here'!I110</f>
        <v>0</v>
      </c>
      <c r="E110" s="1">
        <f>'Paste cell here'!H110</f>
        <v>0.55638413799999997</v>
      </c>
      <c r="F110" s="1">
        <f>Sintesi!$C$5</f>
        <v>0.1</v>
      </c>
      <c r="G110" s="1">
        <f>'Paste cell here'!AA110</f>
        <v>0.307</v>
      </c>
      <c r="H110" s="43">
        <f>'Paste cell here'!U110</f>
        <v>6.9854832680000003</v>
      </c>
      <c r="I110" s="43">
        <f>'Paste cell here'!AE110</f>
        <v>53.188737740000001</v>
      </c>
      <c r="J110" s="44">
        <f>H109*'Paste cell here'!AO110+'Paste cell here'!AF110*'Paste cell here'!AP110</f>
        <v>53.717169159999997</v>
      </c>
      <c r="K110" s="45">
        <f>'Paste cell here'!AG110</f>
        <v>47.710891199999999</v>
      </c>
      <c r="L110" s="41" t="str">
        <f t="shared" si="5"/>
        <v>NO</v>
      </c>
      <c r="M110" s="1">
        <f>(Sintesi!$C$29*F110*1000)</f>
        <v>22.9209</v>
      </c>
      <c r="N110" s="1">
        <f>Sintesi!$C$30*F110*1000</f>
        <v>8.31</v>
      </c>
      <c r="O110" s="1">
        <f t="shared" si="3"/>
        <v>14.610899999999999</v>
      </c>
      <c r="P110" s="1">
        <f>Sintesi!$C$33*G110*1000</f>
        <v>60.477772000000002</v>
      </c>
      <c r="Q110" s="1">
        <f>Sintesi!$C$34*G110*1000</f>
        <v>27.691400000000002</v>
      </c>
      <c r="R110" s="1">
        <f t="shared" si="4"/>
        <v>32.786372</v>
      </c>
    </row>
    <row r="111" spans="1:18">
      <c r="A111" s="41">
        <v>110</v>
      </c>
      <c r="B111" s="42">
        <f>DATE(Sintesi!$C$4-1,12,31)+A111</f>
        <v>44306</v>
      </c>
      <c r="C111" s="41">
        <f>'Paste cell here'!B111</f>
        <v>0</v>
      </c>
      <c r="D111" s="41">
        <f>'Paste cell here'!I111</f>
        <v>0</v>
      </c>
      <c r="E111" s="1">
        <f>'Paste cell here'!H111</f>
        <v>0.54281369400000001</v>
      </c>
      <c r="F111" s="1">
        <f>Sintesi!$C$5</f>
        <v>0.1</v>
      </c>
      <c r="G111" s="1">
        <f>'Paste cell here'!AA111</f>
        <v>0.314</v>
      </c>
      <c r="H111" s="43">
        <f>'Paste cell here'!U111</f>
        <v>6.1226144409999996</v>
      </c>
      <c r="I111" s="43">
        <f>'Paste cell here'!AE111</f>
        <v>53.960230940000002</v>
      </c>
      <c r="J111" s="44">
        <f>H110*'Paste cell here'!AO111+'Paste cell here'!AF111*'Paste cell here'!AP111</f>
        <v>54.567709739999998</v>
      </c>
      <c r="K111" s="45">
        <f>'Paste cell here'!AG111</f>
        <v>49.117251410000001</v>
      </c>
      <c r="L111" s="41" t="str">
        <f t="shared" si="5"/>
        <v>NO</v>
      </c>
      <c r="M111" s="1">
        <f>(Sintesi!$C$29*F111*1000)</f>
        <v>22.9209</v>
      </c>
      <c r="N111" s="1">
        <f>Sintesi!$C$30*F111*1000</f>
        <v>8.31</v>
      </c>
      <c r="O111" s="1">
        <f t="shared" si="3"/>
        <v>14.610899999999999</v>
      </c>
      <c r="P111" s="1">
        <f>Sintesi!$C$33*G111*1000</f>
        <v>61.856743999999999</v>
      </c>
      <c r="Q111" s="1">
        <f>Sintesi!$C$34*G111*1000</f>
        <v>28.322800000000001</v>
      </c>
      <c r="R111" s="1">
        <f t="shared" si="4"/>
        <v>33.533943999999998</v>
      </c>
    </row>
    <row r="112" spans="1:18">
      <c r="A112" s="41">
        <v>111</v>
      </c>
      <c r="B112" s="42">
        <f>DATE(Sintesi!$C$4-1,12,31)+A112</f>
        <v>44307</v>
      </c>
      <c r="C112" s="41">
        <f>'Paste cell here'!B112</f>
        <v>0</v>
      </c>
      <c r="D112" s="41">
        <f>'Paste cell here'!I112</f>
        <v>0</v>
      </c>
      <c r="E112" s="1">
        <f>'Paste cell here'!H112</f>
        <v>0.51338828599999997</v>
      </c>
      <c r="F112" s="1">
        <f>Sintesi!$C$5</f>
        <v>0.1</v>
      </c>
      <c r="G112" s="1">
        <f>'Paste cell here'!AA112</f>
        <v>0.32100000000000001</v>
      </c>
      <c r="H112" s="43">
        <f>'Paste cell here'!U112</f>
        <v>5.542397201</v>
      </c>
      <c r="I112" s="43">
        <f>'Paste cell here'!AE112</f>
        <v>54.7524157</v>
      </c>
      <c r="J112" s="44">
        <f>H111*'Paste cell here'!AO112+'Paste cell here'!AF112*'Paste cell here'!AP112</f>
        <v>55.33920294</v>
      </c>
      <c r="K112" s="45">
        <f>'Paste cell here'!AG112</f>
        <v>50.918213049999999</v>
      </c>
      <c r="L112" s="41" t="str">
        <f t="shared" si="5"/>
        <v>NO</v>
      </c>
      <c r="M112" s="1">
        <f>(Sintesi!$C$29*F112*1000)</f>
        <v>22.9209</v>
      </c>
      <c r="N112" s="1">
        <f>Sintesi!$C$30*F112*1000</f>
        <v>8.31</v>
      </c>
      <c r="O112" s="1">
        <f t="shared" si="3"/>
        <v>14.610899999999999</v>
      </c>
      <c r="P112" s="1">
        <f>Sintesi!$C$33*G112*1000</f>
        <v>63.235715999999996</v>
      </c>
      <c r="Q112" s="1">
        <f>Sintesi!$C$34*G112*1000</f>
        <v>28.954200000000004</v>
      </c>
      <c r="R112" s="1">
        <f t="shared" si="4"/>
        <v>34.281515999999996</v>
      </c>
    </row>
    <row r="113" spans="1:18">
      <c r="A113" s="41">
        <v>112</v>
      </c>
      <c r="B113" s="42">
        <f>DATE(Sintesi!$C$4-1,12,31)+A113</f>
        <v>44308</v>
      </c>
      <c r="C113" s="41">
        <f>'Paste cell here'!B113</f>
        <v>0</v>
      </c>
      <c r="D113" s="41">
        <f>'Paste cell here'!I113</f>
        <v>0</v>
      </c>
      <c r="E113" s="1">
        <f>'Paste cell here'!H113</f>
        <v>0.52047163100000005</v>
      </c>
      <c r="F113" s="1">
        <f>Sintesi!$C$5</f>
        <v>0.1</v>
      </c>
      <c r="G113" s="1">
        <f>'Paste cell here'!AA113</f>
        <v>0.32900000000000001</v>
      </c>
      <c r="H113" s="43">
        <f>'Paste cell here'!U113</f>
        <v>5.1553300310000001</v>
      </c>
      <c r="I113" s="43">
        <f>'Paste cell here'!AE113</f>
        <v>55.768019750000001</v>
      </c>
      <c r="J113" s="44">
        <f>H112*'Paste cell here'!AO113+'Paste cell here'!AF113*'Paste cell here'!AP113</f>
        <v>56.328383700000003</v>
      </c>
      <c r="K113" s="45">
        <f>'Paste cell here'!AG113</f>
        <v>52.013019710000002</v>
      </c>
      <c r="L113" s="41" t="str">
        <f t="shared" si="5"/>
        <v>NO</v>
      </c>
      <c r="M113" s="1">
        <f>(Sintesi!$C$29*F113*1000)</f>
        <v>22.9209</v>
      </c>
      <c r="N113" s="1">
        <f>Sintesi!$C$30*F113*1000</f>
        <v>8.31</v>
      </c>
      <c r="O113" s="1">
        <f t="shared" si="3"/>
        <v>14.610899999999999</v>
      </c>
      <c r="P113" s="1">
        <f>Sintesi!$C$33*G113*1000</f>
        <v>64.811684000000014</v>
      </c>
      <c r="Q113" s="1">
        <f>Sintesi!$C$34*G113*1000</f>
        <v>29.675800000000002</v>
      </c>
      <c r="R113" s="1">
        <f t="shared" si="4"/>
        <v>35.135884000000011</v>
      </c>
    </row>
    <row r="114" spans="1:18">
      <c r="A114" s="41">
        <v>113</v>
      </c>
      <c r="B114" s="42">
        <f>DATE(Sintesi!$C$4-1,12,31)+A114</f>
        <v>44309</v>
      </c>
      <c r="C114" s="41">
        <f>'Paste cell here'!B114</f>
        <v>0</v>
      </c>
      <c r="D114" s="41">
        <f>'Paste cell here'!I114</f>
        <v>0</v>
      </c>
      <c r="E114" s="1">
        <f>'Paste cell here'!H114</f>
        <v>0.53142009599999995</v>
      </c>
      <c r="F114" s="1">
        <f>Sintesi!$C$5</f>
        <v>0.1</v>
      </c>
      <c r="G114" s="1">
        <f>'Paste cell here'!AA114</f>
        <v>0.33600000000000002</v>
      </c>
      <c r="H114" s="43">
        <f>'Paste cell here'!U114</f>
        <v>4.855588032</v>
      </c>
      <c r="I114" s="43">
        <f>'Paste cell here'!AE114</f>
        <v>56.547301189999999</v>
      </c>
      <c r="J114" s="44">
        <f>H113*'Paste cell here'!AO114+'Paste cell here'!AF114*'Paste cell here'!AP114</f>
        <v>57.146991749999998</v>
      </c>
      <c r="K114" s="45">
        <f>'Paste cell here'!AG114</f>
        <v>52.84472306</v>
      </c>
      <c r="L114" s="41" t="str">
        <f t="shared" si="5"/>
        <v>NO</v>
      </c>
      <c r="M114" s="1">
        <f>(Sintesi!$C$29*F114*1000)</f>
        <v>22.9209</v>
      </c>
      <c r="N114" s="1">
        <f>Sintesi!$C$30*F114*1000</f>
        <v>8.31</v>
      </c>
      <c r="O114" s="1">
        <f t="shared" si="3"/>
        <v>14.610899999999999</v>
      </c>
      <c r="P114" s="1">
        <f>Sintesi!$C$33*G114*1000</f>
        <v>66.190656000000004</v>
      </c>
      <c r="Q114" s="1">
        <f>Sintesi!$C$34*G114*1000</f>
        <v>30.307200000000002</v>
      </c>
      <c r="R114" s="1">
        <f t="shared" si="4"/>
        <v>35.883456000000002</v>
      </c>
    </row>
    <row r="115" spans="1:18">
      <c r="A115" s="41">
        <v>114</v>
      </c>
      <c r="B115" s="42">
        <f>DATE(Sintesi!$C$4-1,12,31)+A115</f>
        <v>44310</v>
      </c>
      <c r="C115" s="41">
        <f>'Paste cell here'!B115</f>
        <v>0</v>
      </c>
      <c r="D115" s="41">
        <f>'Paste cell here'!I115</f>
        <v>0</v>
      </c>
      <c r="E115" s="1">
        <f>'Paste cell here'!H115</f>
        <v>0.51665513399999996</v>
      </c>
      <c r="F115" s="1">
        <f>Sintesi!$C$5</f>
        <v>0.1</v>
      </c>
      <c r="G115" s="1">
        <f>'Paste cell here'!AA115</f>
        <v>0.34300000000000003</v>
      </c>
      <c r="H115" s="43">
        <f>'Paste cell here'!U115</f>
        <v>4.6258369779999997</v>
      </c>
      <c r="I115" s="43">
        <f>'Paste cell here'!AE115</f>
        <v>57.272374820000003</v>
      </c>
      <c r="J115" s="44">
        <f>H114*'Paste cell here'!AO115+'Paste cell here'!AF115*'Paste cell here'!AP115</f>
        <v>57.926273190000003</v>
      </c>
      <c r="K115" s="45">
        <f>'Paste cell here'!AG115</f>
        <v>54.324182909999998</v>
      </c>
      <c r="L115" s="41" t="str">
        <f t="shared" si="5"/>
        <v>NO</v>
      </c>
      <c r="M115" s="1">
        <f>(Sintesi!$C$29*F115*1000)</f>
        <v>22.9209</v>
      </c>
      <c r="N115" s="1">
        <f>Sintesi!$C$30*F115*1000</f>
        <v>8.31</v>
      </c>
      <c r="O115" s="1">
        <f t="shared" si="3"/>
        <v>14.610899999999999</v>
      </c>
      <c r="P115" s="1">
        <f>Sintesi!$C$33*G115*1000</f>
        <v>67.569628000000009</v>
      </c>
      <c r="Q115" s="1">
        <f>Sintesi!$C$34*G115*1000</f>
        <v>30.938600000000005</v>
      </c>
      <c r="R115" s="1">
        <f t="shared" si="4"/>
        <v>36.631028000000001</v>
      </c>
    </row>
    <row r="116" spans="1:18">
      <c r="A116" s="41">
        <v>115</v>
      </c>
      <c r="B116" s="42">
        <f>DATE(Sintesi!$C$4-1,12,31)+A116</f>
        <v>44311</v>
      </c>
      <c r="C116" s="41">
        <f>'Paste cell here'!B116</f>
        <v>0</v>
      </c>
      <c r="D116" s="41">
        <f>'Paste cell here'!I116</f>
        <v>0</v>
      </c>
      <c r="E116" s="1">
        <f>'Paste cell here'!H116</f>
        <v>0.49572239499999998</v>
      </c>
      <c r="F116" s="1">
        <f>Sintesi!$C$5</f>
        <v>0.1</v>
      </c>
      <c r="G116" s="1">
        <f>'Paste cell here'!AA116</f>
        <v>0.35</v>
      </c>
      <c r="H116" s="43">
        <f>'Paste cell here'!U116</f>
        <v>4.4652706880000004</v>
      </c>
      <c r="I116" s="43">
        <f>'Paste cell here'!AE116</f>
        <v>57.970142010000004</v>
      </c>
      <c r="J116" s="44">
        <f>H115*'Paste cell here'!AO116+'Paste cell here'!AF116*'Paste cell here'!AP116</f>
        <v>58.651346820000001</v>
      </c>
      <c r="K116" s="45">
        <f>'Paste cell here'!AG116</f>
        <v>55.980442670000002</v>
      </c>
      <c r="L116" s="41" t="str">
        <f t="shared" si="5"/>
        <v>NO</v>
      </c>
      <c r="M116" s="1">
        <f>(Sintesi!$C$29*F116*1000)</f>
        <v>22.9209</v>
      </c>
      <c r="N116" s="1">
        <f>Sintesi!$C$30*F116*1000</f>
        <v>8.31</v>
      </c>
      <c r="O116" s="1">
        <f t="shared" si="3"/>
        <v>14.610899999999999</v>
      </c>
      <c r="P116" s="1">
        <f>Sintesi!$C$33*G116*1000</f>
        <v>68.948599999999999</v>
      </c>
      <c r="Q116" s="1">
        <f>Sintesi!$C$34*G116*1000</f>
        <v>31.57</v>
      </c>
      <c r="R116" s="1">
        <f t="shared" si="4"/>
        <v>37.378599999999999</v>
      </c>
    </row>
    <row r="117" spans="1:18">
      <c r="A117" s="41">
        <v>116</v>
      </c>
      <c r="B117" s="42">
        <f>DATE(Sintesi!$C$4-1,12,31)+A117</f>
        <v>44312</v>
      </c>
      <c r="C117" s="41">
        <f>'Paste cell here'!B117</f>
        <v>0</v>
      </c>
      <c r="D117" s="41">
        <f>'Paste cell here'!I117</f>
        <v>0</v>
      </c>
      <c r="E117" s="1">
        <f>'Paste cell here'!H117</f>
        <v>0.485601226</v>
      </c>
      <c r="F117" s="1">
        <f>Sintesi!$C$5</f>
        <v>0.1</v>
      </c>
      <c r="G117" s="1">
        <f>'Paste cell here'!AA117</f>
        <v>0.35699999999999998</v>
      </c>
      <c r="H117" s="43">
        <f>'Paste cell here'!U117</f>
        <v>4.419012801</v>
      </c>
      <c r="I117" s="43">
        <f>'Paste cell here'!AE117</f>
        <v>59.058562240000001</v>
      </c>
      <c r="J117" s="44">
        <f>H116*'Paste cell here'!AO117+'Paste cell here'!AF117*'Paste cell here'!AP117</f>
        <v>59.349114010000001</v>
      </c>
      <c r="K117" s="45">
        <f>'Paste cell here'!AG117</f>
        <v>57.370117929999999</v>
      </c>
      <c r="L117" s="41" t="str">
        <f t="shared" si="5"/>
        <v>NO</v>
      </c>
      <c r="M117" s="1">
        <f>(Sintesi!$C$29*F117*1000)</f>
        <v>22.9209</v>
      </c>
      <c r="N117" s="1">
        <f>Sintesi!$C$30*F117*1000</f>
        <v>8.31</v>
      </c>
      <c r="O117" s="1">
        <f t="shared" si="3"/>
        <v>14.610899999999999</v>
      </c>
      <c r="P117" s="1">
        <f>Sintesi!$C$33*G117*1000</f>
        <v>70.327572000000004</v>
      </c>
      <c r="Q117" s="1">
        <f>Sintesi!$C$34*G117*1000</f>
        <v>32.2014</v>
      </c>
      <c r="R117" s="1">
        <f t="shared" si="4"/>
        <v>38.126172000000004</v>
      </c>
    </row>
    <row r="118" spans="1:18">
      <c r="A118" s="41">
        <v>117</v>
      </c>
      <c r="B118" s="42">
        <f>DATE(Sintesi!$C$4-1,12,31)+A118</f>
        <v>44313</v>
      </c>
      <c r="C118" s="41">
        <f>'Paste cell here'!B118</f>
        <v>0.25834851399999997</v>
      </c>
      <c r="D118" s="41">
        <f>'Paste cell here'!I118</f>
        <v>0</v>
      </c>
      <c r="E118" s="1">
        <f>'Paste cell here'!H118</f>
        <v>0.61656722500000005</v>
      </c>
      <c r="F118" s="1">
        <f>Sintesi!$C$5</f>
        <v>0.1</v>
      </c>
      <c r="G118" s="1">
        <f>'Paste cell here'!AA118</f>
        <v>0.36399999999999999</v>
      </c>
      <c r="H118" s="43">
        <f>'Paste cell here'!U118</f>
        <v>4.589198841</v>
      </c>
      <c r="I118" s="43">
        <f>'Paste cell here'!AE118</f>
        <v>60.138304980000001</v>
      </c>
      <c r="J118" s="44">
        <f>H117*'Paste cell here'!AO118+'Paste cell here'!AF118*'Paste cell here'!AP118</f>
        <v>60.437534239999998</v>
      </c>
      <c r="K118" s="45">
        <f>'Paste cell here'!AG118</f>
        <v>54.931892499999996</v>
      </c>
      <c r="L118" s="41" t="str">
        <f t="shared" si="5"/>
        <v>NO</v>
      </c>
      <c r="M118" s="1">
        <f>(Sintesi!$C$29*F118*1000)</f>
        <v>22.9209</v>
      </c>
      <c r="N118" s="1">
        <f>Sintesi!$C$30*F118*1000</f>
        <v>8.31</v>
      </c>
      <c r="O118" s="1">
        <f t="shared" si="3"/>
        <v>14.610899999999999</v>
      </c>
      <c r="P118" s="1">
        <f>Sintesi!$C$33*G118*1000</f>
        <v>71.706543999999994</v>
      </c>
      <c r="Q118" s="1">
        <f>Sintesi!$C$34*G118*1000</f>
        <v>32.832799999999999</v>
      </c>
      <c r="R118" s="1">
        <f t="shared" si="4"/>
        <v>38.873743999999995</v>
      </c>
    </row>
    <row r="119" spans="1:18">
      <c r="A119" s="41">
        <v>118</v>
      </c>
      <c r="B119" s="42">
        <f>DATE(Sintesi!$C$4-1,12,31)+A119</f>
        <v>44314</v>
      </c>
      <c r="C119" s="41">
        <f>'Paste cell here'!B119</f>
        <v>0.51518331799999995</v>
      </c>
      <c r="D119" s="41">
        <f>'Paste cell here'!I119</f>
        <v>0</v>
      </c>
      <c r="E119" s="1">
        <f>'Paste cell here'!H119</f>
        <v>0.61562682800000001</v>
      </c>
      <c r="F119" s="1">
        <f>Sintesi!$C$5</f>
        <v>0.1</v>
      </c>
      <c r="G119" s="1">
        <f>'Paste cell here'!AA119</f>
        <v>0.371</v>
      </c>
      <c r="H119" s="43">
        <f>'Paste cell here'!U119</f>
        <v>4.8938350929999999</v>
      </c>
      <c r="I119" s="43">
        <f>'Paste cell here'!AE119</f>
        <v>61.066535289999997</v>
      </c>
      <c r="J119" s="44">
        <f>H118*'Paste cell here'!AO119+'Paste cell here'!AF119*'Paste cell here'!AP119</f>
        <v>61.517276979999998</v>
      </c>
      <c r="K119" s="45">
        <f>'Paste cell here'!AG119</f>
        <v>56.014352000000002</v>
      </c>
      <c r="L119" s="41" t="str">
        <f t="shared" si="5"/>
        <v>NO</v>
      </c>
      <c r="M119" s="1">
        <f>(Sintesi!$C$29*F119*1000)</f>
        <v>22.9209</v>
      </c>
      <c r="N119" s="1">
        <f>Sintesi!$C$30*F119*1000</f>
        <v>8.31</v>
      </c>
      <c r="O119" s="1">
        <f t="shared" si="3"/>
        <v>14.610899999999999</v>
      </c>
      <c r="P119" s="1">
        <f>Sintesi!$C$33*G119*1000</f>
        <v>73.085515999999998</v>
      </c>
      <c r="Q119" s="1">
        <f>Sintesi!$C$34*G119*1000</f>
        <v>33.464199999999998</v>
      </c>
      <c r="R119" s="1">
        <f t="shared" si="4"/>
        <v>39.621316</v>
      </c>
    </row>
    <row r="120" spans="1:18">
      <c r="A120" s="41">
        <v>119</v>
      </c>
      <c r="B120" s="42">
        <f>DATE(Sintesi!$C$4-1,12,31)+A120</f>
        <v>44315</v>
      </c>
      <c r="C120" s="41">
        <f>'Paste cell here'!B120</f>
        <v>6.8497257600000001</v>
      </c>
      <c r="D120" s="41">
        <f>'Paste cell here'!I120</f>
        <v>0</v>
      </c>
      <c r="E120" s="1">
        <f>'Paste cell here'!H120</f>
        <v>0.565549419</v>
      </c>
      <c r="F120" s="1">
        <f>Sintesi!$C$5</f>
        <v>0.1</v>
      </c>
      <c r="G120" s="1">
        <f>'Paste cell here'!AA120</f>
        <v>0.379</v>
      </c>
      <c r="H120" s="43">
        <f>'Paste cell here'!U120</f>
        <v>11.10738098</v>
      </c>
      <c r="I120" s="43">
        <f>'Paste cell here'!AE120</f>
        <v>62.427934909999998</v>
      </c>
      <c r="J120" s="44">
        <f>H119*'Paste cell here'!AO120+'Paste cell here'!AF120*'Paste cell here'!AP120</f>
        <v>62.642503290000001</v>
      </c>
      <c r="K120" s="45">
        <f>'Paste cell here'!AG120</f>
        <v>58.640785110000003</v>
      </c>
      <c r="L120" s="41" t="str">
        <f t="shared" si="5"/>
        <v>NO</v>
      </c>
      <c r="M120" s="1">
        <f>(Sintesi!$C$29*F120*1000)</f>
        <v>22.9209</v>
      </c>
      <c r="N120" s="1">
        <f>Sintesi!$C$30*F120*1000</f>
        <v>8.31</v>
      </c>
      <c r="O120" s="1">
        <f t="shared" si="3"/>
        <v>14.610899999999999</v>
      </c>
      <c r="P120" s="1">
        <f>Sintesi!$C$33*G120*1000</f>
        <v>74.661484000000002</v>
      </c>
      <c r="Q120" s="1">
        <f>Sintesi!$C$34*G120*1000</f>
        <v>34.1858</v>
      </c>
      <c r="R120" s="1">
        <f t="shared" si="4"/>
        <v>40.475684000000001</v>
      </c>
    </row>
    <row r="121" spans="1:18">
      <c r="A121" s="41">
        <v>120</v>
      </c>
      <c r="B121" s="42">
        <f>DATE(Sintesi!$C$4-1,12,31)+A121</f>
        <v>44316</v>
      </c>
      <c r="C121" s="41">
        <f>'Paste cell here'!B121</f>
        <v>3.2102438750000002</v>
      </c>
      <c r="D121" s="41">
        <f>'Paste cell here'!I121</f>
        <v>0</v>
      </c>
      <c r="E121" s="1">
        <f>'Paste cell here'!H121</f>
        <v>0.643066421</v>
      </c>
      <c r="F121" s="1">
        <f>Sintesi!$C$5</f>
        <v>0.1</v>
      </c>
      <c r="G121" s="1">
        <f>'Paste cell here'!AA121</f>
        <v>0.38600000000000001</v>
      </c>
      <c r="H121" s="43">
        <f>'Paste cell here'!U121</f>
        <v>12.67100407</v>
      </c>
      <c r="I121" s="43">
        <f>'Paste cell here'!AE121</f>
        <v>63.459366209999999</v>
      </c>
      <c r="J121" s="44">
        <f>H120*'Paste cell here'!AO121+'Paste cell here'!AF121*'Paste cell here'!AP121</f>
        <v>63.806906910000002</v>
      </c>
      <c r="K121" s="45">
        <f>'Paste cell here'!AG121</f>
        <v>57.48742695</v>
      </c>
      <c r="L121" s="41" t="str">
        <f t="shared" si="5"/>
        <v>NO</v>
      </c>
      <c r="M121" s="1">
        <f>(Sintesi!$C$29*F121*1000)</f>
        <v>22.9209</v>
      </c>
      <c r="N121" s="1">
        <f>Sintesi!$C$30*F121*1000</f>
        <v>8.31</v>
      </c>
      <c r="O121" s="1">
        <f t="shared" si="3"/>
        <v>14.610899999999999</v>
      </c>
      <c r="P121" s="1">
        <f>Sintesi!$C$33*G121*1000</f>
        <v>76.040456000000006</v>
      </c>
      <c r="Q121" s="1">
        <f>Sintesi!$C$34*G121*1000</f>
        <v>34.8172</v>
      </c>
      <c r="R121" s="1">
        <f t="shared" si="4"/>
        <v>41.223256000000006</v>
      </c>
    </row>
    <row r="122" spans="1:18">
      <c r="A122" s="41">
        <v>121</v>
      </c>
      <c r="B122" s="42">
        <f>DATE(Sintesi!$C$4-1,12,31)+A122</f>
        <v>44317</v>
      </c>
      <c r="C122" s="41">
        <f>'Paste cell here'!B122</f>
        <v>14.583699279999999</v>
      </c>
      <c r="D122" s="41">
        <f>'Paste cell here'!I122</f>
        <v>0</v>
      </c>
      <c r="E122" s="1">
        <f>'Paste cell here'!H122</f>
        <v>0.60138808799999999</v>
      </c>
      <c r="F122" s="1">
        <f>Sintesi!$C$5</f>
        <v>0.1</v>
      </c>
      <c r="G122" s="1">
        <f>'Paste cell here'!AA122</f>
        <v>0.39300000000000002</v>
      </c>
      <c r="H122" s="43">
        <f>'Paste cell here'!U122</f>
        <v>25.294981150000002</v>
      </c>
      <c r="I122" s="43">
        <f>'Paste cell here'!AE122</f>
        <v>64.660266070000006</v>
      </c>
      <c r="J122" s="44">
        <f>H121*'Paste cell here'!AO122+'Paste cell here'!AF122*'Paste cell here'!AP122</f>
        <v>64.838338210000003</v>
      </c>
      <c r="K122" s="45">
        <f>'Paste cell here'!AG122</f>
        <v>59.754207630000003</v>
      </c>
      <c r="L122" s="41" t="str">
        <f t="shared" si="5"/>
        <v>NO</v>
      </c>
      <c r="M122" s="1">
        <f>(Sintesi!$C$29*F122*1000)</f>
        <v>22.9209</v>
      </c>
      <c r="N122" s="1">
        <f>Sintesi!$C$30*F122*1000</f>
        <v>8.31</v>
      </c>
      <c r="O122" s="1">
        <f t="shared" si="3"/>
        <v>14.610899999999999</v>
      </c>
      <c r="P122" s="1">
        <f>Sintesi!$C$33*G122*1000</f>
        <v>77.419427999999996</v>
      </c>
      <c r="Q122" s="1">
        <f>Sintesi!$C$34*G122*1000</f>
        <v>35.448600000000006</v>
      </c>
      <c r="R122" s="1">
        <f t="shared" si="4"/>
        <v>41.97082799999999</v>
      </c>
    </row>
    <row r="123" spans="1:18">
      <c r="A123" s="41">
        <v>122</v>
      </c>
      <c r="B123" s="42">
        <f>DATE(Sintesi!$C$4-1,12,31)+A123</f>
        <v>44318</v>
      </c>
      <c r="C123" s="41">
        <f>'Paste cell here'!B123</f>
        <v>0.42426861500000002</v>
      </c>
      <c r="D123" s="41">
        <f>'Paste cell here'!I123</f>
        <v>0</v>
      </c>
      <c r="E123" s="1">
        <f>'Paste cell here'!H123</f>
        <v>0.62557286400000001</v>
      </c>
      <c r="F123" s="1">
        <f>Sintesi!$C$5</f>
        <v>0.1</v>
      </c>
      <c r="G123" s="1">
        <f>'Paste cell here'!AA123</f>
        <v>0.4</v>
      </c>
      <c r="H123" s="43">
        <f>'Paste cell here'!U123</f>
        <v>20.909865530000001</v>
      </c>
      <c r="I123" s="43">
        <f>'Paste cell here'!AE123</f>
        <v>65.691667109999997</v>
      </c>
      <c r="J123" s="44">
        <f>H122*'Paste cell here'!AO123+'Paste cell here'!AF123*'Paste cell here'!AP123</f>
        <v>66.039238069999996</v>
      </c>
      <c r="K123" s="45">
        <f>'Paste cell here'!AG123</f>
        <v>60.09547293</v>
      </c>
      <c r="L123" s="41" t="str">
        <f t="shared" si="5"/>
        <v>NO</v>
      </c>
      <c r="M123" s="1">
        <f>(Sintesi!$C$29*F123*1000)</f>
        <v>22.9209</v>
      </c>
      <c r="N123" s="1">
        <f>Sintesi!$C$30*F123*1000</f>
        <v>8.31</v>
      </c>
      <c r="O123" s="1">
        <f t="shared" si="3"/>
        <v>14.610899999999999</v>
      </c>
      <c r="P123" s="1">
        <f>Sintesi!$C$33*G123*1000</f>
        <v>78.798400000000001</v>
      </c>
      <c r="Q123" s="1">
        <f>Sintesi!$C$34*G123*1000</f>
        <v>36.08</v>
      </c>
      <c r="R123" s="1">
        <f t="shared" si="4"/>
        <v>42.718400000000003</v>
      </c>
    </row>
    <row r="124" spans="1:18">
      <c r="A124" s="41">
        <v>123</v>
      </c>
      <c r="B124" s="42">
        <f>DATE(Sintesi!$C$4-1,12,31)+A124</f>
        <v>44319</v>
      </c>
      <c r="C124" s="41">
        <f>'Paste cell here'!B124</f>
        <v>0</v>
      </c>
      <c r="D124" s="41">
        <f>'Paste cell here'!I124</f>
        <v>0</v>
      </c>
      <c r="E124" s="1">
        <f>'Paste cell here'!H124</f>
        <v>0.49678371999999998</v>
      </c>
      <c r="F124" s="1">
        <f>Sintesi!$C$5</f>
        <v>0.1</v>
      </c>
      <c r="G124" s="1">
        <f>'Paste cell here'!AA124</f>
        <v>0.40799999999999997</v>
      </c>
      <c r="H124" s="43">
        <f>'Paste cell here'!U124</f>
        <v>16.652949790000001</v>
      </c>
      <c r="I124" s="43">
        <f>'Paste cell here'!AE124</f>
        <v>66.585509119999998</v>
      </c>
      <c r="J124" s="44">
        <f>H123*'Paste cell here'!AO124+'Paste cell here'!AF124*'Paste cell here'!AP124</f>
        <v>67.267635110000001</v>
      </c>
      <c r="K124" s="45">
        <f>'Paste cell here'!AG124</f>
        <v>65.224836400000001</v>
      </c>
      <c r="L124" s="41" t="str">
        <f t="shared" si="5"/>
        <v>NO</v>
      </c>
      <c r="M124" s="1">
        <f>(Sintesi!$C$29*F124*1000)</f>
        <v>22.9209</v>
      </c>
      <c r="N124" s="1">
        <f>Sintesi!$C$30*F124*1000</f>
        <v>8.31</v>
      </c>
      <c r="O124" s="1">
        <f t="shared" si="3"/>
        <v>14.610899999999999</v>
      </c>
      <c r="P124" s="1">
        <f>Sintesi!$C$33*G124*1000</f>
        <v>80.374368000000004</v>
      </c>
      <c r="Q124" s="1">
        <f>Sintesi!$C$34*G124*1000</f>
        <v>36.801599999999993</v>
      </c>
      <c r="R124" s="1">
        <f t="shared" si="4"/>
        <v>43.572768000000011</v>
      </c>
    </row>
    <row r="125" spans="1:18">
      <c r="A125" s="41">
        <v>124</v>
      </c>
      <c r="B125" s="42">
        <f>DATE(Sintesi!$C$4-1,12,31)+A125</f>
        <v>44320</v>
      </c>
      <c r="C125" s="41">
        <f>'Paste cell here'!B125</f>
        <v>0</v>
      </c>
      <c r="D125" s="41">
        <f>'Paste cell here'!I125</f>
        <v>0</v>
      </c>
      <c r="E125" s="1">
        <f>'Paste cell here'!H125</f>
        <v>0.50316416200000003</v>
      </c>
      <c r="F125" s="1">
        <f>Sintesi!$C$5</f>
        <v>0.1</v>
      </c>
      <c r="G125" s="1">
        <f>'Paste cell here'!AA125</f>
        <v>0.41599999999999998</v>
      </c>
      <c r="H125" s="43">
        <f>'Paste cell here'!U125</f>
        <v>12.69287042</v>
      </c>
      <c r="I125" s="43">
        <f>'Paste cell here'!AE125</f>
        <v>67.328836800000005</v>
      </c>
      <c r="J125" s="44">
        <f>H124*'Paste cell here'!AO125+'Paste cell here'!AF125*'Paste cell here'!AP125</f>
        <v>68.161477120000001</v>
      </c>
      <c r="K125" s="45">
        <f>'Paste cell here'!AG125</f>
        <v>66.305366570000004</v>
      </c>
      <c r="L125" s="41" t="str">
        <f t="shared" si="5"/>
        <v>NO</v>
      </c>
      <c r="M125" s="1">
        <f>(Sintesi!$C$29*F125*1000)</f>
        <v>22.9209</v>
      </c>
      <c r="N125" s="1">
        <f>Sintesi!$C$30*F125*1000</f>
        <v>8.31</v>
      </c>
      <c r="O125" s="1">
        <f t="shared" si="3"/>
        <v>14.610899999999999</v>
      </c>
      <c r="P125" s="1">
        <f>Sintesi!$C$33*G125*1000</f>
        <v>81.950335999999993</v>
      </c>
      <c r="Q125" s="1">
        <f>Sintesi!$C$34*G125*1000</f>
        <v>37.523200000000003</v>
      </c>
      <c r="R125" s="1">
        <f t="shared" si="4"/>
        <v>44.42713599999999</v>
      </c>
    </row>
    <row r="126" spans="1:18">
      <c r="A126" s="41">
        <v>125</v>
      </c>
      <c r="B126" s="42">
        <f>DATE(Sintesi!$C$4-1,12,31)+A126</f>
        <v>44321</v>
      </c>
      <c r="C126" s="41">
        <f>'Paste cell here'!B126</f>
        <v>0</v>
      </c>
      <c r="D126" s="41">
        <f>'Paste cell here'!I126</f>
        <v>0</v>
      </c>
      <c r="E126" s="1">
        <f>'Paste cell here'!H126</f>
        <v>0.49341180299999998</v>
      </c>
      <c r="F126" s="1">
        <f>Sintesi!$C$5</f>
        <v>0.1</v>
      </c>
      <c r="G126" s="1">
        <f>'Paste cell here'!AA126</f>
        <v>0.42399999999999999</v>
      </c>
      <c r="H126" s="43">
        <f>'Paste cell here'!U126</f>
        <v>10.52791463</v>
      </c>
      <c r="I126" s="43">
        <f>'Paste cell here'!AE126</f>
        <v>68.148254320000007</v>
      </c>
      <c r="J126" s="44">
        <f>H125*'Paste cell here'!AO126+'Paste cell here'!AF126*'Paste cell here'!AP126</f>
        <v>68.904804799999994</v>
      </c>
      <c r="K126" s="45">
        <f>'Paste cell here'!AG126</f>
        <v>67.889532930000001</v>
      </c>
      <c r="L126" s="41" t="str">
        <f t="shared" si="5"/>
        <v>NO</v>
      </c>
      <c r="M126" s="1">
        <f>(Sintesi!$C$29*F126*1000)</f>
        <v>22.9209</v>
      </c>
      <c r="N126" s="1">
        <f>Sintesi!$C$30*F126*1000</f>
        <v>8.31</v>
      </c>
      <c r="O126" s="1">
        <f t="shared" si="3"/>
        <v>14.610899999999999</v>
      </c>
      <c r="P126" s="1">
        <f>Sintesi!$C$33*G126*1000</f>
        <v>83.526303999999996</v>
      </c>
      <c r="Q126" s="1">
        <f>Sintesi!$C$34*G126*1000</f>
        <v>38.244800000000005</v>
      </c>
      <c r="R126" s="1">
        <f t="shared" si="4"/>
        <v>45.281503999999991</v>
      </c>
    </row>
    <row r="127" spans="1:18">
      <c r="A127" s="41">
        <v>126</v>
      </c>
      <c r="B127" s="42">
        <f>DATE(Sintesi!$C$4-1,12,31)+A127</f>
        <v>44322</v>
      </c>
      <c r="C127" s="41">
        <f>'Paste cell here'!B127</f>
        <v>0</v>
      </c>
      <c r="D127" s="41">
        <f>'Paste cell here'!I127</f>
        <v>0</v>
      </c>
      <c r="E127" s="1">
        <f>'Paste cell here'!H127</f>
        <v>0.53861633200000003</v>
      </c>
      <c r="F127" s="1">
        <f>Sintesi!$C$5</f>
        <v>0.1</v>
      </c>
      <c r="G127" s="1">
        <f>'Paste cell here'!AA127</f>
        <v>0.433</v>
      </c>
      <c r="H127" s="43">
        <f>'Paste cell here'!U127</f>
        <v>8.8034532680000002</v>
      </c>
      <c r="I127" s="43">
        <f>'Paste cell here'!AE127</f>
        <v>69.029358160000001</v>
      </c>
      <c r="J127" s="44">
        <f>H126*'Paste cell here'!AO127+'Paste cell here'!AF127*'Paste cell here'!AP127</f>
        <v>69.921218319999994</v>
      </c>
      <c r="K127" s="45">
        <f>'Paste cell here'!AG127</f>
        <v>67.867593749999997</v>
      </c>
      <c r="L127" s="41" t="str">
        <f t="shared" si="5"/>
        <v>NO</v>
      </c>
      <c r="M127" s="1">
        <f>(Sintesi!$C$29*F127*1000)</f>
        <v>22.9209</v>
      </c>
      <c r="N127" s="1">
        <f>Sintesi!$C$30*F127*1000</f>
        <v>8.31</v>
      </c>
      <c r="O127" s="1">
        <f t="shared" si="3"/>
        <v>14.610899999999999</v>
      </c>
      <c r="P127" s="1">
        <f>Sintesi!$C$33*G127*1000</f>
        <v>85.299267999999998</v>
      </c>
      <c r="Q127" s="1">
        <f>Sintesi!$C$34*G127*1000</f>
        <v>39.056600000000003</v>
      </c>
      <c r="R127" s="1">
        <f t="shared" si="4"/>
        <v>46.242667999999995</v>
      </c>
    </row>
    <row r="128" spans="1:18">
      <c r="A128" s="41">
        <v>127</v>
      </c>
      <c r="B128" s="42">
        <f>DATE(Sintesi!$C$4-1,12,31)+A128</f>
        <v>44323</v>
      </c>
      <c r="C128" s="41">
        <f>'Paste cell here'!B128</f>
        <v>0</v>
      </c>
      <c r="D128" s="41">
        <f>'Paste cell here'!I128</f>
        <v>0</v>
      </c>
      <c r="E128" s="1">
        <f>'Paste cell here'!H128</f>
        <v>0.52275306300000002</v>
      </c>
      <c r="F128" s="1">
        <f>Sintesi!$C$5</f>
        <v>0.1</v>
      </c>
      <c r="G128" s="1">
        <f>'Paste cell here'!AA128</f>
        <v>0.441</v>
      </c>
      <c r="H128" s="43">
        <f>'Paste cell here'!U128</f>
        <v>7.1344298779999997</v>
      </c>
      <c r="I128" s="43">
        <f>'Paste cell here'!AE128</f>
        <v>69.303709889999993</v>
      </c>
      <c r="J128" s="44">
        <f>H127*'Paste cell here'!AO128+'Paste cell here'!AF128*'Paste cell here'!AP128</f>
        <v>70.605326160000004</v>
      </c>
      <c r="K128" s="45">
        <f>'Paste cell here'!AG128</f>
        <v>69.644379610000001</v>
      </c>
      <c r="L128" s="41" t="str">
        <f t="shared" si="5"/>
        <v>NO</v>
      </c>
      <c r="M128" s="1">
        <f>(Sintesi!$C$29*F128*1000)</f>
        <v>22.9209</v>
      </c>
      <c r="N128" s="1">
        <f>Sintesi!$C$30*F128*1000</f>
        <v>8.31</v>
      </c>
      <c r="O128" s="1">
        <f t="shared" si="3"/>
        <v>14.610899999999999</v>
      </c>
      <c r="P128" s="1">
        <f>Sintesi!$C$33*G128*1000</f>
        <v>86.875236000000015</v>
      </c>
      <c r="Q128" s="1">
        <f>Sintesi!$C$34*G128*1000</f>
        <v>39.778199999999998</v>
      </c>
      <c r="R128" s="1">
        <f t="shared" si="4"/>
        <v>47.097036000000017</v>
      </c>
    </row>
    <row r="129" spans="1:18">
      <c r="A129" s="41">
        <v>128</v>
      </c>
      <c r="B129" s="42">
        <f>DATE(Sintesi!$C$4-1,12,31)+A129</f>
        <v>44324</v>
      </c>
      <c r="C129" s="41">
        <f>'Paste cell here'!B129</f>
        <v>0</v>
      </c>
      <c r="D129" s="41">
        <f>'Paste cell here'!I129</f>
        <v>0</v>
      </c>
      <c r="E129" s="1">
        <f>'Paste cell here'!H129</f>
        <v>0.448058715</v>
      </c>
      <c r="F129" s="1">
        <f>Sintesi!$C$5</f>
        <v>0.1</v>
      </c>
      <c r="G129" s="1">
        <f>'Paste cell here'!AA129</f>
        <v>0.44900000000000001</v>
      </c>
      <c r="H129" s="43">
        <f>'Paste cell here'!U129</f>
        <v>6.2967705660000002</v>
      </c>
      <c r="I129" s="43">
        <f>'Paste cell here'!AE129</f>
        <v>69.724667240000002</v>
      </c>
      <c r="J129" s="44">
        <f>H128*'Paste cell here'!AO129+'Paste cell here'!AF129*'Paste cell here'!AP129</f>
        <v>70.879677889999996</v>
      </c>
      <c r="K129" s="45">
        <f>'Paste cell here'!AG129</f>
        <v>73.414489360000005</v>
      </c>
      <c r="L129" s="41" t="str">
        <f t="shared" si="5"/>
        <v>YES</v>
      </c>
      <c r="M129" s="1">
        <f>(Sintesi!$C$29*F129*1000)</f>
        <v>22.9209</v>
      </c>
      <c r="N129" s="1">
        <f>Sintesi!$C$30*F129*1000</f>
        <v>8.31</v>
      </c>
      <c r="O129" s="1">
        <f t="shared" si="3"/>
        <v>14.610899999999999</v>
      </c>
      <c r="P129" s="1">
        <f>Sintesi!$C$33*G129*1000</f>
        <v>88.451204000000004</v>
      </c>
      <c r="Q129" s="1">
        <f>Sintesi!$C$34*G129*1000</f>
        <v>40.4998</v>
      </c>
      <c r="R129" s="1">
        <f t="shared" si="4"/>
        <v>47.951404000000004</v>
      </c>
    </row>
    <row r="130" spans="1:18">
      <c r="A130" s="41">
        <v>129</v>
      </c>
      <c r="B130" s="42">
        <f>DATE(Sintesi!$C$4-1,12,31)+A130</f>
        <v>44325</v>
      </c>
      <c r="C130" s="41">
        <f>'Paste cell here'!B130</f>
        <v>0</v>
      </c>
      <c r="D130" s="41">
        <f>'Paste cell here'!I130</f>
        <v>0</v>
      </c>
      <c r="E130" s="1">
        <f>'Paste cell here'!H130</f>
        <v>0.50547790999999997</v>
      </c>
      <c r="F130" s="1">
        <f>Sintesi!$C$5</f>
        <v>0.1</v>
      </c>
      <c r="G130" s="1">
        <f>'Paste cell here'!AA130</f>
        <v>0.45700000000000002</v>
      </c>
      <c r="H130" s="43">
        <f>'Paste cell here'!U130</f>
        <v>5.7184133040000003</v>
      </c>
      <c r="I130" s="43">
        <f>'Paste cell here'!AE130</f>
        <v>70.069988550000005</v>
      </c>
      <c r="J130" s="44">
        <f>H129*'Paste cell here'!AO130+'Paste cell here'!AF130*'Paste cell here'!AP130</f>
        <v>71.300635240000005</v>
      </c>
      <c r="K130" s="45">
        <f>'Paste cell here'!AG130</f>
        <v>72.761238289999994</v>
      </c>
      <c r="L130" s="41" t="str">
        <f t="shared" si="5"/>
        <v>YES</v>
      </c>
      <c r="M130" s="1">
        <f>(Sintesi!$C$29*F130*1000)</f>
        <v>22.9209</v>
      </c>
      <c r="N130" s="1">
        <f>Sintesi!$C$30*F130*1000</f>
        <v>8.31</v>
      </c>
      <c r="O130" s="1">
        <f t="shared" si="3"/>
        <v>14.610899999999999</v>
      </c>
      <c r="P130" s="1">
        <f>Sintesi!$C$33*G130*1000</f>
        <v>90.027172000000007</v>
      </c>
      <c r="Q130" s="1">
        <f>Sintesi!$C$34*G130*1000</f>
        <v>41.221400000000003</v>
      </c>
      <c r="R130" s="1">
        <f t="shared" si="4"/>
        <v>48.805772000000005</v>
      </c>
    </row>
    <row r="131" spans="1:18">
      <c r="A131" s="41">
        <v>130</v>
      </c>
      <c r="B131" s="42">
        <f>DATE(Sintesi!$C$4-1,12,31)+A131</f>
        <v>44326</v>
      </c>
      <c r="C131" s="41">
        <f>'Paste cell here'!B131</f>
        <v>0.97461791099999995</v>
      </c>
      <c r="D131" s="41">
        <f>'Paste cell here'!I131</f>
        <v>0</v>
      </c>
      <c r="E131" s="1">
        <f>'Paste cell here'!H131</f>
        <v>0.50931767900000002</v>
      </c>
      <c r="F131" s="1">
        <f>Sintesi!$C$5</f>
        <v>0.1</v>
      </c>
      <c r="G131" s="1">
        <f>'Paste cell here'!AA131</f>
        <v>0.46500000000000002</v>
      </c>
      <c r="H131" s="43">
        <f>'Paste cell here'!U131</f>
        <v>5.9208197589999996</v>
      </c>
      <c r="I131" s="43">
        <f>'Paste cell here'!AE131</f>
        <v>70.417885069999997</v>
      </c>
      <c r="J131" s="44">
        <f>H130*'Paste cell here'!AO131+'Paste cell here'!AF131*'Paste cell here'!AP131</f>
        <v>71.645956549999994</v>
      </c>
      <c r="K131" s="45">
        <f>'Paste cell here'!AG131</f>
        <v>73.901504599999996</v>
      </c>
      <c r="L131" s="41" t="str">
        <f t="shared" si="5"/>
        <v>YES</v>
      </c>
      <c r="M131" s="1">
        <f>(Sintesi!$C$29*F131*1000)</f>
        <v>22.9209</v>
      </c>
      <c r="N131" s="1">
        <f>Sintesi!$C$30*F131*1000</f>
        <v>8.31</v>
      </c>
      <c r="O131" s="1">
        <f t="shared" ref="O131:O194" si="6">M131-N131</f>
        <v>14.610899999999999</v>
      </c>
      <c r="P131" s="1">
        <f>Sintesi!$C$33*G131*1000</f>
        <v>91.60314000000001</v>
      </c>
      <c r="Q131" s="1">
        <f>Sintesi!$C$34*G131*1000</f>
        <v>41.942999999999998</v>
      </c>
      <c r="R131" s="1">
        <f t="shared" ref="R131:R194" si="7">P131-Q131</f>
        <v>49.660140000000013</v>
      </c>
    </row>
    <row r="132" spans="1:18">
      <c r="A132" s="41">
        <v>131</v>
      </c>
      <c r="B132" s="42">
        <f>DATE(Sintesi!$C$4-1,12,31)+A132</f>
        <v>44327</v>
      </c>
      <c r="C132" s="41">
        <f>'Paste cell here'!B132</f>
        <v>5.9644057789999998</v>
      </c>
      <c r="D132" s="41">
        <f>'Paste cell here'!I132</f>
        <v>0</v>
      </c>
      <c r="E132" s="1">
        <f>'Paste cell here'!H132</f>
        <v>0.52007051299999996</v>
      </c>
      <c r="F132" s="1">
        <f>Sintesi!$C$5</f>
        <v>0.1</v>
      </c>
      <c r="G132" s="1">
        <f>'Paste cell here'!AA132</f>
        <v>0.47299999999999998</v>
      </c>
      <c r="H132" s="43">
        <f>'Paste cell here'!U132</f>
        <v>10.712455240000001</v>
      </c>
      <c r="I132" s="43">
        <f>'Paste cell here'!AE132</f>
        <v>71.400278880000002</v>
      </c>
      <c r="J132" s="44">
        <f>H131*'Paste cell here'!AO132+'Paste cell here'!AF132*'Paste cell here'!AP132</f>
        <v>71.99385307</v>
      </c>
      <c r="K132" s="45">
        <f>'Paste cell here'!AG132</f>
        <v>74.792777639999997</v>
      </c>
      <c r="L132" s="41" t="str">
        <f t="shared" ref="L132:L195" si="8">IF(J132&lt;K132,"YES","NO")</f>
        <v>YES</v>
      </c>
      <c r="M132" s="1">
        <f>(Sintesi!$C$29*F132*1000)</f>
        <v>22.9209</v>
      </c>
      <c r="N132" s="1">
        <f>Sintesi!$C$30*F132*1000</f>
        <v>8.31</v>
      </c>
      <c r="O132" s="1">
        <f t="shared" si="6"/>
        <v>14.610899999999999</v>
      </c>
      <c r="P132" s="1">
        <f>Sintesi!$C$33*G132*1000</f>
        <v>93.179107999999999</v>
      </c>
      <c r="Q132" s="1">
        <f>Sintesi!$C$34*G132*1000</f>
        <v>42.6646</v>
      </c>
      <c r="R132" s="1">
        <f t="shared" si="7"/>
        <v>50.514507999999999</v>
      </c>
    </row>
    <row r="133" spans="1:18">
      <c r="A133" s="41">
        <v>132</v>
      </c>
      <c r="B133" s="42">
        <f>DATE(Sintesi!$C$4-1,12,31)+A133</f>
        <v>44328</v>
      </c>
      <c r="C133" s="41">
        <f>'Paste cell here'!B133</f>
        <v>5.4114895289999998</v>
      </c>
      <c r="D133" s="41">
        <f>'Paste cell here'!I133</f>
        <v>0</v>
      </c>
      <c r="E133" s="1">
        <f>'Paste cell here'!H133</f>
        <v>0.623766826</v>
      </c>
      <c r="F133" s="1">
        <f>Sintesi!$C$5</f>
        <v>0.1</v>
      </c>
      <c r="G133" s="1">
        <f>'Paste cell here'!AA133</f>
        <v>0.48099999999999998</v>
      </c>
      <c r="H133" s="43">
        <f>'Paste cell here'!U133</f>
        <v>13.06361145</v>
      </c>
      <c r="I133" s="43">
        <f>'Paste cell here'!AE133</f>
        <v>71.403951370000001</v>
      </c>
      <c r="J133" s="44">
        <f>H132*'Paste cell here'!AO133+'Paste cell here'!AF133*'Paste cell here'!AP133</f>
        <v>72.976246880000005</v>
      </c>
      <c r="K133" s="45">
        <f>'Paste cell here'!AG133</f>
        <v>72.329735940000006</v>
      </c>
      <c r="L133" s="41" t="str">
        <f t="shared" si="8"/>
        <v>NO</v>
      </c>
      <c r="M133" s="1">
        <f>(Sintesi!$C$29*F133*1000)</f>
        <v>22.9209</v>
      </c>
      <c r="N133" s="1">
        <f>Sintesi!$C$30*F133*1000</f>
        <v>8.31</v>
      </c>
      <c r="O133" s="1">
        <f t="shared" si="6"/>
        <v>14.610899999999999</v>
      </c>
      <c r="P133" s="1">
        <f>Sintesi!$C$33*G133*1000</f>
        <v>94.755075999999988</v>
      </c>
      <c r="Q133" s="1">
        <f>Sintesi!$C$34*G133*1000</f>
        <v>43.386200000000002</v>
      </c>
      <c r="R133" s="1">
        <f t="shared" si="7"/>
        <v>51.368875999999986</v>
      </c>
    </row>
    <row r="134" spans="1:18">
      <c r="A134" s="41">
        <v>133</v>
      </c>
      <c r="B134" s="42">
        <f>DATE(Sintesi!$C$4-1,12,31)+A134</f>
        <v>44329</v>
      </c>
      <c r="C134" s="41">
        <f>'Paste cell here'!B134</f>
        <v>0</v>
      </c>
      <c r="D134" s="41">
        <f>'Paste cell here'!I134</f>
        <v>0</v>
      </c>
      <c r="E134" s="1">
        <f>'Paste cell here'!H134</f>
        <v>0.50064729699999999</v>
      </c>
      <c r="F134" s="1">
        <f>Sintesi!$C$5</f>
        <v>0.1</v>
      </c>
      <c r="G134" s="1">
        <f>'Paste cell here'!AA134</f>
        <v>0.49</v>
      </c>
      <c r="H134" s="43">
        <f>'Paste cell here'!U134</f>
        <v>10.82078538</v>
      </c>
      <c r="I134" s="43">
        <f>'Paste cell here'!AE134</f>
        <v>71.541424809999995</v>
      </c>
      <c r="J134" s="44">
        <f>H133*'Paste cell here'!AO134+'Paste cell here'!AF134*'Paste cell here'!AP134</f>
        <v>73.176915370000003</v>
      </c>
      <c r="K134" s="45">
        <f>'Paste cell here'!AG134</f>
        <v>78.1922493</v>
      </c>
      <c r="L134" s="41" t="str">
        <f t="shared" si="8"/>
        <v>YES</v>
      </c>
      <c r="M134" s="1">
        <f>(Sintesi!$C$29*F134*1000)</f>
        <v>22.9209</v>
      </c>
      <c r="N134" s="1">
        <f>Sintesi!$C$30*F134*1000</f>
        <v>8.31</v>
      </c>
      <c r="O134" s="1">
        <f t="shared" si="6"/>
        <v>14.610899999999999</v>
      </c>
      <c r="P134" s="1">
        <f>Sintesi!$C$33*G134*1000</f>
        <v>96.52803999999999</v>
      </c>
      <c r="Q134" s="1">
        <f>Sintesi!$C$34*G134*1000</f>
        <v>44.198</v>
      </c>
      <c r="R134" s="1">
        <f t="shared" si="7"/>
        <v>52.33003999999999</v>
      </c>
    </row>
    <row r="135" spans="1:18">
      <c r="A135" s="41">
        <v>134</v>
      </c>
      <c r="B135" s="42">
        <f>DATE(Sintesi!$C$4-1,12,31)+A135</f>
        <v>44330</v>
      </c>
      <c r="C135" s="41">
        <f>'Paste cell here'!B135</f>
        <v>3.373414887</v>
      </c>
      <c r="D135" s="41">
        <f>'Paste cell here'!I135</f>
        <v>0</v>
      </c>
      <c r="E135" s="1">
        <f>'Paste cell here'!H135</f>
        <v>0.50411939500000003</v>
      </c>
      <c r="F135" s="1">
        <f>Sintesi!$C$5</f>
        <v>0.1</v>
      </c>
      <c r="G135" s="1">
        <f>'Paste cell here'!AA135</f>
        <v>0.498</v>
      </c>
      <c r="H135" s="43">
        <f>'Paste cell here'!U135</f>
        <v>11.87546918</v>
      </c>
      <c r="I135" s="43">
        <f>'Paste cell here'!AE135</f>
        <v>71.706565609999998</v>
      </c>
      <c r="J135" s="44">
        <f>H134*'Paste cell here'!AO135+'Paste cell here'!AF135*'Paste cell here'!AP135</f>
        <v>73.117392809999998</v>
      </c>
      <c r="K135" s="45">
        <f>'Paste cell here'!AG135</f>
        <v>79.339618610000002</v>
      </c>
      <c r="L135" s="41" t="str">
        <f t="shared" si="8"/>
        <v>YES</v>
      </c>
      <c r="M135" s="1">
        <f>(Sintesi!$C$29*F135*1000)</f>
        <v>22.9209</v>
      </c>
      <c r="N135" s="1">
        <f>Sintesi!$C$30*F135*1000</f>
        <v>8.31</v>
      </c>
      <c r="O135" s="1">
        <f t="shared" si="6"/>
        <v>14.610899999999999</v>
      </c>
      <c r="P135" s="1">
        <f>Sintesi!$C$33*G135*1000</f>
        <v>98.104008000000007</v>
      </c>
      <c r="Q135" s="1">
        <f>Sintesi!$C$34*G135*1000</f>
        <v>44.919600000000003</v>
      </c>
      <c r="R135" s="1">
        <f t="shared" si="7"/>
        <v>53.184408000000005</v>
      </c>
    </row>
    <row r="136" spans="1:18">
      <c r="A136" s="41">
        <v>135</v>
      </c>
      <c r="B136" s="42">
        <f>DATE(Sintesi!$C$4-1,12,31)+A136</f>
        <v>44331</v>
      </c>
      <c r="C136" s="41">
        <f>'Paste cell here'!B136</f>
        <v>0</v>
      </c>
      <c r="D136" s="41">
        <f>'Paste cell here'!I136</f>
        <v>0</v>
      </c>
      <c r="E136" s="1">
        <f>'Paste cell here'!H136</f>
        <v>0.54272808500000003</v>
      </c>
      <c r="F136" s="1">
        <f>Sintesi!$C$5</f>
        <v>0.1</v>
      </c>
      <c r="G136" s="1">
        <f>'Paste cell here'!AA136</f>
        <v>0.50600000000000001</v>
      </c>
      <c r="H136" s="43">
        <f>'Paste cell here'!U136</f>
        <v>10.613072600000001</v>
      </c>
      <c r="I136" s="43">
        <f>'Paste cell here'!AE136</f>
        <v>72.000845010000006</v>
      </c>
      <c r="J136" s="44">
        <f>H135*'Paste cell here'!AO136+'Paste cell here'!AF136*'Paste cell here'!AP136</f>
        <v>73.282533610000002</v>
      </c>
      <c r="K136" s="45">
        <f>'Paste cell here'!AG136</f>
        <v>79.153967699999995</v>
      </c>
      <c r="L136" s="41" t="str">
        <f t="shared" si="8"/>
        <v>YES</v>
      </c>
      <c r="M136" s="1">
        <f>(Sintesi!$C$29*F136*1000)</f>
        <v>22.9209</v>
      </c>
      <c r="N136" s="1">
        <f>Sintesi!$C$30*F136*1000</f>
        <v>8.31</v>
      </c>
      <c r="O136" s="1">
        <f t="shared" si="6"/>
        <v>14.610899999999999</v>
      </c>
      <c r="P136" s="1">
        <f>Sintesi!$C$33*G136*1000</f>
        <v>99.679976000000011</v>
      </c>
      <c r="Q136" s="1">
        <f>Sintesi!$C$34*G136*1000</f>
        <v>45.641199999999998</v>
      </c>
      <c r="R136" s="1">
        <f t="shared" si="7"/>
        <v>54.038776000000013</v>
      </c>
    </row>
    <row r="137" spans="1:18">
      <c r="A137" s="41">
        <v>136</v>
      </c>
      <c r="B137" s="42">
        <f>DATE(Sintesi!$C$4-1,12,31)+A137</f>
        <v>44332</v>
      </c>
      <c r="C137" s="41">
        <f>'Paste cell here'!B137</f>
        <v>5.0848543389999996</v>
      </c>
      <c r="D137" s="41">
        <f>'Paste cell here'!I137</f>
        <v>198</v>
      </c>
      <c r="E137" s="1">
        <f>'Paste cell here'!H137</f>
        <v>0.56843002099999995</v>
      </c>
      <c r="F137" s="1">
        <f>Sintesi!$C$5</f>
        <v>0.1</v>
      </c>
      <c r="G137" s="1">
        <f>'Paste cell here'!AA137</f>
        <v>0.51400000000000001</v>
      </c>
      <c r="H137" s="43">
        <f>'Paste cell here'!U137</f>
        <v>27.791523160000001</v>
      </c>
      <c r="I137" s="43">
        <f>'Paste cell here'!AE137</f>
        <v>140.1117883</v>
      </c>
      <c r="J137" s="44">
        <f>H136*'Paste cell here'!AO137+'Paste cell here'!AF137*'Paste cell here'!AP137</f>
        <v>73.576813009999995</v>
      </c>
      <c r="K137" s="45">
        <f>'Paste cell here'!AG137</f>
        <v>79.417996709999997</v>
      </c>
      <c r="L137" s="41" t="str">
        <f t="shared" si="8"/>
        <v>YES</v>
      </c>
      <c r="M137" s="1">
        <f>(Sintesi!$C$29*F137*1000)</f>
        <v>22.9209</v>
      </c>
      <c r="N137" s="1">
        <f>Sintesi!$C$30*F137*1000</f>
        <v>8.31</v>
      </c>
      <c r="O137" s="1">
        <f t="shared" si="6"/>
        <v>14.610899999999999</v>
      </c>
      <c r="P137" s="1">
        <f>Sintesi!$C$33*G137*1000</f>
        <v>101.255944</v>
      </c>
      <c r="Q137" s="1">
        <f>Sintesi!$C$34*G137*1000</f>
        <v>46.3628</v>
      </c>
      <c r="R137" s="1">
        <f t="shared" si="7"/>
        <v>54.893143999999999</v>
      </c>
    </row>
    <row r="138" spans="1:18">
      <c r="A138" s="41">
        <v>137</v>
      </c>
      <c r="B138" s="42">
        <f>DATE(Sintesi!$C$4-1,12,31)+A138</f>
        <v>44333</v>
      </c>
      <c r="C138" s="41">
        <f>'Paste cell here'!B138</f>
        <v>1.3905510320000001</v>
      </c>
      <c r="D138" s="41">
        <f>'Paste cell here'!I138</f>
        <v>0</v>
      </c>
      <c r="E138" s="1">
        <f>'Paste cell here'!H138</f>
        <v>0.62115246199999996</v>
      </c>
      <c r="F138" s="1">
        <f>Sintesi!$C$5</f>
        <v>0.1</v>
      </c>
      <c r="G138" s="1">
        <f>'Paste cell here'!AA138</f>
        <v>0.52200000000000002</v>
      </c>
      <c r="H138" s="43">
        <f>'Paste cell here'!U138</f>
        <v>22.135136299999999</v>
      </c>
      <c r="I138" s="43">
        <f>'Paste cell here'!AE138</f>
        <v>124.119995</v>
      </c>
      <c r="J138" s="44">
        <f>H137*'Paste cell here'!AO138+'Paste cell here'!AF138*'Paste cell here'!AP138</f>
        <v>141.68775629999999</v>
      </c>
      <c r="K138" s="45">
        <f>'Paste cell here'!AG138</f>
        <v>78.597058340000004</v>
      </c>
      <c r="L138" s="41" t="str">
        <f t="shared" si="8"/>
        <v>NO</v>
      </c>
      <c r="M138" s="1">
        <f>(Sintesi!$C$29*F138*1000)</f>
        <v>22.9209</v>
      </c>
      <c r="N138" s="1">
        <f>Sintesi!$C$30*F138*1000</f>
        <v>8.31</v>
      </c>
      <c r="O138" s="1">
        <f t="shared" si="6"/>
        <v>14.610899999999999</v>
      </c>
      <c r="P138" s="1">
        <f>Sintesi!$C$33*G138*1000</f>
        <v>102.83191200000002</v>
      </c>
      <c r="Q138" s="1">
        <f>Sintesi!$C$34*G138*1000</f>
        <v>47.084400000000002</v>
      </c>
      <c r="R138" s="1">
        <f t="shared" si="7"/>
        <v>55.747512000000015</v>
      </c>
    </row>
    <row r="139" spans="1:18">
      <c r="A139" s="41">
        <v>138</v>
      </c>
      <c r="B139" s="42">
        <f>DATE(Sintesi!$C$4-1,12,31)+A139</f>
        <v>44334</v>
      </c>
      <c r="C139" s="41">
        <f>'Paste cell here'!B139</f>
        <v>2.6367687499999999</v>
      </c>
      <c r="D139" s="41">
        <f>'Paste cell here'!I139</f>
        <v>0</v>
      </c>
      <c r="E139" s="1">
        <f>'Paste cell here'!H139</f>
        <v>0.44401443499999999</v>
      </c>
      <c r="F139" s="1">
        <f>Sintesi!$C$5</f>
        <v>0.1</v>
      </c>
      <c r="G139" s="1">
        <f>'Paste cell here'!AA139</f>
        <v>0.53</v>
      </c>
      <c r="H139" s="43">
        <f>'Paste cell here'!U139</f>
        <v>20.528015759999999</v>
      </c>
      <c r="I139" s="43">
        <f>'Paste cell here'!AE139</f>
        <v>119.8033701</v>
      </c>
      <c r="J139" s="44">
        <f>H138*'Paste cell here'!AO139+'Paste cell here'!AF139*'Paste cell here'!AP139</f>
        <v>125.69596300000001</v>
      </c>
      <c r="K139" s="45">
        <f>'Paste cell here'!AG139</f>
        <v>86.818738359999998</v>
      </c>
      <c r="L139" s="41" t="str">
        <f t="shared" si="8"/>
        <v>NO</v>
      </c>
      <c r="M139" s="1">
        <f>(Sintesi!$C$29*F139*1000)</f>
        <v>22.9209</v>
      </c>
      <c r="N139" s="1">
        <f>Sintesi!$C$30*F139*1000</f>
        <v>8.31</v>
      </c>
      <c r="O139" s="1">
        <f t="shared" si="6"/>
        <v>14.610899999999999</v>
      </c>
      <c r="P139" s="1">
        <f>Sintesi!$C$33*G139*1000</f>
        <v>104.40788000000001</v>
      </c>
      <c r="Q139" s="1">
        <f>Sintesi!$C$34*G139*1000</f>
        <v>47.806000000000004</v>
      </c>
      <c r="R139" s="1">
        <f t="shared" si="7"/>
        <v>56.601880000000001</v>
      </c>
    </row>
    <row r="140" spans="1:18">
      <c r="A140" s="41">
        <v>139</v>
      </c>
      <c r="B140" s="42">
        <f>DATE(Sintesi!$C$4-1,12,31)+A140</f>
        <v>44335</v>
      </c>
      <c r="C140" s="41">
        <f>'Paste cell here'!B140</f>
        <v>0</v>
      </c>
      <c r="D140" s="41">
        <f>'Paste cell here'!I140</f>
        <v>0</v>
      </c>
      <c r="E140" s="1">
        <f>'Paste cell here'!H140</f>
        <v>0.48179197299999998</v>
      </c>
      <c r="F140" s="1">
        <f>Sintesi!$C$5</f>
        <v>0.1</v>
      </c>
      <c r="G140" s="1">
        <f>'Paste cell here'!AA140</f>
        <v>0.53800000000000003</v>
      </c>
      <c r="H140" s="43">
        <f>'Paste cell here'!U140</f>
        <v>17.234595200000001</v>
      </c>
      <c r="I140" s="43">
        <f>'Paste cell here'!AE140</f>
        <v>117.3394784</v>
      </c>
      <c r="J140" s="44">
        <f>H139*'Paste cell here'!AO140+'Paste cell here'!AF140*'Paste cell here'!AP140</f>
        <v>121.3793381</v>
      </c>
      <c r="K140" s="45">
        <f>'Paste cell here'!AG140</f>
        <v>86.610105509999997</v>
      </c>
      <c r="L140" s="41" t="str">
        <f t="shared" si="8"/>
        <v>NO</v>
      </c>
      <c r="M140" s="1">
        <f>(Sintesi!$C$29*F140*1000)</f>
        <v>22.9209</v>
      </c>
      <c r="N140" s="1">
        <f>Sintesi!$C$30*F140*1000</f>
        <v>8.31</v>
      </c>
      <c r="O140" s="1">
        <f t="shared" si="6"/>
        <v>14.610899999999999</v>
      </c>
      <c r="P140" s="1">
        <f>Sintesi!$C$33*G140*1000</f>
        <v>105.98384800000001</v>
      </c>
      <c r="Q140" s="1">
        <f>Sintesi!$C$34*G140*1000</f>
        <v>48.527600000000007</v>
      </c>
      <c r="R140" s="1">
        <f t="shared" si="7"/>
        <v>57.456248000000002</v>
      </c>
    </row>
    <row r="141" spans="1:18">
      <c r="A141" s="41">
        <v>140</v>
      </c>
      <c r="B141" s="42">
        <f>DATE(Sintesi!$C$4-1,12,31)+A141</f>
        <v>44336</v>
      </c>
      <c r="C141" s="41">
        <f>'Paste cell here'!B141</f>
        <v>0</v>
      </c>
      <c r="D141" s="41">
        <f>'Paste cell here'!I141</f>
        <v>0</v>
      </c>
      <c r="E141" s="1">
        <f>'Paste cell here'!H141</f>
        <v>0.47116348000000002</v>
      </c>
      <c r="F141" s="1">
        <f>Sintesi!$C$5</f>
        <v>0.1</v>
      </c>
      <c r="G141" s="1">
        <f>'Paste cell here'!AA141</f>
        <v>0.54700000000000004</v>
      </c>
      <c r="H141" s="43">
        <f>'Paste cell here'!U141</f>
        <v>14.04938681</v>
      </c>
      <c r="I141" s="43">
        <f>'Paste cell here'!AE141</f>
        <v>115.6395567</v>
      </c>
      <c r="J141" s="44">
        <f>H140*'Paste cell here'!AO141+'Paste cell here'!AF141*'Paste cell here'!AP141</f>
        <v>119.11244240000001</v>
      </c>
      <c r="K141" s="45">
        <f>'Paste cell here'!AG141</f>
        <v>88.493514360000006</v>
      </c>
      <c r="L141" s="41" t="str">
        <f t="shared" si="8"/>
        <v>NO</v>
      </c>
      <c r="M141" s="1">
        <f>(Sintesi!$C$29*F141*1000)</f>
        <v>22.9209</v>
      </c>
      <c r="N141" s="1">
        <f>Sintesi!$C$30*F141*1000</f>
        <v>8.31</v>
      </c>
      <c r="O141" s="1">
        <f t="shared" si="6"/>
        <v>14.610899999999999</v>
      </c>
      <c r="P141" s="1">
        <f>Sintesi!$C$33*G141*1000</f>
        <v>107.75681200000001</v>
      </c>
      <c r="Q141" s="1">
        <f>Sintesi!$C$34*G141*1000</f>
        <v>49.339400000000005</v>
      </c>
      <c r="R141" s="1">
        <f t="shared" si="7"/>
        <v>58.417412000000006</v>
      </c>
    </row>
    <row r="142" spans="1:18">
      <c r="A142" s="41">
        <v>141</v>
      </c>
      <c r="B142" s="42">
        <f>DATE(Sintesi!$C$4-1,12,31)+A142</f>
        <v>44337</v>
      </c>
      <c r="C142" s="41">
        <f>'Paste cell here'!B142</f>
        <v>7.5600000000000001E-2</v>
      </c>
      <c r="D142" s="41">
        <f>'Paste cell here'!I142</f>
        <v>0</v>
      </c>
      <c r="E142" s="1">
        <f>'Paste cell here'!H142</f>
        <v>0.46347471899999998</v>
      </c>
      <c r="F142" s="1">
        <f>Sintesi!$C$5</f>
        <v>0.1</v>
      </c>
      <c r="G142" s="1">
        <f>'Paste cell here'!AA142</f>
        <v>0.55500000000000005</v>
      </c>
      <c r="H142" s="43">
        <f>'Paste cell here'!U142</f>
        <v>11.9759347</v>
      </c>
      <c r="I142" s="43">
        <f>'Paste cell here'!AE142</f>
        <v>114.2408841</v>
      </c>
      <c r="J142" s="44">
        <f>H141*'Paste cell here'!AO142+'Paste cell here'!AF142*'Paste cell here'!AP142</f>
        <v>117.2155247</v>
      </c>
      <c r="K142" s="45">
        <f>'Paste cell here'!AG142</f>
        <v>90.106701099999995</v>
      </c>
      <c r="L142" s="41" t="str">
        <f t="shared" si="8"/>
        <v>NO</v>
      </c>
      <c r="M142" s="1">
        <f>(Sintesi!$C$29*F142*1000)</f>
        <v>22.9209</v>
      </c>
      <c r="N142" s="1">
        <f>Sintesi!$C$30*F142*1000</f>
        <v>8.31</v>
      </c>
      <c r="O142" s="1">
        <f t="shared" si="6"/>
        <v>14.610899999999999</v>
      </c>
      <c r="P142" s="1">
        <f>Sintesi!$C$33*G142*1000</f>
        <v>109.33278000000001</v>
      </c>
      <c r="Q142" s="1">
        <f>Sintesi!$C$34*G142*1000</f>
        <v>50.061000000000007</v>
      </c>
      <c r="R142" s="1">
        <f t="shared" si="7"/>
        <v>59.271780000000007</v>
      </c>
    </row>
    <row r="143" spans="1:18">
      <c r="A143" s="41">
        <v>142</v>
      </c>
      <c r="B143" s="42">
        <f>DATE(Sintesi!$C$4-1,12,31)+A143</f>
        <v>44338</v>
      </c>
      <c r="C143" s="41">
        <f>'Paste cell here'!B143</f>
        <v>1.6814453149999999</v>
      </c>
      <c r="D143" s="41">
        <f>'Paste cell here'!I143</f>
        <v>0</v>
      </c>
      <c r="E143" s="1">
        <f>'Paste cell here'!H143</f>
        <v>0.49435206700000001</v>
      </c>
      <c r="F143" s="1">
        <f>Sintesi!$C$5</f>
        <v>0.1</v>
      </c>
      <c r="G143" s="1">
        <f>'Paste cell here'!AA143</f>
        <v>0.56299999999999994</v>
      </c>
      <c r="H143" s="43">
        <f>'Paste cell here'!U143</f>
        <v>11.837036550000001</v>
      </c>
      <c r="I143" s="43">
        <f>'Paste cell here'!AE143</f>
        <v>113.72287040000001</v>
      </c>
      <c r="J143" s="44">
        <f>H142*'Paste cell here'!AO143+'Paste cell here'!AF143*'Paste cell here'!AP143</f>
        <v>115.81685210000001</v>
      </c>
      <c r="K143" s="45">
        <f>'Paste cell here'!AG143</f>
        <v>90.10620462</v>
      </c>
      <c r="L143" s="41" t="str">
        <f t="shared" si="8"/>
        <v>NO</v>
      </c>
      <c r="M143" s="1">
        <f>(Sintesi!$C$29*F143*1000)</f>
        <v>22.9209</v>
      </c>
      <c r="N143" s="1">
        <f>Sintesi!$C$30*F143*1000</f>
        <v>8.31</v>
      </c>
      <c r="O143" s="1">
        <f t="shared" si="6"/>
        <v>14.610899999999999</v>
      </c>
      <c r="P143" s="1">
        <f>Sintesi!$C$33*G143*1000</f>
        <v>110.90874799999999</v>
      </c>
      <c r="Q143" s="1">
        <f>Sintesi!$C$34*G143*1000</f>
        <v>50.782599999999995</v>
      </c>
      <c r="R143" s="1">
        <f t="shared" si="7"/>
        <v>60.126147999999993</v>
      </c>
    </row>
    <row r="144" spans="1:18">
      <c r="A144" s="41">
        <v>143</v>
      </c>
      <c r="B144" s="42">
        <f>DATE(Sintesi!$C$4-1,12,31)+A144</f>
        <v>44339</v>
      </c>
      <c r="C144" s="41">
        <f>'Paste cell here'!B144</f>
        <v>0</v>
      </c>
      <c r="D144" s="41">
        <f>'Paste cell here'!I144</f>
        <v>0</v>
      </c>
      <c r="E144" s="1">
        <f>'Paste cell here'!H144</f>
        <v>0.56935075300000004</v>
      </c>
      <c r="F144" s="1">
        <f>Sintesi!$C$5</f>
        <v>0.1</v>
      </c>
      <c r="G144" s="1">
        <f>'Paste cell here'!AA144</f>
        <v>0.57099999999999995</v>
      </c>
      <c r="H144" s="43">
        <f>'Paste cell here'!U144</f>
        <v>10.2003085</v>
      </c>
      <c r="I144" s="43">
        <f>'Paste cell here'!AE144</f>
        <v>112.1460984</v>
      </c>
      <c r="J144" s="44">
        <f>H143*'Paste cell here'!AO144+'Paste cell here'!AF144*'Paste cell here'!AP144</f>
        <v>115.29883839999999</v>
      </c>
      <c r="K144" s="45">
        <f>'Paste cell here'!AG144</f>
        <v>88.185755510000007</v>
      </c>
      <c r="L144" s="41" t="str">
        <f t="shared" si="8"/>
        <v>NO</v>
      </c>
      <c r="M144" s="1">
        <f>(Sintesi!$C$29*F144*1000)</f>
        <v>22.9209</v>
      </c>
      <c r="N144" s="1">
        <f>Sintesi!$C$30*F144*1000</f>
        <v>8.31</v>
      </c>
      <c r="O144" s="1">
        <f t="shared" si="6"/>
        <v>14.610899999999999</v>
      </c>
      <c r="P144" s="1">
        <f>Sintesi!$C$33*G144*1000</f>
        <v>112.48471599999999</v>
      </c>
      <c r="Q144" s="1">
        <f>Sintesi!$C$34*G144*1000</f>
        <v>51.504199999999997</v>
      </c>
      <c r="R144" s="1">
        <f t="shared" si="7"/>
        <v>60.980515999999994</v>
      </c>
    </row>
    <row r="145" spans="1:18">
      <c r="A145" s="41">
        <v>144</v>
      </c>
      <c r="B145" s="42">
        <f>DATE(Sintesi!$C$4-1,12,31)+A145</f>
        <v>44340</v>
      </c>
      <c r="C145" s="41">
        <f>'Paste cell here'!B145</f>
        <v>29.83870499</v>
      </c>
      <c r="D145" s="41">
        <f>'Paste cell here'!I145</f>
        <v>0</v>
      </c>
      <c r="E145" s="1">
        <f>'Paste cell here'!H145</f>
        <v>0.475784926</v>
      </c>
      <c r="F145" s="1">
        <f>Sintesi!$C$5</f>
        <v>0.1</v>
      </c>
      <c r="G145" s="1">
        <f>'Paste cell here'!AA145</f>
        <v>0.57899999999999996</v>
      </c>
      <c r="H145" s="43">
        <f>'Paste cell here'!U145</f>
        <v>34.571419550000002</v>
      </c>
      <c r="I145" s="43">
        <f>'Paste cell here'!AE145</f>
        <v>116.0055715</v>
      </c>
      <c r="J145" s="44">
        <f>H144*'Paste cell here'!AO145+'Paste cell here'!AF145*'Paste cell here'!AP145</f>
        <v>113.7220664</v>
      </c>
      <c r="K145" s="45">
        <f>'Paste cell here'!AG145</f>
        <v>93.470466720000005</v>
      </c>
      <c r="L145" s="41" t="str">
        <f t="shared" si="8"/>
        <v>NO</v>
      </c>
      <c r="M145" s="1">
        <f>(Sintesi!$C$29*F145*1000)</f>
        <v>22.9209</v>
      </c>
      <c r="N145" s="1">
        <f>Sintesi!$C$30*F145*1000</f>
        <v>8.31</v>
      </c>
      <c r="O145" s="1">
        <f t="shared" si="6"/>
        <v>14.610899999999999</v>
      </c>
      <c r="P145" s="1">
        <f>Sintesi!$C$33*G145*1000</f>
        <v>114.06068399999999</v>
      </c>
      <c r="Q145" s="1">
        <f>Sintesi!$C$34*G145*1000</f>
        <v>52.225799999999992</v>
      </c>
      <c r="R145" s="1">
        <f t="shared" si="7"/>
        <v>61.834884000000002</v>
      </c>
    </row>
    <row r="146" spans="1:18">
      <c r="A146" s="41">
        <v>145</v>
      </c>
      <c r="B146" s="42">
        <f>DATE(Sintesi!$C$4-1,12,31)+A146</f>
        <v>44341</v>
      </c>
      <c r="C146" s="41">
        <f>'Paste cell here'!B146</f>
        <v>0</v>
      </c>
      <c r="D146" s="41">
        <f>'Paste cell here'!I146</f>
        <v>0</v>
      </c>
      <c r="E146" s="1">
        <f>'Paste cell here'!H146</f>
        <v>0.64951742000000001</v>
      </c>
      <c r="F146" s="1">
        <f>Sintesi!$C$5</f>
        <v>0.1</v>
      </c>
      <c r="G146" s="1">
        <f>'Paste cell here'!AA146</f>
        <v>0.58699999999999997</v>
      </c>
      <c r="H146" s="43">
        <f>'Paste cell here'!U146</f>
        <v>26.93326909</v>
      </c>
      <c r="I146" s="43">
        <f>'Paste cell here'!AE146</f>
        <v>118.8663756</v>
      </c>
      <c r="J146" s="44">
        <f>H145*'Paste cell here'!AO146+'Paste cell here'!AF146*'Paste cell here'!AP146</f>
        <v>117.58153950000001</v>
      </c>
      <c r="K146" s="45">
        <f>'Paste cell here'!AG146</f>
        <v>87.139556880000001</v>
      </c>
      <c r="L146" s="41" t="str">
        <f t="shared" si="8"/>
        <v>NO</v>
      </c>
      <c r="M146" s="1">
        <f>(Sintesi!$C$29*F146*1000)</f>
        <v>22.9209</v>
      </c>
      <c r="N146" s="1">
        <f>Sintesi!$C$30*F146*1000</f>
        <v>8.31</v>
      </c>
      <c r="O146" s="1">
        <f t="shared" si="6"/>
        <v>14.610899999999999</v>
      </c>
      <c r="P146" s="1">
        <f>Sintesi!$C$33*G146*1000</f>
        <v>115.636652</v>
      </c>
      <c r="Q146" s="1">
        <f>Sintesi!$C$34*G146*1000</f>
        <v>52.947400000000002</v>
      </c>
      <c r="R146" s="1">
        <f t="shared" si="7"/>
        <v>62.689251999999996</v>
      </c>
    </row>
    <row r="147" spans="1:18">
      <c r="A147" s="41">
        <v>146</v>
      </c>
      <c r="B147" s="42">
        <f>DATE(Sintesi!$C$4-1,12,31)+A147</f>
        <v>44342</v>
      </c>
      <c r="C147" s="41">
        <f>'Paste cell here'!B147</f>
        <v>0</v>
      </c>
      <c r="D147" s="41">
        <f>'Paste cell here'!I147</f>
        <v>0</v>
      </c>
      <c r="E147" s="1">
        <f>'Paste cell here'!H147</f>
        <v>0.45789801699999999</v>
      </c>
      <c r="F147" s="1">
        <f>Sintesi!$C$5</f>
        <v>0.1</v>
      </c>
      <c r="G147" s="1">
        <f>'Paste cell here'!AA147</f>
        <v>0.59499999999999997</v>
      </c>
      <c r="H147" s="43">
        <f>'Paste cell here'!U147</f>
        <v>24.190284569999999</v>
      </c>
      <c r="I147" s="43">
        <f>'Paste cell here'!AE147</f>
        <v>117.8332642</v>
      </c>
      <c r="J147" s="44">
        <f>H146*'Paste cell here'!AO147+'Paste cell here'!AF147*'Paste cell here'!AP147</f>
        <v>120.4423436</v>
      </c>
      <c r="K147" s="45">
        <f>'Paste cell here'!AG147</f>
        <v>96.848885980000006</v>
      </c>
      <c r="L147" s="41" t="str">
        <f t="shared" si="8"/>
        <v>NO</v>
      </c>
      <c r="M147" s="1">
        <f>(Sintesi!$C$29*F147*1000)</f>
        <v>22.9209</v>
      </c>
      <c r="N147" s="1">
        <f>Sintesi!$C$30*F147*1000</f>
        <v>8.31</v>
      </c>
      <c r="O147" s="1">
        <f t="shared" si="6"/>
        <v>14.610899999999999</v>
      </c>
      <c r="P147" s="1">
        <f>Sintesi!$C$33*G147*1000</f>
        <v>117.21262</v>
      </c>
      <c r="Q147" s="1">
        <f>Sintesi!$C$34*G147*1000</f>
        <v>53.669000000000004</v>
      </c>
      <c r="R147" s="1">
        <f t="shared" si="7"/>
        <v>63.543619999999997</v>
      </c>
    </row>
    <row r="148" spans="1:18">
      <c r="A148" s="41">
        <v>147</v>
      </c>
      <c r="B148" s="42">
        <f>DATE(Sintesi!$C$4-1,12,31)+A148</f>
        <v>44343</v>
      </c>
      <c r="C148" s="41">
        <f>'Paste cell here'!B148</f>
        <v>0</v>
      </c>
      <c r="D148" s="41">
        <f>'Paste cell here'!I148</f>
        <v>0</v>
      </c>
      <c r="E148" s="1">
        <f>'Paste cell here'!H148</f>
        <v>0.49595820699999998</v>
      </c>
      <c r="F148" s="1">
        <f>Sintesi!$C$5</f>
        <v>0.1</v>
      </c>
      <c r="G148" s="1">
        <f>'Paste cell here'!AA148</f>
        <v>0.60299999999999998</v>
      </c>
      <c r="H148" s="43">
        <f>'Paste cell here'!U148</f>
        <v>21.84901648</v>
      </c>
      <c r="I148" s="43">
        <f>'Paste cell here'!AE148</f>
        <v>116.0570737</v>
      </c>
      <c r="J148" s="44">
        <f>H147*'Paste cell here'!AO148+'Paste cell here'!AF148*'Paste cell here'!AP148</f>
        <v>119.40923220000001</v>
      </c>
      <c r="K148" s="45">
        <f>'Paste cell here'!AG148</f>
        <v>96.435677409999997</v>
      </c>
      <c r="L148" s="41" t="str">
        <f t="shared" si="8"/>
        <v>NO</v>
      </c>
      <c r="M148" s="1">
        <f>(Sintesi!$C$29*F148*1000)</f>
        <v>22.9209</v>
      </c>
      <c r="N148" s="1">
        <f>Sintesi!$C$30*F148*1000</f>
        <v>8.31</v>
      </c>
      <c r="O148" s="1">
        <f t="shared" si="6"/>
        <v>14.610899999999999</v>
      </c>
      <c r="P148" s="1">
        <f>Sintesi!$C$33*G148*1000</f>
        <v>118.788588</v>
      </c>
      <c r="Q148" s="1">
        <f>Sintesi!$C$34*G148*1000</f>
        <v>54.390599999999999</v>
      </c>
      <c r="R148" s="1">
        <f t="shared" si="7"/>
        <v>64.397987999999998</v>
      </c>
    </row>
    <row r="149" spans="1:18">
      <c r="A149" s="41">
        <v>148</v>
      </c>
      <c r="B149" s="42">
        <f>DATE(Sintesi!$C$4-1,12,31)+A149</f>
        <v>44344</v>
      </c>
      <c r="C149" s="41">
        <f>'Paste cell here'!B149</f>
        <v>0</v>
      </c>
      <c r="D149" s="41">
        <f>'Paste cell here'!I149</f>
        <v>0</v>
      </c>
      <c r="E149" s="1">
        <f>'Paste cell here'!H149</f>
        <v>0.47956109699999999</v>
      </c>
      <c r="F149" s="1">
        <f>Sintesi!$C$5</f>
        <v>0.1</v>
      </c>
      <c r="G149" s="1">
        <f>'Paste cell here'!AA149</f>
        <v>0.61199999999999999</v>
      </c>
      <c r="H149" s="43">
        <f>'Paste cell here'!U149</f>
        <v>19.885619810000001</v>
      </c>
      <c r="I149" s="43">
        <f>'Paste cell here'!AE149</f>
        <v>114.2507239</v>
      </c>
      <c r="J149" s="44">
        <f>H148*'Paste cell here'!AO149+'Paste cell here'!AF149*'Paste cell here'!AP149</f>
        <v>117.83003770000001</v>
      </c>
      <c r="K149" s="45">
        <f>'Paste cell here'!AG149</f>
        <v>98.625066259999997</v>
      </c>
      <c r="L149" s="41" t="str">
        <f t="shared" si="8"/>
        <v>NO</v>
      </c>
      <c r="M149" s="1">
        <f>(Sintesi!$C$29*F149*1000)</f>
        <v>22.9209</v>
      </c>
      <c r="N149" s="1">
        <f>Sintesi!$C$30*F149*1000</f>
        <v>8.31</v>
      </c>
      <c r="O149" s="1">
        <f t="shared" si="6"/>
        <v>14.610899999999999</v>
      </c>
      <c r="P149" s="1">
        <f>Sintesi!$C$33*G149*1000</f>
        <v>120.56155200000001</v>
      </c>
      <c r="Q149" s="1">
        <f>Sintesi!$C$34*G149*1000</f>
        <v>55.202399999999997</v>
      </c>
      <c r="R149" s="1">
        <f t="shared" si="7"/>
        <v>65.359152000000009</v>
      </c>
    </row>
    <row r="150" spans="1:18">
      <c r="A150" s="41">
        <v>149</v>
      </c>
      <c r="B150" s="42">
        <f>DATE(Sintesi!$C$4-1,12,31)+A150</f>
        <v>44345</v>
      </c>
      <c r="C150" s="41">
        <f>'Paste cell here'!B150</f>
        <v>0</v>
      </c>
      <c r="D150" s="41">
        <f>'Paste cell here'!I150</f>
        <v>0</v>
      </c>
      <c r="E150" s="1">
        <f>'Paste cell here'!H150</f>
        <v>0.48332370899999999</v>
      </c>
      <c r="F150" s="1">
        <f>Sintesi!$C$5</f>
        <v>0.1</v>
      </c>
      <c r="G150" s="1">
        <f>'Paste cell here'!AA150</f>
        <v>0.62</v>
      </c>
      <c r="H150" s="43">
        <f>'Paste cell here'!U150</f>
        <v>17.889335519999999</v>
      </c>
      <c r="I150" s="43">
        <f>'Paste cell here'!AE150</f>
        <v>112.10509500000001</v>
      </c>
      <c r="J150" s="44">
        <f>H149*'Paste cell here'!AO150+'Paste cell here'!AF150*'Paste cell here'!AP150</f>
        <v>115.8266919</v>
      </c>
      <c r="K150" s="45">
        <f>'Paste cell here'!AG150</f>
        <v>99.739920380000001</v>
      </c>
      <c r="L150" s="41" t="str">
        <f t="shared" si="8"/>
        <v>NO</v>
      </c>
      <c r="M150" s="1">
        <f>(Sintesi!$C$29*F150*1000)</f>
        <v>22.9209</v>
      </c>
      <c r="N150" s="1">
        <f>Sintesi!$C$30*F150*1000</f>
        <v>8.31</v>
      </c>
      <c r="O150" s="1">
        <f t="shared" si="6"/>
        <v>14.610899999999999</v>
      </c>
      <c r="P150" s="1">
        <f>Sintesi!$C$33*G150*1000</f>
        <v>122.13751999999999</v>
      </c>
      <c r="Q150" s="1">
        <f>Sintesi!$C$34*G150*1000</f>
        <v>55.923999999999999</v>
      </c>
      <c r="R150" s="1">
        <f t="shared" si="7"/>
        <v>66.213519999999988</v>
      </c>
    </row>
    <row r="151" spans="1:18">
      <c r="A151" s="41">
        <v>150</v>
      </c>
      <c r="B151" s="42">
        <f>DATE(Sintesi!$C$4-1,12,31)+A151</f>
        <v>44346</v>
      </c>
      <c r="C151" s="41">
        <f>'Paste cell here'!B151</f>
        <v>0</v>
      </c>
      <c r="D151" s="41">
        <f>'Paste cell here'!I151</f>
        <v>0</v>
      </c>
      <c r="E151" s="1">
        <f>'Paste cell here'!H151</f>
        <v>0.47466608100000002</v>
      </c>
      <c r="F151" s="1">
        <f>Sintesi!$C$5</f>
        <v>0.1</v>
      </c>
      <c r="G151" s="1">
        <f>'Paste cell here'!AA151</f>
        <v>0.628</v>
      </c>
      <c r="H151" s="43">
        <f>'Paste cell here'!U151</f>
        <v>15.87671967</v>
      </c>
      <c r="I151" s="43">
        <f>'Paste cell here'!AE151</f>
        <v>109.6049027</v>
      </c>
      <c r="J151" s="44">
        <f>H150*'Paste cell here'!AO151+'Paste cell here'!AF151*'Paste cell here'!AP151</f>
        <v>113.68106299999999</v>
      </c>
      <c r="K151" s="45">
        <f>'Paste cell here'!AG151</f>
        <v>101.43326519999999</v>
      </c>
      <c r="L151" s="41" t="str">
        <f t="shared" si="8"/>
        <v>NO</v>
      </c>
      <c r="M151" s="1">
        <f>(Sintesi!$C$29*F151*1000)</f>
        <v>22.9209</v>
      </c>
      <c r="N151" s="1">
        <f>Sintesi!$C$30*F151*1000</f>
        <v>8.31</v>
      </c>
      <c r="O151" s="1">
        <f t="shared" si="6"/>
        <v>14.610899999999999</v>
      </c>
      <c r="P151" s="1">
        <f>Sintesi!$C$33*G151*1000</f>
        <v>123.713488</v>
      </c>
      <c r="Q151" s="1">
        <f>Sintesi!$C$34*G151*1000</f>
        <v>56.645600000000002</v>
      </c>
      <c r="R151" s="1">
        <f t="shared" si="7"/>
        <v>67.067887999999996</v>
      </c>
    </row>
    <row r="152" spans="1:18">
      <c r="A152" s="41">
        <v>151</v>
      </c>
      <c r="B152" s="42">
        <f>DATE(Sintesi!$C$4-1,12,31)+A152</f>
        <v>44347</v>
      </c>
      <c r="C152" s="41">
        <f>'Paste cell here'!B152</f>
        <v>0</v>
      </c>
      <c r="D152" s="41">
        <f>'Paste cell here'!I152</f>
        <v>0</v>
      </c>
      <c r="E152" s="1">
        <f>'Paste cell here'!H152</f>
        <v>0.45864286500000001</v>
      </c>
      <c r="F152" s="1">
        <f>Sintesi!$C$5</f>
        <v>0.1</v>
      </c>
      <c r="G152" s="1">
        <f>'Paste cell here'!AA152</f>
        <v>0.63600000000000001</v>
      </c>
      <c r="H152" s="43">
        <f>'Paste cell here'!U152</f>
        <v>14.32725656</v>
      </c>
      <c r="I152" s="43">
        <f>'Paste cell here'!AE152</f>
        <v>107.5054887</v>
      </c>
      <c r="J152" s="44">
        <f>H151*'Paste cell here'!AO152+'Paste cell here'!AF152*'Paste cell here'!AP152</f>
        <v>111.1808707</v>
      </c>
      <c r="K152" s="45">
        <f>'Paste cell here'!AG152</f>
        <v>103.48709909999999</v>
      </c>
      <c r="L152" s="41" t="str">
        <f t="shared" si="8"/>
        <v>NO</v>
      </c>
      <c r="M152" s="1">
        <f>(Sintesi!$C$29*F152*1000)</f>
        <v>22.9209</v>
      </c>
      <c r="N152" s="1">
        <f>Sintesi!$C$30*F152*1000</f>
        <v>8.31</v>
      </c>
      <c r="O152" s="1">
        <f t="shared" si="6"/>
        <v>14.610899999999999</v>
      </c>
      <c r="P152" s="1">
        <f>Sintesi!$C$33*G152*1000</f>
        <v>125.28945599999999</v>
      </c>
      <c r="Q152" s="1">
        <f>Sintesi!$C$34*G152*1000</f>
        <v>57.367199999999997</v>
      </c>
      <c r="R152" s="1">
        <f t="shared" si="7"/>
        <v>67.92225599999999</v>
      </c>
    </row>
    <row r="153" spans="1:18">
      <c r="A153" s="41">
        <v>152</v>
      </c>
      <c r="B153" s="42">
        <f>DATE(Sintesi!$C$4-1,12,31)+A153</f>
        <v>44348</v>
      </c>
      <c r="C153" s="41">
        <f>'Paste cell here'!B153</f>
        <v>0</v>
      </c>
      <c r="D153" s="41">
        <f>'Paste cell here'!I153</f>
        <v>0</v>
      </c>
      <c r="E153" s="1">
        <f>'Paste cell here'!H153</f>
        <v>0.49019503399999997</v>
      </c>
      <c r="F153" s="1">
        <f>Sintesi!$C$5</f>
        <v>0.1</v>
      </c>
      <c r="G153" s="1">
        <f>'Paste cell here'!AA153</f>
        <v>0.64400000000000002</v>
      </c>
      <c r="H153" s="43">
        <f>'Paste cell here'!U153</f>
        <v>12.938123839999999</v>
      </c>
      <c r="I153" s="43">
        <f>'Paste cell here'!AE153</f>
        <v>104.8895091</v>
      </c>
      <c r="J153" s="44">
        <f>H152*'Paste cell here'!AO153+'Paste cell here'!AF153*'Paste cell here'!AP153</f>
        <v>109.0814567</v>
      </c>
      <c r="K153" s="45">
        <f>'Paste cell here'!AG153</f>
        <v>103.2700719</v>
      </c>
      <c r="L153" s="41" t="str">
        <f t="shared" si="8"/>
        <v>NO</v>
      </c>
      <c r="M153" s="1">
        <f>(Sintesi!$C$29*F153*1000)</f>
        <v>22.9209</v>
      </c>
      <c r="N153" s="1">
        <f>Sintesi!$C$30*F153*1000</f>
        <v>8.31</v>
      </c>
      <c r="O153" s="1">
        <f t="shared" si="6"/>
        <v>14.610899999999999</v>
      </c>
      <c r="P153" s="1">
        <f>Sintesi!$C$33*G153*1000</f>
        <v>126.865424</v>
      </c>
      <c r="Q153" s="1">
        <f>Sintesi!$C$34*G153*1000</f>
        <v>58.088800000000006</v>
      </c>
      <c r="R153" s="1">
        <f t="shared" si="7"/>
        <v>68.776623999999998</v>
      </c>
    </row>
    <row r="154" spans="1:18">
      <c r="A154" s="41">
        <v>153</v>
      </c>
      <c r="B154" s="42">
        <f>DATE(Sintesi!$C$4-1,12,31)+A154</f>
        <v>44349</v>
      </c>
      <c r="C154" s="41">
        <f>'Paste cell here'!B154</f>
        <v>0</v>
      </c>
      <c r="D154" s="41">
        <f>'Paste cell here'!I154</f>
        <v>0</v>
      </c>
      <c r="E154" s="1">
        <f>'Paste cell here'!H154</f>
        <v>0.467084844</v>
      </c>
      <c r="F154" s="1">
        <f>Sintesi!$C$5</f>
        <v>0.1</v>
      </c>
      <c r="G154" s="1">
        <f>'Paste cell here'!AA154</f>
        <v>0.65200000000000002</v>
      </c>
      <c r="H154" s="43">
        <f>'Paste cell here'!U154</f>
        <v>11.95084306</v>
      </c>
      <c r="I154" s="43">
        <f>'Paste cell here'!AE154</f>
        <v>102.736227</v>
      </c>
      <c r="J154" s="44">
        <f>H153*'Paste cell here'!AO154+'Paste cell here'!AF154*'Paste cell here'!AP154</f>
        <v>106.4654771</v>
      </c>
      <c r="K154" s="45">
        <f>'Paste cell here'!AG154</f>
        <v>105.67914879999999</v>
      </c>
      <c r="L154" s="41" t="str">
        <f t="shared" si="8"/>
        <v>NO</v>
      </c>
      <c r="M154" s="1">
        <f>(Sintesi!$C$29*F154*1000)</f>
        <v>22.9209</v>
      </c>
      <c r="N154" s="1">
        <f>Sintesi!$C$30*F154*1000</f>
        <v>8.31</v>
      </c>
      <c r="O154" s="1">
        <f t="shared" si="6"/>
        <v>14.610899999999999</v>
      </c>
      <c r="P154" s="1">
        <f>Sintesi!$C$33*G154*1000</f>
        <v>128.44139200000001</v>
      </c>
      <c r="Q154" s="1">
        <f>Sintesi!$C$34*G154*1000</f>
        <v>58.810400000000008</v>
      </c>
      <c r="R154" s="1">
        <f t="shared" si="7"/>
        <v>69.630991999999992</v>
      </c>
    </row>
    <row r="155" spans="1:18">
      <c r="A155" s="41">
        <v>154</v>
      </c>
      <c r="B155" s="42">
        <f>DATE(Sintesi!$C$4-1,12,31)+A155</f>
        <v>44350</v>
      </c>
      <c r="C155" s="41">
        <f>'Paste cell here'!B155</f>
        <v>0</v>
      </c>
      <c r="D155" s="41">
        <f>'Paste cell here'!I155</f>
        <v>198</v>
      </c>
      <c r="E155" s="1">
        <f>'Paste cell here'!H155</f>
        <v>0.49767569</v>
      </c>
      <c r="F155" s="1">
        <f>Sintesi!$C$5</f>
        <v>0.1</v>
      </c>
      <c r="G155" s="1">
        <f>'Paste cell here'!AA155</f>
        <v>0.66</v>
      </c>
      <c r="H155" s="43">
        <f>'Paste cell here'!U155</f>
        <v>27.323903550000001</v>
      </c>
      <c r="I155" s="43">
        <f>'Paste cell here'!AE155</f>
        <v>182.82308750000001</v>
      </c>
      <c r="J155" s="44">
        <f>H154*'Paste cell here'!AO155+'Paste cell here'!AF155*'Paste cell here'!AP155</f>
        <v>104.312195</v>
      </c>
      <c r="K155" s="45">
        <f>'Paste cell here'!AG155</f>
        <v>105.4667634</v>
      </c>
      <c r="L155" s="41" t="str">
        <f t="shared" si="8"/>
        <v>YES</v>
      </c>
      <c r="M155" s="1">
        <f>(Sintesi!$C$29*F155*1000)</f>
        <v>22.9209</v>
      </c>
      <c r="N155" s="1">
        <f>Sintesi!$C$30*F155*1000</f>
        <v>8.31</v>
      </c>
      <c r="O155" s="1">
        <f t="shared" si="6"/>
        <v>14.610899999999999</v>
      </c>
      <c r="P155" s="1">
        <f>Sintesi!$C$33*G155*1000</f>
        <v>130.01736</v>
      </c>
      <c r="Q155" s="1">
        <f>Sintesi!$C$34*G155*1000</f>
        <v>59.532000000000004</v>
      </c>
      <c r="R155" s="1">
        <f t="shared" si="7"/>
        <v>70.485359999999986</v>
      </c>
    </row>
    <row r="156" spans="1:18">
      <c r="A156" s="41">
        <v>155</v>
      </c>
      <c r="B156" s="42">
        <f>DATE(Sintesi!$C$4-1,12,31)+A156</f>
        <v>44351</v>
      </c>
      <c r="C156" s="41">
        <f>'Paste cell here'!B156</f>
        <v>0</v>
      </c>
      <c r="D156" s="41">
        <f>'Paste cell here'!I156</f>
        <v>0</v>
      </c>
      <c r="E156" s="1">
        <f>'Paste cell here'!H156</f>
        <v>0.455912543</v>
      </c>
      <c r="F156" s="1">
        <f>Sintesi!$C$5</f>
        <v>0.1</v>
      </c>
      <c r="G156" s="1">
        <f>'Paste cell here'!AA156</f>
        <v>0.66900000000000004</v>
      </c>
      <c r="H156" s="43">
        <f>'Paste cell here'!U156</f>
        <v>23.290881110000001</v>
      </c>
      <c r="I156" s="43">
        <f>'Paste cell here'!AE156</f>
        <v>161.55808630000001</v>
      </c>
      <c r="J156" s="44">
        <f>H155*'Paste cell here'!AO156+'Paste cell here'!AF156*'Paste cell here'!AP156</f>
        <v>184.59605149999999</v>
      </c>
      <c r="K156" s="45">
        <f>'Paste cell here'!AG156</f>
        <v>108.9932376</v>
      </c>
      <c r="L156" s="41" t="str">
        <f t="shared" si="8"/>
        <v>NO</v>
      </c>
      <c r="M156" s="1">
        <f>(Sintesi!$C$29*F156*1000)</f>
        <v>22.9209</v>
      </c>
      <c r="N156" s="1">
        <f>Sintesi!$C$30*F156*1000</f>
        <v>8.31</v>
      </c>
      <c r="O156" s="1">
        <f t="shared" si="6"/>
        <v>14.610899999999999</v>
      </c>
      <c r="P156" s="1">
        <f>Sintesi!$C$33*G156*1000</f>
        <v>131.79032400000003</v>
      </c>
      <c r="Q156" s="1">
        <f>Sintesi!$C$34*G156*1000</f>
        <v>60.343800000000002</v>
      </c>
      <c r="R156" s="1">
        <f t="shared" si="7"/>
        <v>71.446524000000025</v>
      </c>
    </row>
    <row r="157" spans="1:18">
      <c r="A157" s="41">
        <v>156</v>
      </c>
      <c r="B157" s="42">
        <f>DATE(Sintesi!$C$4-1,12,31)+A157</f>
        <v>44352</v>
      </c>
      <c r="C157" s="41">
        <f>'Paste cell here'!B157</f>
        <v>5.8799999999999998E-2</v>
      </c>
      <c r="D157" s="41">
        <f>'Paste cell here'!I157</f>
        <v>0</v>
      </c>
      <c r="E157" s="1">
        <f>'Paste cell here'!H157</f>
        <v>0.45719237000000001</v>
      </c>
      <c r="F157" s="1">
        <f>Sintesi!$C$5</f>
        <v>0.1</v>
      </c>
      <c r="G157" s="1">
        <f>'Paste cell here'!AA157</f>
        <v>0.67700000000000005</v>
      </c>
      <c r="H157" s="43">
        <f>'Paste cell here'!U157</f>
        <v>22.015189110000001</v>
      </c>
      <c r="I157" s="43">
        <f>'Paste cell here'!AE157</f>
        <v>155.39826170000001</v>
      </c>
      <c r="J157" s="44">
        <f>H156*'Paste cell here'!AO157+'Paste cell here'!AF157*'Paste cell here'!AP157</f>
        <v>163.1340543</v>
      </c>
      <c r="K157" s="45">
        <f>'Paste cell here'!AG157</f>
        <v>110.2318339</v>
      </c>
      <c r="L157" s="41" t="str">
        <f t="shared" si="8"/>
        <v>NO</v>
      </c>
      <c r="M157" s="1">
        <f>(Sintesi!$C$29*F157*1000)</f>
        <v>22.9209</v>
      </c>
      <c r="N157" s="1">
        <f>Sintesi!$C$30*F157*1000</f>
        <v>8.31</v>
      </c>
      <c r="O157" s="1">
        <f t="shared" si="6"/>
        <v>14.610899999999999</v>
      </c>
      <c r="P157" s="1">
        <f>Sintesi!$C$33*G157*1000</f>
        <v>133.36629200000002</v>
      </c>
      <c r="Q157" s="1">
        <f>Sintesi!$C$34*G157*1000</f>
        <v>61.065400000000004</v>
      </c>
      <c r="R157" s="1">
        <f t="shared" si="7"/>
        <v>72.300892000000005</v>
      </c>
    </row>
    <row r="158" spans="1:18">
      <c r="A158" s="41">
        <v>157</v>
      </c>
      <c r="B158" s="42">
        <f>DATE(Sintesi!$C$4-1,12,31)+A158</f>
        <v>44353</v>
      </c>
      <c r="C158" s="41">
        <f>'Paste cell here'!B158</f>
        <v>7.3007469489999997</v>
      </c>
      <c r="D158" s="41">
        <f>'Paste cell here'!I158</f>
        <v>0</v>
      </c>
      <c r="E158" s="1">
        <f>'Paste cell here'!H158</f>
        <v>0.52573825699999999</v>
      </c>
      <c r="F158" s="1">
        <f>Sintesi!$C$5</f>
        <v>0.1</v>
      </c>
      <c r="G158" s="1">
        <f>'Paste cell here'!AA158</f>
        <v>0.68500000000000005</v>
      </c>
      <c r="H158" s="43">
        <f>'Paste cell here'!U158</f>
        <v>25.683364900000001</v>
      </c>
      <c r="I158" s="43">
        <f>'Paste cell here'!AE158</f>
        <v>150.91816259999999</v>
      </c>
      <c r="J158" s="44">
        <f>H157*'Paste cell here'!AO158+'Paste cell here'!AF158*'Paste cell here'!AP158</f>
        <v>156.9742297</v>
      </c>
      <c r="K158" s="45">
        <f>'Paste cell here'!AG158</f>
        <v>108.0249386</v>
      </c>
      <c r="L158" s="41" t="str">
        <f t="shared" si="8"/>
        <v>NO</v>
      </c>
      <c r="M158" s="1">
        <f>(Sintesi!$C$29*F158*1000)</f>
        <v>22.9209</v>
      </c>
      <c r="N158" s="1">
        <f>Sintesi!$C$30*F158*1000</f>
        <v>8.31</v>
      </c>
      <c r="O158" s="1">
        <f t="shared" si="6"/>
        <v>14.610899999999999</v>
      </c>
      <c r="P158" s="1">
        <f>Sintesi!$C$33*G158*1000</f>
        <v>134.94226</v>
      </c>
      <c r="Q158" s="1">
        <f>Sintesi!$C$34*G158*1000</f>
        <v>61.787000000000006</v>
      </c>
      <c r="R158" s="1">
        <f t="shared" si="7"/>
        <v>73.155259999999998</v>
      </c>
    </row>
    <row r="159" spans="1:18">
      <c r="A159" s="41">
        <v>158</v>
      </c>
      <c r="B159" s="42">
        <f>DATE(Sintesi!$C$4-1,12,31)+A159</f>
        <v>44354</v>
      </c>
      <c r="C159" s="41">
        <f>'Paste cell here'!B159</f>
        <v>2.52E-2</v>
      </c>
      <c r="D159" s="41">
        <f>'Paste cell here'!I159</f>
        <v>0</v>
      </c>
      <c r="E159" s="1">
        <f>'Paste cell here'!H159</f>
        <v>0.46391966699999998</v>
      </c>
      <c r="F159" s="1">
        <f>Sintesi!$C$5</f>
        <v>0.1</v>
      </c>
      <c r="G159" s="1">
        <f>'Paste cell here'!AA159</f>
        <v>0.69299999999999995</v>
      </c>
      <c r="H159" s="43">
        <f>'Paste cell here'!U159</f>
        <v>24.421327810000001</v>
      </c>
      <c r="I159" s="43">
        <f>'Paste cell here'!AE159</f>
        <v>148.74080559999999</v>
      </c>
      <c r="J159" s="44">
        <f>H158*'Paste cell here'!AO159+'Paste cell here'!AF159*'Paste cell here'!AP159</f>
        <v>152.49413060000001</v>
      </c>
      <c r="K159" s="45">
        <f>'Paste cell here'!AG159</f>
        <v>112.4885635</v>
      </c>
      <c r="L159" s="41" t="str">
        <f t="shared" si="8"/>
        <v>NO</v>
      </c>
      <c r="M159" s="1">
        <f>(Sintesi!$C$29*F159*1000)</f>
        <v>22.9209</v>
      </c>
      <c r="N159" s="1">
        <f>Sintesi!$C$30*F159*1000</f>
        <v>8.31</v>
      </c>
      <c r="O159" s="1">
        <f t="shared" si="6"/>
        <v>14.610899999999999</v>
      </c>
      <c r="P159" s="1">
        <f>Sintesi!$C$33*G159*1000</f>
        <v>136.51822799999999</v>
      </c>
      <c r="Q159" s="1">
        <f>Sintesi!$C$34*G159*1000</f>
        <v>62.508599999999994</v>
      </c>
      <c r="R159" s="1">
        <f t="shared" si="7"/>
        <v>74.009627999999992</v>
      </c>
    </row>
    <row r="160" spans="1:18">
      <c r="A160" s="41">
        <v>159</v>
      </c>
      <c r="B160" s="42">
        <f>DATE(Sintesi!$C$4-1,12,31)+A160</f>
        <v>44355</v>
      </c>
      <c r="C160" s="41">
        <f>'Paste cell here'!B160</f>
        <v>0</v>
      </c>
      <c r="D160" s="41">
        <f>'Paste cell here'!I160</f>
        <v>0</v>
      </c>
      <c r="E160" s="1">
        <f>'Paste cell here'!H160</f>
        <v>0.53823837399999996</v>
      </c>
      <c r="F160" s="1">
        <f>Sintesi!$C$5</f>
        <v>0.1</v>
      </c>
      <c r="G160" s="1">
        <f>'Paste cell here'!AA160</f>
        <v>0.70099999999999996</v>
      </c>
      <c r="H160" s="43">
        <f>'Paste cell here'!U160</f>
        <v>23.572068269999999</v>
      </c>
      <c r="I160" s="43">
        <f>'Paste cell here'!AE160</f>
        <v>146.2337608</v>
      </c>
      <c r="J160" s="44">
        <f>H159*'Paste cell here'!AO160+'Paste cell here'!AF160*'Paste cell here'!AP160</f>
        <v>150.3167736</v>
      </c>
      <c r="K160" s="45">
        <f>'Paste cell here'!AG160</f>
        <v>109.8932054</v>
      </c>
      <c r="L160" s="41" t="str">
        <f t="shared" si="8"/>
        <v>NO</v>
      </c>
      <c r="M160" s="1">
        <f>(Sintesi!$C$29*F160*1000)</f>
        <v>22.9209</v>
      </c>
      <c r="N160" s="1">
        <f>Sintesi!$C$30*F160*1000</f>
        <v>8.31</v>
      </c>
      <c r="O160" s="1">
        <f t="shared" si="6"/>
        <v>14.610899999999999</v>
      </c>
      <c r="P160" s="1">
        <f>Sintesi!$C$33*G160*1000</f>
        <v>138.09419600000001</v>
      </c>
      <c r="Q160" s="1">
        <f>Sintesi!$C$34*G160*1000</f>
        <v>63.230200000000004</v>
      </c>
      <c r="R160" s="1">
        <f t="shared" si="7"/>
        <v>74.863996000000014</v>
      </c>
    </row>
    <row r="161" spans="1:18">
      <c r="A161" s="41">
        <v>160</v>
      </c>
      <c r="B161" s="42">
        <f>DATE(Sintesi!$C$4-1,12,31)+A161</f>
        <v>44356</v>
      </c>
      <c r="C161" s="41">
        <f>'Paste cell here'!B161</f>
        <v>0</v>
      </c>
      <c r="D161" s="41">
        <f>'Paste cell here'!I161</f>
        <v>0</v>
      </c>
      <c r="E161" s="1">
        <f>'Paste cell here'!H161</f>
        <v>0.52645755000000005</v>
      </c>
      <c r="F161" s="1">
        <f>Sintesi!$C$5</f>
        <v>0.1</v>
      </c>
      <c r="G161" s="1">
        <f>'Paste cell here'!AA161</f>
        <v>0.70899999999999996</v>
      </c>
      <c r="H161" s="43">
        <f>'Paste cell here'!U161</f>
        <v>22.592135389999999</v>
      </c>
      <c r="I161" s="43">
        <f>'Paste cell here'!AE161</f>
        <v>142.53252090000001</v>
      </c>
      <c r="J161" s="44">
        <f>H160*'Paste cell here'!AO161+'Paste cell here'!AF161*'Paste cell here'!AP161</f>
        <v>147.80972879999999</v>
      </c>
      <c r="K161" s="45">
        <f>'Paste cell here'!AG161</f>
        <v>111.7716365</v>
      </c>
      <c r="L161" s="41" t="str">
        <f t="shared" si="8"/>
        <v>NO</v>
      </c>
      <c r="M161" s="1">
        <f>(Sintesi!$C$29*F161*1000)</f>
        <v>22.9209</v>
      </c>
      <c r="N161" s="1">
        <f>Sintesi!$C$30*F161*1000</f>
        <v>8.31</v>
      </c>
      <c r="O161" s="1">
        <f t="shared" si="6"/>
        <v>14.610899999999999</v>
      </c>
      <c r="P161" s="1">
        <f>Sintesi!$C$33*G161*1000</f>
        <v>139.670164</v>
      </c>
      <c r="Q161" s="1">
        <f>Sintesi!$C$34*G161*1000</f>
        <v>63.951800000000006</v>
      </c>
      <c r="R161" s="1">
        <f t="shared" si="7"/>
        <v>75.718363999999994</v>
      </c>
    </row>
    <row r="162" spans="1:18">
      <c r="A162" s="41">
        <v>161</v>
      </c>
      <c r="B162" s="42">
        <f>DATE(Sintesi!$C$4-1,12,31)+A162</f>
        <v>44357</v>
      </c>
      <c r="C162" s="41">
        <f>'Paste cell here'!B162</f>
        <v>0</v>
      </c>
      <c r="D162" s="41">
        <f>'Paste cell here'!I162</f>
        <v>0</v>
      </c>
      <c r="E162" s="1">
        <f>'Paste cell here'!H162</f>
        <v>0.46434161200000001</v>
      </c>
      <c r="F162" s="1">
        <f>Sintesi!$C$5</f>
        <v>0.1</v>
      </c>
      <c r="G162" s="1">
        <f>'Paste cell here'!AA162</f>
        <v>0.71699999999999997</v>
      </c>
      <c r="H162" s="43">
        <f>'Paste cell here'!U162</f>
        <v>21.840985719999999</v>
      </c>
      <c r="I162" s="43">
        <f>'Paste cell here'!AE162</f>
        <v>138.67715140000001</v>
      </c>
      <c r="J162" s="44">
        <f>H161*'Paste cell here'!AO162+'Paste cell here'!AF162*'Paste cell here'!AP162</f>
        <v>144.1084889</v>
      </c>
      <c r="K162" s="45">
        <f>'Paste cell here'!AG162</f>
        <v>116.361659</v>
      </c>
      <c r="L162" s="41" t="str">
        <f t="shared" si="8"/>
        <v>NO</v>
      </c>
      <c r="M162" s="1">
        <f>(Sintesi!$C$29*F162*1000)</f>
        <v>22.9209</v>
      </c>
      <c r="N162" s="1">
        <f>Sintesi!$C$30*F162*1000</f>
        <v>8.31</v>
      </c>
      <c r="O162" s="1">
        <f t="shared" si="6"/>
        <v>14.610899999999999</v>
      </c>
      <c r="P162" s="1">
        <f>Sintesi!$C$33*G162*1000</f>
        <v>141.24613199999999</v>
      </c>
      <c r="Q162" s="1">
        <f>Sintesi!$C$34*G162*1000</f>
        <v>64.673400000000001</v>
      </c>
      <c r="R162" s="1">
        <f t="shared" si="7"/>
        <v>76.572731999999988</v>
      </c>
    </row>
    <row r="163" spans="1:18">
      <c r="A163" s="41">
        <v>162</v>
      </c>
      <c r="B163" s="42">
        <f>DATE(Sintesi!$C$4-1,12,31)+A163</f>
        <v>44358</v>
      </c>
      <c r="C163" s="41">
        <f>'Paste cell here'!B163</f>
        <v>3.7986151989999999</v>
      </c>
      <c r="D163" s="41">
        <f>'Paste cell here'!I163</f>
        <v>0</v>
      </c>
      <c r="E163" s="1">
        <f>'Paste cell here'!H163</f>
        <v>0.461446933</v>
      </c>
      <c r="F163" s="1">
        <f>Sintesi!$C$5</f>
        <v>0.1</v>
      </c>
      <c r="G163" s="1">
        <f>'Paste cell here'!AA163</f>
        <v>0.72599999999999998</v>
      </c>
      <c r="H163" s="43">
        <f>'Paste cell here'!U163</f>
        <v>23.251854760000001</v>
      </c>
      <c r="I163" s="43">
        <f>'Paste cell here'!AE163</f>
        <v>135.01503310000001</v>
      </c>
      <c r="J163" s="44">
        <f>H162*'Paste cell here'!AO163+'Paste cell here'!AF163*'Paste cell here'!AP163</f>
        <v>140.45011539999999</v>
      </c>
      <c r="K163" s="45">
        <f>'Paste cell here'!AG163</f>
        <v>117.97934119999999</v>
      </c>
      <c r="L163" s="41" t="str">
        <f t="shared" si="8"/>
        <v>NO</v>
      </c>
      <c r="M163" s="1">
        <f>(Sintesi!$C$29*F163*1000)</f>
        <v>22.9209</v>
      </c>
      <c r="N163" s="1">
        <f>Sintesi!$C$30*F163*1000</f>
        <v>8.31</v>
      </c>
      <c r="O163" s="1">
        <f t="shared" si="6"/>
        <v>14.610899999999999</v>
      </c>
      <c r="P163" s="1">
        <f>Sintesi!$C$33*G163*1000</f>
        <v>143.01909600000002</v>
      </c>
      <c r="Q163" s="1">
        <f>Sintesi!$C$34*G163*1000</f>
        <v>65.485199999999992</v>
      </c>
      <c r="R163" s="1">
        <f t="shared" si="7"/>
        <v>77.533896000000027</v>
      </c>
    </row>
    <row r="164" spans="1:18">
      <c r="A164" s="41">
        <v>163</v>
      </c>
      <c r="B164" s="42">
        <f>DATE(Sintesi!$C$4-1,12,31)+A164</f>
        <v>44359</v>
      </c>
      <c r="C164" s="41">
        <f>'Paste cell here'!B164</f>
        <v>0</v>
      </c>
      <c r="D164" s="41">
        <f>'Paste cell here'!I164</f>
        <v>0</v>
      </c>
      <c r="E164" s="1">
        <f>'Paste cell here'!H164</f>
        <v>0.45840970800000003</v>
      </c>
      <c r="F164" s="1">
        <f>Sintesi!$C$5</f>
        <v>0.1</v>
      </c>
      <c r="G164" s="1">
        <f>'Paste cell here'!AA164</f>
        <v>0.73399999999999999</v>
      </c>
      <c r="H164" s="43">
        <f>'Paste cell here'!U164</f>
        <v>22.566837790000001</v>
      </c>
      <c r="I164" s="43">
        <f>'Paste cell here'!AE164</f>
        <v>130.82212899999999</v>
      </c>
      <c r="J164" s="44">
        <f>H163*'Paste cell here'!AO164+'Paste cell here'!AF164*'Paste cell here'!AP164</f>
        <v>136.5910011</v>
      </c>
      <c r="K164" s="45">
        <f>'Paste cell here'!AG164</f>
        <v>119.4460158</v>
      </c>
      <c r="L164" s="41" t="str">
        <f t="shared" si="8"/>
        <v>NO</v>
      </c>
      <c r="M164" s="1">
        <f>(Sintesi!$C$29*F164*1000)</f>
        <v>22.9209</v>
      </c>
      <c r="N164" s="1">
        <f>Sintesi!$C$30*F164*1000</f>
        <v>8.31</v>
      </c>
      <c r="O164" s="1">
        <f t="shared" si="6"/>
        <v>14.610899999999999</v>
      </c>
      <c r="P164" s="1">
        <f>Sintesi!$C$33*G164*1000</f>
        <v>144.59506400000001</v>
      </c>
      <c r="Q164" s="1">
        <f>Sintesi!$C$34*G164*1000</f>
        <v>66.206800000000001</v>
      </c>
      <c r="R164" s="1">
        <f t="shared" si="7"/>
        <v>78.388264000000007</v>
      </c>
    </row>
    <row r="165" spans="1:18">
      <c r="A165" s="41">
        <v>164</v>
      </c>
      <c r="B165" s="42">
        <f>DATE(Sintesi!$C$4-1,12,31)+A165</f>
        <v>44360</v>
      </c>
      <c r="C165" s="41">
        <f>'Paste cell here'!B165</f>
        <v>0</v>
      </c>
      <c r="D165" s="41">
        <f>'Paste cell here'!I165</f>
        <v>0</v>
      </c>
      <c r="E165" s="1">
        <f>'Paste cell here'!H165</f>
        <v>0.44493228000000001</v>
      </c>
      <c r="F165" s="1">
        <f>Sintesi!$C$5</f>
        <v>0.1</v>
      </c>
      <c r="G165" s="1">
        <f>'Paste cell here'!AA165</f>
        <v>0.74199999999999999</v>
      </c>
      <c r="H165" s="43">
        <f>'Paste cell here'!U165</f>
        <v>21.784178749999999</v>
      </c>
      <c r="I165" s="43">
        <f>'Paste cell here'!AE165</f>
        <v>125.4773331</v>
      </c>
      <c r="J165" s="44">
        <f>H164*'Paste cell here'!AO165+'Paste cell here'!AF165*'Paste cell here'!AP165</f>
        <v>132.39809700000001</v>
      </c>
      <c r="K165" s="45">
        <f>'Paste cell here'!AG165</f>
        <v>121.49533049999999</v>
      </c>
      <c r="L165" s="41" t="str">
        <f t="shared" si="8"/>
        <v>NO</v>
      </c>
      <c r="M165" s="1">
        <f>(Sintesi!$C$29*F165*1000)</f>
        <v>22.9209</v>
      </c>
      <c r="N165" s="1">
        <f>Sintesi!$C$30*F165*1000</f>
        <v>8.31</v>
      </c>
      <c r="O165" s="1">
        <f t="shared" si="6"/>
        <v>14.610899999999999</v>
      </c>
      <c r="P165" s="1">
        <f>Sintesi!$C$33*G165*1000</f>
        <v>146.171032</v>
      </c>
      <c r="Q165" s="1">
        <f>Sintesi!$C$34*G165*1000</f>
        <v>66.928399999999996</v>
      </c>
      <c r="R165" s="1">
        <f t="shared" si="7"/>
        <v>79.242632</v>
      </c>
    </row>
    <row r="166" spans="1:18">
      <c r="A166" s="41">
        <v>165</v>
      </c>
      <c r="B166" s="42">
        <f>DATE(Sintesi!$C$4-1,12,31)+A166</f>
        <v>44361</v>
      </c>
      <c r="C166" s="41">
        <f>'Paste cell here'!B166</f>
        <v>0</v>
      </c>
      <c r="D166" s="41">
        <f>'Paste cell here'!I166</f>
        <v>0</v>
      </c>
      <c r="E166" s="1">
        <f>'Paste cell here'!H166</f>
        <v>0.39353662</v>
      </c>
      <c r="F166" s="1">
        <f>Sintesi!$C$5</f>
        <v>0.1</v>
      </c>
      <c r="G166" s="1">
        <f>'Paste cell here'!AA166</f>
        <v>0.75</v>
      </c>
      <c r="H166" s="43">
        <f>'Paste cell here'!U166</f>
        <v>21.363486770000002</v>
      </c>
      <c r="I166" s="43">
        <f>'Paste cell here'!AE166</f>
        <v>120.607133</v>
      </c>
      <c r="J166" s="44">
        <f>H165*'Paste cell here'!AO166+'Paste cell here'!AF166*'Paste cell here'!AP166</f>
        <v>127.0533011</v>
      </c>
      <c r="K166" s="45">
        <f>'Paste cell here'!AG166</f>
        <v>125.6863603</v>
      </c>
      <c r="L166" s="41" t="str">
        <f t="shared" si="8"/>
        <v>NO</v>
      </c>
      <c r="M166" s="1">
        <f>(Sintesi!$C$29*F166*1000)</f>
        <v>22.9209</v>
      </c>
      <c r="N166" s="1">
        <f>Sintesi!$C$30*F166*1000</f>
        <v>8.31</v>
      </c>
      <c r="O166" s="1">
        <f t="shared" si="6"/>
        <v>14.610899999999999</v>
      </c>
      <c r="P166" s="1">
        <f>Sintesi!$C$33*G166*1000</f>
        <v>147.74700000000001</v>
      </c>
      <c r="Q166" s="1">
        <f>Sintesi!$C$34*G166*1000</f>
        <v>67.650000000000006</v>
      </c>
      <c r="R166" s="1">
        <f t="shared" si="7"/>
        <v>80.097000000000008</v>
      </c>
    </row>
    <row r="167" spans="1:18">
      <c r="A167" s="41">
        <v>166</v>
      </c>
      <c r="B167" s="42">
        <f>DATE(Sintesi!$C$4-1,12,31)+A167</f>
        <v>44362</v>
      </c>
      <c r="C167" s="41">
        <f>'Paste cell here'!B167</f>
        <v>0</v>
      </c>
      <c r="D167" s="41">
        <f>'Paste cell here'!I167</f>
        <v>198</v>
      </c>
      <c r="E167" s="1">
        <f>'Paste cell here'!H167</f>
        <v>0.42615770600000002</v>
      </c>
      <c r="F167" s="1">
        <f>Sintesi!$C$5</f>
        <v>0.1</v>
      </c>
      <c r="G167" s="1">
        <f>'Paste cell here'!AA167</f>
        <v>0.75</v>
      </c>
      <c r="H167" s="43">
        <f>'Paste cell here'!U167</f>
        <v>28.241972140000001</v>
      </c>
      <c r="I167" s="43">
        <f>'Paste cell here'!AE167</f>
        <v>212.88268500000001</v>
      </c>
      <c r="J167" s="44">
        <f>H166*'Paste cell here'!AO167+'Paste cell here'!AF167*'Paste cell here'!AP167</f>
        <v>120.607133</v>
      </c>
      <c r="K167" s="45">
        <f>'Paste cell here'!AG167</f>
        <v>123.857707</v>
      </c>
      <c r="L167" s="41" t="str">
        <f t="shared" si="8"/>
        <v>YES</v>
      </c>
      <c r="M167" s="1">
        <f>(Sintesi!$C$29*F167*1000)</f>
        <v>22.9209</v>
      </c>
      <c r="N167" s="1">
        <f>Sintesi!$C$30*F167*1000</f>
        <v>8.31</v>
      </c>
      <c r="O167" s="1">
        <f t="shared" si="6"/>
        <v>14.610899999999999</v>
      </c>
      <c r="P167" s="1">
        <f>Sintesi!$C$33*G167*1000</f>
        <v>147.74700000000001</v>
      </c>
      <c r="Q167" s="1">
        <f>Sintesi!$C$34*G167*1000</f>
        <v>67.650000000000006</v>
      </c>
      <c r="R167" s="1">
        <f t="shared" si="7"/>
        <v>80.097000000000008</v>
      </c>
    </row>
    <row r="168" spans="1:18">
      <c r="A168" s="41">
        <v>167</v>
      </c>
      <c r="B168" s="42">
        <f>DATE(Sintesi!$C$4-1,12,31)+A168</f>
        <v>44363</v>
      </c>
      <c r="C168" s="41">
        <f>'Paste cell here'!B168</f>
        <v>0</v>
      </c>
      <c r="D168" s="41">
        <f>'Paste cell here'!I168</f>
        <v>0</v>
      </c>
      <c r="E168" s="1">
        <f>'Paste cell here'!H168</f>
        <v>0.43064845299999999</v>
      </c>
      <c r="F168" s="1">
        <f>Sintesi!$C$5</f>
        <v>0.1</v>
      </c>
      <c r="G168" s="1">
        <f>'Paste cell here'!AA168</f>
        <v>0.75</v>
      </c>
      <c r="H168" s="43">
        <f>'Paste cell here'!U168</f>
        <v>24.320666460000002</v>
      </c>
      <c r="I168" s="43">
        <f>'Paste cell here'!AE168</f>
        <v>184.61695929999999</v>
      </c>
      <c r="J168" s="44">
        <f>H167*'Paste cell here'!AO168+'Paste cell here'!AF168*'Paste cell here'!AP168</f>
        <v>212.88268500000001</v>
      </c>
      <c r="K168" s="45">
        <f>'Paste cell here'!AG168</f>
        <v>123.6059674</v>
      </c>
      <c r="L168" s="41" t="str">
        <f t="shared" si="8"/>
        <v>NO</v>
      </c>
      <c r="M168" s="1">
        <f>(Sintesi!$C$29*F168*1000)</f>
        <v>22.9209</v>
      </c>
      <c r="N168" s="1">
        <f>Sintesi!$C$30*F168*1000</f>
        <v>8.31</v>
      </c>
      <c r="O168" s="1">
        <f t="shared" si="6"/>
        <v>14.610899999999999</v>
      </c>
      <c r="P168" s="1">
        <f>Sintesi!$C$33*G168*1000</f>
        <v>147.74700000000001</v>
      </c>
      <c r="Q168" s="1">
        <f>Sintesi!$C$34*G168*1000</f>
        <v>67.650000000000006</v>
      </c>
      <c r="R168" s="1">
        <f t="shared" si="7"/>
        <v>80.097000000000008</v>
      </c>
    </row>
    <row r="169" spans="1:18">
      <c r="A169" s="41">
        <v>168</v>
      </c>
      <c r="B169" s="42">
        <f>DATE(Sintesi!$C$4-1,12,31)+A169</f>
        <v>44364</v>
      </c>
      <c r="C169" s="41">
        <f>'Paste cell here'!B169</f>
        <v>0</v>
      </c>
      <c r="D169" s="41">
        <f>'Paste cell here'!I169</f>
        <v>0</v>
      </c>
      <c r="E169" s="1">
        <f>'Paste cell here'!H169</f>
        <v>0.48941982299999998</v>
      </c>
      <c r="F169" s="1">
        <f>Sintesi!$C$5</f>
        <v>0.1</v>
      </c>
      <c r="G169" s="1">
        <f>'Paste cell here'!AA169</f>
        <v>0.75</v>
      </c>
      <c r="H169" s="43">
        <f>'Paste cell here'!U169</f>
        <v>23.291045960000002</v>
      </c>
      <c r="I169" s="43">
        <f>'Paste cell here'!AE169</f>
        <v>174.09937249999999</v>
      </c>
      <c r="J169" s="44">
        <f>H168*'Paste cell here'!AO169+'Paste cell here'!AF169*'Paste cell here'!AP169</f>
        <v>184.61695929999999</v>
      </c>
      <c r="K169" s="45">
        <f>'Paste cell here'!AG169</f>
        <v>120.3113972</v>
      </c>
      <c r="L169" s="41" t="str">
        <f t="shared" si="8"/>
        <v>NO</v>
      </c>
      <c r="M169" s="1">
        <f>(Sintesi!$C$29*F169*1000)</f>
        <v>22.9209</v>
      </c>
      <c r="N169" s="1">
        <f>Sintesi!$C$30*F169*1000</f>
        <v>8.31</v>
      </c>
      <c r="O169" s="1">
        <f t="shared" si="6"/>
        <v>14.610899999999999</v>
      </c>
      <c r="P169" s="1">
        <f>Sintesi!$C$33*G169*1000</f>
        <v>147.74700000000001</v>
      </c>
      <c r="Q169" s="1">
        <f>Sintesi!$C$34*G169*1000</f>
        <v>67.650000000000006</v>
      </c>
      <c r="R169" s="1">
        <f t="shared" si="7"/>
        <v>80.097000000000008</v>
      </c>
    </row>
    <row r="170" spans="1:18">
      <c r="A170" s="41">
        <v>169</v>
      </c>
      <c r="B170" s="42">
        <f>DATE(Sintesi!$C$4-1,12,31)+A170</f>
        <v>44365</v>
      </c>
      <c r="C170" s="41">
        <f>'Paste cell here'!B170</f>
        <v>0</v>
      </c>
      <c r="D170" s="41">
        <f>'Paste cell here'!I170</f>
        <v>0</v>
      </c>
      <c r="E170" s="1">
        <f>'Paste cell here'!H170</f>
        <v>0.46374942600000002</v>
      </c>
      <c r="F170" s="1">
        <f>Sintesi!$C$5</f>
        <v>0.1</v>
      </c>
      <c r="G170" s="1">
        <f>'Paste cell here'!AA170</f>
        <v>0.75</v>
      </c>
      <c r="H170" s="43">
        <f>'Paste cell here'!U170</f>
        <v>22.57057283</v>
      </c>
      <c r="I170" s="43">
        <f>'Paste cell here'!AE170</f>
        <v>166.097174</v>
      </c>
      <c r="J170" s="44">
        <f>H169*'Paste cell here'!AO170+'Paste cell here'!AF170*'Paste cell here'!AP170</f>
        <v>174.09937249999999</v>
      </c>
      <c r="K170" s="45">
        <f>'Paste cell here'!AG170</f>
        <v>121.75041299999999</v>
      </c>
      <c r="L170" s="41" t="str">
        <f t="shared" si="8"/>
        <v>NO</v>
      </c>
      <c r="M170" s="1">
        <f>(Sintesi!$C$29*F170*1000)</f>
        <v>22.9209</v>
      </c>
      <c r="N170" s="1">
        <f>Sintesi!$C$30*F170*1000</f>
        <v>8.31</v>
      </c>
      <c r="O170" s="1">
        <f t="shared" si="6"/>
        <v>14.610899999999999</v>
      </c>
      <c r="P170" s="1">
        <f>Sintesi!$C$33*G170*1000</f>
        <v>147.74700000000001</v>
      </c>
      <c r="Q170" s="1">
        <f>Sintesi!$C$34*G170*1000</f>
        <v>67.650000000000006</v>
      </c>
      <c r="R170" s="1">
        <f t="shared" si="7"/>
        <v>80.097000000000008</v>
      </c>
    </row>
    <row r="171" spans="1:18">
      <c r="A171" s="41">
        <v>170</v>
      </c>
      <c r="B171" s="42">
        <f>DATE(Sintesi!$C$4-1,12,31)+A171</f>
        <v>44366</v>
      </c>
      <c r="C171" s="41">
        <f>'Paste cell here'!B171</f>
        <v>0</v>
      </c>
      <c r="D171" s="41">
        <f>'Paste cell here'!I171</f>
        <v>0</v>
      </c>
      <c r="E171" s="1">
        <f>'Paste cell here'!H171</f>
        <v>0.435382673</v>
      </c>
      <c r="F171" s="1">
        <f>Sintesi!$C$5</f>
        <v>0.1</v>
      </c>
      <c r="G171" s="1">
        <f>'Paste cell here'!AA171</f>
        <v>0.75</v>
      </c>
      <c r="H171" s="43">
        <f>'Paste cell here'!U171</f>
        <v>22.04547333</v>
      </c>
      <c r="I171" s="43">
        <f>'Paste cell here'!AE171</f>
        <v>159.87681330000001</v>
      </c>
      <c r="J171" s="44">
        <f>H170*'Paste cell here'!AO171+'Paste cell here'!AF171*'Paste cell here'!AP171</f>
        <v>166.097174</v>
      </c>
      <c r="K171" s="45">
        <f>'Paste cell here'!AG171</f>
        <v>123.3405794</v>
      </c>
      <c r="L171" s="41" t="str">
        <f t="shared" si="8"/>
        <v>NO</v>
      </c>
      <c r="M171" s="1">
        <f>(Sintesi!$C$29*F171*1000)</f>
        <v>22.9209</v>
      </c>
      <c r="N171" s="1">
        <f>Sintesi!$C$30*F171*1000</f>
        <v>8.31</v>
      </c>
      <c r="O171" s="1">
        <f t="shared" si="6"/>
        <v>14.610899999999999</v>
      </c>
      <c r="P171" s="1">
        <f>Sintesi!$C$33*G171*1000</f>
        <v>147.74700000000001</v>
      </c>
      <c r="Q171" s="1">
        <f>Sintesi!$C$34*G171*1000</f>
        <v>67.650000000000006</v>
      </c>
      <c r="R171" s="1">
        <f t="shared" si="7"/>
        <v>80.097000000000008</v>
      </c>
    </row>
    <row r="172" spans="1:18">
      <c r="A172" s="41">
        <v>171</v>
      </c>
      <c r="B172" s="42">
        <f>DATE(Sintesi!$C$4-1,12,31)+A172</f>
        <v>44367</v>
      </c>
      <c r="C172" s="41">
        <f>'Paste cell here'!B172</f>
        <v>0</v>
      </c>
      <c r="D172" s="41">
        <f>'Paste cell here'!I172</f>
        <v>0</v>
      </c>
      <c r="E172" s="1">
        <f>'Paste cell here'!H172</f>
        <v>0.46915378899999999</v>
      </c>
      <c r="F172" s="1">
        <f>Sintesi!$C$5</f>
        <v>0.1</v>
      </c>
      <c r="G172" s="1">
        <f>'Paste cell here'!AA172</f>
        <v>0.75</v>
      </c>
      <c r="H172" s="43">
        <f>'Paste cell here'!U172</f>
        <v>21.73515884</v>
      </c>
      <c r="I172" s="43">
        <f>'Paste cell here'!AE172</f>
        <v>155.0488775</v>
      </c>
      <c r="J172" s="44">
        <f>H171*'Paste cell here'!AO172+'Paste cell here'!AF172*'Paste cell here'!AP172</f>
        <v>159.87681330000001</v>
      </c>
      <c r="K172" s="45">
        <f>'Paste cell here'!AG172</f>
        <v>121.4474584</v>
      </c>
      <c r="L172" s="41" t="str">
        <f t="shared" si="8"/>
        <v>NO</v>
      </c>
      <c r="M172" s="1">
        <f>(Sintesi!$C$29*F172*1000)</f>
        <v>22.9209</v>
      </c>
      <c r="N172" s="1">
        <f>Sintesi!$C$30*F172*1000</f>
        <v>8.31</v>
      </c>
      <c r="O172" s="1">
        <f t="shared" si="6"/>
        <v>14.610899999999999</v>
      </c>
      <c r="P172" s="1">
        <f>Sintesi!$C$33*G172*1000</f>
        <v>147.74700000000001</v>
      </c>
      <c r="Q172" s="1">
        <f>Sintesi!$C$34*G172*1000</f>
        <v>67.650000000000006</v>
      </c>
      <c r="R172" s="1">
        <f t="shared" si="7"/>
        <v>80.097000000000008</v>
      </c>
    </row>
    <row r="173" spans="1:18">
      <c r="A173" s="41">
        <v>172</v>
      </c>
      <c r="B173" s="42">
        <f>DATE(Sintesi!$C$4-1,12,31)+A173</f>
        <v>44368</v>
      </c>
      <c r="C173" s="41">
        <f>'Paste cell here'!B173</f>
        <v>0</v>
      </c>
      <c r="D173" s="41">
        <f>'Paste cell here'!I173</f>
        <v>0</v>
      </c>
      <c r="E173" s="1">
        <f>'Paste cell here'!H173</f>
        <v>0.51619117999999997</v>
      </c>
      <c r="F173" s="1">
        <f>Sintesi!$C$5</f>
        <v>0.1</v>
      </c>
      <c r="G173" s="1">
        <f>'Paste cell here'!AA173</f>
        <v>0.75</v>
      </c>
      <c r="H173" s="43">
        <f>'Paste cell here'!U173</f>
        <v>21.30435048</v>
      </c>
      <c r="I173" s="43">
        <f>'Paste cell here'!AE173</f>
        <v>148.9284954</v>
      </c>
      <c r="J173" s="44">
        <f>H172*'Paste cell here'!AO173+'Paste cell here'!AF173*'Paste cell here'!AP173</f>
        <v>155.0488775</v>
      </c>
      <c r="K173" s="45">
        <f>'Paste cell here'!AG173</f>
        <v>118.8106645</v>
      </c>
      <c r="L173" s="41" t="str">
        <f t="shared" si="8"/>
        <v>NO</v>
      </c>
      <c r="M173" s="1">
        <f>(Sintesi!$C$29*F173*1000)</f>
        <v>22.9209</v>
      </c>
      <c r="N173" s="1">
        <f>Sintesi!$C$30*F173*1000</f>
        <v>8.31</v>
      </c>
      <c r="O173" s="1">
        <f t="shared" si="6"/>
        <v>14.610899999999999</v>
      </c>
      <c r="P173" s="1">
        <f>Sintesi!$C$33*G173*1000</f>
        <v>147.74700000000001</v>
      </c>
      <c r="Q173" s="1">
        <f>Sintesi!$C$34*G173*1000</f>
        <v>67.650000000000006</v>
      </c>
      <c r="R173" s="1">
        <f t="shared" si="7"/>
        <v>80.097000000000008</v>
      </c>
    </row>
    <row r="174" spans="1:18">
      <c r="A174" s="41">
        <v>173</v>
      </c>
      <c r="B174" s="42">
        <f>DATE(Sintesi!$C$4-1,12,31)+A174</f>
        <v>44369</v>
      </c>
      <c r="C174" s="41">
        <f>'Paste cell here'!B174</f>
        <v>0</v>
      </c>
      <c r="D174" s="41">
        <f>'Paste cell here'!I174</f>
        <v>0</v>
      </c>
      <c r="E174" s="1">
        <f>'Paste cell here'!H174</f>
        <v>0.45087348900000002</v>
      </c>
      <c r="F174" s="1">
        <f>Sintesi!$C$5</f>
        <v>0.1</v>
      </c>
      <c r="G174" s="1">
        <f>'Paste cell here'!AA174</f>
        <v>0.75</v>
      </c>
      <c r="H174" s="43">
        <f>'Paste cell here'!U174</f>
        <v>20.8742394</v>
      </c>
      <c r="I174" s="43">
        <f>'Paste cell here'!AE174</f>
        <v>142.64383549999999</v>
      </c>
      <c r="J174" s="44">
        <f>H173*'Paste cell here'!AO174+'Paste cell here'!AF174*'Paste cell here'!AP174</f>
        <v>148.9284954</v>
      </c>
      <c r="K174" s="45">
        <f>'Paste cell here'!AG174</f>
        <v>122.4722045</v>
      </c>
      <c r="L174" s="41" t="str">
        <f t="shared" si="8"/>
        <v>NO</v>
      </c>
      <c r="M174" s="1">
        <f>(Sintesi!$C$29*F174*1000)</f>
        <v>22.9209</v>
      </c>
      <c r="N174" s="1">
        <f>Sintesi!$C$30*F174*1000</f>
        <v>8.31</v>
      </c>
      <c r="O174" s="1">
        <f t="shared" si="6"/>
        <v>14.610899999999999</v>
      </c>
      <c r="P174" s="1">
        <f>Sintesi!$C$33*G174*1000</f>
        <v>147.74700000000001</v>
      </c>
      <c r="Q174" s="1">
        <f>Sintesi!$C$34*G174*1000</f>
        <v>67.650000000000006</v>
      </c>
      <c r="R174" s="1">
        <f t="shared" si="7"/>
        <v>80.097000000000008</v>
      </c>
    </row>
    <row r="175" spans="1:18">
      <c r="A175" s="41">
        <v>174</v>
      </c>
      <c r="B175" s="42">
        <f>DATE(Sintesi!$C$4-1,12,31)+A175</f>
        <v>44370</v>
      </c>
      <c r="C175" s="41">
        <f>'Paste cell here'!B175</f>
        <v>6.307786675</v>
      </c>
      <c r="D175" s="41">
        <f>'Paste cell here'!I175</f>
        <v>0</v>
      </c>
      <c r="E175" s="1">
        <f>'Paste cell here'!H175</f>
        <v>0.43874706499999999</v>
      </c>
      <c r="F175" s="1">
        <f>Sintesi!$C$5</f>
        <v>0.1</v>
      </c>
      <c r="G175" s="1">
        <f>'Paste cell here'!AA175</f>
        <v>0.75</v>
      </c>
      <c r="H175" s="43">
        <f>'Paste cell here'!U175</f>
        <v>24.649263879999999</v>
      </c>
      <c r="I175" s="43">
        <f>'Paste cell here'!AE175</f>
        <v>137.2328172</v>
      </c>
      <c r="J175" s="44">
        <f>H174*'Paste cell here'!AO175+'Paste cell here'!AF175*'Paste cell here'!AP175</f>
        <v>142.64383549999999</v>
      </c>
      <c r="K175" s="45">
        <f>'Paste cell here'!AG175</f>
        <v>123.15198030000001</v>
      </c>
      <c r="L175" s="41" t="str">
        <f t="shared" si="8"/>
        <v>NO</v>
      </c>
      <c r="M175" s="1">
        <f>(Sintesi!$C$29*F175*1000)</f>
        <v>22.9209</v>
      </c>
      <c r="N175" s="1">
        <f>Sintesi!$C$30*F175*1000</f>
        <v>8.31</v>
      </c>
      <c r="O175" s="1">
        <f t="shared" si="6"/>
        <v>14.610899999999999</v>
      </c>
      <c r="P175" s="1">
        <f>Sintesi!$C$33*G175*1000</f>
        <v>147.74700000000001</v>
      </c>
      <c r="Q175" s="1">
        <f>Sintesi!$C$34*G175*1000</f>
        <v>67.650000000000006</v>
      </c>
      <c r="R175" s="1">
        <f t="shared" si="7"/>
        <v>80.097000000000008</v>
      </c>
    </row>
    <row r="176" spans="1:18">
      <c r="A176" s="41">
        <v>175</v>
      </c>
      <c r="B176" s="42">
        <f>DATE(Sintesi!$C$4-1,12,31)+A176</f>
        <v>44371</v>
      </c>
      <c r="C176" s="41">
        <f>'Paste cell here'!B176</f>
        <v>0</v>
      </c>
      <c r="D176" s="41">
        <f>'Paste cell here'!I176</f>
        <v>0</v>
      </c>
      <c r="E176" s="1">
        <f>'Paste cell here'!H176</f>
        <v>0.46898410200000001</v>
      </c>
      <c r="F176" s="1">
        <f>Sintesi!$C$5</f>
        <v>0.1</v>
      </c>
      <c r="G176" s="1">
        <f>'Paste cell here'!AA176</f>
        <v>0.75</v>
      </c>
      <c r="H176" s="43">
        <f>'Paste cell here'!U176</f>
        <v>23.943875559999999</v>
      </c>
      <c r="I176" s="43">
        <f>'Paste cell here'!AE176</f>
        <v>131.73398109999999</v>
      </c>
      <c r="J176" s="44">
        <f>H175*'Paste cell here'!AO176+'Paste cell here'!AF176*'Paste cell here'!AP176</f>
        <v>137.2328172</v>
      </c>
      <c r="K176" s="45">
        <f>'Paste cell here'!AG176</f>
        <v>121.45697060000001</v>
      </c>
      <c r="L176" s="41" t="str">
        <f t="shared" si="8"/>
        <v>NO</v>
      </c>
      <c r="M176" s="1">
        <f>(Sintesi!$C$29*F176*1000)</f>
        <v>22.9209</v>
      </c>
      <c r="N176" s="1">
        <f>Sintesi!$C$30*F176*1000</f>
        <v>8.31</v>
      </c>
      <c r="O176" s="1">
        <f t="shared" si="6"/>
        <v>14.610899999999999</v>
      </c>
      <c r="P176" s="1">
        <f>Sintesi!$C$33*G176*1000</f>
        <v>147.74700000000001</v>
      </c>
      <c r="Q176" s="1">
        <f>Sintesi!$C$34*G176*1000</f>
        <v>67.650000000000006</v>
      </c>
      <c r="R176" s="1">
        <f t="shared" si="7"/>
        <v>80.097000000000008</v>
      </c>
    </row>
    <row r="177" spans="1:18">
      <c r="A177" s="41">
        <v>176</v>
      </c>
      <c r="B177" s="42">
        <f>DATE(Sintesi!$C$4-1,12,31)+A177</f>
        <v>44372</v>
      </c>
      <c r="C177" s="41">
        <f>'Paste cell here'!B177</f>
        <v>0</v>
      </c>
      <c r="D177" s="41">
        <f>'Paste cell here'!I177</f>
        <v>0</v>
      </c>
      <c r="E177" s="1">
        <f>'Paste cell here'!H177</f>
        <v>0.45434077899999997</v>
      </c>
      <c r="F177" s="1">
        <f>Sintesi!$C$5</f>
        <v>0.1</v>
      </c>
      <c r="G177" s="1">
        <f>'Paste cell here'!AA177</f>
        <v>0.75</v>
      </c>
      <c r="H177" s="43">
        <f>'Paste cell here'!U177</f>
        <v>23.190569</v>
      </c>
      <c r="I177" s="43">
        <f>'Paste cell here'!AE177</f>
        <v>125.48478679999999</v>
      </c>
      <c r="J177" s="44">
        <f>H176*'Paste cell here'!AO177+'Paste cell here'!AF177*'Paste cell here'!AP177</f>
        <v>131.73398109999999</v>
      </c>
      <c r="K177" s="45">
        <f>'Paste cell here'!AG177</f>
        <v>122.27783719999999</v>
      </c>
      <c r="L177" s="41" t="str">
        <f t="shared" si="8"/>
        <v>NO</v>
      </c>
      <c r="M177" s="1">
        <f>(Sintesi!$C$29*F177*1000)</f>
        <v>22.9209</v>
      </c>
      <c r="N177" s="1">
        <f>Sintesi!$C$30*F177*1000</f>
        <v>8.31</v>
      </c>
      <c r="O177" s="1">
        <f t="shared" si="6"/>
        <v>14.610899999999999</v>
      </c>
      <c r="P177" s="1">
        <f>Sintesi!$C$33*G177*1000</f>
        <v>147.74700000000001</v>
      </c>
      <c r="Q177" s="1">
        <f>Sintesi!$C$34*G177*1000</f>
        <v>67.650000000000006</v>
      </c>
      <c r="R177" s="1">
        <f t="shared" si="7"/>
        <v>80.097000000000008</v>
      </c>
    </row>
    <row r="178" spans="1:18">
      <c r="A178" s="41">
        <v>177</v>
      </c>
      <c r="B178" s="42">
        <f>DATE(Sintesi!$C$4-1,12,31)+A178</f>
        <v>44373</v>
      </c>
      <c r="C178" s="41">
        <f>'Paste cell here'!B178</f>
        <v>0</v>
      </c>
      <c r="D178" s="41">
        <f>'Paste cell here'!I178</f>
        <v>0</v>
      </c>
      <c r="E178" s="1">
        <f>'Paste cell here'!H178</f>
        <v>0.42129175000000002</v>
      </c>
      <c r="F178" s="1">
        <f>Sintesi!$C$5</f>
        <v>0.1</v>
      </c>
      <c r="G178" s="1">
        <f>'Paste cell here'!AA178</f>
        <v>0.75</v>
      </c>
      <c r="H178" s="43">
        <f>'Paste cell here'!U178</f>
        <v>22.683972929999999</v>
      </c>
      <c r="I178" s="43">
        <f>'Paste cell here'!AE178</f>
        <v>119.6482381</v>
      </c>
      <c r="J178" s="44">
        <f>H177*'Paste cell here'!AO178+'Paste cell here'!AF178*'Paste cell here'!AP178</f>
        <v>125.48478679999999</v>
      </c>
      <c r="K178" s="45">
        <f>'Paste cell here'!AG178</f>
        <v>124.1304798</v>
      </c>
      <c r="L178" s="41" t="str">
        <f t="shared" si="8"/>
        <v>NO</v>
      </c>
      <c r="M178" s="1">
        <f>(Sintesi!$C$29*F178*1000)</f>
        <v>22.9209</v>
      </c>
      <c r="N178" s="1">
        <f>Sintesi!$C$30*F178*1000</f>
        <v>8.31</v>
      </c>
      <c r="O178" s="1">
        <f t="shared" si="6"/>
        <v>14.610899999999999</v>
      </c>
      <c r="P178" s="1">
        <f>Sintesi!$C$33*G178*1000</f>
        <v>147.74700000000001</v>
      </c>
      <c r="Q178" s="1">
        <f>Sintesi!$C$34*G178*1000</f>
        <v>67.650000000000006</v>
      </c>
      <c r="R178" s="1">
        <f t="shared" si="7"/>
        <v>80.097000000000008</v>
      </c>
    </row>
    <row r="179" spans="1:18">
      <c r="A179" s="41">
        <v>178</v>
      </c>
      <c r="B179" s="42">
        <f>DATE(Sintesi!$C$4-1,12,31)+A179</f>
        <v>44374</v>
      </c>
      <c r="C179" s="41">
        <f>'Paste cell here'!B179</f>
        <v>0</v>
      </c>
      <c r="D179" s="41">
        <f>'Paste cell here'!I179</f>
        <v>198</v>
      </c>
      <c r="E179" s="1">
        <f>'Paste cell here'!H179</f>
        <v>0.44699193199999998</v>
      </c>
      <c r="F179" s="1">
        <f>Sintesi!$C$5</f>
        <v>0.1</v>
      </c>
      <c r="G179" s="1">
        <f>'Paste cell here'!AA179</f>
        <v>0.75</v>
      </c>
      <c r="H179" s="43">
        <f>'Paste cell here'!U179</f>
        <v>28.27896887</v>
      </c>
      <c r="I179" s="43">
        <f>'Paste cell here'!AE179</f>
        <v>213.00215270000001</v>
      </c>
      <c r="J179" s="44">
        <f>H178*'Paste cell here'!AO179+'Paste cell here'!AF179*'Paste cell here'!AP179</f>
        <v>119.6482381</v>
      </c>
      <c r="K179" s="45">
        <f>'Paste cell here'!AG179</f>
        <v>122.6897945</v>
      </c>
      <c r="L179" s="41" t="str">
        <f t="shared" si="8"/>
        <v>YES</v>
      </c>
      <c r="M179" s="1">
        <f>(Sintesi!$C$29*F179*1000)</f>
        <v>22.9209</v>
      </c>
      <c r="N179" s="1">
        <f>Sintesi!$C$30*F179*1000</f>
        <v>8.31</v>
      </c>
      <c r="O179" s="1">
        <f t="shared" si="6"/>
        <v>14.610899999999999</v>
      </c>
      <c r="P179" s="1">
        <f>Sintesi!$C$33*G179*1000</f>
        <v>147.74700000000001</v>
      </c>
      <c r="Q179" s="1">
        <f>Sintesi!$C$34*G179*1000</f>
        <v>67.650000000000006</v>
      </c>
      <c r="R179" s="1">
        <f t="shared" si="7"/>
        <v>80.097000000000008</v>
      </c>
    </row>
    <row r="180" spans="1:18">
      <c r="A180" s="41">
        <v>179</v>
      </c>
      <c r="B180" s="42">
        <f>DATE(Sintesi!$C$4-1,12,31)+A180</f>
        <v>44375</v>
      </c>
      <c r="C180" s="41">
        <f>'Paste cell here'!B180</f>
        <v>0</v>
      </c>
      <c r="D180" s="41">
        <f>'Paste cell here'!I180</f>
        <v>0</v>
      </c>
      <c r="E180" s="1">
        <f>'Paste cell here'!H180</f>
        <v>0.451930367</v>
      </c>
      <c r="F180" s="1">
        <f>Sintesi!$C$5</f>
        <v>0.1</v>
      </c>
      <c r="G180" s="1">
        <f>'Paste cell here'!AA180</f>
        <v>0.75</v>
      </c>
      <c r="H180" s="43">
        <f>'Paste cell here'!U180</f>
        <v>24.220556640000002</v>
      </c>
      <c r="I180" s="43">
        <f>'Paste cell here'!AE180</f>
        <v>183.7437065</v>
      </c>
      <c r="J180" s="44">
        <f>H179*'Paste cell here'!AO180+'Paste cell here'!AF180*'Paste cell here'!AP180</f>
        <v>213.00215270000001</v>
      </c>
      <c r="K180" s="45">
        <f>'Paste cell here'!AG180</f>
        <v>122.4129587</v>
      </c>
      <c r="L180" s="41" t="str">
        <f t="shared" si="8"/>
        <v>NO</v>
      </c>
      <c r="M180" s="1">
        <f>(Sintesi!$C$29*F180*1000)</f>
        <v>22.9209</v>
      </c>
      <c r="N180" s="1">
        <f>Sintesi!$C$30*F180*1000</f>
        <v>8.31</v>
      </c>
      <c r="O180" s="1">
        <f t="shared" si="6"/>
        <v>14.610899999999999</v>
      </c>
      <c r="P180" s="1">
        <f>Sintesi!$C$33*G180*1000</f>
        <v>147.74700000000001</v>
      </c>
      <c r="Q180" s="1">
        <f>Sintesi!$C$34*G180*1000</f>
        <v>67.650000000000006</v>
      </c>
      <c r="R180" s="1">
        <f t="shared" si="7"/>
        <v>80.097000000000008</v>
      </c>
    </row>
    <row r="181" spans="1:18">
      <c r="A181" s="41">
        <v>180</v>
      </c>
      <c r="B181" s="42">
        <f>DATE(Sintesi!$C$4-1,12,31)+A181</f>
        <v>44376</v>
      </c>
      <c r="C181" s="41">
        <f>'Paste cell here'!B181</f>
        <v>0</v>
      </c>
      <c r="D181" s="41">
        <f>'Paste cell here'!I181</f>
        <v>0</v>
      </c>
      <c r="E181" s="1">
        <f>'Paste cell here'!H181</f>
        <v>0.42713853899999998</v>
      </c>
      <c r="F181" s="1">
        <f>Sintesi!$C$5</f>
        <v>0.1</v>
      </c>
      <c r="G181" s="1">
        <f>'Paste cell here'!AA181</f>
        <v>0.75</v>
      </c>
      <c r="H181" s="43">
        <f>'Paste cell here'!U181</f>
        <v>23.034650330000002</v>
      </c>
      <c r="I181" s="43">
        <f>'Paste cell here'!AE181</f>
        <v>172.70734379999999</v>
      </c>
      <c r="J181" s="44">
        <f>H180*'Paste cell here'!AO181+'Paste cell here'!AF181*'Paste cell here'!AP181</f>
        <v>183.7437065</v>
      </c>
      <c r="K181" s="45">
        <f>'Paste cell here'!AG181</f>
        <v>123.802724</v>
      </c>
      <c r="L181" s="41" t="str">
        <f t="shared" si="8"/>
        <v>NO</v>
      </c>
      <c r="M181" s="1">
        <f>(Sintesi!$C$29*F181*1000)</f>
        <v>22.9209</v>
      </c>
      <c r="N181" s="1">
        <f>Sintesi!$C$30*F181*1000</f>
        <v>8.31</v>
      </c>
      <c r="O181" s="1">
        <f t="shared" si="6"/>
        <v>14.610899999999999</v>
      </c>
      <c r="P181" s="1">
        <f>Sintesi!$C$33*G181*1000</f>
        <v>147.74700000000001</v>
      </c>
      <c r="Q181" s="1">
        <f>Sintesi!$C$34*G181*1000</f>
        <v>67.650000000000006</v>
      </c>
      <c r="R181" s="1">
        <f t="shared" si="7"/>
        <v>80.097000000000008</v>
      </c>
    </row>
    <row r="182" spans="1:18">
      <c r="A182" s="41">
        <v>181</v>
      </c>
      <c r="B182" s="42">
        <f>DATE(Sintesi!$C$4-1,12,31)+A182</f>
        <v>44377</v>
      </c>
      <c r="C182" s="41">
        <f>'Paste cell here'!B182</f>
        <v>0</v>
      </c>
      <c r="D182" s="41">
        <f>'Paste cell here'!I182</f>
        <v>0</v>
      </c>
      <c r="E182" s="1">
        <f>'Paste cell here'!H182</f>
        <v>0.42177057200000001</v>
      </c>
      <c r="F182" s="1">
        <f>Sintesi!$C$5</f>
        <v>0.1</v>
      </c>
      <c r="G182" s="1">
        <f>'Paste cell here'!AA182</f>
        <v>0.75</v>
      </c>
      <c r="H182" s="43">
        <f>'Paste cell here'!U182</f>
        <v>22.31115295</v>
      </c>
      <c r="I182" s="43">
        <f>'Paste cell here'!AE182</f>
        <v>165.03698370000001</v>
      </c>
      <c r="J182" s="44">
        <f>H181*'Paste cell here'!AO182+'Paste cell here'!AF182*'Paste cell here'!AP182</f>
        <v>172.70734379999999</v>
      </c>
      <c r="K182" s="45">
        <f>'Paste cell here'!AG182</f>
        <v>124.10363839999999</v>
      </c>
      <c r="L182" s="41" t="str">
        <f t="shared" si="8"/>
        <v>NO</v>
      </c>
      <c r="M182" s="1">
        <f>(Sintesi!$C$29*F182*1000)</f>
        <v>22.9209</v>
      </c>
      <c r="N182" s="1">
        <f>Sintesi!$C$30*F182*1000</f>
        <v>8.31</v>
      </c>
      <c r="O182" s="1">
        <f t="shared" si="6"/>
        <v>14.610899999999999</v>
      </c>
      <c r="P182" s="1">
        <f>Sintesi!$C$33*G182*1000</f>
        <v>147.74700000000001</v>
      </c>
      <c r="Q182" s="1">
        <f>Sintesi!$C$34*G182*1000</f>
        <v>67.650000000000006</v>
      </c>
      <c r="R182" s="1">
        <f t="shared" si="7"/>
        <v>80.097000000000008</v>
      </c>
    </row>
    <row r="183" spans="1:18">
      <c r="A183" s="41">
        <v>182</v>
      </c>
      <c r="B183" s="42">
        <f>DATE(Sintesi!$C$4-1,12,31)+A183</f>
        <v>44378</v>
      </c>
      <c r="C183" s="41">
        <f>'Paste cell here'!B183</f>
        <v>0</v>
      </c>
      <c r="D183" s="41">
        <f>'Paste cell here'!I183</f>
        <v>0</v>
      </c>
      <c r="E183" s="1">
        <f>'Paste cell here'!H183</f>
        <v>0.44164506999999997</v>
      </c>
      <c r="F183" s="1">
        <f>Sintesi!$C$5</f>
        <v>0.1</v>
      </c>
      <c r="G183" s="1">
        <f>'Paste cell here'!AA183</f>
        <v>0.75</v>
      </c>
      <c r="H183" s="43">
        <f>'Paste cell here'!U183</f>
        <v>21.580260020000001</v>
      </c>
      <c r="I183" s="43">
        <f>'Paste cell here'!AE183</f>
        <v>157.5660963</v>
      </c>
      <c r="J183" s="44">
        <f>H182*'Paste cell here'!AO183+'Paste cell here'!AF183*'Paste cell here'!AP183</f>
        <v>165.03698370000001</v>
      </c>
      <c r="K183" s="45">
        <f>'Paste cell here'!AG183</f>
        <v>122.98952559999999</v>
      </c>
      <c r="L183" s="41" t="str">
        <f t="shared" si="8"/>
        <v>NO</v>
      </c>
      <c r="M183" s="1">
        <f>(Sintesi!$C$29*F183*1000)</f>
        <v>22.9209</v>
      </c>
      <c r="N183" s="1">
        <f>Sintesi!$C$30*F183*1000</f>
        <v>8.31</v>
      </c>
      <c r="O183" s="1">
        <f t="shared" si="6"/>
        <v>14.610899999999999</v>
      </c>
      <c r="P183" s="1">
        <f>Sintesi!$C$33*G183*1000</f>
        <v>147.74700000000001</v>
      </c>
      <c r="Q183" s="1">
        <f>Sintesi!$C$34*G183*1000</f>
        <v>67.650000000000006</v>
      </c>
      <c r="R183" s="1">
        <f t="shared" si="7"/>
        <v>80.097000000000008</v>
      </c>
    </row>
    <row r="184" spans="1:18">
      <c r="A184" s="41">
        <v>183</v>
      </c>
      <c r="B184" s="42">
        <f>DATE(Sintesi!$C$4-1,12,31)+A184</f>
        <v>44379</v>
      </c>
      <c r="C184" s="41">
        <f>'Paste cell here'!B184</f>
        <v>0</v>
      </c>
      <c r="D184" s="41">
        <f>'Paste cell here'!I184</f>
        <v>0</v>
      </c>
      <c r="E184" s="1">
        <f>'Paste cell here'!H184</f>
        <v>0.40659864400000001</v>
      </c>
      <c r="F184" s="1">
        <f>Sintesi!$C$5</f>
        <v>0.1</v>
      </c>
      <c r="G184" s="1">
        <f>'Paste cell here'!AA184</f>
        <v>0.75</v>
      </c>
      <c r="H184" s="43">
        <f>'Paste cell here'!U184</f>
        <v>21.08322459</v>
      </c>
      <c r="I184" s="43">
        <f>'Paste cell here'!AE184</f>
        <v>151.0296792</v>
      </c>
      <c r="J184" s="44">
        <f>H183*'Paste cell here'!AO184+'Paste cell here'!AF184*'Paste cell here'!AP184</f>
        <v>157.5660963</v>
      </c>
      <c r="K184" s="45">
        <f>'Paste cell here'!AG184</f>
        <v>124.95413720000001</v>
      </c>
      <c r="L184" s="41" t="str">
        <f t="shared" si="8"/>
        <v>NO</v>
      </c>
      <c r="M184" s="1">
        <f>(Sintesi!$C$29*F184*1000)</f>
        <v>22.9209</v>
      </c>
      <c r="N184" s="1">
        <f>Sintesi!$C$30*F184*1000</f>
        <v>8.31</v>
      </c>
      <c r="O184" s="1">
        <f t="shared" si="6"/>
        <v>14.610899999999999</v>
      </c>
      <c r="P184" s="1">
        <f>Sintesi!$C$33*G184*1000</f>
        <v>147.74700000000001</v>
      </c>
      <c r="Q184" s="1">
        <f>Sintesi!$C$34*G184*1000</f>
        <v>67.650000000000006</v>
      </c>
      <c r="R184" s="1">
        <f t="shared" si="7"/>
        <v>80.097000000000008</v>
      </c>
    </row>
    <row r="185" spans="1:18">
      <c r="A185" s="41">
        <v>184</v>
      </c>
      <c r="B185" s="42">
        <f>DATE(Sintesi!$C$4-1,12,31)+A185</f>
        <v>44380</v>
      </c>
      <c r="C185" s="41">
        <f>'Paste cell here'!B185</f>
        <v>0</v>
      </c>
      <c r="D185" s="41">
        <f>'Paste cell here'!I185</f>
        <v>0</v>
      </c>
      <c r="E185" s="1">
        <f>'Paste cell here'!H185</f>
        <v>0.43579671599999997</v>
      </c>
      <c r="F185" s="1">
        <f>Sintesi!$C$5</f>
        <v>0.1</v>
      </c>
      <c r="G185" s="1">
        <f>'Paste cell here'!AA185</f>
        <v>0.75</v>
      </c>
      <c r="H185" s="43">
        <f>'Paste cell here'!U185</f>
        <v>20.794618270000001</v>
      </c>
      <c r="I185" s="43">
        <f>'Paste cell here'!AE185</f>
        <v>145.97149469999999</v>
      </c>
      <c r="J185" s="44">
        <f>H184*'Paste cell here'!AO185+'Paste cell here'!AF185*'Paste cell here'!AP185</f>
        <v>151.0296792</v>
      </c>
      <c r="K185" s="45">
        <f>'Paste cell here'!AG185</f>
        <v>123.3173692</v>
      </c>
      <c r="L185" s="41" t="str">
        <f t="shared" si="8"/>
        <v>NO</v>
      </c>
      <c r="M185" s="1">
        <f>(Sintesi!$C$29*F185*1000)</f>
        <v>22.9209</v>
      </c>
      <c r="N185" s="1">
        <f>Sintesi!$C$30*F185*1000</f>
        <v>8.31</v>
      </c>
      <c r="O185" s="1">
        <f t="shared" si="6"/>
        <v>14.610899999999999</v>
      </c>
      <c r="P185" s="1">
        <f>Sintesi!$C$33*G185*1000</f>
        <v>147.74700000000001</v>
      </c>
      <c r="Q185" s="1">
        <f>Sintesi!$C$34*G185*1000</f>
        <v>67.650000000000006</v>
      </c>
      <c r="R185" s="1">
        <f t="shared" si="7"/>
        <v>80.097000000000008</v>
      </c>
    </row>
    <row r="186" spans="1:18">
      <c r="A186" s="41">
        <v>185</v>
      </c>
      <c r="B186" s="42">
        <f>DATE(Sintesi!$C$4-1,12,31)+A186</f>
        <v>44381</v>
      </c>
      <c r="C186" s="41">
        <f>'Paste cell here'!B186</f>
        <v>3.2722081699999999</v>
      </c>
      <c r="D186" s="41">
        <f>'Paste cell here'!I186</f>
        <v>0</v>
      </c>
      <c r="E186" s="1">
        <f>'Paste cell here'!H186</f>
        <v>0.49578180199999999</v>
      </c>
      <c r="F186" s="1">
        <f>Sintesi!$C$5</f>
        <v>0.1</v>
      </c>
      <c r="G186" s="1">
        <f>'Paste cell here'!AA186</f>
        <v>0.75</v>
      </c>
      <c r="H186" s="43">
        <f>'Paste cell here'!U186</f>
        <v>22.378544040000001</v>
      </c>
      <c r="I186" s="43">
        <f>'Paste cell here'!AE186</f>
        <v>143.30500889999999</v>
      </c>
      <c r="J186" s="44">
        <f>H185*'Paste cell here'!AO186+'Paste cell here'!AF186*'Paste cell here'!AP186</f>
        <v>145.97149469999999</v>
      </c>
      <c r="K186" s="45">
        <f>'Paste cell here'!AG186</f>
        <v>119.95476119999999</v>
      </c>
      <c r="L186" s="41" t="str">
        <f t="shared" si="8"/>
        <v>NO</v>
      </c>
      <c r="M186" s="1">
        <f>(Sintesi!$C$29*F186*1000)</f>
        <v>22.9209</v>
      </c>
      <c r="N186" s="1">
        <f>Sintesi!$C$30*F186*1000</f>
        <v>8.31</v>
      </c>
      <c r="O186" s="1">
        <f t="shared" si="6"/>
        <v>14.610899999999999</v>
      </c>
      <c r="P186" s="1">
        <f>Sintesi!$C$33*G186*1000</f>
        <v>147.74700000000001</v>
      </c>
      <c r="Q186" s="1">
        <f>Sintesi!$C$34*G186*1000</f>
        <v>67.650000000000006</v>
      </c>
      <c r="R186" s="1">
        <f t="shared" si="7"/>
        <v>80.097000000000008</v>
      </c>
    </row>
    <row r="187" spans="1:18">
      <c r="A187" s="41">
        <v>186</v>
      </c>
      <c r="B187" s="42">
        <f>DATE(Sintesi!$C$4-1,12,31)+A187</f>
        <v>44382</v>
      </c>
      <c r="C187" s="41">
        <f>'Paste cell here'!B187</f>
        <v>0</v>
      </c>
      <c r="D187" s="41">
        <f>'Paste cell here'!I187</f>
        <v>0</v>
      </c>
      <c r="E187" s="1">
        <f>'Paste cell here'!H187</f>
        <v>0.59490854000000004</v>
      </c>
      <c r="F187" s="1">
        <f>Sintesi!$C$5</f>
        <v>0.1</v>
      </c>
      <c r="G187" s="1">
        <f>'Paste cell here'!AA187</f>
        <v>0.75</v>
      </c>
      <c r="H187" s="43">
        <f>'Paste cell here'!U187</f>
        <v>22.00217078</v>
      </c>
      <c r="I187" s="43">
        <f>'Paste cell here'!AE187</f>
        <v>138.0965205</v>
      </c>
      <c r="J187" s="44">
        <f>H186*'Paste cell here'!AO187+'Paste cell here'!AF187*'Paste cell here'!AP187</f>
        <v>143.30500889999999</v>
      </c>
      <c r="K187" s="45">
        <f>'Paste cell here'!AG187</f>
        <v>114.397974</v>
      </c>
      <c r="L187" s="41" t="str">
        <f t="shared" si="8"/>
        <v>NO</v>
      </c>
      <c r="M187" s="1">
        <f>(Sintesi!$C$29*F187*1000)</f>
        <v>22.9209</v>
      </c>
      <c r="N187" s="1">
        <f>Sintesi!$C$30*F187*1000</f>
        <v>8.31</v>
      </c>
      <c r="O187" s="1">
        <f t="shared" si="6"/>
        <v>14.610899999999999</v>
      </c>
      <c r="P187" s="1">
        <f>Sintesi!$C$33*G187*1000</f>
        <v>147.74700000000001</v>
      </c>
      <c r="Q187" s="1">
        <f>Sintesi!$C$34*G187*1000</f>
        <v>67.650000000000006</v>
      </c>
      <c r="R187" s="1">
        <f t="shared" si="7"/>
        <v>80.097000000000008</v>
      </c>
    </row>
    <row r="188" spans="1:18">
      <c r="A188" s="41">
        <v>187</v>
      </c>
      <c r="B188" s="42">
        <f>DATE(Sintesi!$C$4-1,12,31)+A188</f>
        <v>44383</v>
      </c>
      <c r="C188" s="41">
        <f>'Paste cell here'!B188</f>
        <v>0</v>
      </c>
      <c r="D188" s="41">
        <f>'Paste cell here'!I188</f>
        <v>0</v>
      </c>
      <c r="E188" s="1">
        <f>'Paste cell here'!H188</f>
        <v>0.48114584300000002</v>
      </c>
      <c r="F188" s="1">
        <f>Sintesi!$C$5</f>
        <v>0.1</v>
      </c>
      <c r="G188" s="1">
        <f>'Paste cell here'!AA188</f>
        <v>0.75</v>
      </c>
      <c r="H188" s="43">
        <f>'Paste cell here'!U188</f>
        <v>21.622444699999999</v>
      </c>
      <c r="I188" s="43">
        <f>'Paste cell here'!AE188</f>
        <v>132.2304177</v>
      </c>
      <c r="J188" s="44">
        <f>H187*'Paste cell here'!AO188+'Paste cell here'!AF188*'Paste cell here'!AP188</f>
        <v>138.0965205</v>
      </c>
      <c r="K188" s="45">
        <f>'Paste cell here'!AG188</f>
        <v>120.775215</v>
      </c>
      <c r="L188" s="41" t="str">
        <f t="shared" si="8"/>
        <v>NO</v>
      </c>
      <c r="M188" s="1">
        <f>(Sintesi!$C$29*F188*1000)</f>
        <v>22.9209</v>
      </c>
      <c r="N188" s="1">
        <f>Sintesi!$C$30*F188*1000</f>
        <v>8.31</v>
      </c>
      <c r="O188" s="1">
        <f t="shared" si="6"/>
        <v>14.610899999999999</v>
      </c>
      <c r="P188" s="1">
        <f>Sintesi!$C$33*G188*1000</f>
        <v>147.74700000000001</v>
      </c>
      <c r="Q188" s="1">
        <f>Sintesi!$C$34*G188*1000</f>
        <v>67.650000000000006</v>
      </c>
      <c r="R188" s="1">
        <f t="shared" si="7"/>
        <v>80.097000000000008</v>
      </c>
    </row>
    <row r="189" spans="1:18">
      <c r="A189" s="41">
        <v>188</v>
      </c>
      <c r="B189" s="42">
        <f>DATE(Sintesi!$C$4-1,12,31)+A189</f>
        <v>44384</v>
      </c>
      <c r="C189" s="41">
        <f>'Paste cell here'!B189</f>
        <v>7.9841720020000002</v>
      </c>
      <c r="D189" s="41">
        <f>'Paste cell here'!I189</f>
        <v>0</v>
      </c>
      <c r="E189" s="1">
        <f>'Paste cell here'!H189</f>
        <v>0.45285147999999997</v>
      </c>
      <c r="F189" s="1">
        <f>Sintesi!$C$5</f>
        <v>0.1</v>
      </c>
      <c r="G189" s="1">
        <f>'Paste cell here'!AA189</f>
        <v>0.75</v>
      </c>
      <c r="H189" s="43">
        <f>'Paste cell here'!U189</f>
        <v>26.660581830000002</v>
      </c>
      <c r="I189" s="43">
        <f>'Paste cell here'!AE189</f>
        <v>126.4660525</v>
      </c>
      <c r="J189" s="44">
        <f>H188*'Paste cell here'!AO189+'Paste cell here'!AF189*'Paste cell here'!AP189</f>
        <v>132.2304177</v>
      </c>
      <c r="K189" s="45">
        <f>'Paste cell here'!AG189</f>
        <v>122.3613235</v>
      </c>
      <c r="L189" s="41" t="str">
        <f t="shared" si="8"/>
        <v>NO</v>
      </c>
      <c r="M189" s="1">
        <f>(Sintesi!$C$29*F189*1000)</f>
        <v>22.9209</v>
      </c>
      <c r="N189" s="1">
        <f>Sintesi!$C$30*F189*1000</f>
        <v>8.31</v>
      </c>
      <c r="O189" s="1">
        <f t="shared" si="6"/>
        <v>14.610899999999999</v>
      </c>
      <c r="P189" s="1">
        <f>Sintesi!$C$33*G189*1000</f>
        <v>147.74700000000001</v>
      </c>
      <c r="Q189" s="1">
        <f>Sintesi!$C$34*G189*1000</f>
        <v>67.650000000000006</v>
      </c>
      <c r="R189" s="1">
        <f t="shared" si="7"/>
        <v>80.097000000000008</v>
      </c>
    </row>
    <row r="190" spans="1:18">
      <c r="A190" s="41">
        <v>189</v>
      </c>
      <c r="B190" s="42">
        <f>DATE(Sintesi!$C$4-1,12,31)+A190</f>
        <v>44385</v>
      </c>
      <c r="C190" s="41">
        <f>'Paste cell here'!B190</f>
        <v>26.62565781</v>
      </c>
      <c r="D190" s="41">
        <f>'Paste cell here'!I190</f>
        <v>0</v>
      </c>
      <c r="E190" s="1">
        <f>'Paste cell here'!H190</f>
        <v>0.439847025</v>
      </c>
      <c r="F190" s="1">
        <f>Sintesi!$C$5</f>
        <v>0.1</v>
      </c>
      <c r="G190" s="1">
        <f>'Paste cell here'!AA190</f>
        <v>0.75</v>
      </c>
      <c r="H190" s="43">
        <f>'Paste cell here'!U190</f>
        <v>35.064035279999999</v>
      </c>
      <c r="I190" s="43">
        <f>'Paste cell here'!AE190</f>
        <v>134.87378649999999</v>
      </c>
      <c r="J190" s="44">
        <f>H189*'Paste cell here'!AO190+'Paste cell here'!AF190*'Paste cell here'!AP190</f>
        <v>126.4660525</v>
      </c>
      <c r="K190" s="45">
        <f>'Paste cell here'!AG190</f>
        <v>123.0903194</v>
      </c>
      <c r="L190" s="41" t="str">
        <f t="shared" si="8"/>
        <v>NO</v>
      </c>
      <c r="M190" s="1">
        <f>(Sintesi!$C$29*F190*1000)</f>
        <v>22.9209</v>
      </c>
      <c r="N190" s="1">
        <f>Sintesi!$C$30*F190*1000</f>
        <v>8.31</v>
      </c>
      <c r="O190" s="1">
        <f t="shared" si="6"/>
        <v>14.610899999999999</v>
      </c>
      <c r="P190" s="1">
        <f>Sintesi!$C$33*G190*1000</f>
        <v>147.74700000000001</v>
      </c>
      <c r="Q190" s="1">
        <f>Sintesi!$C$34*G190*1000</f>
        <v>67.650000000000006</v>
      </c>
      <c r="R190" s="1">
        <f t="shared" si="7"/>
        <v>80.097000000000008</v>
      </c>
    </row>
    <row r="191" spans="1:18">
      <c r="A191" s="41">
        <v>190</v>
      </c>
      <c r="B191" s="42">
        <f>DATE(Sintesi!$C$4-1,12,31)+A191</f>
        <v>44386</v>
      </c>
      <c r="C191" s="41">
        <f>'Paste cell here'!B191</f>
        <v>0</v>
      </c>
      <c r="D191" s="41">
        <f>'Paste cell here'!I191</f>
        <v>0</v>
      </c>
      <c r="E191" s="1">
        <f>'Paste cell here'!H191</f>
        <v>0.51351890700000002</v>
      </c>
      <c r="F191" s="1">
        <f>Sintesi!$C$5</f>
        <v>0.1</v>
      </c>
      <c r="G191" s="1">
        <f>'Paste cell here'!AA191</f>
        <v>0.75</v>
      </c>
      <c r="H191" s="43">
        <f>'Paste cell here'!U191</f>
        <v>28.47704109</v>
      </c>
      <c r="I191" s="43">
        <f>'Paste cell here'!AE191</f>
        <v>134.4290733</v>
      </c>
      <c r="J191" s="44">
        <f>H190*'Paste cell here'!AO191+'Paste cell here'!AF191*'Paste cell here'!AP191</f>
        <v>134.87378649999999</v>
      </c>
      <c r="K191" s="45">
        <f>'Paste cell here'!AG191</f>
        <v>118.9604652</v>
      </c>
      <c r="L191" s="41" t="str">
        <f t="shared" si="8"/>
        <v>NO</v>
      </c>
      <c r="M191" s="1">
        <f>(Sintesi!$C$29*F191*1000)</f>
        <v>22.9209</v>
      </c>
      <c r="N191" s="1">
        <f>Sintesi!$C$30*F191*1000</f>
        <v>8.31</v>
      </c>
      <c r="O191" s="1">
        <f t="shared" si="6"/>
        <v>14.610899999999999</v>
      </c>
      <c r="P191" s="1">
        <f>Sintesi!$C$33*G191*1000</f>
        <v>147.74700000000001</v>
      </c>
      <c r="Q191" s="1">
        <f>Sintesi!$C$34*G191*1000</f>
        <v>67.650000000000006</v>
      </c>
      <c r="R191" s="1">
        <f t="shared" si="7"/>
        <v>80.097000000000008</v>
      </c>
    </row>
    <row r="192" spans="1:18">
      <c r="A192" s="41">
        <v>191</v>
      </c>
      <c r="B192" s="42">
        <f>DATE(Sintesi!$C$4-1,12,31)+A192</f>
        <v>44387</v>
      </c>
      <c r="C192" s="41">
        <f>'Paste cell here'!B192</f>
        <v>0.81995939900000003</v>
      </c>
      <c r="D192" s="41">
        <f>'Paste cell here'!I192</f>
        <v>0</v>
      </c>
      <c r="E192" s="1">
        <f>'Paste cell here'!H192</f>
        <v>0.42147475600000001</v>
      </c>
      <c r="F192" s="1">
        <f>Sintesi!$C$5</f>
        <v>0.1</v>
      </c>
      <c r="G192" s="1">
        <f>'Paste cell here'!AA192</f>
        <v>0.75</v>
      </c>
      <c r="H192" s="43">
        <f>'Paste cell here'!U192</f>
        <v>26.723825290000001</v>
      </c>
      <c r="I192" s="43">
        <f>'Paste cell here'!AE192</f>
        <v>129.99709730000001</v>
      </c>
      <c r="J192" s="44">
        <f>H191*'Paste cell here'!AO192+'Paste cell here'!AF192*'Paste cell here'!AP192</f>
        <v>134.4290733</v>
      </c>
      <c r="K192" s="45">
        <f>'Paste cell here'!AG192</f>
        <v>124.120221</v>
      </c>
      <c r="L192" s="41" t="str">
        <f t="shared" si="8"/>
        <v>NO</v>
      </c>
      <c r="M192" s="1">
        <f>(Sintesi!$C$29*F192*1000)</f>
        <v>22.9209</v>
      </c>
      <c r="N192" s="1">
        <f>Sintesi!$C$30*F192*1000</f>
        <v>8.31</v>
      </c>
      <c r="O192" s="1">
        <f t="shared" si="6"/>
        <v>14.610899999999999</v>
      </c>
      <c r="P192" s="1">
        <f>Sintesi!$C$33*G192*1000</f>
        <v>147.74700000000001</v>
      </c>
      <c r="Q192" s="1">
        <f>Sintesi!$C$34*G192*1000</f>
        <v>67.650000000000006</v>
      </c>
      <c r="R192" s="1">
        <f t="shared" si="7"/>
        <v>80.097000000000008</v>
      </c>
    </row>
    <row r="193" spans="1:18">
      <c r="A193" s="41">
        <v>192</v>
      </c>
      <c r="B193" s="42">
        <f>DATE(Sintesi!$C$4-1,12,31)+A193</f>
        <v>44388</v>
      </c>
      <c r="C193" s="41">
        <f>'Paste cell here'!B193</f>
        <v>0</v>
      </c>
      <c r="D193" s="41">
        <f>'Paste cell here'!I193</f>
        <v>0</v>
      </c>
      <c r="E193" s="1">
        <f>'Paste cell here'!H193</f>
        <v>0.44746443899999999</v>
      </c>
      <c r="F193" s="1">
        <f>Sintesi!$C$5</f>
        <v>0.1</v>
      </c>
      <c r="G193" s="1">
        <f>'Paste cell here'!AA193</f>
        <v>0.75</v>
      </c>
      <c r="H193" s="43">
        <f>'Paste cell here'!U193</f>
        <v>25.45123899</v>
      </c>
      <c r="I193" s="43">
        <f>'Paste cell here'!AE193</f>
        <v>124.5153882</v>
      </c>
      <c r="J193" s="44">
        <f>H192*'Paste cell here'!AO193+'Paste cell here'!AF193*'Paste cell here'!AP193</f>
        <v>129.99709730000001</v>
      </c>
      <c r="K193" s="45">
        <f>'Paste cell here'!AG193</f>
        <v>122.663307</v>
      </c>
      <c r="L193" s="41" t="str">
        <f t="shared" si="8"/>
        <v>NO</v>
      </c>
      <c r="M193" s="1">
        <f>(Sintesi!$C$29*F193*1000)</f>
        <v>22.9209</v>
      </c>
      <c r="N193" s="1">
        <f>Sintesi!$C$30*F193*1000</f>
        <v>8.31</v>
      </c>
      <c r="O193" s="1">
        <f t="shared" si="6"/>
        <v>14.610899999999999</v>
      </c>
      <c r="P193" s="1">
        <f>Sintesi!$C$33*G193*1000</f>
        <v>147.74700000000001</v>
      </c>
      <c r="Q193" s="1">
        <f>Sintesi!$C$34*G193*1000</f>
        <v>67.650000000000006</v>
      </c>
      <c r="R193" s="1">
        <f t="shared" si="7"/>
        <v>80.097000000000008</v>
      </c>
    </row>
    <row r="194" spans="1:18">
      <c r="A194" s="41">
        <v>193</v>
      </c>
      <c r="B194" s="42">
        <f>DATE(Sintesi!$C$4-1,12,31)+A194</f>
        <v>44389</v>
      </c>
      <c r="C194" s="41">
        <f>'Paste cell here'!B194</f>
        <v>0</v>
      </c>
      <c r="D194" s="41">
        <f>'Paste cell here'!I194</f>
        <v>0</v>
      </c>
      <c r="E194" s="1">
        <f>'Paste cell here'!H194</f>
        <v>0.43102393999999999</v>
      </c>
      <c r="F194" s="1">
        <f>Sintesi!$C$5</f>
        <v>0.1</v>
      </c>
      <c r="G194" s="1">
        <f>'Paste cell here'!AA194</f>
        <v>0.75</v>
      </c>
      <c r="H194" s="43">
        <f>'Paste cell here'!U194</f>
        <v>24.699478930000001</v>
      </c>
      <c r="I194" s="43">
        <f>'Paste cell here'!AE194</f>
        <v>119.5069561</v>
      </c>
      <c r="J194" s="44">
        <f>H193*'Paste cell here'!AO194+'Paste cell here'!AF194*'Paste cell here'!AP194</f>
        <v>124.5153882</v>
      </c>
      <c r="K194" s="45">
        <f>'Paste cell here'!AG194</f>
        <v>123.58491859999999</v>
      </c>
      <c r="L194" s="41" t="str">
        <f t="shared" si="8"/>
        <v>NO</v>
      </c>
      <c r="M194" s="1">
        <f>(Sintesi!$C$29*F194*1000)</f>
        <v>22.9209</v>
      </c>
      <c r="N194" s="1">
        <f>Sintesi!$C$30*F194*1000</f>
        <v>8.31</v>
      </c>
      <c r="O194" s="1">
        <f t="shared" si="6"/>
        <v>14.610899999999999</v>
      </c>
      <c r="P194" s="1">
        <f>Sintesi!$C$33*G194*1000</f>
        <v>147.74700000000001</v>
      </c>
      <c r="Q194" s="1">
        <f>Sintesi!$C$34*G194*1000</f>
        <v>67.650000000000006</v>
      </c>
      <c r="R194" s="1">
        <f t="shared" si="7"/>
        <v>80.097000000000008</v>
      </c>
    </row>
    <row r="195" spans="1:18">
      <c r="A195" s="41">
        <v>194</v>
      </c>
      <c r="B195" s="42">
        <f>DATE(Sintesi!$C$4-1,12,31)+A195</f>
        <v>44390</v>
      </c>
      <c r="C195" s="41">
        <f>'Paste cell here'!B195</f>
        <v>0</v>
      </c>
      <c r="D195" s="41">
        <f>'Paste cell here'!I195</f>
        <v>198</v>
      </c>
      <c r="E195" s="1">
        <f>'Paste cell here'!H195</f>
        <v>0.47025924000000002</v>
      </c>
      <c r="F195" s="1">
        <f>Sintesi!$C$5</f>
        <v>0.1</v>
      </c>
      <c r="G195" s="1">
        <f>'Paste cell here'!AA195</f>
        <v>0.75</v>
      </c>
      <c r="H195" s="43">
        <f>'Paste cell here'!U195</f>
        <v>27.449385679999999</v>
      </c>
      <c r="I195" s="43">
        <f>'Paste cell here'!AE195</f>
        <v>210.780382</v>
      </c>
      <c r="J195" s="44">
        <f>H194*'Paste cell here'!AO195+'Paste cell here'!AF195*'Paste cell here'!AP195</f>
        <v>119.5069561</v>
      </c>
      <c r="K195" s="45">
        <f>'Paste cell here'!AG195</f>
        <v>121.38548969999999</v>
      </c>
      <c r="L195" s="41" t="str">
        <f t="shared" si="8"/>
        <v>YES</v>
      </c>
      <c r="M195" s="1">
        <f>(Sintesi!$C$29*F195*1000)</f>
        <v>22.9209</v>
      </c>
      <c r="N195" s="1">
        <f>Sintesi!$C$30*F195*1000</f>
        <v>8.31</v>
      </c>
      <c r="O195" s="1">
        <f t="shared" ref="O195:O258" si="9">M195-N195</f>
        <v>14.610899999999999</v>
      </c>
      <c r="P195" s="1">
        <f>Sintesi!$C$33*G195*1000</f>
        <v>147.74700000000001</v>
      </c>
      <c r="Q195" s="1">
        <f>Sintesi!$C$34*G195*1000</f>
        <v>67.650000000000006</v>
      </c>
      <c r="R195" s="1">
        <f t="shared" ref="R195:R258" si="10">P195-Q195</f>
        <v>80.097000000000008</v>
      </c>
    </row>
    <row r="196" spans="1:18">
      <c r="A196" s="41">
        <v>195</v>
      </c>
      <c r="B196" s="42">
        <f>DATE(Sintesi!$C$4-1,12,31)+A196</f>
        <v>44391</v>
      </c>
      <c r="C196" s="41">
        <f>'Paste cell here'!B196</f>
        <v>0.39092781300000001</v>
      </c>
      <c r="D196" s="41">
        <f>'Paste cell here'!I196</f>
        <v>0</v>
      </c>
      <c r="E196" s="1">
        <f>'Paste cell here'!H196</f>
        <v>0.47293405199999999</v>
      </c>
      <c r="F196" s="1">
        <f>Sintesi!$C$5</f>
        <v>0.1</v>
      </c>
      <c r="G196" s="1">
        <f>'Paste cell here'!AA196</f>
        <v>0.75</v>
      </c>
      <c r="H196" s="43">
        <f>'Paste cell here'!U196</f>
        <v>24.20987968</v>
      </c>
      <c r="I196" s="43">
        <f>'Paste cell here'!AE196</f>
        <v>184.2345613</v>
      </c>
      <c r="J196" s="44">
        <f>H195*'Paste cell here'!AO196+'Paste cell here'!AF196*'Paste cell here'!AP196</f>
        <v>210.780382</v>
      </c>
      <c r="K196" s="45">
        <f>'Paste cell here'!AG196</f>
        <v>121.2355467</v>
      </c>
      <c r="L196" s="41" t="str">
        <f t="shared" ref="L196:L259" si="11">IF(J196&lt;K196,"YES","NO")</f>
        <v>NO</v>
      </c>
      <c r="M196" s="1">
        <f>(Sintesi!$C$29*F196*1000)</f>
        <v>22.9209</v>
      </c>
      <c r="N196" s="1">
        <f>Sintesi!$C$30*F196*1000</f>
        <v>8.31</v>
      </c>
      <c r="O196" s="1">
        <f t="shared" si="9"/>
        <v>14.610899999999999</v>
      </c>
      <c r="P196" s="1">
        <f>Sintesi!$C$33*G196*1000</f>
        <v>147.74700000000001</v>
      </c>
      <c r="Q196" s="1">
        <f>Sintesi!$C$34*G196*1000</f>
        <v>67.650000000000006</v>
      </c>
      <c r="R196" s="1">
        <f t="shared" si="10"/>
        <v>80.097000000000008</v>
      </c>
    </row>
    <row r="197" spans="1:18">
      <c r="A197" s="41">
        <v>196</v>
      </c>
      <c r="B197" s="42">
        <f>DATE(Sintesi!$C$4-1,12,31)+A197</f>
        <v>44392</v>
      </c>
      <c r="C197" s="41">
        <f>'Paste cell here'!B197</f>
        <v>0</v>
      </c>
      <c r="D197" s="41">
        <f>'Paste cell here'!I197</f>
        <v>0</v>
      </c>
      <c r="E197" s="1">
        <f>'Paste cell here'!H197</f>
        <v>0.51466131699999995</v>
      </c>
      <c r="F197" s="1">
        <f>Sintesi!$C$5</f>
        <v>0.1</v>
      </c>
      <c r="G197" s="1">
        <f>'Paste cell here'!AA197</f>
        <v>0.75</v>
      </c>
      <c r="H197" s="43">
        <f>'Paste cell here'!U197</f>
        <v>23.278275709999999</v>
      </c>
      <c r="I197" s="43">
        <f>'Paste cell here'!AE197</f>
        <v>175.15057150000001</v>
      </c>
      <c r="J197" s="44">
        <f>H196*'Paste cell here'!AO197+'Paste cell here'!AF197*'Paste cell here'!AP197</f>
        <v>184.2345613</v>
      </c>
      <c r="K197" s="45">
        <f>'Paste cell here'!AG197</f>
        <v>118.8964247</v>
      </c>
      <c r="L197" s="41" t="str">
        <f t="shared" si="11"/>
        <v>NO</v>
      </c>
      <c r="M197" s="1">
        <f>(Sintesi!$C$29*F197*1000)</f>
        <v>22.9209</v>
      </c>
      <c r="N197" s="1">
        <f>Sintesi!$C$30*F197*1000</f>
        <v>8.31</v>
      </c>
      <c r="O197" s="1">
        <f t="shared" si="9"/>
        <v>14.610899999999999</v>
      </c>
      <c r="P197" s="1">
        <f>Sintesi!$C$33*G197*1000</f>
        <v>147.74700000000001</v>
      </c>
      <c r="Q197" s="1">
        <f>Sintesi!$C$34*G197*1000</f>
        <v>67.650000000000006</v>
      </c>
      <c r="R197" s="1">
        <f t="shared" si="10"/>
        <v>80.097000000000008</v>
      </c>
    </row>
    <row r="198" spans="1:18">
      <c r="A198" s="41">
        <v>197</v>
      </c>
      <c r="B198" s="42">
        <f>DATE(Sintesi!$C$4-1,12,31)+A198</f>
        <v>44393</v>
      </c>
      <c r="C198" s="41">
        <f>'Paste cell here'!B198</f>
        <v>13.33774753</v>
      </c>
      <c r="D198" s="41">
        <f>'Paste cell here'!I198</f>
        <v>0</v>
      </c>
      <c r="E198" s="1">
        <f>'Paste cell here'!H198</f>
        <v>0.52889613700000004</v>
      </c>
      <c r="F198" s="1">
        <f>Sintesi!$C$5</f>
        <v>0.1</v>
      </c>
      <c r="G198" s="1">
        <f>'Paste cell here'!AA198</f>
        <v>0.75</v>
      </c>
      <c r="H198" s="43">
        <f>'Paste cell here'!U198</f>
        <v>30.295081889999999</v>
      </c>
      <c r="I198" s="43">
        <f>'Paste cell here'!AE198</f>
        <v>171.25114740000001</v>
      </c>
      <c r="J198" s="44">
        <f>H197*'Paste cell here'!AO198+'Paste cell here'!AF198*'Paste cell here'!AP198</f>
        <v>175.15057150000001</v>
      </c>
      <c r="K198" s="45">
        <f>'Paste cell here'!AG198</f>
        <v>118.0984577</v>
      </c>
      <c r="L198" s="41" t="str">
        <f t="shared" si="11"/>
        <v>NO</v>
      </c>
      <c r="M198" s="1">
        <f>(Sintesi!$C$29*F198*1000)</f>
        <v>22.9209</v>
      </c>
      <c r="N198" s="1">
        <f>Sintesi!$C$30*F198*1000</f>
        <v>8.31</v>
      </c>
      <c r="O198" s="1">
        <f t="shared" si="9"/>
        <v>14.610899999999999</v>
      </c>
      <c r="P198" s="1">
        <f>Sintesi!$C$33*G198*1000</f>
        <v>147.74700000000001</v>
      </c>
      <c r="Q198" s="1">
        <f>Sintesi!$C$34*G198*1000</f>
        <v>67.650000000000006</v>
      </c>
      <c r="R198" s="1">
        <f t="shared" si="10"/>
        <v>80.097000000000008</v>
      </c>
    </row>
    <row r="199" spans="1:18">
      <c r="A199" s="41">
        <v>198</v>
      </c>
      <c r="B199" s="42">
        <f>DATE(Sintesi!$C$4-1,12,31)+A199</f>
        <v>44394</v>
      </c>
      <c r="C199" s="41">
        <f>'Paste cell here'!B199</f>
        <v>0</v>
      </c>
      <c r="D199" s="41">
        <f>'Paste cell here'!I199</f>
        <v>0</v>
      </c>
      <c r="E199" s="1">
        <f>'Paste cell here'!H199</f>
        <v>0.48633705500000002</v>
      </c>
      <c r="F199" s="1">
        <f>Sintesi!$C$5</f>
        <v>0.1</v>
      </c>
      <c r="G199" s="1">
        <f>'Paste cell here'!AA199</f>
        <v>0.75</v>
      </c>
      <c r="H199" s="43">
        <f>'Paste cell here'!U199</f>
        <v>26.947784259999999</v>
      </c>
      <c r="I199" s="43">
        <f>'Paste cell here'!AE199</f>
        <v>167.9056368</v>
      </c>
      <c r="J199" s="44">
        <f>H198*'Paste cell here'!AO199+'Paste cell here'!AF199*'Paste cell here'!AP199</f>
        <v>171.25114740000001</v>
      </c>
      <c r="K199" s="45">
        <f>'Paste cell here'!AG199</f>
        <v>120.4842092</v>
      </c>
      <c r="L199" s="41" t="str">
        <f t="shared" si="11"/>
        <v>NO</v>
      </c>
      <c r="M199" s="1">
        <f>(Sintesi!$C$29*F199*1000)</f>
        <v>22.9209</v>
      </c>
      <c r="N199" s="1">
        <f>Sintesi!$C$30*F199*1000</f>
        <v>8.31</v>
      </c>
      <c r="O199" s="1">
        <f t="shared" si="9"/>
        <v>14.610899999999999</v>
      </c>
      <c r="P199" s="1">
        <f>Sintesi!$C$33*G199*1000</f>
        <v>147.74700000000001</v>
      </c>
      <c r="Q199" s="1">
        <f>Sintesi!$C$34*G199*1000</f>
        <v>67.650000000000006</v>
      </c>
      <c r="R199" s="1">
        <f t="shared" si="10"/>
        <v>80.097000000000008</v>
      </c>
    </row>
    <row r="200" spans="1:18">
      <c r="A200" s="41">
        <v>199</v>
      </c>
      <c r="B200" s="42">
        <f>DATE(Sintesi!$C$4-1,12,31)+A200</f>
        <v>44395</v>
      </c>
      <c r="C200" s="41">
        <f>'Paste cell here'!B200</f>
        <v>0</v>
      </c>
      <c r="D200" s="41">
        <f>'Paste cell here'!I200</f>
        <v>0</v>
      </c>
      <c r="E200" s="1">
        <f>'Paste cell here'!H200</f>
        <v>0.495476843</v>
      </c>
      <c r="F200" s="1">
        <f>Sintesi!$C$5</f>
        <v>0.1</v>
      </c>
      <c r="G200" s="1">
        <f>'Paste cell here'!AA200</f>
        <v>0.75</v>
      </c>
      <c r="H200" s="43">
        <f>'Paste cell here'!U200</f>
        <v>25.64146693</v>
      </c>
      <c r="I200" s="43">
        <f>'Paste cell here'!AE200</f>
        <v>162.99113610000001</v>
      </c>
      <c r="J200" s="44">
        <f>H199*'Paste cell here'!AO200+'Paste cell here'!AF200*'Paste cell here'!AP200</f>
        <v>167.9056368</v>
      </c>
      <c r="K200" s="45">
        <f>'Paste cell here'!AG200</f>
        <v>119.97185639999999</v>
      </c>
      <c r="L200" s="41" t="str">
        <f t="shared" si="11"/>
        <v>NO</v>
      </c>
      <c r="M200" s="1">
        <f>(Sintesi!$C$29*F200*1000)</f>
        <v>22.9209</v>
      </c>
      <c r="N200" s="1">
        <f>Sintesi!$C$30*F200*1000</f>
        <v>8.31</v>
      </c>
      <c r="O200" s="1">
        <f t="shared" si="9"/>
        <v>14.610899999999999</v>
      </c>
      <c r="P200" s="1">
        <f>Sintesi!$C$33*G200*1000</f>
        <v>147.74700000000001</v>
      </c>
      <c r="Q200" s="1">
        <f>Sintesi!$C$34*G200*1000</f>
        <v>67.650000000000006</v>
      </c>
      <c r="R200" s="1">
        <f t="shared" si="10"/>
        <v>80.097000000000008</v>
      </c>
    </row>
    <row r="201" spans="1:18">
      <c r="A201" s="41">
        <v>200</v>
      </c>
      <c r="B201" s="42">
        <f>DATE(Sintesi!$C$4-1,12,31)+A201</f>
        <v>44396</v>
      </c>
      <c r="C201" s="41">
        <f>'Paste cell here'!B201</f>
        <v>0</v>
      </c>
      <c r="D201" s="41">
        <f>'Paste cell here'!I201</f>
        <v>0</v>
      </c>
      <c r="E201" s="1">
        <f>'Paste cell here'!H201</f>
        <v>0.49053740299999998</v>
      </c>
      <c r="F201" s="1">
        <f>Sintesi!$C$5</f>
        <v>0.1</v>
      </c>
      <c r="G201" s="1">
        <f>'Paste cell here'!AA201</f>
        <v>0.75</v>
      </c>
      <c r="H201" s="43">
        <f>'Paste cell here'!U201</f>
        <v>24.545451010000001</v>
      </c>
      <c r="I201" s="43">
        <f>'Paste cell here'!AE201</f>
        <v>156.53255849999999</v>
      </c>
      <c r="J201" s="44">
        <f>H200*'Paste cell here'!AO201+'Paste cell here'!AF201*'Paste cell here'!AP201</f>
        <v>162.99113610000001</v>
      </c>
      <c r="K201" s="45">
        <f>'Paste cell here'!AG201</f>
        <v>120.2487486</v>
      </c>
      <c r="L201" s="41" t="str">
        <f t="shared" si="11"/>
        <v>NO</v>
      </c>
      <c r="M201" s="1">
        <f>(Sintesi!$C$29*F201*1000)</f>
        <v>22.9209</v>
      </c>
      <c r="N201" s="1">
        <f>Sintesi!$C$30*F201*1000</f>
        <v>8.31</v>
      </c>
      <c r="O201" s="1">
        <f t="shared" si="9"/>
        <v>14.610899999999999</v>
      </c>
      <c r="P201" s="1">
        <f>Sintesi!$C$33*G201*1000</f>
        <v>147.74700000000001</v>
      </c>
      <c r="Q201" s="1">
        <f>Sintesi!$C$34*G201*1000</f>
        <v>67.650000000000006</v>
      </c>
      <c r="R201" s="1">
        <f t="shared" si="10"/>
        <v>80.097000000000008</v>
      </c>
    </row>
    <row r="202" spans="1:18">
      <c r="A202" s="41">
        <v>201</v>
      </c>
      <c r="B202" s="42">
        <f>DATE(Sintesi!$C$4-1,12,31)+A202</f>
        <v>44397</v>
      </c>
      <c r="C202" s="41">
        <f>'Paste cell here'!B202</f>
        <v>0</v>
      </c>
      <c r="D202" s="41">
        <f>'Paste cell here'!I202</f>
        <v>0</v>
      </c>
      <c r="E202" s="1">
        <f>'Paste cell here'!H202</f>
        <v>0.42153205199999999</v>
      </c>
      <c r="F202" s="1">
        <f>Sintesi!$C$5</f>
        <v>0.1</v>
      </c>
      <c r="G202" s="1">
        <f>'Paste cell here'!AA202</f>
        <v>0.75</v>
      </c>
      <c r="H202" s="43">
        <f>'Paste cell here'!U202</f>
        <v>23.812180680000001</v>
      </c>
      <c r="I202" s="43">
        <f>'Paste cell here'!AE202</f>
        <v>150.2202565</v>
      </c>
      <c r="J202" s="44">
        <f>H201*'Paste cell here'!AO202+'Paste cell here'!AF202*'Paste cell here'!AP202</f>
        <v>156.53255849999999</v>
      </c>
      <c r="K202" s="45">
        <f>'Paste cell here'!AG202</f>
        <v>124.1170092</v>
      </c>
      <c r="L202" s="41" t="str">
        <f t="shared" si="11"/>
        <v>NO</v>
      </c>
      <c r="M202" s="1">
        <f>(Sintesi!$C$29*F202*1000)</f>
        <v>22.9209</v>
      </c>
      <c r="N202" s="1">
        <f>Sintesi!$C$30*F202*1000</f>
        <v>8.31</v>
      </c>
      <c r="O202" s="1">
        <f t="shared" si="9"/>
        <v>14.610899999999999</v>
      </c>
      <c r="P202" s="1">
        <f>Sintesi!$C$33*G202*1000</f>
        <v>147.74700000000001</v>
      </c>
      <c r="Q202" s="1">
        <f>Sintesi!$C$34*G202*1000</f>
        <v>67.650000000000006</v>
      </c>
      <c r="R202" s="1">
        <f t="shared" si="10"/>
        <v>80.097000000000008</v>
      </c>
    </row>
    <row r="203" spans="1:18">
      <c r="A203" s="41">
        <v>202</v>
      </c>
      <c r="B203" s="42">
        <f>DATE(Sintesi!$C$4-1,12,31)+A203</f>
        <v>44398</v>
      </c>
      <c r="C203" s="41">
        <f>'Paste cell here'!B203</f>
        <v>0</v>
      </c>
      <c r="D203" s="41">
        <f>'Paste cell here'!I203</f>
        <v>0</v>
      </c>
      <c r="E203" s="1">
        <f>'Paste cell here'!H203</f>
        <v>0.43190673699999999</v>
      </c>
      <c r="F203" s="1">
        <f>Sintesi!$C$5</f>
        <v>0.1</v>
      </c>
      <c r="G203" s="1">
        <f>'Paste cell here'!AA203</f>
        <v>0.75</v>
      </c>
      <c r="H203" s="43">
        <f>'Paste cell here'!U203</f>
        <v>23.282568269999999</v>
      </c>
      <c r="I203" s="43">
        <f>'Paste cell here'!AE203</f>
        <v>144.3908706</v>
      </c>
      <c r="J203" s="44">
        <f>H202*'Paste cell here'!AO203+'Paste cell here'!AF203*'Paste cell here'!AP203</f>
        <v>150.2202565</v>
      </c>
      <c r="K203" s="45">
        <f>'Paste cell here'!AG203</f>
        <v>123.5354313</v>
      </c>
      <c r="L203" s="41" t="str">
        <f t="shared" si="11"/>
        <v>NO</v>
      </c>
      <c r="M203" s="1">
        <f>(Sintesi!$C$29*F203*1000)</f>
        <v>22.9209</v>
      </c>
      <c r="N203" s="1">
        <f>Sintesi!$C$30*F203*1000</f>
        <v>8.31</v>
      </c>
      <c r="O203" s="1">
        <f t="shared" si="9"/>
        <v>14.610899999999999</v>
      </c>
      <c r="P203" s="1">
        <f>Sintesi!$C$33*G203*1000</f>
        <v>147.74700000000001</v>
      </c>
      <c r="Q203" s="1">
        <f>Sintesi!$C$34*G203*1000</f>
        <v>67.650000000000006</v>
      </c>
      <c r="R203" s="1">
        <f t="shared" si="10"/>
        <v>80.097000000000008</v>
      </c>
    </row>
    <row r="204" spans="1:18">
      <c r="A204" s="41">
        <v>203</v>
      </c>
      <c r="B204" s="42">
        <f>DATE(Sintesi!$C$4-1,12,31)+A204</f>
        <v>44399</v>
      </c>
      <c r="C204" s="41">
        <f>'Paste cell here'!B204</f>
        <v>0</v>
      </c>
      <c r="D204" s="41">
        <f>'Paste cell here'!I204</f>
        <v>0</v>
      </c>
      <c r="E204" s="1">
        <f>'Paste cell here'!H204</f>
        <v>0.45374349200000003</v>
      </c>
      <c r="F204" s="1">
        <f>Sintesi!$C$5</f>
        <v>0.1</v>
      </c>
      <c r="G204" s="1">
        <f>'Paste cell here'!AA204</f>
        <v>0.75</v>
      </c>
      <c r="H204" s="43">
        <f>'Paste cell here'!U204</f>
        <v>22.806081450000001</v>
      </c>
      <c r="I204" s="43">
        <f>'Paste cell here'!AE204</f>
        <v>138.4787627</v>
      </c>
      <c r="J204" s="44">
        <f>H203*'Paste cell here'!AO204+'Paste cell here'!AF204*'Paste cell here'!AP204</f>
        <v>144.3908706</v>
      </c>
      <c r="K204" s="45">
        <f>'Paste cell here'!AG204</f>
        <v>122.3113195</v>
      </c>
      <c r="L204" s="41" t="str">
        <f t="shared" si="11"/>
        <v>NO</v>
      </c>
      <c r="M204" s="1">
        <f>(Sintesi!$C$29*F204*1000)</f>
        <v>22.9209</v>
      </c>
      <c r="N204" s="1">
        <f>Sintesi!$C$30*F204*1000</f>
        <v>8.31</v>
      </c>
      <c r="O204" s="1">
        <f t="shared" si="9"/>
        <v>14.610899999999999</v>
      </c>
      <c r="P204" s="1">
        <f>Sintesi!$C$33*G204*1000</f>
        <v>147.74700000000001</v>
      </c>
      <c r="Q204" s="1">
        <f>Sintesi!$C$34*G204*1000</f>
        <v>67.650000000000006</v>
      </c>
      <c r="R204" s="1">
        <f t="shared" si="10"/>
        <v>80.097000000000008</v>
      </c>
    </row>
    <row r="205" spans="1:18">
      <c r="A205" s="41">
        <v>204</v>
      </c>
      <c r="B205" s="42">
        <f>DATE(Sintesi!$C$4-1,12,31)+A205</f>
        <v>44400</v>
      </c>
      <c r="C205" s="41">
        <f>'Paste cell here'!B205</f>
        <v>0</v>
      </c>
      <c r="D205" s="41">
        <f>'Paste cell here'!I205</f>
        <v>0</v>
      </c>
      <c r="E205" s="1">
        <f>'Paste cell here'!H205</f>
        <v>0.44926735600000001</v>
      </c>
      <c r="F205" s="1">
        <f>Sintesi!$C$5</f>
        <v>0.1</v>
      </c>
      <c r="G205" s="1">
        <f>'Paste cell here'!AA205</f>
        <v>0.75</v>
      </c>
      <c r="H205" s="43">
        <f>'Paste cell here'!U205</f>
        <v>22.45733057</v>
      </c>
      <c r="I205" s="43">
        <f>'Paste cell here'!AE205</f>
        <v>133.08244429999999</v>
      </c>
      <c r="J205" s="44">
        <f>H204*'Paste cell here'!AO205+'Paste cell here'!AF205*'Paste cell here'!AP205</f>
        <v>138.4787627</v>
      </c>
      <c r="K205" s="45">
        <f>'Paste cell here'!AG205</f>
        <v>122.5622401</v>
      </c>
      <c r="L205" s="41" t="str">
        <f t="shared" si="11"/>
        <v>NO</v>
      </c>
      <c r="M205" s="1">
        <f>(Sintesi!$C$29*F205*1000)</f>
        <v>22.9209</v>
      </c>
      <c r="N205" s="1">
        <f>Sintesi!$C$30*F205*1000</f>
        <v>8.31</v>
      </c>
      <c r="O205" s="1">
        <f t="shared" si="9"/>
        <v>14.610899999999999</v>
      </c>
      <c r="P205" s="1">
        <f>Sintesi!$C$33*G205*1000</f>
        <v>147.74700000000001</v>
      </c>
      <c r="Q205" s="1">
        <f>Sintesi!$C$34*G205*1000</f>
        <v>67.650000000000006</v>
      </c>
      <c r="R205" s="1">
        <f t="shared" si="10"/>
        <v>80.097000000000008</v>
      </c>
    </row>
    <row r="206" spans="1:18">
      <c r="A206" s="41">
        <v>205</v>
      </c>
      <c r="B206" s="42">
        <f>DATE(Sintesi!$C$4-1,12,31)+A206</f>
        <v>44401</v>
      </c>
      <c r="C206" s="41">
        <f>'Paste cell here'!B206</f>
        <v>0</v>
      </c>
      <c r="D206" s="41">
        <f>'Paste cell here'!I206</f>
        <v>0</v>
      </c>
      <c r="E206" s="1">
        <f>'Paste cell here'!H206</f>
        <v>0.47301410500000002</v>
      </c>
      <c r="F206" s="1">
        <f>Sintesi!$C$5</f>
        <v>0.1</v>
      </c>
      <c r="G206" s="1">
        <f>'Paste cell here'!AA206</f>
        <v>0.75</v>
      </c>
      <c r="H206" s="43">
        <f>'Paste cell here'!U206</f>
        <v>22.138815659999999</v>
      </c>
      <c r="I206" s="43">
        <f>'Paste cell here'!AE206</f>
        <v>127.84158909999999</v>
      </c>
      <c r="J206" s="44">
        <f>H205*'Paste cell here'!AO206+'Paste cell here'!AF206*'Paste cell here'!AP206</f>
        <v>133.08244429999999</v>
      </c>
      <c r="K206" s="45">
        <f>'Paste cell here'!AG206</f>
        <v>121.2310591</v>
      </c>
      <c r="L206" s="41" t="str">
        <f t="shared" si="11"/>
        <v>NO</v>
      </c>
      <c r="M206" s="1">
        <f>(Sintesi!$C$29*F206*1000)</f>
        <v>22.9209</v>
      </c>
      <c r="N206" s="1">
        <f>Sintesi!$C$30*F206*1000</f>
        <v>8.31</v>
      </c>
      <c r="O206" s="1">
        <f t="shared" si="9"/>
        <v>14.610899999999999</v>
      </c>
      <c r="P206" s="1">
        <f>Sintesi!$C$33*G206*1000</f>
        <v>147.74700000000001</v>
      </c>
      <c r="Q206" s="1">
        <f>Sintesi!$C$34*G206*1000</f>
        <v>67.650000000000006</v>
      </c>
      <c r="R206" s="1">
        <f t="shared" si="10"/>
        <v>80.097000000000008</v>
      </c>
    </row>
    <row r="207" spans="1:18">
      <c r="A207" s="41">
        <v>206</v>
      </c>
      <c r="B207" s="42">
        <f>DATE(Sintesi!$C$4-1,12,31)+A207</f>
        <v>44402</v>
      </c>
      <c r="C207" s="41">
        <f>'Paste cell here'!B207</f>
        <v>0</v>
      </c>
      <c r="D207" s="41">
        <f>'Paste cell here'!I207</f>
        <v>0</v>
      </c>
      <c r="E207" s="1">
        <f>'Paste cell here'!H207</f>
        <v>0.47928367700000002</v>
      </c>
      <c r="F207" s="1">
        <f>Sintesi!$C$5</f>
        <v>0.1</v>
      </c>
      <c r="G207" s="1">
        <f>'Paste cell here'!AA207</f>
        <v>0.75</v>
      </c>
      <c r="H207" s="43">
        <f>'Paste cell here'!U207</f>
        <v>21.829598109999999</v>
      </c>
      <c r="I207" s="43">
        <f>'Paste cell here'!AE207</f>
        <v>122.98423680000001</v>
      </c>
      <c r="J207" s="44">
        <f>H206*'Paste cell here'!AO207+'Paste cell here'!AF207*'Paste cell here'!AP207</f>
        <v>127.84158909999999</v>
      </c>
      <c r="K207" s="45">
        <f>'Paste cell here'!AG207</f>
        <v>120.87960320000001</v>
      </c>
      <c r="L207" s="41" t="str">
        <f t="shared" si="11"/>
        <v>NO</v>
      </c>
      <c r="M207" s="1">
        <f>(Sintesi!$C$29*F207*1000)</f>
        <v>22.9209</v>
      </c>
      <c r="N207" s="1">
        <f>Sintesi!$C$30*F207*1000</f>
        <v>8.31</v>
      </c>
      <c r="O207" s="1">
        <f t="shared" si="9"/>
        <v>14.610899999999999</v>
      </c>
      <c r="P207" s="1">
        <f>Sintesi!$C$33*G207*1000</f>
        <v>147.74700000000001</v>
      </c>
      <c r="Q207" s="1">
        <f>Sintesi!$C$34*G207*1000</f>
        <v>67.650000000000006</v>
      </c>
      <c r="R207" s="1">
        <f t="shared" si="10"/>
        <v>80.097000000000008</v>
      </c>
    </row>
    <row r="208" spans="1:18">
      <c r="A208" s="41">
        <v>207</v>
      </c>
      <c r="B208" s="42">
        <f>DATE(Sintesi!$C$4-1,12,31)+A208</f>
        <v>44403</v>
      </c>
      <c r="C208" s="41">
        <f>'Paste cell here'!B208</f>
        <v>61.04768352</v>
      </c>
      <c r="D208" s="41">
        <f>'Paste cell here'!I208</f>
        <v>0</v>
      </c>
      <c r="E208" s="1">
        <f>'Paste cell here'!H208</f>
        <v>0.49430722199999999</v>
      </c>
      <c r="F208" s="1">
        <f>Sintesi!$C$5</f>
        <v>0.1</v>
      </c>
      <c r="G208" s="1">
        <f>'Paste cell here'!AA208</f>
        <v>0.75</v>
      </c>
      <c r="H208" s="43">
        <f>'Paste cell here'!U208</f>
        <v>37.928933919999999</v>
      </c>
      <c r="I208" s="43">
        <f>'Paste cell here'!AE208</f>
        <v>150.57394500000001</v>
      </c>
      <c r="J208" s="44">
        <f>H207*'Paste cell here'!AO208+'Paste cell here'!AF208*'Paste cell here'!AP208</f>
        <v>122.98423680000001</v>
      </c>
      <c r="K208" s="45">
        <f>'Paste cell here'!AG208</f>
        <v>120.0374223</v>
      </c>
      <c r="L208" s="41" t="str">
        <f t="shared" si="11"/>
        <v>NO</v>
      </c>
      <c r="M208" s="1">
        <f>(Sintesi!$C$29*F208*1000)</f>
        <v>22.9209</v>
      </c>
      <c r="N208" s="1">
        <f>Sintesi!$C$30*F208*1000</f>
        <v>8.31</v>
      </c>
      <c r="O208" s="1">
        <f t="shared" si="9"/>
        <v>14.610899999999999</v>
      </c>
      <c r="P208" s="1">
        <f>Sintesi!$C$33*G208*1000</f>
        <v>147.74700000000001</v>
      </c>
      <c r="Q208" s="1">
        <f>Sintesi!$C$34*G208*1000</f>
        <v>67.650000000000006</v>
      </c>
      <c r="R208" s="1">
        <f t="shared" si="10"/>
        <v>80.097000000000008</v>
      </c>
    </row>
    <row r="209" spans="1:18">
      <c r="A209" s="41">
        <v>208</v>
      </c>
      <c r="B209" s="42">
        <f>DATE(Sintesi!$C$4-1,12,31)+A209</f>
        <v>44404</v>
      </c>
      <c r="C209" s="41">
        <f>'Paste cell here'!B209</f>
        <v>0</v>
      </c>
      <c r="D209" s="41">
        <f>'Paste cell here'!I209</f>
        <v>0</v>
      </c>
      <c r="E209" s="1">
        <f>'Paste cell here'!H209</f>
        <v>0.53679848399999996</v>
      </c>
      <c r="F209" s="1">
        <f>Sintesi!$C$5</f>
        <v>0.1</v>
      </c>
      <c r="G209" s="1">
        <f>'Paste cell here'!AA209</f>
        <v>0.75</v>
      </c>
      <c r="H209" s="43">
        <f>'Paste cell here'!U209</f>
        <v>28.94403398</v>
      </c>
      <c r="I209" s="43">
        <f>'Paste cell here'!AE209</f>
        <v>154.7858603</v>
      </c>
      <c r="J209" s="44">
        <f>H208*'Paste cell here'!AO209+'Paste cell here'!AF209*'Paste cell here'!AP209</f>
        <v>150.57394500000001</v>
      </c>
      <c r="K209" s="45">
        <f>'Paste cell here'!AG209</f>
        <v>117.6554727</v>
      </c>
      <c r="L209" s="41" t="str">
        <f t="shared" si="11"/>
        <v>NO</v>
      </c>
      <c r="M209" s="1">
        <f>(Sintesi!$C$29*F209*1000)</f>
        <v>22.9209</v>
      </c>
      <c r="N209" s="1">
        <f>Sintesi!$C$30*F209*1000</f>
        <v>8.31</v>
      </c>
      <c r="O209" s="1">
        <f t="shared" si="9"/>
        <v>14.610899999999999</v>
      </c>
      <c r="P209" s="1">
        <f>Sintesi!$C$33*G209*1000</f>
        <v>147.74700000000001</v>
      </c>
      <c r="Q209" s="1">
        <f>Sintesi!$C$34*G209*1000</f>
        <v>67.650000000000006</v>
      </c>
      <c r="R209" s="1">
        <f t="shared" si="10"/>
        <v>80.097000000000008</v>
      </c>
    </row>
    <row r="210" spans="1:18">
      <c r="A210" s="41">
        <v>209</v>
      </c>
      <c r="B210" s="42">
        <f>DATE(Sintesi!$C$4-1,12,31)+A210</f>
        <v>44405</v>
      </c>
      <c r="C210" s="41">
        <f>'Paste cell here'!B210</f>
        <v>0</v>
      </c>
      <c r="D210" s="41">
        <f>'Paste cell here'!I210</f>
        <v>0</v>
      </c>
      <c r="E210" s="1">
        <f>'Paste cell here'!H210</f>
        <v>0.52314351199999998</v>
      </c>
      <c r="F210" s="1">
        <f>Sintesi!$C$5</f>
        <v>0.1</v>
      </c>
      <c r="G210" s="1">
        <f>'Paste cell here'!AA210</f>
        <v>0.75</v>
      </c>
      <c r="H210" s="43">
        <f>'Paste cell here'!U210</f>
        <v>27.035905570000001</v>
      </c>
      <c r="I210" s="43">
        <f>'Paste cell here'!AE210</f>
        <v>152.1116044</v>
      </c>
      <c r="J210" s="44">
        <f>H209*'Paste cell here'!AO210+'Paste cell here'!AF210*'Paste cell here'!AP210</f>
        <v>154.7858603</v>
      </c>
      <c r="K210" s="45">
        <f>'Paste cell here'!AG210</f>
        <v>118.42093490000001</v>
      </c>
      <c r="L210" s="41" t="str">
        <f t="shared" si="11"/>
        <v>NO</v>
      </c>
      <c r="M210" s="1">
        <f>(Sintesi!$C$29*F210*1000)</f>
        <v>22.9209</v>
      </c>
      <c r="N210" s="1">
        <f>Sintesi!$C$30*F210*1000</f>
        <v>8.31</v>
      </c>
      <c r="O210" s="1">
        <f t="shared" si="9"/>
        <v>14.610899999999999</v>
      </c>
      <c r="P210" s="1">
        <f>Sintesi!$C$33*G210*1000</f>
        <v>147.74700000000001</v>
      </c>
      <c r="Q210" s="1">
        <f>Sintesi!$C$34*G210*1000</f>
        <v>67.650000000000006</v>
      </c>
      <c r="R210" s="1">
        <f t="shared" si="10"/>
        <v>80.097000000000008</v>
      </c>
    </row>
    <row r="211" spans="1:18">
      <c r="A211" s="41">
        <v>210</v>
      </c>
      <c r="B211" s="42">
        <f>DATE(Sintesi!$C$4-1,12,31)+A211</f>
        <v>44406</v>
      </c>
      <c r="C211" s="41">
        <f>'Paste cell here'!B211</f>
        <v>0</v>
      </c>
      <c r="D211" s="41">
        <f>'Paste cell here'!I211</f>
        <v>0</v>
      </c>
      <c r="E211" s="1">
        <f>'Paste cell here'!H211</f>
        <v>0.52967285900000005</v>
      </c>
      <c r="F211" s="1">
        <f>Sintesi!$C$5</f>
        <v>0.1</v>
      </c>
      <c r="G211" s="1">
        <f>'Paste cell here'!AA211</f>
        <v>0.75</v>
      </c>
      <c r="H211" s="43">
        <f>'Paste cell here'!U211</f>
        <v>25.78400143</v>
      </c>
      <c r="I211" s="43">
        <f>'Paste cell here'!AE211</f>
        <v>147.1485528</v>
      </c>
      <c r="J211" s="44">
        <f>H210*'Paste cell here'!AO211+'Paste cell here'!AF211*'Paste cell here'!AP211</f>
        <v>152.1116044</v>
      </c>
      <c r="K211" s="45">
        <f>'Paste cell here'!AG211</f>
        <v>118.05491670000001</v>
      </c>
      <c r="L211" s="41" t="str">
        <f t="shared" si="11"/>
        <v>NO</v>
      </c>
      <c r="M211" s="1">
        <f>(Sintesi!$C$29*F211*1000)</f>
        <v>22.9209</v>
      </c>
      <c r="N211" s="1">
        <f>Sintesi!$C$30*F211*1000</f>
        <v>8.31</v>
      </c>
      <c r="O211" s="1">
        <f t="shared" si="9"/>
        <v>14.610899999999999</v>
      </c>
      <c r="P211" s="1">
        <f>Sintesi!$C$33*G211*1000</f>
        <v>147.74700000000001</v>
      </c>
      <c r="Q211" s="1">
        <f>Sintesi!$C$34*G211*1000</f>
        <v>67.650000000000006</v>
      </c>
      <c r="R211" s="1">
        <f t="shared" si="10"/>
        <v>80.097000000000008</v>
      </c>
    </row>
    <row r="212" spans="1:18">
      <c r="A212" s="41">
        <v>211</v>
      </c>
      <c r="B212" s="42">
        <f>DATE(Sintesi!$C$4-1,12,31)+A212</f>
        <v>44407</v>
      </c>
      <c r="C212" s="41">
        <f>'Paste cell here'!B212</f>
        <v>0</v>
      </c>
      <c r="D212" s="41">
        <f>'Paste cell here'!I212</f>
        <v>0</v>
      </c>
      <c r="E212" s="1">
        <f>'Paste cell here'!H212</f>
        <v>0.460949516</v>
      </c>
      <c r="F212" s="1">
        <f>Sintesi!$C$5</f>
        <v>0.1</v>
      </c>
      <c r="G212" s="1">
        <f>'Paste cell here'!AA212</f>
        <v>0.75</v>
      </c>
      <c r="H212" s="43">
        <f>'Paste cell here'!U212</f>
        <v>25.005664029999998</v>
      </c>
      <c r="I212" s="43">
        <f>'Paste cell here'!AE212</f>
        <v>142.6996844</v>
      </c>
      <c r="J212" s="44">
        <f>H211*'Paste cell here'!AO212+'Paste cell here'!AF212*'Paste cell here'!AP212</f>
        <v>147.1485528</v>
      </c>
      <c r="K212" s="45">
        <f>'Paste cell here'!AG212</f>
        <v>121.9073686</v>
      </c>
      <c r="L212" s="41" t="str">
        <f t="shared" si="11"/>
        <v>NO</v>
      </c>
      <c r="M212" s="1">
        <f>(Sintesi!$C$29*F212*1000)</f>
        <v>22.9209</v>
      </c>
      <c r="N212" s="1">
        <f>Sintesi!$C$30*F212*1000</f>
        <v>8.31</v>
      </c>
      <c r="O212" s="1">
        <f t="shared" si="9"/>
        <v>14.610899999999999</v>
      </c>
      <c r="P212" s="1">
        <f>Sintesi!$C$33*G212*1000</f>
        <v>147.74700000000001</v>
      </c>
      <c r="Q212" s="1">
        <f>Sintesi!$C$34*G212*1000</f>
        <v>67.650000000000006</v>
      </c>
      <c r="R212" s="1">
        <f t="shared" si="10"/>
        <v>80.097000000000008</v>
      </c>
    </row>
    <row r="213" spans="1:18">
      <c r="A213" s="41">
        <v>212</v>
      </c>
      <c r="B213" s="42">
        <f>DATE(Sintesi!$C$4-1,12,31)+A213</f>
        <v>44408</v>
      </c>
      <c r="C213" s="41">
        <f>'Paste cell here'!B213</f>
        <v>0</v>
      </c>
      <c r="D213" s="41">
        <f>'Paste cell here'!I213</f>
        <v>0</v>
      </c>
      <c r="E213" s="1">
        <f>'Paste cell here'!H213</f>
        <v>0.497305212</v>
      </c>
      <c r="F213" s="1">
        <f>Sintesi!$C$5</f>
        <v>0.1</v>
      </c>
      <c r="G213" s="1">
        <f>'Paste cell here'!AA213</f>
        <v>0.75</v>
      </c>
      <c r="H213" s="43">
        <f>'Paste cell here'!U213</f>
        <v>24.334915330000001</v>
      </c>
      <c r="I213" s="43">
        <f>'Paste cell here'!AE213</f>
        <v>138.08530529999999</v>
      </c>
      <c r="J213" s="44">
        <f>H212*'Paste cell here'!AO213+'Paste cell here'!AF213*'Paste cell here'!AP213</f>
        <v>142.6996844</v>
      </c>
      <c r="K213" s="45">
        <f>'Paste cell here'!AG213</f>
        <v>119.8693628</v>
      </c>
      <c r="L213" s="41" t="str">
        <f t="shared" si="11"/>
        <v>NO</v>
      </c>
      <c r="M213" s="1">
        <f>(Sintesi!$C$29*F213*1000)</f>
        <v>22.9209</v>
      </c>
      <c r="N213" s="1">
        <f>Sintesi!$C$30*F213*1000</f>
        <v>8.31</v>
      </c>
      <c r="O213" s="1">
        <f t="shared" si="9"/>
        <v>14.610899999999999</v>
      </c>
      <c r="P213" s="1">
        <f>Sintesi!$C$33*G213*1000</f>
        <v>147.74700000000001</v>
      </c>
      <c r="Q213" s="1">
        <f>Sintesi!$C$34*G213*1000</f>
        <v>67.650000000000006</v>
      </c>
      <c r="R213" s="1">
        <f t="shared" si="10"/>
        <v>80.097000000000008</v>
      </c>
    </row>
    <row r="214" spans="1:18">
      <c r="A214" s="41">
        <v>213</v>
      </c>
      <c r="B214" s="42">
        <f>DATE(Sintesi!$C$4-1,12,31)+A214</f>
        <v>44409</v>
      </c>
      <c r="C214" s="41">
        <f>'Paste cell here'!B214</f>
        <v>1.970787837</v>
      </c>
      <c r="D214" s="41">
        <f>'Paste cell here'!I214</f>
        <v>0</v>
      </c>
      <c r="E214" s="1">
        <f>'Paste cell here'!H214</f>
        <v>0.49287287000000002</v>
      </c>
      <c r="F214" s="1">
        <f>Sintesi!$C$5</f>
        <v>0.1</v>
      </c>
      <c r="G214" s="1">
        <f>'Paste cell here'!AA214</f>
        <v>0.75</v>
      </c>
      <c r="H214" s="43">
        <f>'Paste cell here'!U214</f>
        <v>24.62868254</v>
      </c>
      <c r="I214" s="43">
        <f>'Paste cell here'!AE214</f>
        <v>134.5126544</v>
      </c>
      <c r="J214" s="44">
        <f>H213*'Paste cell here'!AO214+'Paste cell here'!AF214*'Paste cell here'!AP214</f>
        <v>138.08530529999999</v>
      </c>
      <c r="K214" s="45">
        <f>'Paste cell here'!AG214</f>
        <v>120.11782839999999</v>
      </c>
      <c r="L214" s="41" t="str">
        <f t="shared" si="11"/>
        <v>NO</v>
      </c>
      <c r="M214" s="1">
        <f>(Sintesi!$C$29*F214*1000)</f>
        <v>22.9209</v>
      </c>
      <c r="N214" s="1">
        <f>Sintesi!$C$30*F214*1000</f>
        <v>8.31</v>
      </c>
      <c r="O214" s="1">
        <f t="shared" si="9"/>
        <v>14.610899999999999</v>
      </c>
      <c r="P214" s="1">
        <f>Sintesi!$C$33*G214*1000</f>
        <v>147.74700000000001</v>
      </c>
      <c r="Q214" s="1">
        <f>Sintesi!$C$34*G214*1000</f>
        <v>67.650000000000006</v>
      </c>
      <c r="R214" s="1">
        <f t="shared" si="10"/>
        <v>80.097000000000008</v>
      </c>
    </row>
    <row r="215" spans="1:18">
      <c r="A215" s="41">
        <v>214</v>
      </c>
      <c r="B215" s="42">
        <f>DATE(Sintesi!$C$4-1,12,31)+A215</f>
        <v>44410</v>
      </c>
      <c r="C215" s="41">
        <f>'Paste cell here'!B215</f>
        <v>0</v>
      </c>
      <c r="D215" s="41">
        <f>'Paste cell here'!I215</f>
        <v>0</v>
      </c>
      <c r="E215" s="1">
        <f>'Paste cell here'!H215</f>
        <v>0.53935402499999996</v>
      </c>
      <c r="F215" s="1">
        <f>Sintesi!$C$5</f>
        <v>0.1</v>
      </c>
      <c r="G215" s="1">
        <f>'Paste cell here'!AA215</f>
        <v>0.75</v>
      </c>
      <c r="H215" s="43">
        <f>'Paste cell here'!U215</f>
        <v>24.043203030000001</v>
      </c>
      <c r="I215" s="43">
        <f>'Paste cell here'!AE215</f>
        <v>130.04247090000001</v>
      </c>
      <c r="J215" s="44">
        <f>H214*'Paste cell here'!AO215+'Paste cell here'!AF215*'Paste cell here'!AP215</f>
        <v>134.5126544</v>
      </c>
      <c r="K215" s="45">
        <f>'Paste cell here'!AG215</f>
        <v>117.5122157</v>
      </c>
      <c r="L215" s="41" t="str">
        <f t="shared" si="11"/>
        <v>NO</v>
      </c>
      <c r="M215" s="1">
        <f>(Sintesi!$C$29*F215*1000)</f>
        <v>22.9209</v>
      </c>
      <c r="N215" s="1">
        <f>Sintesi!$C$30*F215*1000</f>
        <v>8.31</v>
      </c>
      <c r="O215" s="1">
        <f t="shared" si="9"/>
        <v>14.610899999999999</v>
      </c>
      <c r="P215" s="1">
        <f>Sintesi!$C$33*G215*1000</f>
        <v>147.74700000000001</v>
      </c>
      <c r="Q215" s="1">
        <f>Sintesi!$C$34*G215*1000</f>
        <v>67.650000000000006</v>
      </c>
      <c r="R215" s="1">
        <f t="shared" si="10"/>
        <v>80.097000000000008</v>
      </c>
    </row>
    <row r="216" spans="1:18">
      <c r="A216" s="41">
        <v>215</v>
      </c>
      <c r="B216" s="42">
        <f>DATE(Sintesi!$C$4-1,12,31)+A216</f>
        <v>44411</v>
      </c>
      <c r="C216" s="41">
        <f>'Paste cell here'!B216</f>
        <v>0</v>
      </c>
      <c r="D216" s="41">
        <f>'Paste cell here'!I216</f>
        <v>0</v>
      </c>
      <c r="E216" s="1">
        <f>'Paste cell here'!H216</f>
        <v>0.49974689300000003</v>
      </c>
      <c r="F216" s="1">
        <f>Sintesi!$C$5</f>
        <v>0.1</v>
      </c>
      <c r="G216" s="1">
        <f>'Paste cell here'!AA216</f>
        <v>0.75</v>
      </c>
      <c r="H216" s="43">
        <f>'Paste cell here'!U216</f>
        <v>23.463990630000001</v>
      </c>
      <c r="I216" s="43">
        <f>'Paste cell here'!AE216</f>
        <v>125.9735512</v>
      </c>
      <c r="J216" s="44">
        <f>H215*'Paste cell here'!AO216+'Paste cell here'!AF216*'Paste cell here'!AP216</f>
        <v>130.04247090000001</v>
      </c>
      <c r="K216" s="45">
        <f>'Paste cell here'!AG216</f>
        <v>119.7324885</v>
      </c>
      <c r="L216" s="41" t="str">
        <f t="shared" si="11"/>
        <v>NO</v>
      </c>
      <c r="M216" s="1">
        <f>(Sintesi!$C$29*F216*1000)</f>
        <v>22.9209</v>
      </c>
      <c r="N216" s="1">
        <f>Sintesi!$C$30*F216*1000</f>
        <v>8.31</v>
      </c>
      <c r="O216" s="1">
        <f t="shared" si="9"/>
        <v>14.610899999999999</v>
      </c>
      <c r="P216" s="1">
        <f>Sintesi!$C$33*G216*1000</f>
        <v>147.74700000000001</v>
      </c>
      <c r="Q216" s="1">
        <f>Sintesi!$C$34*G216*1000</f>
        <v>67.650000000000006</v>
      </c>
      <c r="R216" s="1">
        <f t="shared" si="10"/>
        <v>80.097000000000008</v>
      </c>
    </row>
    <row r="217" spans="1:18">
      <c r="A217" s="41">
        <v>216</v>
      </c>
      <c r="B217" s="42">
        <f>DATE(Sintesi!$C$4-1,12,31)+A217</f>
        <v>44412</v>
      </c>
      <c r="C217" s="41">
        <f>'Paste cell here'!B217</f>
        <v>5.5773755859999996</v>
      </c>
      <c r="D217" s="41">
        <f>'Paste cell here'!I217</f>
        <v>0</v>
      </c>
      <c r="E217" s="1">
        <f>'Paste cell here'!H217</f>
        <v>0.51534457199999995</v>
      </c>
      <c r="F217" s="1">
        <f>Sintesi!$C$5</f>
        <v>0.1</v>
      </c>
      <c r="G217" s="1">
        <f>'Paste cell here'!AA217</f>
        <v>0.75</v>
      </c>
      <c r="H217" s="43">
        <f>'Paste cell here'!U217</f>
        <v>26.504727110000001</v>
      </c>
      <c r="I217" s="43">
        <f>'Paste cell here'!AE217</f>
        <v>124.30610040000001</v>
      </c>
      <c r="J217" s="44">
        <f>H216*'Paste cell here'!AO217+'Paste cell here'!AF217*'Paste cell here'!AP217</f>
        <v>125.9735512</v>
      </c>
      <c r="K217" s="45">
        <f>'Paste cell here'!AG217</f>
        <v>118.85812319999999</v>
      </c>
      <c r="L217" s="41" t="str">
        <f t="shared" si="11"/>
        <v>NO</v>
      </c>
      <c r="M217" s="1">
        <f>(Sintesi!$C$29*F217*1000)</f>
        <v>22.9209</v>
      </c>
      <c r="N217" s="1">
        <f>Sintesi!$C$30*F217*1000</f>
        <v>8.31</v>
      </c>
      <c r="O217" s="1">
        <f t="shared" si="9"/>
        <v>14.610899999999999</v>
      </c>
      <c r="P217" s="1">
        <f>Sintesi!$C$33*G217*1000</f>
        <v>147.74700000000001</v>
      </c>
      <c r="Q217" s="1">
        <f>Sintesi!$C$34*G217*1000</f>
        <v>67.650000000000006</v>
      </c>
      <c r="R217" s="1">
        <f t="shared" si="10"/>
        <v>80.097000000000008</v>
      </c>
    </row>
    <row r="218" spans="1:18">
      <c r="A218" s="41">
        <v>217</v>
      </c>
      <c r="B218" s="42">
        <f>DATE(Sintesi!$C$4-1,12,31)+A218</f>
        <v>44413</v>
      </c>
      <c r="C218" s="41">
        <f>'Paste cell here'!B218</f>
        <v>0</v>
      </c>
      <c r="D218" s="41">
        <f>'Paste cell here'!I218</f>
        <v>0</v>
      </c>
      <c r="E218" s="1">
        <f>'Paste cell here'!H218</f>
        <v>0.60665560799999996</v>
      </c>
      <c r="F218" s="1">
        <f>Sintesi!$C$5</f>
        <v>0.1</v>
      </c>
      <c r="G218" s="1">
        <f>'Paste cell here'!AA218</f>
        <v>0.75</v>
      </c>
      <c r="H218" s="43">
        <f>'Paste cell here'!U218</f>
        <v>24.698180659999998</v>
      </c>
      <c r="I218" s="43">
        <f>'Paste cell here'!AE218</f>
        <v>119.7901616</v>
      </c>
      <c r="J218" s="44">
        <f>H217*'Paste cell here'!AO218+'Paste cell here'!AF218*'Paste cell here'!AP218</f>
        <v>124.30610040000001</v>
      </c>
      <c r="K218" s="45">
        <f>'Paste cell here'!AG218</f>
        <v>113.7394639</v>
      </c>
      <c r="L218" s="41" t="str">
        <f t="shared" si="11"/>
        <v>NO</v>
      </c>
      <c r="M218" s="1">
        <f>(Sintesi!$C$29*F218*1000)</f>
        <v>22.9209</v>
      </c>
      <c r="N218" s="1">
        <f>Sintesi!$C$30*F218*1000</f>
        <v>8.31</v>
      </c>
      <c r="O218" s="1">
        <f t="shared" si="9"/>
        <v>14.610899999999999</v>
      </c>
      <c r="P218" s="1">
        <f>Sintesi!$C$33*G218*1000</f>
        <v>147.74700000000001</v>
      </c>
      <c r="Q218" s="1">
        <f>Sintesi!$C$34*G218*1000</f>
        <v>67.650000000000006</v>
      </c>
      <c r="R218" s="1">
        <f t="shared" si="10"/>
        <v>80.097000000000008</v>
      </c>
    </row>
    <row r="219" spans="1:18">
      <c r="A219" s="41">
        <v>218</v>
      </c>
      <c r="B219" s="42">
        <f>DATE(Sintesi!$C$4-1,12,31)+A219</f>
        <v>44414</v>
      </c>
      <c r="C219" s="41">
        <f>'Paste cell here'!B219</f>
        <v>0</v>
      </c>
      <c r="D219" s="41">
        <f>'Paste cell here'!I219</f>
        <v>198</v>
      </c>
      <c r="E219" s="1">
        <f>'Paste cell here'!H219</f>
        <v>0.44777028299999999</v>
      </c>
      <c r="F219" s="1">
        <f>Sintesi!$C$5</f>
        <v>0.1</v>
      </c>
      <c r="G219" s="1">
        <f>'Paste cell here'!AA219</f>
        <v>0.75</v>
      </c>
      <c r="H219" s="43">
        <f>'Paste cell here'!U219</f>
        <v>28.279080629999999</v>
      </c>
      <c r="I219" s="43">
        <f>'Paste cell here'!AE219</f>
        <v>213.07918979999999</v>
      </c>
      <c r="J219" s="44">
        <f>H218*'Paste cell here'!AO219+'Paste cell here'!AF219*'Paste cell here'!AP219</f>
        <v>119.7901616</v>
      </c>
      <c r="K219" s="45">
        <f>'Paste cell here'!AG219</f>
        <v>122.6461621</v>
      </c>
      <c r="L219" s="41" t="str">
        <f t="shared" si="11"/>
        <v>YES</v>
      </c>
      <c r="M219" s="1">
        <f>(Sintesi!$C$29*F219*1000)</f>
        <v>22.9209</v>
      </c>
      <c r="N219" s="1">
        <f>Sintesi!$C$30*F219*1000</f>
        <v>8.31</v>
      </c>
      <c r="O219" s="1">
        <f t="shared" si="9"/>
        <v>14.610899999999999</v>
      </c>
      <c r="P219" s="1">
        <f>Sintesi!$C$33*G219*1000</f>
        <v>147.74700000000001</v>
      </c>
      <c r="Q219" s="1">
        <f>Sintesi!$C$34*G219*1000</f>
        <v>67.650000000000006</v>
      </c>
      <c r="R219" s="1">
        <f t="shared" si="10"/>
        <v>80.097000000000008</v>
      </c>
    </row>
    <row r="220" spans="1:18">
      <c r="A220" s="41">
        <v>219</v>
      </c>
      <c r="B220" s="42">
        <f>DATE(Sintesi!$C$4-1,12,31)+A220</f>
        <v>44415</v>
      </c>
      <c r="C220" s="41">
        <f>'Paste cell here'!B220</f>
        <v>0</v>
      </c>
      <c r="D220" s="41">
        <f>'Paste cell here'!I220</f>
        <v>0</v>
      </c>
      <c r="E220" s="1">
        <f>'Paste cell here'!H220</f>
        <v>0.48199793299999999</v>
      </c>
      <c r="F220" s="1">
        <f>Sintesi!$C$5</f>
        <v>0.1</v>
      </c>
      <c r="G220" s="1">
        <f>'Paste cell here'!AA220</f>
        <v>0.75</v>
      </c>
      <c r="H220" s="43">
        <f>'Paste cell here'!U220</f>
        <v>23.999078520000001</v>
      </c>
      <c r="I220" s="43">
        <f>'Paste cell here'!AE220</f>
        <v>185.6602043</v>
      </c>
      <c r="J220" s="44">
        <f>H219*'Paste cell here'!AO220+'Paste cell here'!AF220*'Paste cell here'!AP220</f>
        <v>213.07918979999999</v>
      </c>
      <c r="K220" s="45">
        <f>'Paste cell here'!AG220</f>
        <v>120.7274491</v>
      </c>
      <c r="L220" s="41" t="str">
        <f t="shared" si="11"/>
        <v>NO</v>
      </c>
      <c r="M220" s="1">
        <f>(Sintesi!$C$29*F220*1000)</f>
        <v>22.9209</v>
      </c>
      <c r="N220" s="1">
        <f>Sintesi!$C$30*F220*1000</f>
        <v>8.31</v>
      </c>
      <c r="O220" s="1">
        <f t="shared" si="9"/>
        <v>14.610899999999999</v>
      </c>
      <c r="P220" s="1">
        <f>Sintesi!$C$33*G220*1000</f>
        <v>147.74700000000001</v>
      </c>
      <c r="Q220" s="1">
        <f>Sintesi!$C$34*G220*1000</f>
        <v>67.650000000000006</v>
      </c>
      <c r="R220" s="1">
        <f t="shared" si="10"/>
        <v>80.097000000000008</v>
      </c>
    </row>
    <row r="221" spans="1:18">
      <c r="A221" s="41">
        <v>220</v>
      </c>
      <c r="B221" s="42">
        <f>DATE(Sintesi!$C$4-1,12,31)+A221</f>
        <v>44416</v>
      </c>
      <c r="C221" s="41">
        <f>'Paste cell here'!B221</f>
        <v>0</v>
      </c>
      <c r="D221" s="41">
        <f>'Paste cell here'!I221</f>
        <v>0</v>
      </c>
      <c r="E221" s="1">
        <f>'Paste cell here'!H221</f>
        <v>0.54314061599999996</v>
      </c>
      <c r="F221" s="1">
        <f>Sintesi!$C$5</f>
        <v>0.1</v>
      </c>
      <c r="G221" s="1">
        <f>'Paste cell here'!AA221</f>
        <v>0.75</v>
      </c>
      <c r="H221" s="43">
        <f>'Paste cell here'!U221</f>
        <v>22.150313109999999</v>
      </c>
      <c r="I221" s="43">
        <f>'Paste cell here'!AE221</f>
        <v>176.435427</v>
      </c>
      <c r="J221" s="44">
        <f>H220*'Paste cell here'!AO221+'Paste cell here'!AF221*'Paste cell here'!AP221</f>
        <v>185.6602043</v>
      </c>
      <c r="K221" s="45">
        <f>'Paste cell here'!AG221</f>
        <v>117.2999492</v>
      </c>
      <c r="L221" s="41" t="str">
        <f t="shared" si="11"/>
        <v>NO</v>
      </c>
      <c r="M221" s="1">
        <f>(Sintesi!$C$29*F221*1000)</f>
        <v>22.9209</v>
      </c>
      <c r="N221" s="1">
        <f>Sintesi!$C$30*F221*1000</f>
        <v>8.31</v>
      </c>
      <c r="O221" s="1">
        <f t="shared" si="9"/>
        <v>14.610899999999999</v>
      </c>
      <c r="P221" s="1">
        <f>Sintesi!$C$33*G221*1000</f>
        <v>147.74700000000001</v>
      </c>
      <c r="Q221" s="1">
        <f>Sintesi!$C$34*G221*1000</f>
        <v>67.650000000000006</v>
      </c>
      <c r="R221" s="1">
        <f t="shared" si="10"/>
        <v>80.097000000000008</v>
      </c>
    </row>
    <row r="222" spans="1:18">
      <c r="A222" s="41">
        <v>221</v>
      </c>
      <c r="B222" s="42">
        <f>DATE(Sintesi!$C$4-1,12,31)+A222</f>
        <v>44417</v>
      </c>
      <c r="C222" s="41">
        <f>'Paste cell here'!B222</f>
        <v>0</v>
      </c>
      <c r="D222" s="41">
        <f>'Paste cell here'!I222</f>
        <v>0</v>
      </c>
      <c r="E222" s="1">
        <f>'Paste cell here'!H222</f>
        <v>0.50714193100000005</v>
      </c>
      <c r="F222" s="1">
        <f>Sintesi!$C$5</f>
        <v>0.1</v>
      </c>
      <c r="G222" s="1">
        <f>'Paste cell here'!AA222</f>
        <v>0.75</v>
      </c>
      <c r="H222" s="43">
        <f>'Paste cell here'!U222</f>
        <v>20.297980169999999</v>
      </c>
      <c r="I222" s="43">
        <f>'Paste cell here'!AE222</f>
        <v>170.18262770000001</v>
      </c>
      <c r="J222" s="44">
        <f>H221*'Paste cell here'!AO222+'Paste cell here'!AF222*'Paste cell here'!AP222</f>
        <v>176.435427</v>
      </c>
      <c r="K222" s="45">
        <f>'Paste cell here'!AG222</f>
        <v>119.31794189999999</v>
      </c>
      <c r="L222" s="41" t="str">
        <f t="shared" si="11"/>
        <v>NO</v>
      </c>
      <c r="M222" s="1">
        <f>(Sintesi!$C$29*F222*1000)</f>
        <v>22.9209</v>
      </c>
      <c r="N222" s="1">
        <f>Sintesi!$C$30*F222*1000</f>
        <v>8.31</v>
      </c>
      <c r="O222" s="1">
        <f t="shared" si="9"/>
        <v>14.610899999999999</v>
      </c>
      <c r="P222" s="1">
        <f>Sintesi!$C$33*G222*1000</f>
        <v>147.74700000000001</v>
      </c>
      <c r="Q222" s="1">
        <f>Sintesi!$C$34*G222*1000</f>
        <v>67.650000000000006</v>
      </c>
      <c r="R222" s="1">
        <f t="shared" si="10"/>
        <v>80.097000000000008</v>
      </c>
    </row>
    <row r="223" spans="1:18">
      <c r="A223" s="41">
        <v>222</v>
      </c>
      <c r="B223" s="42">
        <f>DATE(Sintesi!$C$4-1,12,31)+A223</f>
        <v>44418</v>
      </c>
      <c r="C223" s="41">
        <f>'Paste cell here'!B223</f>
        <v>0</v>
      </c>
      <c r="D223" s="41">
        <f>'Paste cell here'!I223</f>
        <v>0</v>
      </c>
      <c r="E223" s="1">
        <f>'Paste cell here'!H223</f>
        <v>0.47977815200000001</v>
      </c>
      <c r="F223" s="1">
        <f>Sintesi!$C$5</f>
        <v>0.1</v>
      </c>
      <c r="G223" s="1">
        <f>'Paste cell here'!AA223</f>
        <v>0.75</v>
      </c>
      <c r="H223" s="43">
        <f>'Paste cell here'!U223</f>
        <v>18.355078330000001</v>
      </c>
      <c r="I223" s="43">
        <f>'Paste cell here'!AE223</f>
        <v>165.43091430000001</v>
      </c>
      <c r="J223" s="44">
        <f>H222*'Paste cell here'!AO223+'Paste cell here'!AF223*'Paste cell here'!AP223</f>
        <v>170.18262770000001</v>
      </c>
      <c r="K223" s="45">
        <f>'Paste cell here'!AG223</f>
        <v>120.8518842</v>
      </c>
      <c r="L223" s="41" t="str">
        <f t="shared" si="11"/>
        <v>NO</v>
      </c>
      <c r="M223" s="1">
        <f>(Sintesi!$C$29*F223*1000)</f>
        <v>22.9209</v>
      </c>
      <c r="N223" s="1">
        <f>Sintesi!$C$30*F223*1000</f>
        <v>8.31</v>
      </c>
      <c r="O223" s="1">
        <f t="shared" si="9"/>
        <v>14.610899999999999</v>
      </c>
      <c r="P223" s="1">
        <f>Sintesi!$C$33*G223*1000</f>
        <v>147.74700000000001</v>
      </c>
      <c r="Q223" s="1">
        <f>Sintesi!$C$34*G223*1000</f>
        <v>67.650000000000006</v>
      </c>
      <c r="R223" s="1">
        <f t="shared" si="10"/>
        <v>80.097000000000008</v>
      </c>
    </row>
    <row r="224" spans="1:18">
      <c r="A224" s="41">
        <v>223</v>
      </c>
      <c r="B224" s="42">
        <f>DATE(Sintesi!$C$4-1,12,31)+A224</f>
        <v>44419</v>
      </c>
      <c r="C224" s="41">
        <f>'Paste cell here'!B224</f>
        <v>0</v>
      </c>
      <c r="D224" s="41">
        <f>'Paste cell here'!I224</f>
        <v>0</v>
      </c>
      <c r="E224" s="1">
        <f>'Paste cell here'!H224</f>
        <v>0.48688042599999998</v>
      </c>
      <c r="F224" s="1">
        <f>Sintesi!$C$5</f>
        <v>0.1</v>
      </c>
      <c r="G224" s="1">
        <f>'Paste cell here'!AA224</f>
        <v>0.75</v>
      </c>
      <c r="H224" s="43">
        <f>'Paste cell here'!U224</f>
        <v>16.042679230000001</v>
      </c>
      <c r="I224" s="43">
        <f>'Paste cell here'!AE224</f>
        <v>161.1790173</v>
      </c>
      <c r="J224" s="44">
        <f>H223*'Paste cell here'!AO224+'Paste cell here'!AF224*'Paste cell here'!AP224</f>
        <v>165.43091430000001</v>
      </c>
      <c r="K224" s="45">
        <f>'Paste cell here'!AG224</f>
        <v>120.4537492</v>
      </c>
      <c r="L224" s="41" t="str">
        <f t="shared" si="11"/>
        <v>NO</v>
      </c>
      <c r="M224" s="1">
        <f>(Sintesi!$C$29*F224*1000)</f>
        <v>22.9209</v>
      </c>
      <c r="N224" s="1">
        <f>Sintesi!$C$30*F224*1000</f>
        <v>8.31</v>
      </c>
      <c r="O224" s="1">
        <f t="shared" si="9"/>
        <v>14.610899999999999</v>
      </c>
      <c r="P224" s="1">
        <f>Sintesi!$C$33*G224*1000</f>
        <v>147.74700000000001</v>
      </c>
      <c r="Q224" s="1">
        <f>Sintesi!$C$34*G224*1000</f>
        <v>67.650000000000006</v>
      </c>
      <c r="R224" s="1">
        <f t="shared" si="10"/>
        <v>80.097000000000008</v>
      </c>
    </row>
    <row r="225" spans="1:18">
      <c r="A225" s="41">
        <v>224</v>
      </c>
      <c r="B225" s="42">
        <f>DATE(Sintesi!$C$4-1,12,31)+A225</f>
        <v>44420</v>
      </c>
      <c r="C225" s="41">
        <f>'Paste cell here'!B225</f>
        <v>0</v>
      </c>
      <c r="D225" s="41">
        <f>'Paste cell here'!I225</f>
        <v>0</v>
      </c>
      <c r="E225" s="1">
        <f>'Paste cell here'!H225</f>
        <v>0.47095257899999998</v>
      </c>
      <c r="F225" s="1">
        <f>Sintesi!$C$5</f>
        <v>0.1</v>
      </c>
      <c r="G225" s="1">
        <f>'Paste cell here'!AA225</f>
        <v>0.75</v>
      </c>
      <c r="H225" s="43">
        <f>'Paste cell here'!U225</f>
        <v>13.430753019999999</v>
      </c>
      <c r="I225" s="43">
        <f>'Paste cell here'!AE225</f>
        <v>157.2166593</v>
      </c>
      <c r="J225" s="44">
        <f>H224*'Paste cell here'!AO225+'Paste cell here'!AF225*'Paste cell here'!AP225</f>
        <v>161.1790173</v>
      </c>
      <c r="K225" s="45">
        <f>'Paste cell here'!AG225</f>
        <v>121.3466229</v>
      </c>
      <c r="L225" s="41" t="str">
        <f t="shared" si="11"/>
        <v>NO</v>
      </c>
      <c r="M225" s="1">
        <f>(Sintesi!$C$29*F225*1000)</f>
        <v>22.9209</v>
      </c>
      <c r="N225" s="1">
        <f>Sintesi!$C$30*F225*1000</f>
        <v>8.31</v>
      </c>
      <c r="O225" s="1">
        <f t="shared" si="9"/>
        <v>14.610899999999999</v>
      </c>
      <c r="P225" s="1">
        <f>Sintesi!$C$33*G225*1000</f>
        <v>147.74700000000001</v>
      </c>
      <c r="Q225" s="1">
        <f>Sintesi!$C$34*G225*1000</f>
        <v>67.650000000000006</v>
      </c>
      <c r="R225" s="1">
        <f t="shared" si="10"/>
        <v>80.097000000000008</v>
      </c>
    </row>
    <row r="226" spans="1:18">
      <c r="A226" s="41">
        <v>225</v>
      </c>
      <c r="B226" s="42">
        <f>DATE(Sintesi!$C$4-1,12,31)+A226</f>
        <v>44421</v>
      </c>
      <c r="C226" s="41">
        <f>'Paste cell here'!B226</f>
        <v>0</v>
      </c>
      <c r="D226" s="41">
        <f>'Paste cell here'!I226</f>
        <v>0</v>
      </c>
      <c r="E226" s="1">
        <f>'Paste cell here'!H226</f>
        <v>0.45153630900000002</v>
      </c>
      <c r="F226" s="1">
        <f>Sintesi!$C$5</f>
        <v>0.1</v>
      </c>
      <c r="G226" s="1">
        <f>'Paste cell here'!AA226</f>
        <v>0.75</v>
      </c>
      <c r="H226" s="43">
        <f>'Paste cell here'!U226</f>
        <v>11.293216299999999</v>
      </c>
      <c r="I226" s="43">
        <f>'Paste cell here'!AE226</f>
        <v>153.72287979999999</v>
      </c>
      <c r="J226" s="44">
        <f>H225*'Paste cell here'!AO226+'Paste cell here'!AF226*'Paste cell here'!AP226</f>
        <v>157.2166593</v>
      </c>
      <c r="K226" s="45">
        <f>'Paste cell here'!AG226</f>
        <v>122.43504849999999</v>
      </c>
      <c r="L226" s="41" t="str">
        <f t="shared" si="11"/>
        <v>NO</v>
      </c>
      <c r="M226" s="1">
        <f>(Sintesi!$C$29*F226*1000)</f>
        <v>22.9209</v>
      </c>
      <c r="N226" s="1">
        <f>Sintesi!$C$30*F226*1000</f>
        <v>8.31</v>
      </c>
      <c r="O226" s="1">
        <f t="shared" si="9"/>
        <v>14.610899999999999</v>
      </c>
      <c r="P226" s="1">
        <f>Sintesi!$C$33*G226*1000</f>
        <v>147.74700000000001</v>
      </c>
      <c r="Q226" s="1">
        <f>Sintesi!$C$34*G226*1000</f>
        <v>67.650000000000006</v>
      </c>
      <c r="R226" s="1">
        <f t="shared" si="10"/>
        <v>80.097000000000008</v>
      </c>
    </row>
    <row r="227" spans="1:18">
      <c r="A227" s="41">
        <v>226</v>
      </c>
      <c r="B227" s="42">
        <f>DATE(Sintesi!$C$4-1,12,31)+A227</f>
        <v>44422</v>
      </c>
      <c r="C227" s="41">
        <f>'Paste cell here'!B227</f>
        <v>0</v>
      </c>
      <c r="D227" s="41">
        <f>'Paste cell here'!I227</f>
        <v>0</v>
      </c>
      <c r="E227" s="1">
        <f>'Paste cell here'!H227</f>
        <v>0.45824873300000002</v>
      </c>
      <c r="F227" s="1">
        <f>Sintesi!$C$5</f>
        <v>0.1</v>
      </c>
      <c r="G227" s="1">
        <f>'Paste cell here'!AA227</f>
        <v>0.75</v>
      </c>
      <c r="H227" s="43">
        <f>'Paste cell here'!U227</f>
        <v>9.5189582179999999</v>
      </c>
      <c r="I227" s="43">
        <f>'Paste cell here'!AE227</f>
        <v>150.61448139999999</v>
      </c>
      <c r="J227" s="44">
        <f>H226*'Paste cell here'!AO227+'Paste cell here'!AF227*'Paste cell here'!AP227</f>
        <v>153.72287979999999</v>
      </c>
      <c r="K227" s="45">
        <f>'Paste cell here'!AG227</f>
        <v>122.0587675</v>
      </c>
      <c r="L227" s="41" t="str">
        <f t="shared" si="11"/>
        <v>NO</v>
      </c>
      <c r="M227" s="1">
        <f>(Sintesi!$C$29*F227*1000)</f>
        <v>22.9209</v>
      </c>
      <c r="N227" s="1">
        <f>Sintesi!$C$30*F227*1000</f>
        <v>8.31</v>
      </c>
      <c r="O227" s="1">
        <f t="shared" si="9"/>
        <v>14.610899999999999</v>
      </c>
      <c r="P227" s="1">
        <f>Sintesi!$C$33*G227*1000</f>
        <v>147.74700000000001</v>
      </c>
      <c r="Q227" s="1">
        <f>Sintesi!$C$34*G227*1000</f>
        <v>67.650000000000006</v>
      </c>
      <c r="R227" s="1">
        <f t="shared" si="10"/>
        <v>80.097000000000008</v>
      </c>
    </row>
    <row r="228" spans="1:18">
      <c r="A228" s="41">
        <v>227</v>
      </c>
      <c r="B228" s="42">
        <f>DATE(Sintesi!$C$4-1,12,31)+A228</f>
        <v>44423</v>
      </c>
      <c r="C228" s="41">
        <f>'Paste cell here'!B228</f>
        <v>0</v>
      </c>
      <c r="D228" s="41">
        <f>'Paste cell here'!I228</f>
        <v>0</v>
      </c>
      <c r="E228" s="1">
        <f>'Paste cell here'!H228</f>
        <v>0.45890659499999997</v>
      </c>
      <c r="F228" s="1">
        <f>Sintesi!$C$5</f>
        <v>0.1</v>
      </c>
      <c r="G228" s="1">
        <f>'Paste cell here'!AA228</f>
        <v>0.75</v>
      </c>
      <c r="H228" s="43">
        <f>'Paste cell here'!U228</f>
        <v>8.0025438680000001</v>
      </c>
      <c r="I228" s="43">
        <f>'Paste cell here'!AE228</f>
        <v>147.6723514</v>
      </c>
      <c r="J228" s="44">
        <f>H227*'Paste cell here'!AO228+'Paste cell here'!AF228*'Paste cell here'!AP228</f>
        <v>150.61448139999999</v>
      </c>
      <c r="K228" s="45">
        <f>'Paste cell here'!AG228</f>
        <v>122.02188940000001</v>
      </c>
      <c r="L228" s="41" t="str">
        <f t="shared" si="11"/>
        <v>NO</v>
      </c>
      <c r="M228" s="1">
        <f>(Sintesi!$C$29*F228*1000)</f>
        <v>22.9209</v>
      </c>
      <c r="N228" s="1">
        <f>Sintesi!$C$30*F228*1000</f>
        <v>8.31</v>
      </c>
      <c r="O228" s="1">
        <f t="shared" si="9"/>
        <v>14.610899999999999</v>
      </c>
      <c r="P228" s="1">
        <f>Sintesi!$C$33*G228*1000</f>
        <v>147.74700000000001</v>
      </c>
      <c r="Q228" s="1">
        <f>Sintesi!$C$34*G228*1000</f>
        <v>67.650000000000006</v>
      </c>
      <c r="R228" s="1">
        <f t="shared" si="10"/>
        <v>80.097000000000008</v>
      </c>
    </row>
    <row r="229" spans="1:18">
      <c r="A229" s="41">
        <v>228</v>
      </c>
      <c r="B229" s="42">
        <f>DATE(Sintesi!$C$4-1,12,31)+A229</f>
        <v>44424</v>
      </c>
      <c r="C229" s="41">
        <f>'Paste cell here'!B229</f>
        <v>25.82138758</v>
      </c>
      <c r="D229" s="41">
        <f>'Paste cell here'!I229</f>
        <v>0</v>
      </c>
      <c r="E229" s="1">
        <f>'Paste cell here'!H229</f>
        <v>0.441851622</v>
      </c>
      <c r="F229" s="1">
        <f>Sintesi!$C$5</f>
        <v>0.1</v>
      </c>
      <c r="G229" s="1">
        <f>'Paste cell here'!AA229</f>
        <v>0.75</v>
      </c>
      <c r="H229" s="43">
        <f>'Paste cell here'!U229</f>
        <v>27.674604160000001</v>
      </c>
      <c r="I229" s="43">
        <f>'Paste cell here'!AE229</f>
        <v>145.3018222</v>
      </c>
      <c r="J229" s="44">
        <f>H228*'Paste cell here'!AO229+'Paste cell here'!AF229*'Paste cell here'!AP229</f>
        <v>147.6723514</v>
      </c>
      <c r="K229" s="45">
        <f>'Paste cell here'!AG229</f>
        <v>122.97794690000001</v>
      </c>
      <c r="L229" s="41" t="str">
        <f t="shared" si="11"/>
        <v>NO</v>
      </c>
      <c r="M229" s="1">
        <f>(Sintesi!$C$29*F229*1000)</f>
        <v>22.9209</v>
      </c>
      <c r="N229" s="1">
        <f>Sintesi!$C$30*F229*1000</f>
        <v>8.31</v>
      </c>
      <c r="O229" s="1">
        <f t="shared" si="9"/>
        <v>14.610899999999999</v>
      </c>
      <c r="P229" s="1">
        <f>Sintesi!$C$33*G229*1000</f>
        <v>147.74700000000001</v>
      </c>
      <c r="Q229" s="1">
        <f>Sintesi!$C$34*G229*1000</f>
        <v>67.650000000000006</v>
      </c>
      <c r="R229" s="1">
        <f t="shared" si="10"/>
        <v>80.097000000000008</v>
      </c>
    </row>
    <row r="230" spans="1:18">
      <c r="A230" s="41">
        <v>229</v>
      </c>
      <c r="B230" s="42">
        <f>DATE(Sintesi!$C$4-1,12,31)+A230</f>
        <v>44425</v>
      </c>
      <c r="C230" s="41">
        <f>'Paste cell here'!B230</f>
        <v>0</v>
      </c>
      <c r="D230" s="41">
        <f>'Paste cell here'!I230</f>
        <v>0</v>
      </c>
      <c r="E230" s="1">
        <f>'Paste cell here'!H230</f>
        <v>0.45401891700000002</v>
      </c>
      <c r="F230" s="1">
        <f>Sintesi!$C$5</f>
        <v>0.1</v>
      </c>
      <c r="G230" s="1">
        <f>'Paste cell here'!AA230</f>
        <v>0.75</v>
      </c>
      <c r="H230" s="43">
        <f>'Paste cell here'!U230</f>
        <v>22.847413199999998</v>
      </c>
      <c r="I230" s="43">
        <f>'Paste cell here'!AE230</f>
        <v>143.84485839999999</v>
      </c>
      <c r="J230" s="44">
        <f>H229*'Paste cell here'!AO230+'Paste cell here'!AF230*'Paste cell here'!AP230</f>
        <v>145.3018222</v>
      </c>
      <c r="K230" s="45">
        <f>'Paste cell here'!AG230</f>
        <v>122.29588</v>
      </c>
      <c r="L230" s="41" t="str">
        <f t="shared" si="11"/>
        <v>NO</v>
      </c>
      <c r="M230" s="1">
        <f>(Sintesi!$C$29*F230*1000)</f>
        <v>22.9209</v>
      </c>
      <c r="N230" s="1">
        <f>Sintesi!$C$30*F230*1000</f>
        <v>8.31</v>
      </c>
      <c r="O230" s="1">
        <f t="shared" si="9"/>
        <v>14.610899999999999</v>
      </c>
      <c r="P230" s="1">
        <f>Sintesi!$C$33*G230*1000</f>
        <v>147.74700000000001</v>
      </c>
      <c r="Q230" s="1">
        <f>Sintesi!$C$34*G230*1000</f>
        <v>67.650000000000006</v>
      </c>
      <c r="R230" s="1">
        <f t="shared" si="10"/>
        <v>80.097000000000008</v>
      </c>
    </row>
    <row r="231" spans="1:18">
      <c r="A231" s="41">
        <v>230</v>
      </c>
      <c r="B231" s="42">
        <f>DATE(Sintesi!$C$4-1,12,31)+A231</f>
        <v>44426</v>
      </c>
      <c r="C231" s="41">
        <f>'Paste cell here'!B231</f>
        <v>0</v>
      </c>
      <c r="D231" s="41">
        <f>'Paste cell here'!I231</f>
        <v>0</v>
      </c>
      <c r="E231" s="1">
        <f>'Paste cell here'!H231</f>
        <v>0.45484985300000003</v>
      </c>
      <c r="F231" s="1">
        <f>Sintesi!$C$5</f>
        <v>0.1</v>
      </c>
      <c r="G231" s="1">
        <f>'Paste cell here'!AA231</f>
        <v>0.75</v>
      </c>
      <c r="H231" s="43">
        <f>'Paste cell here'!U231</f>
        <v>18.533953799999999</v>
      </c>
      <c r="I231" s="43">
        <f>'Paste cell here'!AE231</f>
        <v>141.97108589999999</v>
      </c>
      <c r="J231" s="44">
        <f>H230*'Paste cell here'!AO231+'Paste cell here'!AF231*'Paste cell here'!AP231</f>
        <v>143.84485839999999</v>
      </c>
      <c r="K231" s="45">
        <f>'Paste cell here'!AG231</f>
        <v>122.2492998</v>
      </c>
      <c r="L231" s="41" t="str">
        <f t="shared" si="11"/>
        <v>NO</v>
      </c>
      <c r="M231" s="1">
        <f>(Sintesi!$C$29*F231*1000)</f>
        <v>22.9209</v>
      </c>
      <c r="N231" s="1">
        <f>Sintesi!$C$30*F231*1000</f>
        <v>8.31</v>
      </c>
      <c r="O231" s="1">
        <f t="shared" si="9"/>
        <v>14.610899999999999</v>
      </c>
      <c r="P231" s="1">
        <f>Sintesi!$C$33*G231*1000</f>
        <v>147.74700000000001</v>
      </c>
      <c r="Q231" s="1">
        <f>Sintesi!$C$34*G231*1000</f>
        <v>67.650000000000006</v>
      </c>
      <c r="R231" s="1">
        <f t="shared" si="10"/>
        <v>80.097000000000008</v>
      </c>
    </row>
    <row r="232" spans="1:18">
      <c r="A232" s="41">
        <v>231</v>
      </c>
      <c r="B232" s="42">
        <f>DATE(Sintesi!$C$4-1,12,31)+A232</f>
        <v>44427</v>
      </c>
      <c r="C232" s="41">
        <f>'Paste cell here'!B232</f>
        <v>0</v>
      </c>
      <c r="D232" s="41">
        <f>'Paste cell here'!I232</f>
        <v>0</v>
      </c>
      <c r="E232" s="1">
        <f>'Paste cell here'!H232</f>
        <v>0.45781029899999998</v>
      </c>
      <c r="F232" s="1">
        <f>Sintesi!$C$5</f>
        <v>0.1</v>
      </c>
      <c r="G232" s="1">
        <f>'Paste cell here'!AA232</f>
        <v>0.75</v>
      </c>
      <c r="H232" s="43">
        <f>'Paste cell here'!U232</f>
        <v>14.568403590000001</v>
      </c>
      <c r="I232" s="43">
        <f>'Paste cell here'!AE232</f>
        <v>140.40542640000001</v>
      </c>
      <c r="J232" s="44">
        <f>H231*'Paste cell here'!AO232+'Paste cell here'!AF232*'Paste cell here'!AP232</f>
        <v>141.97108589999999</v>
      </c>
      <c r="K232" s="45">
        <f>'Paste cell here'!AG232</f>
        <v>122.08334499999999</v>
      </c>
      <c r="L232" s="41" t="str">
        <f t="shared" si="11"/>
        <v>NO</v>
      </c>
      <c r="M232" s="1">
        <f>(Sintesi!$C$29*F232*1000)</f>
        <v>22.9209</v>
      </c>
      <c r="N232" s="1">
        <f>Sintesi!$C$30*F232*1000</f>
        <v>8.31</v>
      </c>
      <c r="O232" s="1">
        <f t="shared" si="9"/>
        <v>14.610899999999999</v>
      </c>
      <c r="P232" s="1">
        <f>Sintesi!$C$33*G232*1000</f>
        <v>147.74700000000001</v>
      </c>
      <c r="Q232" s="1">
        <f>Sintesi!$C$34*G232*1000</f>
        <v>67.650000000000006</v>
      </c>
      <c r="R232" s="1">
        <f t="shared" si="10"/>
        <v>80.097000000000008</v>
      </c>
    </row>
    <row r="233" spans="1:18">
      <c r="A233" s="41">
        <v>232</v>
      </c>
      <c r="B233" s="42">
        <f>DATE(Sintesi!$C$4-1,12,31)+A233</f>
        <v>44428</v>
      </c>
      <c r="C233" s="41">
        <f>'Paste cell here'!B233</f>
        <v>0</v>
      </c>
      <c r="D233" s="41">
        <f>'Paste cell here'!I233</f>
        <v>0</v>
      </c>
      <c r="E233" s="1">
        <f>'Paste cell here'!H233</f>
        <v>0.48194378199999999</v>
      </c>
      <c r="F233" s="1">
        <f>Sintesi!$C$5</f>
        <v>0.1</v>
      </c>
      <c r="G233" s="1">
        <f>'Paste cell here'!AA233</f>
        <v>0.75</v>
      </c>
      <c r="H233" s="43">
        <f>'Paste cell here'!U233</f>
        <v>11.230962010000001</v>
      </c>
      <c r="I233" s="43">
        <f>'Paste cell here'!AE233</f>
        <v>139.0078211</v>
      </c>
      <c r="J233" s="44">
        <f>H232*'Paste cell here'!AO233+'Paste cell here'!AF233*'Paste cell here'!AP233</f>
        <v>140.40542640000001</v>
      </c>
      <c r="K233" s="45">
        <f>'Paste cell here'!AG233</f>
        <v>120.7304846</v>
      </c>
      <c r="L233" s="41" t="str">
        <f t="shared" si="11"/>
        <v>NO</v>
      </c>
      <c r="M233" s="1">
        <f>(Sintesi!$C$29*F233*1000)</f>
        <v>22.9209</v>
      </c>
      <c r="N233" s="1">
        <f>Sintesi!$C$30*F233*1000</f>
        <v>8.31</v>
      </c>
      <c r="O233" s="1">
        <f t="shared" si="9"/>
        <v>14.610899999999999</v>
      </c>
      <c r="P233" s="1">
        <f>Sintesi!$C$33*G233*1000</f>
        <v>147.74700000000001</v>
      </c>
      <c r="Q233" s="1">
        <f>Sintesi!$C$34*G233*1000</f>
        <v>67.650000000000006</v>
      </c>
      <c r="R233" s="1">
        <f t="shared" si="10"/>
        <v>80.097000000000008</v>
      </c>
    </row>
    <row r="234" spans="1:18">
      <c r="A234" s="41">
        <v>233</v>
      </c>
      <c r="B234" s="42">
        <f>DATE(Sintesi!$C$4-1,12,31)+A234</f>
        <v>44429</v>
      </c>
      <c r="C234" s="41">
        <f>'Paste cell here'!B234</f>
        <v>0</v>
      </c>
      <c r="D234" s="41">
        <f>'Paste cell here'!I234</f>
        <v>0</v>
      </c>
      <c r="E234" s="1">
        <f>'Paste cell here'!H234</f>
        <v>0.47404623600000001</v>
      </c>
      <c r="F234" s="1">
        <f>Sintesi!$C$5</f>
        <v>0.1</v>
      </c>
      <c r="G234" s="1">
        <f>'Paste cell here'!AA234</f>
        <v>0.75</v>
      </c>
      <c r="H234" s="43">
        <f>'Paste cell here'!U234</f>
        <v>8.8171956890000001</v>
      </c>
      <c r="I234" s="43">
        <f>'Paste cell here'!AE234</f>
        <v>137.78435099999999</v>
      </c>
      <c r="J234" s="44">
        <f>H233*'Paste cell here'!AO234+'Paste cell here'!AF234*'Paste cell here'!AP234</f>
        <v>139.0078211</v>
      </c>
      <c r="K234" s="45">
        <f>'Paste cell here'!AG234</f>
        <v>121.17320049999999</v>
      </c>
      <c r="L234" s="41" t="str">
        <f t="shared" si="11"/>
        <v>NO</v>
      </c>
      <c r="M234" s="1">
        <f>(Sintesi!$C$29*F234*1000)</f>
        <v>22.9209</v>
      </c>
      <c r="N234" s="1">
        <f>Sintesi!$C$30*F234*1000</f>
        <v>8.31</v>
      </c>
      <c r="O234" s="1">
        <f t="shared" si="9"/>
        <v>14.610899999999999</v>
      </c>
      <c r="P234" s="1">
        <f>Sintesi!$C$33*G234*1000</f>
        <v>147.74700000000001</v>
      </c>
      <c r="Q234" s="1">
        <f>Sintesi!$C$34*G234*1000</f>
        <v>67.650000000000006</v>
      </c>
      <c r="R234" s="1">
        <f t="shared" si="10"/>
        <v>80.097000000000008</v>
      </c>
    </row>
    <row r="235" spans="1:18">
      <c r="A235" s="41">
        <v>234</v>
      </c>
      <c r="B235" s="42">
        <f>DATE(Sintesi!$C$4-1,12,31)+A235</f>
        <v>44430</v>
      </c>
      <c r="C235" s="41">
        <f>'Paste cell here'!B235</f>
        <v>0</v>
      </c>
      <c r="D235" s="41">
        <f>'Paste cell here'!I235</f>
        <v>0</v>
      </c>
      <c r="E235" s="1">
        <f>'Paste cell here'!H235</f>
        <v>0.466665092</v>
      </c>
      <c r="F235" s="1">
        <f>Sintesi!$C$5</f>
        <v>0.1</v>
      </c>
      <c r="G235" s="1">
        <f>'Paste cell here'!AA235</f>
        <v>0.75</v>
      </c>
      <c r="H235" s="43">
        <f>'Paste cell here'!U235</f>
        <v>7.2027716369999997</v>
      </c>
      <c r="I235" s="43">
        <f>'Paste cell here'!AE235</f>
        <v>136.79979990000001</v>
      </c>
      <c r="J235" s="44">
        <f>H234*'Paste cell here'!AO235+'Paste cell here'!AF235*'Paste cell here'!AP235</f>
        <v>137.78435099999999</v>
      </c>
      <c r="K235" s="45">
        <f>'Paste cell here'!AG235</f>
        <v>121.5869682</v>
      </c>
      <c r="L235" s="41" t="str">
        <f t="shared" si="11"/>
        <v>NO</v>
      </c>
      <c r="M235" s="1">
        <f>(Sintesi!$C$29*F235*1000)</f>
        <v>22.9209</v>
      </c>
      <c r="N235" s="1">
        <f>Sintesi!$C$30*F235*1000</f>
        <v>8.31</v>
      </c>
      <c r="O235" s="1">
        <f t="shared" si="9"/>
        <v>14.610899999999999</v>
      </c>
      <c r="P235" s="1">
        <f>Sintesi!$C$33*G235*1000</f>
        <v>147.74700000000001</v>
      </c>
      <c r="Q235" s="1">
        <f>Sintesi!$C$34*G235*1000</f>
        <v>67.650000000000006</v>
      </c>
      <c r="R235" s="1">
        <f t="shared" si="10"/>
        <v>80.097000000000008</v>
      </c>
    </row>
    <row r="236" spans="1:18">
      <c r="A236" s="41">
        <v>235</v>
      </c>
      <c r="B236" s="42">
        <f>DATE(Sintesi!$C$4-1,12,31)+A236</f>
        <v>44431</v>
      </c>
      <c r="C236" s="41">
        <f>'Paste cell here'!B236</f>
        <v>0.68141253700000004</v>
      </c>
      <c r="D236" s="41">
        <f>'Paste cell here'!I236</f>
        <v>0</v>
      </c>
      <c r="E236" s="1">
        <f>'Paste cell here'!H236</f>
        <v>0.47232333700000001</v>
      </c>
      <c r="F236" s="1">
        <f>Sintesi!$C$5</f>
        <v>0.1</v>
      </c>
      <c r="G236" s="1">
        <f>'Paste cell here'!AA236</f>
        <v>0.75</v>
      </c>
      <c r="H236" s="43">
        <f>'Paste cell here'!U236</f>
        <v>6.270762704</v>
      </c>
      <c r="I236" s="43">
        <f>'Paste cell here'!AE236</f>
        <v>136.0364587</v>
      </c>
      <c r="J236" s="44">
        <f>H235*'Paste cell here'!AO236+'Paste cell here'!AF236*'Paste cell here'!AP236</f>
        <v>136.79979990000001</v>
      </c>
      <c r="K236" s="45">
        <f>'Paste cell here'!AG236</f>
        <v>121.2697818</v>
      </c>
      <c r="L236" s="41" t="str">
        <f t="shared" si="11"/>
        <v>NO</v>
      </c>
      <c r="M236" s="1">
        <f>(Sintesi!$C$29*F236*1000)</f>
        <v>22.9209</v>
      </c>
      <c r="N236" s="1">
        <f>Sintesi!$C$30*F236*1000</f>
        <v>8.31</v>
      </c>
      <c r="O236" s="1">
        <f t="shared" si="9"/>
        <v>14.610899999999999</v>
      </c>
      <c r="P236" s="1">
        <f>Sintesi!$C$33*G236*1000</f>
        <v>147.74700000000001</v>
      </c>
      <c r="Q236" s="1">
        <f>Sintesi!$C$34*G236*1000</f>
        <v>67.650000000000006</v>
      </c>
      <c r="R236" s="1">
        <f t="shared" si="10"/>
        <v>80.097000000000008</v>
      </c>
    </row>
    <row r="237" spans="1:18">
      <c r="A237" s="41">
        <v>236</v>
      </c>
      <c r="B237" s="42">
        <f>DATE(Sintesi!$C$4-1,12,31)+A237</f>
        <v>44432</v>
      </c>
      <c r="C237" s="41">
        <f>'Paste cell here'!B237</f>
        <v>1.9599999999999999E-2</v>
      </c>
      <c r="D237" s="41">
        <f>'Paste cell here'!I237</f>
        <v>0</v>
      </c>
      <c r="E237" s="1">
        <f>'Paste cell here'!H237</f>
        <v>0.47906573099999999</v>
      </c>
      <c r="F237" s="1">
        <f>Sintesi!$C$5</f>
        <v>0.1</v>
      </c>
      <c r="G237" s="1">
        <f>'Paste cell here'!AA237</f>
        <v>0.2</v>
      </c>
      <c r="H237" s="43">
        <f>'Paste cell here'!U237</f>
        <v>5.5169269849999996</v>
      </c>
      <c r="I237" s="43">
        <f>'Paste cell here'!AE237</f>
        <v>36.207481899999998</v>
      </c>
      <c r="J237" s="44">
        <f>H236*'Paste cell here'!AO237+'Paste cell here'!AF237*'Paste cell here'!AP237</f>
        <v>36.27638898</v>
      </c>
      <c r="K237" s="45">
        <f>'Paste cell here'!AG237</f>
        <v>32.237818840000003</v>
      </c>
      <c r="L237" s="41" t="str">
        <f t="shared" si="11"/>
        <v>NO</v>
      </c>
      <c r="M237" s="1">
        <f>(Sintesi!$C$29*F237*1000)</f>
        <v>22.9209</v>
      </c>
      <c r="N237" s="1">
        <f>Sintesi!$C$30*F237*1000</f>
        <v>8.31</v>
      </c>
      <c r="O237" s="1">
        <f t="shared" si="9"/>
        <v>14.610899999999999</v>
      </c>
      <c r="P237" s="1">
        <f>Sintesi!$C$33*G237*1000</f>
        <v>39.3992</v>
      </c>
      <c r="Q237" s="1">
        <f>Sintesi!$C$34*G237*1000</f>
        <v>18.04</v>
      </c>
      <c r="R237" s="1">
        <f t="shared" si="10"/>
        <v>21.359200000000001</v>
      </c>
    </row>
    <row r="238" spans="1:18">
      <c r="A238" s="41">
        <v>237</v>
      </c>
      <c r="B238" s="42">
        <f>DATE(Sintesi!$C$4-1,12,31)+A238</f>
        <v>44433</v>
      </c>
      <c r="C238" s="41">
        <f>'Paste cell here'!B238</f>
        <v>0</v>
      </c>
      <c r="D238" s="41">
        <f>'Paste cell here'!I238</f>
        <v>0</v>
      </c>
      <c r="E238" s="1">
        <f>'Paste cell here'!H238</f>
        <v>0.49625845600000001</v>
      </c>
      <c r="F238" s="1">
        <f>Sintesi!$C$5</f>
        <v>0.1</v>
      </c>
      <c r="G238" s="1">
        <f>'Paste cell here'!AA238</f>
        <v>0.2</v>
      </c>
      <c r="H238" s="43">
        <f>'Paste cell here'!U238</f>
        <v>5.0076370539999999</v>
      </c>
      <c r="I238" s="43">
        <f>'Paste cell here'!AE238</f>
        <v>36.140247070000001</v>
      </c>
      <c r="J238" s="44">
        <f>H237*'Paste cell here'!AO238+'Paste cell here'!AF238*'Paste cell here'!AP238</f>
        <v>36.207481899999998</v>
      </c>
      <c r="K238" s="45">
        <f>'Paste cell here'!AG238</f>
        <v>31.980810989999998</v>
      </c>
      <c r="L238" s="41" t="str">
        <f t="shared" si="11"/>
        <v>NO</v>
      </c>
      <c r="M238" s="1">
        <f>(Sintesi!$C$29*F238*1000)</f>
        <v>22.9209</v>
      </c>
      <c r="N238" s="1">
        <f>Sintesi!$C$30*F238*1000</f>
        <v>8.31</v>
      </c>
      <c r="O238" s="1">
        <f t="shared" si="9"/>
        <v>14.610899999999999</v>
      </c>
      <c r="P238" s="1">
        <f>Sintesi!$C$33*G238*1000</f>
        <v>39.3992</v>
      </c>
      <c r="Q238" s="1">
        <f>Sintesi!$C$34*G238*1000</f>
        <v>18.04</v>
      </c>
      <c r="R238" s="1">
        <f t="shared" si="10"/>
        <v>21.359200000000001</v>
      </c>
    </row>
    <row r="239" spans="1:18">
      <c r="A239" s="41">
        <v>238</v>
      </c>
      <c r="B239" s="42">
        <f>DATE(Sintesi!$C$4-1,12,31)+A239</f>
        <v>44434</v>
      </c>
      <c r="C239" s="41">
        <f>'Paste cell here'!B239</f>
        <v>0</v>
      </c>
      <c r="D239" s="41">
        <f>'Paste cell here'!I239</f>
        <v>0</v>
      </c>
      <c r="E239" s="1">
        <f>'Paste cell here'!H239</f>
        <v>0.48899911299999999</v>
      </c>
      <c r="F239" s="1">
        <f>Sintesi!$C$5</f>
        <v>0.1</v>
      </c>
      <c r="G239" s="1">
        <f>'Paste cell here'!AA239</f>
        <v>0.2</v>
      </c>
      <c r="H239" s="43">
        <f>'Paste cell here'!U239</f>
        <v>4.6714191249999999</v>
      </c>
      <c r="I239" s="43">
        <f>'Paste cell here'!AE239</f>
        <v>36.074609279999997</v>
      </c>
      <c r="J239" s="44">
        <f>H238*'Paste cell here'!AO239+'Paste cell here'!AF239*'Paste cell here'!AP239</f>
        <v>36.140247070000001</v>
      </c>
      <c r="K239" s="45">
        <f>'Paste cell here'!AG239</f>
        <v>32.089328289999997</v>
      </c>
      <c r="L239" s="41" t="str">
        <f t="shared" si="11"/>
        <v>NO</v>
      </c>
      <c r="M239" s="1">
        <f>(Sintesi!$C$29*F239*1000)</f>
        <v>22.9209</v>
      </c>
      <c r="N239" s="1">
        <f>Sintesi!$C$30*F239*1000</f>
        <v>8.31</v>
      </c>
      <c r="O239" s="1">
        <f t="shared" si="9"/>
        <v>14.610899999999999</v>
      </c>
      <c r="P239" s="1">
        <f>Sintesi!$C$33*G239*1000</f>
        <v>39.3992</v>
      </c>
      <c r="Q239" s="1">
        <f>Sintesi!$C$34*G239*1000</f>
        <v>18.04</v>
      </c>
      <c r="R239" s="1">
        <f t="shared" si="10"/>
        <v>21.359200000000001</v>
      </c>
    </row>
    <row r="240" spans="1:18">
      <c r="A240" s="41">
        <v>239</v>
      </c>
      <c r="B240" s="42">
        <f>DATE(Sintesi!$C$4-1,12,31)+A240</f>
        <v>44435</v>
      </c>
      <c r="C240" s="41">
        <f>'Paste cell here'!B240</f>
        <v>0</v>
      </c>
      <c r="D240" s="41">
        <f>'Paste cell here'!I240</f>
        <v>0</v>
      </c>
      <c r="E240" s="1">
        <f>'Paste cell here'!H240</f>
        <v>0.47397038499999999</v>
      </c>
      <c r="F240" s="1">
        <f>Sintesi!$C$5</f>
        <v>0.1</v>
      </c>
      <c r="G240" s="1">
        <f>'Paste cell here'!AA240</f>
        <v>0.2</v>
      </c>
      <c r="H240" s="43">
        <f>'Paste cell here'!U240</f>
        <v>4.5213218519999998</v>
      </c>
      <c r="I240" s="43">
        <f>'Paste cell here'!AE240</f>
        <v>36.010498679999998</v>
      </c>
      <c r="J240" s="44">
        <f>H239*'Paste cell here'!AO240+'Paste cell here'!AF240*'Paste cell here'!AP240</f>
        <v>36.074609279999997</v>
      </c>
      <c r="K240" s="45">
        <f>'Paste cell here'!AG240</f>
        <v>32.313987349999998</v>
      </c>
      <c r="L240" s="41" t="str">
        <f t="shared" si="11"/>
        <v>NO</v>
      </c>
      <c r="M240" s="1">
        <f>(Sintesi!$C$29*F240*1000)</f>
        <v>22.9209</v>
      </c>
      <c r="N240" s="1">
        <f>Sintesi!$C$30*F240*1000</f>
        <v>8.31</v>
      </c>
      <c r="O240" s="1">
        <f t="shared" si="9"/>
        <v>14.610899999999999</v>
      </c>
      <c r="P240" s="1">
        <f>Sintesi!$C$33*G240*1000</f>
        <v>39.3992</v>
      </c>
      <c r="Q240" s="1">
        <f>Sintesi!$C$34*G240*1000</f>
        <v>18.04</v>
      </c>
      <c r="R240" s="1">
        <f t="shared" si="10"/>
        <v>21.359200000000001</v>
      </c>
    </row>
    <row r="241" spans="1:18">
      <c r="A241" s="41">
        <v>240</v>
      </c>
      <c r="B241" s="42">
        <f>DATE(Sintesi!$C$4-1,12,31)+A241</f>
        <v>44436</v>
      </c>
      <c r="C241" s="41">
        <f>'Paste cell here'!B241</f>
        <v>4.5408043569999998</v>
      </c>
      <c r="D241" s="41">
        <f>'Paste cell here'!I241</f>
        <v>0</v>
      </c>
      <c r="E241" s="1">
        <f>'Paste cell here'!H241</f>
        <v>0.54516039299999997</v>
      </c>
      <c r="F241" s="1">
        <f>Sintesi!$C$5</f>
        <v>0.1</v>
      </c>
      <c r="G241" s="1">
        <f>'Paste cell here'!AA241</f>
        <v>0.2</v>
      </c>
      <c r="H241" s="43">
        <f>'Paste cell here'!U241</f>
        <v>8.0831854920000001</v>
      </c>
      <c r="I241" s="43">
        <f>'Paste cell here'!AE241</f>
        <v>35.947849290000001</v>
      </c>
      <c r="J241" s="44">
        <f>H240*'Paste cell here'!AO241+'Paste cell here'!AF241*'Paste cell here'!AP241</f>
        <v>36.010498679999998</v>
      </c>
      <c r="K241" s="45">
        <f>'Paste cell here'!AG241</f>
        <v>31.249793539999999</v>
      </c>
      <c r="L241" s="41" t="str">
        <f t="shared" si="11"/>
        <v>NO</v>
      </c>
      <c r="M241" s="1">
        <f>(Sintesi!$C$29*F241*1000)</f>
        <v>22.9209</v>
      </c>
      <c r="N241" s="1">
        <f>Sintesi!$C$30*F241*1000</f>
        <v>8.31</v>
      </c>
      <c r="O241" s="1">
        <f t="shared" si="9"/>
        <v>14.610899999999999</v>
      </c>
      <c r="P241" s="1">
        <f>Sintesi!$C$33*G241*1000</f>
        <v>39.3992</v>
      </c>
      <c r="Q241" s="1">
        <f>Sintesi!$C$34*G241*1000</f>
        <v>18.04</v>
      </c>
      <c r="R241" s="1">
        <f t="shared" si="10"/>
        <v>21.359200000000001</v>
      </c>
    </row>
    <row r="242" spans="1:18">
      <c r="A242" s="41">
        <v>241</v>
      </c>
      <c r="B242" s="42">
        <f>DATE(Sintesi!$C$4-1,12,31)+A242</f>
        <v>44437</v>
      </c>
      <c r="C242" s="41">
        <f>'Paste cell here'!B242</f>
        <v>0</v>
      </c>
      <c r="D242" s="41">
        <f>'Paste cell here'!I242</f>
        <v>0</v>
      </c>
      <c r="E242" s="1">
        <f>'Paste cell here'!H242</f>
        <v>0.497126754</v>
      </c>
      <c r="F242" s="1">
        <f>Sintesi!$C$5</f>
        <v>0.1</v>
      </c>
      <c r="G242" s="1">
        <f>'Paste cell here'!AA242</f>
        <v>0.2</v>
      </c>
      <c r="H242" s="43">
        <f>'Paste cell here'!U242</f>
        <v>6.6464565410000001</v>
      </c>
      <c r="I242" s="43">
        <f>'Paste cell here'!AE242</f>
        <v>35.88659972</v>
      </c>
      <c r="J242" s="44">
        <f>H241*'Paste cell here'!AO242+'Paste cell here'!AF242*'Paste cell here'!AP242</f>
        <v>35.947849290000001</v>
      </c>
      <c r="K242" s="45">
        <f>'Paste cell here'!AG242</f>
        <v>31.96783112</v>
      </c>
      <c r="L242" s="41" t="str">
        <f t="shared" si="11"/>
        <v>NO</v>
      </c>
      <c r="M242" s="1">
        <f>(Sintesi!$C$29*F242*1000)</f>
        <v>22.9209</v>
      </c>
      <c r="N242" s="1">
        <f>Sintesi!$C$30*F242*1000</f>
        <v>8.31</v>
      </c>
      <c r="O242" s="1">
        <f t="shared" si="9"/>
        <v>14.610899999999999</v>
      </c>
      <c r="P242" s="1">
        <f>Sintesi!$C$33*G242*1000</f>
        <v>39.3992</v>
      </c>
      <c r="Q242" s="1">
        <f>Sintesi!$C$34*G242*1000</f>
        <v>18.04</v>
      </c>
      <c r="R242" s="1">
        <f t="shared" si="10"/>
        <v>21.359200000000001</v>
      </c>
    </row>
    <row r="243" spans="1:18">
      <c r="A243" s="41">
        <v>242</v>
      </c>
      <c r="B243" s="42">
        <f>DATE(Sintesi!$C$4-1,12,31)+A243</f>
        <v>44438</v>
      </c>
      <c r="C243" s="41">
        <f>'Paste cell here'!B243</f>
        <v>0</v>
      </c>
      <c r="D243" s="41">
        <f>'Paste cell here'!I243</f>
        <v>0</v>
      </c>
      <c r="E243" s="1">
        <f>'Paste cell here'!H243</f>
        <v>0.49493200900000001</v>
      </c>
      <c r="F243" s="1">
        <f>Sintesi!$C$5</f>
        <v>0.1</v>
      </c>
      <c r="G243" s="1">
        <f>'Paste cell here'!AA243</f>
        <v>0.2</v>
      </c>
      <c r="H243" s="43">
        <f>'Paste cell here'!U243</f>
        <v>5.7431924619999997</v>
      </c>
      <c r="I243" s="43">
        <f>'Paste cell here'!AE243</f>
        <v>35.826692270000002</v>
      </c>
      <c r="J243" s="44">
        <f>H242*'Paste cell here'!AO243+'Paste cell here'!AF243*'Paste cell here'!AP243</f>
        <v>35.88659972</v>
      </c>
      <c r="K243" s="45">
        <f>'Paste cell here'!AG243</f>
        <v>32.000639569999997</v>
      </c>
      <c r="L243" s="41" t="str">
        <f t="shared" si="11"/>
        <v>NO</v>
      </c>
      <c r="M243" s="1">
        <f>(Sintesi!$C$29*F243*1000)</f>
        <v>22.9209</v>
      </c>
      <c r="N243" s="1">
        <f>Sintesi!$C$30*F243*1000</f>
        <v>8.31</v>
      </c>
      <c r="O243" s="1">
        <f t="shared" si="9"/>
        <v>14.610899999999999</v>
      </c>
      <c r="P243" s="1">
        <f>Sintesi!$C$33*G243*1000</f>
        <v>39.3992</v>
      </c>
      <c r="Q243" s="1">
        <f>Sintesi!$C$34*G243*1000</f>
        <v>18.04</v>
      </c>
      <c r="R243" s="1">
        <f t="shared" si="10"/>
        <v>21.359200000000001</v>
      </c>
    </row>
    <row r="244" spans="1:18">
      <c r="A244" s="41">
        <v>243</v>
      </c>
      <c r="B244" s="42">
        <f>DATE(Sintesi!$C$4-1,12,31)+A244</f>
        <v>44439</v>
      </c>
      <c r="C244" s="41">
        <f>'Paste cell here'!B244</f>
        <v>0.36970363499999997</v>
      </c>
      <c r="D244" s="41">
        <f>'Paste cell here'!I244</f>
        <v>0</v>
      </c>
      <c r="E244" s="1">
        <f>'Paste cell here'!H244</f>
        <v>0.49714773600000001</v>
      </c>
      <c r="F244" s="1">
        <f>Sintesi!$C$5</f>
        <v>0.1</v>
      </c>
      <c r="G244" s="1">
        <f>'Paste cell here'!AA244</f>
        <v>0.2</v>
      </c>
      <c r="H244" s="43">
        <f>'Paste cell here'!U244</f>
        <v>5.4967598830000002</v>
      </c>
      <c r="I244" s="43">
        <f>'Paste cell here'!AE244</f>
        <v>35.768072699999998</v>
      </c>
      <c r="J244" s="44">
        <f>H243*'Paste cell here'!AO244+'Paste cell here'!AF244*'Paste cell here'!AP244</f>
        <v>35.826692270000002</v>
      </c>
      <c r="K244" s="45">
        <f>'Paste cell here'!AG244</f>
        <v>31.96751746</v>
      </c>
      <c r="L244" s="41" t="str">
        <f t="shared" si="11"/>
        <v>NO</v>
      </c>
      <c r="M244" s="1">
        <f>(Sintesi!$C$29*F244*1000)</f>
        <v>22.9209</v>
      </c>
      <c r="N244" s="1">
        <f>Sintesi!$C$30*F244*1000</f>
        <v>8.31</v>
      </c>
      <c r="O244" s="1">
        <f t="shared" si="9"/>
        <v>14.610899999999999</v>
      </c>
      <c r="P244" s="1">
        <f>Sintesi!$C$33*G244*1000</f>
        <v>39.3992</v>
      </c>
      <c r="Q244" s="1">
        <f>Sintesi!$C$34*G244*1000</f>
        <v>18.04</v>
      </c>
      <c r="R244" s="1">
        <f t="shared" si="10"/>
        <v>21.359200000000001</v>
      </c>
    </row>
    <row r="245" spans="1:18">
      <c r="A245" s="41">
        <v>244</v>
      </c>
      <c r="B245" s="42">
        <f>DATE(Sintesi!$C$4-1,12,31)+A245</f>
        <v>44440</v>
      </c>
      <c r="C245" s="41">
        <f>'Paste cell here'!B245</f>
        <v>1.9599999999999999E-2</v>
      </c>
      <c r="D245" s="41">
        <f>'Paste cell here'!I245</f>
        <v>0</v>
      </c>
      <c r="E245" s="1">
        <f>'Paste cell here'!H245</f>
        <v>0.50825581500000006</v>
      </c>
      <c r="F245" s="1">
        <f>Sintesi!$C$5</f>
        <v>0.1</v>
      </c>
      <c r="G245" s="1">
        <f>'Paste cell here'!AA245</f>
        <v>0.2</v>
      </c>
      <c r="H245" s="43">
        <f>'Paste cell here'!U245</f>
        <v>5.0209572400000004</v>
      </c>
      <c r="I245" s="43">
        <f>'Paste cell here'!AE245</f>
        <v>35.710689909999999</v>
      </c>
      <c r="J245" s="44">
        <f>H244*'Paste cell here'!AO245+'Paste cell here'!AF245*'Paste cell here'!AP245</f>
        <v>35.768072699999998</v>
      </c>
      <c r="K245" s="45">
        <f>'Paste cell here'!AG245</f>
        <v>31.801466789999999</v>
      </c>
      <c r="L245" s="41" t="str">
        <f t="shared" si="11"/>
        <v>NO</v>
      </c>
      <c r="M245" s="1">
        <f>(Sintesi!$C$29*F245*1000)</f>
        <v>22.9209</v>
      </c>
      <c r="N245" s="1">
        <f>Sintesi!$C$30*F245*1000</f>
        <v>8.31</v>
      </c>
      <c r="O245" s="1">
        <f t="shared" si="9"/>
        <v>14.610899999999999</v>
      </c>
      <c r="P245" s="1">
        <f>Sintesi!$C$33*G245*1000</f>
        <v>39.3992</v>
      </c>
      <c r="Q245" s="1">
        <f>Sintesi!$C$34*G245*1000</f>
        <v>18.04</v>
      </c>
      <c r="R245" s="1">
        <f t="shared" si="10"/>
        <v>21.359200000000001</v>
      </c>
    </row>
    <row r="246" spans="1:18">
      <c r="A246" s="41">
        <v>245</v>
      </c>
      <c r="B246" s="42">
        <f>DATE(Sintesi!$C$4-1,12,31)+A246</f>
        <v>44441</v>
      </c>
      <c r="C246" s="41">
        <f>'Paste cell here'!B246</f>
        <v>0</v>
      </c>
      <c r="D246" s="41">
        <f>'Paste cell here'!I246</f>
        <v>0</v>
      </c>
      <c r="E246" s="1">
        <f>'Paste cell here'!H246</f>
        <v>0.49433848600000002</v>
      </c>
      <c r="F246" s="1">
        <f>Sintesi!$C$5</f>
        <v>0.1</v>
      </c>
      <c r="G246" s="1">
        <f>'Paste cell here'!AA246</f>
        <v>0.2</v>
      </c>
      <c r="H246" s="43">
        <f>'Paste cell here'!U246</f>
        <v>4.6854541039999997</v>
      </c>
      <c r="I246" s="43">
        <f>'Paste cell here'!AE246</f>
        <v>35.65449572</v>
      </c>
      <c r="J246" s="44">
        <f>H245*'Paste cell here'!AO246+'Paste cell here'!AF246*'Paste cell here'!AP246</f>
        <v>35.710689909999999</v>
      </c>
      <c r="K246" s="45">
        <f>'Paste cell here'!AG246</f>
        <v>32.009511940000003</v>
      </c>
      <c r="L246" s="41" t="str">
        <f t="shared" si="11"/>
        <v>NO</v>
      </c>
      <c r="M246" s="1">
        <f>(Sintesi!$C$29*F246*1000)</f>
        <v>22.9209</v>
      </c>
      <c r="N246" s="1">
        <f>Sintesi!$C$30*F246*1000</f>
        <v>8.31</v>
      </c>
      <c r="O246" s="1">
        <f t="shared" si="9"/>
        <v>14.610899999999999</v>
      </c>
      <c r="P246" s="1">
        <f>Sintesi!$C$33*G246*1000</f>
        <v>39.3992</v>
      </c>
      <c r="Q246" s="1">
        <f>Sintesi!$C$34*G246*1000</f>
        <v>18.04</v>
      </c>
      <c r="R246" s="1">
        <f t="shared" si="10"/>
        <v>21.359200000000001</v>
      </c>
    </row>
    <row r="247" spans="1:18">
      <c r="A247" s="41">
        <v>246</v>
      </c>
      <c r="B247" s="42">
        <f>DATE(Sintesi!$C$4-1,12,31)+A247</f>
        <v>44442</v>
      </c>
      <c r="C247" s="41">
        <f>'Paste cell here'!B247</f>
        <v>0</v>
      </c>
      <c r="D247" s="41">
        <f>'Paste cell here'!I247</f>
        <v>0</v>
      </c>
      <c r="E247" s="1">
        <f>'Paste cell here'!H247</f>
        <v>0.47906383600000002</v>
      </c>
      <c r="F247" s="1">
        <f>Sintesi!$C$5</f>
        <v>0.1</v>
      </c>
      <c r="G247" s="1">
        <f>'Paste cell here'!AA247</f>
        <v>0.2</v>
      </c>
      <c r="H247" s="43">
        <f>'Paste cell here'!U247</f>
        <v>4.4982164960000004</v>
      </c>
      <c r="I247" s="43">
        <f>'Paste cell here'!AE247</f>
        <v>35.599444679999998</v>
      </c>
      <c r="J247" s="44">
        <f>H246*'Paste cell here'!AO247+'Paste cell here'!AF247*'Paste cell here'!AP247</f>
        <v>35.65449572</v>
      </c>
      <c r="K247" s="45">
        <f>'Paste cell here'!AG247</f>
        <v>32.237847180000003</v>
      </c>
      <c r="L247" s="41" t="str">
        <f t="shared" si="11"/>
        <v>NO</v>
      </c>
      <c r="M247" s="1">
        <f>(Sintesi!$C$29*F247*1000)</f>
        <v>22.9209</v>
      </c>
      <c r="N247" s="1">
        <f>Sintesi!$C$30*F247*1000</f>
        <v>8.31</v>
      </c>
      <c r="O247" s="1">
        <f t="shared" si="9"/>
        <v>14.610899999999999</v>
      </c>
      <c r="P247" s="1">
        <f>Sintesi!$C$33*G247*1000</f>
        <v>39.3992</v>
      </c>
      <c r="Q247" s="1">
        <f>Sintesi!$C$34*G247*1000</f>
        <v>18.04</v>
      </c>
      <c r="R247" s="1">
        <f t="shared" si="10"/>
        <v>21.359200000000001</v>
      </c>
    </row>
    <row r="248" spans="1:18">
      <c r="A248" s="41">
        <v>247</v>
      </c>
      <c r="B248" s="42">
        <f>DATE(Sintesi!$C$4-1,12,31)+A248</f>
        <v>44443</v>
      </c>
      <c r="C248" s="41">
        <f>'Paste cell here'!B248</f>
        <v>0</v>
      </c>
      <c r="D248" s="41">
        <f>'Paste cell here'!I248</f>
        <v>0</v>
      </c>
      <c r="E248" s="1">
        <f>'Paste cell here'!H248</f>
        <v>0.50372451100000004</v>
      </c>
      <c r="F248" s="1">
        <f>Sintesi!$C$5</f>
        <v>0.1</v>
      </c>
      <c r="G248" s="1">
        <f>'Paste cell here'!AA248</f>
        <v>0.2</v>
      </c>
      <c r="H248" s="43">
        <f>'Paste cell here'!U248</f>
        <v>4.3816440779999999</v>
      </c>
      <c r="I248" s="43">
        <f>'Paste cell here'!AE248</f>
        <v>35.545493819999997</v>
      </c>
      <c r="J248" s="44">
        <f>H247*'Paste cell here'!AO248+'Paste cell here'!AF248*'Paste cell here'!AP248</f>
        <v>35.599444679999998</v>
      </c>
      <c r="K248" s="45">
        <f>'Paste cell here'!AG248</f>
        <v>31.869203630000001</v>
      </c>
      <c r="L248" s="41" t="str">
        <f t="shared" si="11"/>
        <v>NO</v>
      </c>
      <c r="M248" s="1">
        <f>(Sintesi!$C$29*F248*1000)</f>
        <v>22.9209</v>
      </c>
      <c r="N248" s="1">
        <f>Sintesi!$C$30*F248*1000</f>
        <v>8.31</v>
      </c>
      <c r="O248" s="1">
        <f t="shared" si="9"/>
        <v>14.610899999999999</v>
      </c>
      <c r="P248" s="1">
        <f>Sintesi!$C$33*G248*1000</f>
        <v>39.3992</v>
      </c>
      <c r="Q248" s="1">
        <f>Sintesi!$C$34*G248*1000</f>
        <v>18.04</v>
      </c>
      <c r="R248" s="1">
        <f t="shared" si="10"/>
        <v>21.359200000000001</v>
      </c>
    </row>
    <row r="249" spans="1:18">
      <c r="A249" s="41">
        <v>248</v>
      </c>
      <c r="B249" s="42">
        <f>DATE(Sintesi!$C$4-1,12,31)+A249</f>
        <v>44444</v>
      </c>
      <c r="C249" s="41">
        <f>'Paste cell here'!B249</f>
        <v>0</v>
      </c>
      <c r="D249" s="41">
        <f>'Paste cell here'!I249</f>
        <v>0</v>
      </c>
      <c r="E249" s="1">
        <f>'Paste cell here'!H249</f>
        <v>0.51286472999999999</v>
      </c>
      <c r="F249" s="1">
        <f>Sintesi!$C$5</f>
        <v>0.1</v>
      </c>
      <c r="G249" s="1">
        <f>'Paste cell here'!AA249</f>
        <v>0.2</v>
      </c>
      <c r="H249" s="43">
        <f>'Paste cell here'!U249</f>
        <v>4.3023270269999996</v>
      </c>
      <c r="I249" s="43">
        <f>'Paste cell here'!AE249</f>
        <v>35.492602509999998</v>
      </c>
      <c r="J249" s="44">
        <f>H248*'Paste cell here'!AO249+'Paste cell here'!AF249*'Paste cell here'!AP249</f>
        <v>35.545493819999997</v>
      </c>
      <c r="K249" s="45">
        <f>'Paste cell here'!AG249</f>
        <v>31.732569789999999</v>
      </c>
      <c r="L249" s="41" t="str">
        <f t="shared" si="11"/>
        <v>NO</v>
      </c>
      <c r="M249" s="1">
        <f>(Sintesi!$C$29*F249*1000)</f>
        <v>22.9209</v>
      </c>
      <c r="N249" s="1">
        <f>Sintesi!$C$30*F249*1000</f>
        <v>8.31</v>
      </c>
      <c r="O249" s="1">
        <f t="shared" si="9"/>
        <v>14.610899999999999</v>
      </c>
      <c r="P249" s="1">
        <f>Sintesi!$C$33*G249*1000</f>
        <v>39.3992</v>
      </c>
      <c r="Q249" s="1">
        <f>Sintesi!$C$34*G249*1000</f>
        <v>18.04</v>
      </c>
      <c r="R249" s="1">
        <f t="shared" si="10"/>
        <v>21.359200000000001</v>
      </c>
    </row>
    <row r="250" spans="1:18">
      <c r="A250" s="41">
        <v>249</v>
      </c>
      <c r="B250" s="42">
        <f>DATE(Sintesi!$C$4-1,12,31)+A250</f>
        <v>44445</v>
      </c>
      <c r="C250" s="41">
        <f>'Paste cell here'!B250</f>
        <v>0</v>
      </c>
      <c r="D250" s="41">
        <f>'Paste cell here'!I250</f>
        <v>0</v>
      </c>
      <c r="E250" s="1">
        <f>'Paste cell here'!H250</f>
        <v>0.50562338900000003</v>
      </c>
      <c r="F250" s="1">
        <f>Sintesi!$C$5</f>
        <v>0.1</v>
      </c>
      <c r="G250" s="1">
        <f>'Paste cell here'!AA250</f>
        <v>0.2</v>
      </c>
      <c r="H250" s="43">
        <f>'Paste cell here'!U250</f>
        <v>4.2493839409999996</v>
      </c>
      <c r="I250" s="43">
        <f>'Paste cell here'!AE250</f>
        <v>35.44073229</v>
      </c>
      <c r="J250" s="44">
        <f>H249*'Paste cell here'!AO250+'Paste cell here'!AF250*'Paste cell here'!AP250</f>
        <v>35.492602509999998</v>
      </c>
      <c r="K250" s="45">
        <f>'Paste cell here'!AG250</f>
        <v>31.840817980000001</v>
      </c>
      <c r="L250" s="41" t="str">
        <f t="shared" si="11"/>
        <v>NO</v>
      </c>
      <c r="M250" s="1">
        <f>(Sintesi!$C$29*F250*1000)</f>
        <v>22.9209</v>
      </c>
      <c r="N250" s="1">
        <f>Sintesi!$C$30*F250*1000</f>
        <v>8.31</v>
      </c>
      <c r="O250" s="1">
        <f t="shared" si="9"/>
        <v>14.610899999999999</v>
      </c>
      <c r="P250" s="1">
        <f>Sintesi!$C$33*G250*1000</f>
        <v>39.3992</v>
      </c>
      <c r="Q250" s="1">
        <f>Sintesi!$C$34*G250*1000</f>
        <v>18.04</v>
      </c>
      <c r="R250" s="1">
        <f t="shared" si="10"/>
        <v>21.359200000000001</v>
      </c>
    </row>
    <row r="251" spans="1:18">
      <c r="A251" s="41">
        <v>250</v>
      </c>
      <c r="B251" s="42">
        <f>DATE(Sintesi!$C$4-1,12,31)+A251</f>
        <v>44446</v>
      </c>
      <c r="C251" s="41">
        <f>'Paste cell here'!B251</f>
        <v>0</v>
      </c>
      <c r="D251" s="41">
        <f>'Paste cell here'!I251</f>
        <v>0</v>
      </c>
      <c r="E251" s="1">
        <f>'Paste cell here'!H251</f>
        <v>0.49888247499999999</v>
      </c>
      <c r="F251" s="1">
        <f>Sintesi!$C$5</f>
        <v>0.1</v>
      </c>
      <c r="G251" s="1">
        <f>'Paste cell here'!AA251</f>
        <v>0.2</v>
      </c>
      <c r="H251" s="43">
        <f>'Paste cell here'!U251</f>
        <v>4.2164068940000003</v>
      </c>
      <c r="I251" s="43">
        <f>'Paste cell here'!AE251</f>
        <v>35.389846720000001</v>
      </c>
      <c r="J251" s="44">
        <f>H250*'Paste cell here'!AO251+'Paste cell here'!AF251*'Paste cell here'!AP251</f>
        <v>35.44073229</v>
      </c>
      <c r="K251" s="45">
        <f>'Paste cell here'!AG251</f>
        <v>31.941585480000001</v>
      </c>
      <c r="L251" s="41" t="str">
        <f t="shared" si="11"/>
        <v>NO</v>
      </c>
      <c r="M251" s="1">
        <f>(Sintesi!$C$29*F251*1000)</f>
        <v>22.9209</v>
      </c>
      <c r="N251" s="1">
        <f>Sintesi!$C$30*F251*1000</f>
        <v>8.31</v>
      </c>
      <c r="O251" s="1">
        <f t="shared" si="9"/>
        <v>14.610899999999999</v>
      </c>
      <c r="P251" s="1">
        <f>Sintesi!$C$33*G251*1000</f>
        <v>39.3992</v>
      </c>
      <c r="Q251" s="1">
        <f>Sintesi!$C$34*G251*1000</f>
        <v>18.04</v>
      </c>
      <c r="R251" s="1">
        <f t="shared" si="10"/>
        <v>21.359200000000001</v>
      </c>
    </row>
    <row r="252" spans="1:18">
      <c r="A252" s="41">
        <v>251</v>
      </c>
      <c r="B252" s="42">
        <f>DATE(Sintesi!$C$4-1,12,31)+A252</f>
        <v>44447</v>
      </c>
      <c r="C252" s="41">
        <f>'Paste cell here'!B252</f>
        <v>0</v>
      </c>
      <c r="D252" s="41">
        <f>'Paste cell here'!I252</f>
        <v>0</v>
      </c>
      <c r="E252" s="1">
        <f>'Paste cell here'!H252</f>
        <v>0.50630056700000003</v>
      </c>
      <c r="F252" s="1">
        <f>Sintesi!$C$5</f>
        <v>0.1</v>
      </c>
      <c r="G252" s="1">
        <f>'Paste cell here'!AA252</f>
        <v>0.2</v>
      </c>
      <c r="H252" s="43">
        <f>'Paste cell here'!U252</f>
        <v>4.1943450860000002</v>
      </c>
      <c r="I252" s="43">
        <f>'Paste cell here'!AE252</f>
        <v>35.339911209999997</v>
      </c>
      <c r="J252" s="44">
        <f>H251*'Paste cell here'!AO252+'Paste cell here'!AF252*'Paste cell here'!AP252</f>
        <v>35.389846720000001</v>
      </c>
      <c r="K252" s="45">
        <f>'Paste cell here'!AG252</f>
        <v>31.830695089999999</v>
      </c>
      <c r="L252" s="41" t="str">
        <f t="shared" si="11"/>
        <v>NO</v>
      </c>
      <c r="M252" s="1">
        <f>(Sintesi!$C$29*F252*1000)</f>
        <v>22.9209</v>
      </c>
      <c r="N252" s="1">
        <f>Sintesi!$C$30*F252*1000</f>
        <v>8.31</v>
      </c>
      <c r="O252" s="1">
        <f t="shared" si="9"/>
        <v>14.610899999999999</v>
      </c>
      <c r="P252" s="1">
        <f>Sintesi!$C$33*G252*1000</f>
        <v>39.3992</v>
      </c>
      <c r="Q252" s="1">
        <f>Sintesi!$C$34*G252*1000</f>
        <v>18.04</v>
      </c>
      <c r="R252" s="1">
        <f t="shared" si="10"/>
        <v>21.359200000000001</v>
      </c>
    </row>
    <row r="253" spans="1:18">
      <c r="A253" s="41">
        <v>252</v>
      </c>
      <c r="B253" s="42">
        <f>DATE(Sintesi!$C$4-1,12,31)+A253</f>
        <v>44448</v>
      </c>
      <c r="C253" s="41">
        <f>'Paste cell here'!B253</f>
        <v>0</v>
      </c>
      <c r="D253" s="41">
        <f>'Paste cell here'!I253</f>
        <v>0</v>
      </c>
      <c r="E253" s="1">
        <f>'Paste cell here'!H253</f>
        <v>0.498105615</v>
      </c>
      <c r="F253" s="1">
        <f>Sintesi!$C$5</f>
        <v>0.1</v>
      </c>
      <c r="G253" s="1">
        <f>'Paste cell here'!AA253</f>
        <v>0.2</v>
      </c>
      <c r="H253" s="43">
        <f>'Paste cell here'!U253</f>
        <v>4.1814849150000004</v>
      </c>
      <c r="I253" s="43">
        <f>'Paste cell here'!AE253</f>
        <v>35.290892960000001</v>
      </c>
      <c r="J253" s="44">
        <f>H252*'Paste cell here'!AO253+'Paste cell here'!AF253*'Paste cell here'!AP253</f>
        <v>35.339911209999997</v>
      </c>
      <c r="K253" s="45">
        <f>'Paste cell here'!AG253</f>
        <v>31.95319847</v>
      </c>
      <c r="L253" s="41" t="str">
        <f t="shared" si="11"/>
        <v>NO</v>
      </c>
      <c r="M253" s="1">
        <f>(Sintesi!$C$29*F253*1000)</f>
        <v>22.9209</v>
      </c>
      <c r="N253" s="1">
        <f>Sintesi!$C$30*F253*1000</f>
        <v>8.31</v>
      </c>
      <c r="O253" s="1">
        <f t="shared" si="9"/>
        <v>14.610899999999999</v>
      </c>
      <c r="P253" s="1">
        <f>Sintesi!$C$33*G253*1000</f>
        <v>39.3992</v>
      </c>
      <c r="Q253" s="1">
        <f>Sintesi!$C$34*G253*1000</f>
        <v>18.04</v>
      </c>
      <c r="R253" s="1">
        <f t="shared" si="10"/>
        <v>21.359200000000001</v>
      </c>
    </row>
    <row r="254" spans="1:18">
      <c r="A254" s="41">
        <v>253</v>
      </c>
      <c r="B254" s="42">
        <f>DATE(Sintesi!$C$4-1,12,31)+A254</f>
        <v>44449</v>
      </c>
      <c r="C254" s="41">
        <f>'Paste cell here'!B254</f>
        <v>0</v>
      </c>
      <c r="D254" s="41">
        <f>'Paste cell here'!I254</f>
        <v>0</v>
      </c>
      <c r="E254" s="1">
        <f>'Paste cell here'!H254</f>
        <v>0.51839127100000004</v>
      </c>
      <c r="F254" s="1">
        <f>Sintesi!$C$5</f>
        <v>0.1</v>
      </c>
      <c r="G254" s="1">
        <f>'Paste cell here'!AA254</f>
        <v>0.2</v>
      </c>
      <c r="H254" s="43">
        <f>'Paste cell here'!U254</f>
        <v>4.1738930200000004</v>
      </c>
      <c r="I254" s="43">
        <f>'Paste cell here'!AE254</f>
        <v>35.242760799999999</v>
      </c>
      <c r="J254" s="44">
        <f>H253*'Paste cell here'!AO254+'Paste cell here'!AF254*'Paste cell here'!AP254</f>
        <v>35.290892960000001</v>
      </c>
      <c r="K254" s="45">
        <f>'Paste cell here'!AG254</f>
        <v>31.649955519999999</v>
      </c>
      <c r="L254" s="41" t="str">
        <f t="shared" si="11"/>
        <v>NO</v>
      </c>
      <c r="M254" s="1">
        <f>(Sintesi!$C$29*F254*1000)</f>
        <v>22.9209</v>
      </c>
      <c r="N254" s="1">
        <f>Sintesi!$C$30*F254*1000</f>
        <v>8.31</v>
      </c>
      <c r="O254" s="1">
        <f t="shared" si="9"/>
        <v>14.610899999999999</v>
      </c>
      <c r="P254" s="1">
        <f>Sintesi!$C$33*G254*1000</f>
        <v>39.3992</v>
      </c>
      <c r="Q254" s="1">
        <f>Sintesi!$C$34*G254*1000</f>
        <v>18.04</v>
      </c>
      <c r="R254" s="1">
        <f t="shared" si="10"/>
        <v>21.359200000000001</v>
      </c>
    </row>
    <row r="255" spans="1:18">
      <c r="A255" s="41">
        <v>254</v>
      </c>
      <c r="B255" s="42">
        <f>DATE(Sintesi!$C$4-1,12,31)+A255</f>
        <v>44450</v>
      </c>
      <c r="C255" s="41">
        <f>'Paste cell here'!B255</f>
        <v>0</v>
      </c>
      <c r="D255" s="41">
        <f>'Paste cell here'!I255</f>
        <v>0</v>
      </c>
      <c r="E255" s="1">
        <f>'Paste cell here'!H255</f>
        <v>0.54266368700000001</v>
      </c>
      <c r="F255" s="1">
        <f>Sintesi!$C$5</f>
        <v>0.1</v>
      </c>
      <c r="G255" s="1">
        <f>'Paste cell here'!AA255</f>
        <v>0.2</v>
      </c>
      <c r="H255" s="43">
        <f>'Paste cell here'!U255</f>
        <v>4.1679472280000001</v>
      </c>
      <c r="I255" s="43">
        <f>'Paste cell here'!AE255</f>
        <v>35.195485060000003</v>
      </c>
      <c r="J255" s="44">
        <f>H254*'Paste cell here'!AO255+'Paste cell here'!AF255*'Paste cell here'!AP255</f>
        <v>35.242760799999999</v>
      </c>
      <c r="K255" s="45">
        <f>'Paste cell here'!AG255</f>
        <v>31.2871159</v>
      </c>
      <c r="L255" s="41" t="str">
        <f t="shared" si="11"/>
        <v>NO</v>
      </c>
      <c r="M255" s="1">
        <f>(Sintesi!$C$29*F255*1000)</f>
        <v>22.9209</v>
      </c>
      <c r="N255" s="1">
        <f>Sintesi!$C$30*F255*1000</f>
        <v>8.31</v>
      </c>
      <c r="O255" s="1">
        <f t="shared" si="9"/>
        <v>14.610899999999999</v>
      </c>
      <c r="P255" s="1">
        <f>Sintesi!$C$33*G255*1000</f>
        <v>39.3992</v>
      </c>
      <c r="Q255" s="1">
        <f>Sintesi!$C$34*G255*1000</f>
        <v>18.04</v>
      </c>
      <c r="R255" s="1">
        <f t="shared" si="10"/>
        <v>21.359200000000001</v>
      </c>
    </row>
    <row r="256" spans="1:18">
      <c r="A256" s="41">
        <v>255</v>
      </c>
      <c r="B256" s="42">
        <f>DATE(Sintesi!$C$4-1,12,31)+A256</f>
        <v>44451</v>
      </c>
      <c r="C256" s="41">
        <f>'Paste cell here'!B256</f>
        <v>0</v>
      </c>
      <c r="D256" s="41">
        <f>'Paste cell here'!I256</f>
        <v>0</v>
      </c>
      <c r="E256" s="1">
        <f>'Paste cell here'!H256</f>
        <v>0.52077062299999999</v>
      </c>
      <c r="F256" s="1">
        <f>Sintesi!$C$5</f>
        <v>0.1</v>
      </c>
      <c r="G256" s="1">
        <f>'Paste cell here'!AA256</f>
        <v>0.2</v>
      </c>
      <c r="H256" s="43">
        <f>'Paste cell here'!U256</f>
        <v>4.1639660269999998</v>
      </c>
      <c r="I256" s="43">
        <f>'Paste cell here'!AE256</f>
        <v>35.149037540000002</v>
      </c>
      <c r="J256" s="44">
        <f>H255*'Paste cell here'!AO256+'Paste cell here'!AF256*'Paste cell here'!AP256</f>
        <v>35.195485060000003</v>
      </c>
      <c r="K256" s="45">
        <f>'Paste cell here'!AG256</f>
        <v>31.614387430000001</v>
      </c>
      <c r="L256" s="41" t="str">
        <f t="shared" si="11"/>
        <v>NO</v>
      </c>
      <c r="M256" s="1">
        <f>(Sintesi!$C$29*F256*1000)</f>
        <v>22.9209</v>
      </c>
      <c r="N256" s="1">
        <f>Sintesi!$C$30*F256*1000</f>
        <v>8.31</v>
      </c>
      <c r="O256" s="1">
        <f t="shared" si="9"/>
        <v>14.610899999999999</v>
      </c>
      <c r="P256" s="1">
        <f>Sintesi!$C$33*G256*1000</f>
        <v>39.3992</v>
      </c>
      <c r="Q256" s="1">
        <f>Sintesi!$C$34*G256*1000</f>
        <v>18.04</v>
      </c>
      <c r="R256" s="1">
        <f t="shared" si="10"/>
        <v>21.359200000000001</v>
      </c>
    </row>
    <row r="257" spans="1:18">
      <c r="A257" s="41">
        <v>256</v>
      </c>
      <c r="B257" s="42">
        <f>DATE(Sintesi!$C$4-1,12,31)+A257</f>
        <v>44452</v>
      </c>
      <c r="C257" s="41">
        <f>'Paste cell here'!B257</f>
        <v>0</v>
      </c>
      <c r="D257" s="41">
        <f>'Paste cell here'!I257</f>
        <v>0</v>
      </c>
      <c r="E257" s="1">
        <f>'Paste cell here'!H257</f>
        <v>0.52047151400000002</v>
      </c>
      <c r="F257" s="1">
        <f>Sintesi!$C$5</f>
        <v>0.1</v>
      </c>
      <c r="G257" s="1">
        <f>'Paste cell here'!AA257</f>
        <v>0.2</v>
      </c>
      <c r="H257" s="43">
        <f>'Paste cell here'!U257</f>
        <v>4.1612526589999996</v>
      </c>
      <c r="I257" s="43">
        <f>'Paste cell here'!AE257</f>
        <v>35.103391369999997</v>
      </c>
      <c r="J257" s="44">
        <f>H256*'Paste cell here'!AO257+'Paste cell here'!AF257*'Paste cell here'!AP257</f>
        <v>35.149037540000002</v>
      </c>
      <c r="K257" s="45">
        <f>'Paste cell here'!AG257</f>
        <v>31.618858700000001</v>
      </c>
      <c r="L257" s="41" t="str">
        <f t="shared" si="11"/>
        <v>NO</v>
      </c>
      <c r="M257" s="1">
        <f>(Sintesi!$C$29*F257*1000)</f>
        <v>22.9209</v>
      </c>
      <c r="N257" s="1">
        <f>Sintesi!$C$30*F257*1000</f>
        <v>8.31</v>
      </c>
      <c r="O257" s="1">
        <f t="shared" si="9"/>
        <v>14.610899999999999</v>
      </c>
      <c r="P257" s="1">
        <f>Sintesi!$C$33*G257*1000</f>
        <v>39.3992</v>
      </c>
      <c r="Q257" s="1">
        <f>Sintesi!$C$34*G257*1000</f>
        <v>18.04</v>
      </c>
      <c r="R257" s="1">
        <f t="shared" si="10"/>
        <v>21.359200000000001</v>
      </c>
    </row>
    <row r="258" spans="1:18">
      <c r="A258" s="41">
        <v>257</v>
      </c>
      <c r="B258" s="42">
        <f>DATE(Sintesi!$C$4-1,12,31)+A258</f>
        <v>44453</v>
      </c>
      <c r="C258" s="41">
        <f>'Paste cell here'!B258</f>
        <v>0</v>
      </c>
      <c r="D258" s="41">
        <f>'Paste cell here'!I258</f>
        <v>0</v>
      </c>
      <c r="E258" s="1">
        <f>'Paste cell here'!H258</f>
        <v>0.51609791500000002</v>
      </c>
      <c r="F258" s="1">
        <f>Sintesi!$C$5</f>
        <v>0.1</v>
      </c>
      <c r="G258" s="1">
        <f>'Paste cell here'!AA258</f>
        <v>0.2</v>
      </c>
      <c r="H258" s="43">
        <f>'Paste cell here'!U258</f>
        <v>4.159833796</v>
      </c>
      <c r="I258" s="43">
        <f>'Paste cell here'!AE258</f>
        <v>35.058520950000002</v>
      </c>
      <c r="J258" s="44">
        <f>H257*'Paste cell here'!AO258+'Paste cell here'!AF258*'Paste cell here'!AP258</f>
        <v>35.103391369999997</v>
      </c>
      <c r="K258" s="45">
        <f>'Paste cell here'!AG258</f>
        <v>31.684238069999999</v>
      </c>
      <c r="L258" s="41" t="str">
        <f t="shared" si="11"/>
        <v>NO</v>
      </c>
      <c r="M258" s="1">
        <f>(Sintesi!$C$29*F258*1000)</f>
        <v>22.9209</v>
      </c>
      <c r="N258" s="1">
        <f>Sintesi!$C$30*F258*1000</f>
        <v>8.31</v>
      </c>
      <c r="O258" s="1">
        <f t="shared" si="9"/>
        <v>14.610899999999999</v>
      </c>
      <c r="P258" s="1">
        <f>Sintesi!$C$33*G258*1000</f>
        <v>39.3992</v>
      </c>
      <c r="Q258" s="1">
        <f>Sintesi!$C$34*G258*1000</f>
        <v>18.04</v>
      </c>
      <c r="R258" s="1">
        <f t="shared" si="10"/>
        <v>21.359200000000001</v>
      </c>
    </row>
    <row r="259" spans="1:18">
      <c r="A259" s="41">
        <v>258</v>
      </c>
      <c r="B259" s="42">
        <f>DATE(Sintesi!$C$4-1,12,31)+A259</f>
        <v>44454</v>
      </c>
      <c r="C259" s="41">
        <f>'Paste cell here'!B259</f>
        <v>0</v>
      </c>
      <c r="D259" s="41">
        <f>'Paste cell here'!I259</f>
        <v>0</v>
      </c>
      <c r="E259" s="1">
        <f>'Paste cell here'!H259</f>
        <v>0.56110234599999997</v>
      </c>
      <c r="F259" s="1">
        <f>Sintesi!$C$5</f>
        <v>0.1</v>
      </c>
      <c r="G259" s="1">
        <f>'Paste cell here'!AA259</f>
        <v>0.2</v>
      </c>
      <c r="H259" s="43">
        <f>'Paste cell here'!U259</f>
        <v>4.1588551259999997</v>
      </c>
      <c r="I259" s="43">
        <f>'Paste cell here'!AE259</f>
        <v>35.014401839999998</v>
      </c>
      <c r="J259" s="44">
        <f>H258*'Paste cell here'!AO259+'Paste cell here'!AF259*'Paste cell here'!AP259</f>
        <v>35.058520950000002</v>
      </c>
      <c r="K259" s="45">
        <f>'Paste cell here'!AG259</f>
        <v>31.01148302</v>
      </c>
      <c r="L259" s="41" t="str">
        <f t="shared" si="11"/>
        <v>NO</v>
      </c>
      <c r="M259" s="1">
        <f>(Sintesi!$C$29*F259*1000)</f>
        <v>22.9209</v>
      </c>
      <c r="N259" s="1">
        <f>Sintesi!$C$30*F259*1000</f>
        <v>8.31</v>
      </c>
      <c r="O259" s="1">
        <f t="shared" ref="O259:O322" si="12">M259-N259</f>
        <v>14.610899999999999</v>
      </c>
      <c r="P259" s="1">
        <f>Sintesi!$C$33*G259*1000</f>
        <v>39.3992</v>
      </c>
      <c r="Q259" s="1">
        <f>Sintesi!$C$34*G259*1000</f>
        <v>18.04</v>
      </c>
      <c r="R259" s="1">
        <f t="shared" ref="R259:R322" si="13">P259-Q259</f>
        <v>21.359200000000001</v>
      </c>
    </row>
    <row r="260" spans="1:18">
      <c r="A260" s="41">
        <v>259</v>
      </c>
      <c r="B260" s="42">
        <f>DATE(Sintesi!$C$4-1,12,31)+A260</f>
        <v>44455</v>
      </c>
      <c r="C260" s="41">
        <f>'Paste cell here'!B260</f>
        <v>21.829790289999998</v>
      </c>
      <c r="D260" s="41">
        <f>'Paste cell here'!I260</f>
        <v>0</v>
      </c>
      <c r="E260" s="1">
        <f>'Paste cell here'!H260</f>
        <v>0.570503227</v>
      </c>
      <c r="F260" s="1">
        <f>Sintesi!$C$5</f>
        <v>0.1</v>
      </c>
      <c r="G260" s="1">
        <f>'Paste cell here'!AA260</f>
        <v>0.2</v>
      </c>
      <c r="H260" s="43">
        <f>'Paste cell here'!U260</f>
        <v>23.455246580000001</v>
      </c>
      <c r="I260" s="43">
        <f>'Paste cell here'!AE260</f>
        <v>34.992949629999998</v>
      </c>
      <c r="J260" s="44">
        <f>H259*'Paste cell here'!AO260+'Paste cell here'!AF260*'Paste cell here'!AP260</f>
        <v>35.014401839999998</v>
      </c>
      <c r="K260" s="45">
        <f>'Paste cell here'!AG260</f>
        <v>30.870952639999999</v>
      </c>
      <c r="L260" s="41" t="str">
        <f t="shared" ref="L260:L323" si="14">IF(J260&lt;K260,"YES","NO")</f>
        <v>NO</v>
      </c>
      <c r="M260" s="1">
        <f>(Sintesi!$C$29*F260*1000)</f>
        <v>22.9209</v>
      </c>
      <c r="N260" s="1">
        <f>Sintesi!$C$30*F260*1000</f>
        <v>8.31</v>
      </c>
      <c r="O260" s="1">
        <f t="shared" si="12"/>
        <v>14.610899999999999</v>
      </c>
      <c r="P260" s="1">
        <f>Sintesi!$C$33*G260*1000</f>
        <v>39.3992</v>
      </c>
      <c r="Q260" s="1">
        <f>Sintesi!$C$34*G260*1000</f>
        <v>18.04</v>
      </c>
      <c r="R260" s="1">
        <f t="shared" si="13"/>
        <v>21.359200000000001</v>
      </c>
    </row>
    <row r="261" spans="1:18">
      <c r="A261" s="41">
        <v>260</v>
      </c>
      <c r="B261" s="42">
        <f>DATE(Sintesi!$C$4-1,12,31)+A261</f>
        <v>44456</v>
      </c>
      <c r="C261" s="41">
        <f>'Paste cell here'!B261</f>
        <v>0.10812306200000001</v>
      </c>
      <c r="D261" s="41">
        <f>'Paste cell here'!I261</f>
        <v>0</v>
      </c>
      <c r="E261" s="1">
        <f>'Paste cell here'!H261</f>
        <v>0.58255290400000004</v>
      </c>
      <c r="F261" s="1">
        <f>Sintesi!$C$5</f>
        <v>0.1</v>
      </c>
      <c r="G261" s="1">
        <f>'Paste cell here'!AA261</f>
        <v>0.2</v>
      </c>
      <c r="H261" s="43">
        <f>'Paste cell here'!U261</f>
        <v>19.745573319999998</v>
      </c>
      <c r="I261" s="43">
        <f>'Paste cell here'!AE261</f>
        <v>35.083116259999997</v>
      </c>
      <c r="J261" s="44">
        <f>H260*'Paste cell here'!AO261+'Paste cell here'!AF261*'Paste cell here'!AP261</f>
        <v>34.992949629999998</v>
      </c>
      <c r="K261" s="45">
        <f>'Paste cell here'!AG261</f>
        <v>30.690826359999999</v>
      </c>
      <c r="L261" s="41" t="str">
        <f t="shared" si="14"/>
        <v>NO</v>
      </c>
      <c r="M261" s="1">
        <f>(Sintesi!$C$29*F261*1000)</f>
        <v>22.9209</v>
      </c>
      <c r="N261" s="1">
        <f>Sintesi!$C$30*F261*1000</f>
        <v>8.31</v>
      </c>
      <c r="O261" s="1">
        <f t="shared" si="12"/>
        <v>14.610899999999999</v>
      </c>
      <c r="P261" s="1">
        <f>Sintesi!$C$33*G261*1000</f>
        <v>39.3992</v>
      </c>
      <c r="Q261" s="1">
        <f>Sintesi!$C$34*G261*1000</f>
        <v>18.04</v>
      </c>
      <c r="R261" s="1">
        <f t="shared" si="13"/>
        <v>21.359200000000001</v>
      </c>
    </row>
    <row r="262" spans="1:18">
      <c r="A262" s="41">
        <v>261</v>
      </c>
      <c r="B262" s="42">
        <f>DATE(Sintesi!$C$4-1,12,31)+A262</f>
        <v>44457</v>
      </c>
      <c r="C262" s="41">
        <f>'Paste cell here'!B262</f>
        <v>0.35519644299999997</v>
      </c>
      <c r="D262" s="41">
        <f>'Paste cell here'!I262</f>
        <v>0</v>
      </c>
      <c r="E262" s="1">
        <f>'Paste cell here'!H262</f>
        <v>0.55267777600000001</v>
      </c>
      <c r="F262" s="1">
        <f>Sintesi!$C$5</f>
        <v>0.1</v>
      </c>
      <c r="G262" s="1">
        <f>'Paste cell here'!AA262</f>
        <v>0.2</v>
      </c>
      <c r="H262" s="43">
        <f>'Paste cell here'!U262</f>
        <v>16.69992469</v>
      </c>
      <c r="I262" s="43">
        <f>'Paste cell here'!AE262</f>
        <v>35.057172729999998</v>
      </c>
      <c r="J262" s="44">
        <f>H261*'Paste cell here'!AO262+'Paste cell here'!AF262*'Paste cell here'!AP262</f>
        <v>35.083116259999997</v>
      </c>
      <c r="K262" s="45">
        <f>'Paste cell here'!AG262</f>
        <v>31.137418889999999</v>
      </c>
      <c r="L262" s="41" t="str">
        <f t="shared" si="14"/>
        <v>NO</v>
      </c>
      <c r="M262" s="1">
        <f>(Sintesi!$C$29*F262*1000)</f>
        <v>22.9209</v>
      </c>
      <c r="N262" s="1">
        <f>Sintesi!$C$30*F262*1000</f>
        <v>8.31</v>
      </c>
      <c r="O262" s="1">
        <f t="shared" si="12"/>
        <v>14.610899999999999</v>
      </c>
      <c r="P262" s="1">
        <f>Sintesi!$C$33*G262*1000</f>
        <v>39.3992</v>
      </c>
      <c r="Q262" s="1">
        <f>Sintesi!$C$34*G262*1000</f>
        <v>18.04</v>
      </c>
      <c r="R262" s="1">
        <f t="shared" si="13"/>
        <v>21.359200000000001</v>
      </c>
    </row>
    <row r="263" spans="1:18">
      <c r="A263" s="41">
        <v>262</v>
      </c>
      <c r="B263" s="42">
        <f>DATE(Sintesi!$C$4-1,12,31)+A263</f>
        <v>44458</v>
      </c>
      <c r="C263" s="41">
        <f>'Paste cell here'!B263</f>
        <v>3.0259732709999998</v>
      </c>
      <c r="D263" s="41">
        <f>'Paste cell here'!I263</f>
        <v>0</v>
      </c>
      <c r="E263" s="1">
        <f>'Paste cell here'!H263</f>
        <v>0.56471835999999997</v>
      </c>
      <c r="F263" s="1">
        <f>Sintesi!$C$5</f>
        <v>0.1</v>
      </c>
      <c r="G263" s="1">
        <f>'Paste cell here'!AA263</f>
        <v>0.2</v>
      </c>
      <c r="H263" s="43">
        <f>'Paste cell here'!U263</f>
        <v>16.443336739999999</v>
      </c>
      <c r="I263" s="43">
        <f>'Paste cell here'!AE263</f>
        <v>35.01751573</v>
      </c>
      <c r="J263" s="44">
        <f>H262*'Paste cell here'!AO263+'Paste cell here'!AF263*'Paste cell here'!AP263</f>
        <v>35.057172729999998</v>
      </c>
      <c r="K263" s="45">
        <f>'Paste cell here'!AG263</f>
        <v>30.957428539999999</v>
      </c>
      <c r="L263" s="41" t="str">
        <f t="shared" si="14"/>
        <v>NO</v>
      </c>
      <c r="M263" s="1">
        <f>(Sintesi!$C$29*F263*1000)</f>
        <v>22.9209</v>
      </c>
      <c r="N263" s="1">
        <f>Sintesi!$C$30*F263*1000</f>
        <v>8.31</v>
      </c>
      <c r="O263" s="1">
        <f t="shared" si="12"/>
        <v>14.610899999999999</v>
      </c>
      <c r="P263" s="1">
        <f>Sintesi!$C$33*G263*1000</f>
        <v>39.3992</v>
      </c>
      <c r="Q263" s="1">
        <f>Sintesi!$C$34*G263*1000</f>
        <v>18.04</v>
      </c>
      <c r="R263" s="1">
        <f t="shared" si="13"/>
        <v>21.359200000000001</v>
      </c>
    </row>
    <row r="264" spans="1:18">
      <c r="A264" s="41">
        <v>263</v>
      </c>
      <c r="B264" s="42">
        <f>DATE(Sintesi!$C$4-1,12,31)+A264</f>
        <v>44459</v>
      </c>
      <c r="C264" s="41">
        <f>'Paste cell here'!B264</f>
        <v>13.693706949999999</v>
      </c>
      <c r="D264" s="41">
        <f>'Paste cell here'!I264</f>
        <v>0</v>
      </c>
      <c r="E264" s="1">
        <f>'Paste cell here'!H264</f>
        <v>0.56887688999999997</v>
      </c>
      <c r="F264" s="1">
        <f>Sintesi!$C$5</f>
        <v>0.1</v>
      </c>
      <c r="G264" s="1">
        <f>'Paste cell here'!AA264</f>
        <v>0.2</v>
      </c>
      <c r="H264" s="43">
        <f>'Paste cell here'!U264</f>
        <v>26.375028520000001</v>
      </c>
      <c r="I264" s="43">
        <f>'Paste cell here'!AE264</f>
        <v>35.156189869999999</v>
      </c>
      <c r="J264" s="44">
        <f>H263*'Paste cell here'!AO264+'Paste cell here'!AF264*'Paste cell here'!AP264</f>
        <v>35.01751573</v>
      </c>
      <c r="K264" s="45">
        <f>'Paste cell here'!AG264</f>
        <v>30.895264170000001</v>
      </c>
      <c r="L264" s="41" t="str">
        <f t="shared" si="14"/>
        <v>NO</v>
      </c>
      <c r="M264" s="1">
        <f>(Sintesi!$C$29*F264*1000)</f>
        <v>22.9209</v>
      </c>
      <c r="N264" s="1">
        <f>Sintesi!$C$30*F264*1000</f>
        <v>8.31</v>
      </c>
      <c r="O264" s="1">
        <f t="shared" si="12"/>
        <v>14.610899999999999</v>
      </c>
      <c r="P264" s="1">
        <f>Sintesi!$C$33*G264*1000</f>
        <v>39.3992</v>
      </c>
      <c r="Q264" s="1">
        <f>Sintesi!$C$34*G264*1000</f>
        <v>18.04</v>
      </c>
      <c r="R264" s="1">
        <f t="shared" si="13"/>
        <v>21.359200000000001</v>
      </c>
    </row>
    <row r="265" spans="1:18">
      <c r="A265" s="41">
        <v>264</v>
      </c>
      <c r="B265" s="42">
        <f>DATE(Sintesi!$C$4-1,12,31)+A265</f>
        <v>44460</v>
      </c>
      <c r="C265" s="41">
        <f>'Paste cell here'!B265</f>
        <v>0.11374693</v>
      </c>
      <c r="D265" s="41">
        <f>'Paste cell here'!I265</f>
        <v>0</v>
      </c>
      <c r="E265" s="1">
        <f>'Paste cell here'!H265</f>
        <v>0.55703942699999998</v>
      </c>
      <c r="F265" s="1">
        <f>Sintesi!$C$5</f>
        <v>0.1</v>
      </c>
      <c r="G265" s="1">
        <f>'Paste cell here'!AA265</f>
        <v>0.2</v>
      </c>
      <c r="H265" s="43">
        <f>'Paste cell here'!U265</f>
        <v>22.618801269999999</v>
      </c>
      <c r="I265" s="43">
        <f>'Paste cell here'!AE265</f>
        <v>35.613857779999996</v>
      </c>
      <c r="J265" s="44">
        <f>H264*'Paste cell here'!AO265+'Paste cell here'!AF265*'Paste cell here'!AP265</f>
        <v>35.156189869999999</v>
      </c>
      <c r="K265" s="45">
        <f>'Paste cell here'!AG265</f>
        <v>31.07221813</v>
      </c>
      <c r="L265" s="41" t="str">
        <f t="shared" si="14"/>
        <v>NO</v>
      </c>
      <c r="M265" s="1">
        <f>(Sintesi!$C$29*F265*1000)</f>
        <v>22.9209</v>
      </c>
      <c r="N265" s="1">
        <f>Sintesi!$C$30*F265*1000</f>
        <v>8.31</v>
      </c>
      <c r="O265" s="1">
        <f t="shared" si="12"/>
        <v>14.610899999999999</v>
      </c>
      <c r="P265" s="1">
        <f>Sintesi!$C$33*G265*1000</f>
        <v>39.3992</v>
      </c>
      <c r="Q265" s="1">
        <f>Sintesi!$C$34*G265*1000</f>
        <v>18.04</v>
      </c>
      <c r="R265" s="1">
        <f t="shared" si="13"/>
        <v>21.359200000000001</v>
      </c>
    </row>
    <row r="266" spans="1:18">
      <c r="A266" s="41">
        <v>265</v>
      </c>
      <c r="B266" s="42">
        <f>DATE(Sintesi!$C$4-1,12,31)+A266</f>
        <v>44461</v>
      </c>
      <c r="C266" s="41">
        <f>'Paste cell here'!B266</f>
        <v>0</v>
      </c>
      <c r="D266" s="41">
        <f>'Paste cell here'!I266</f>
        <v>0</v>
      </c>
      <c r="E266" s="1">
        <f>'Paste cell here'!H266</f>
        <v>0.56558770000000003</v>
      </c>
      <c r="F266" s="1">
        <f>Sintesi!$C$5</f>
        <v>0.1</v>
      </c>
      <c r="G266" s="1">
        <f>'Paste cell here'!AA266</f>
        <v>0.2</v>
      </c>
      <c r="H266" s="43">
        <f>'Paste cell here'!U266</f>
        <v>19.180749469999999</v>
      </c>
      <c r="I266" s="43">
        <f>'Paste cell here'!AE266</f>
        <v>35.648667580000001</v>
      </c>
      <c r="J266" s="44">
        <f>H265*'Paste cell here'!AO266+'Paste cell here'!AF266*'Paste cell here'!AP266</f>
        <v>35.613857779999996</v>
      </c>
      <c r="K266" s="45">
        <f>'Paste cell here'!AG266</f>
        <v>30.94443308</v>
      </c>
      <c r="L266" s="41" t="str">
        <f t="shared" si="14"/>
        <v>NO</v>
      </c>
      <c r="M266" s="1">
        <f>(Sintesi!$C$29*F266*1000)</f>
        <v>22.9209</v>
      </c>
      <c r="N266" s="1">
        <f>Sintesi!$C$30*F266*1000</f>
        <v>8.31</v>
      </c>
      <c r="O266" s="1">
        <f t="shared" si="12"/>
        <v>14.610899999999999</v>
      </c>
      <c r="P266" s="1">
        <f>Sintesi!$C$33*G266*1000</f>
        <v>39.3992</v>
      </c>
      <c r="Q266" s="1">
        <f>Sintesi!$C$34*G266*1000</f>
        <v>18.04</v>
      </c>
      <c r="R266" s="1">
        <f t="shared" si="13"/>
        <v>21.359200000000001</v>
      </c>
    </row>
    <row r="267" spans="1:18">
      <c r="A267" s="41">
        <v>266</v>
      </c>
      <c r="B267" s="42">
        <f>DATE(Sintesi!$C$4-1,12,31)+A267</f>
        <v>44462</v>
      </c>
      <c r="C267" s="41">
        <f>'Paste cell here'!B267</f>
        <v>0</v>
      </c>
      <c r="D267" s="41">
        <f>'Paste cell here'!I267</f>
        <v>0</v>
      </c>
      <c r="E267" s="1">
        <f>'Paste cell here'!H267</f>
        <v>0.56608936200000004</v>
      </c>
      <c r="F267" s="1">
        <f>Sintesi!$C$5</f>
        <v>0.1</v>
      </c>
      <c r="G267" s="1">
        <f>'Paste cell here'!AA267</f>
        <v>0.2</v>
      </c>
      <c r="H267" s="43">
        <f>'Paste cell here'!U267</f>
        <v>15.916277579999999</v>
      </c>
      <c r="I267" s="43">
        <f>'Paste cell here'!AE267</f>
        <v>35.606008559999999</v>
      </c>
      <c r="J267" s="44">
        <f>H266*'Paste cell here'!AO267+'Paste cell here'!AF267*'Paste cell here'!AP267</f>
        <v>35.648667580000001</v>
      </c>
      <c r="K267" s="45">
        <f>'Paste cell here'!AG267</f>
        <v>30.936933920000001</v>
      </c>
      <c r="L267" s="41" t="str">
        <f t="shared" si="14"/>
        <v>NO</v>
      </c>
      <c r="M267" s="1">
        <f>(Sintesi!$C$29*F267*1000)</f>
        <v>22.9209</v>
      </c>
      <c r="N267" s="1">
        <f>Sintesi!$C$30*F267*1000</f>
        <v>8.31</v>
      </c>
      <c r="O267" s="1">
        <f t="shared" si="12"/>
        <v>14.610899999999999</v>
      </c>
      <c r="P267" s="1">
        <f>Sintesi!$C$33*G267*1000</f>
        <v>39.3992</v>
      </c>
      <c r="Q267" s="1">
        <f>Sintesi!$C$34*G267*1000</f>
        <v>18.04</v>
      </c>
      <c r="R267" s="1">
        <f t="shared" si="13"/>
        <v>21.359200000000001</v>
      </c>
    </row>
    <row r="268" spans="1:18">
      <c r="A268" s="41">
        <v>267</v>
      </c>
      <c r="B268" s="42">
        <f>DATE(Sintesi!$C$4-1,12,31)+A268</f>
        <v>44463</v>
      </c>
      <c r="C268" s="41">
        <f>'Paste cell here'!B268</f>
        <v>0</v>
      </c>
      <c r="D268" s="41">
        <f>'Paste cell here'!I268</f>
        <v>0</v>
      </c>
      <c r="E268" s="1">
        <f>'Paste cell here'!H268</f>
        <v>0.56991915800000004</v>
      </c>
      <c r="F268" s="1">
        <f>Sintesi!$C$5</f>
        <v>0.1</v>
      </c>
      <c r="G268" s="1">
        <f>'Paste cell here'!AA268</f>
        <v>0.2</v>
      </c>
      <c r="H268" s="43">
        <f>'Paste cell here'!U268</f>
        <v>12.85260903</v>
      </c>
      <c r="I268" s="43">
        <f>'Paste cell here'!AE268</f>
        <v>35.553008390000002</v>
      </c>
      <c r="J268" s="44">
        <f>H267*'Paste cell here'!AO268+'Paste cell here'!AF268*'Paste cell here'!AP268</f>
        <v>35.606008559999999</v>
      </c>
      <c r="K268" s="45">
        <f>'Paste cell here'!AG268</f>
        <v>30.879683679999999</v>
      </c>
      <c r="L268" s="41" t="str">
        <f t="shared" si="14"/>
        <v>NO</v>
      </c>
      <c r="M268" s="1">
        <f>(Sintesi!$C$29*F268*1000)</f>
        <v>22.9209</v>
      </c>
      <c r="N268" s="1">
        <f>Sintesi!$C$30*F268*1000</f>
        <v>8.31</v>
      </c>
      <c r="O268" s="1">
        <f t="shared" si="12"/>
        <v>14.610899999999999</v>
      </c>
      <c r="P268" s="1">
        <f>Sintesi!$C$33*G268*1000</f>
        <v>39.3992</v>
      </c>
      <c r="Q268" s="1">
        <f>Sintesi!$C$34*G268*1000</f>
        <v>18.04</v>
      </c>
      <c r="R268" s="1">
        <f t="shared" si="13"/>
        <v>21.359200000000001</v>
      </c>
    </row>
    <row r="269" spans="1:18">
      <c r="A269" s="41">
        <v>268</v>
      </c>
      <c r="B269" s="42">
        <f>DATE(Sintesi!$C$4-1,12,31)+A269</f>
        <v>44464</v>
      </c>
      <c r="C269" s="41">
        <f>'Paste cell here'!B269</f>
        <v>0</v>
      </c>
      <c r="D269" s="41">
        <f>'Paste cell here'!I269</f>
        <v>0</v>
      </c>
      <c r="E269" s="1">
        <f>'Paste cell here'!H269</f>
        <v>0.56376230999999999</v>
      </c>
      <c r="F269" s="1">
        <f>Sintesi!$C$5</f>
        <v>0.1</v>
      </c>
      <c r="G269" s="1">
        <f>'Paste cell here'!AA269</f>
        <v>0.2</v>
      </c>
      <c r="H269" s="43">
        <f>'Paste cell here'!U269</f>
        <v>11.12110436</v>
      </c>
      <c r="I269" s="43">
        <f>'Paste cell here'!AE269</f>
        <v>35.500033909999999</v>
      </c>
      <c r="J269" s="44">
        <f>H268*'Paste cell here'!AO269+'Paste cell here'!AF269*'Paste cell here'!AP269</f>
        <v>35.553008390000002</v>
      </c>
      <c r="K269" s="45">
        <f>'Paste cell here'!AG269</f>
        <v>30.971720179999998</v>
      </c>
      <c r="L269" s="41" t="str">
        <f t="shared" si="14"/>
        <v>NO</v>
      </c>
      <c r="M269" s="1">
        <f>(Sintesi!$C$29*F269*1000)</f>
        <v>22.9209</v>
      </c>
      <c r="N269" s="1">
        <f>Sintesi!$C$30*F269*1000</f>
        <v>8.31</v>
      </c>
      <c r="O269" s="1">
        <f t="shared" si="12"/>
        <v>14.610899999999999</v>
      </c>
      <c r="P269" s="1">
        <f>Sintesi!$C$33*G269*1000</f>
        <v>39.3992</v>
      </c>
      <c r="Q269" s="1">
        <f>Sintesi!$C$34*G269*1000</f>
        <v>18.04</v>
      </c>
      <c r="R269" s="1">
        <f t="shared" si="13"/>
        <v>21.359200000000001</v>
      </c>
    </row>
    <row r="270" spans="1:18">
      <c r="A270" s="41">
        <v>269</v>
      </c>
      <c r="B270" s="42">
        <f>DATE(Sintesi!$C$4-1,12,31)+A270</f>
        <v>44465</v>
      </c>
      <c r="C270" s="41">
        <f>'Paste cell here'!B270</f>
        <v>24.20254817</v>
      </c>
      <c r="D270" s="41">
        <f>'Paste cell here'!I270</f>
        <v>0</v>
      </c>
      <c r="E270" s="1">
        <f>'Paste cell here'!H270</f>
        <v>0.60002664800000005</v>
      </c>
      <c r="F270" s="1">
        <f>Sintesi!$C$5</f>
        <v>0.1</v>
      </c>
      <c r="G270" s="1">
        <f>'Paste cell here'!AA270</f>
        <v>0.2</v>
      </c>
      <c r="H270" s="43">
        <f>'Paste cell here'!U270</f>
        <v>32.400775240000002</v>
      </c>
      <c r="I270" s="43">
        <f>'Paste cell here'!AE270</f>
        <v>36.791268129999999</v>
      </c>
      <c r="J270" s="44">
        <f>H269*'Paste cell here'!AO270+'Paste cell here'!AF270*'Paste cell here'!AP270</f>
        <v>35.500033909999999</v>
      </c>
      <c r="K270" s="45">
        <f>'Paste cell here'!AG270</f>
        <v>30.429617660000002</v>
      </c>
      <c r="L270" s="41" t="str">
        <f t="shared" si="14"/>
        <v>NO</v>
      </c>
      <c r="M270" s="1">
        <f>(Sintesi!$C$29*F270*1000)</f>
        <v>22.9209</v>
      </c>
      <c r="N270" s="1">
        <f>Sintesi!$C$30*F270*1000</f>
        <v>8.31</v>
      </c>
      <c r="O270" s="1">
        <f t="shared" si="12"/>
        <v>14.610899999999999</v>
      </c>
      <c r="P270" s="1">
        <f>Sintesi!$C$33*G270*1000</f>
        <v>39.3992</v>
      </c>
      <c r="Q270" s="1">
        <f>Sintesi!$C$34*G270*1000</f>
        <v>18.04</v>
      </c>
      <c r="R270" s="1">
        <f t="shared" si="13"/>
        <v>21.359200000000001</v>
      </c>
    </row>
    <row r="271" spans="1:18">
      <c r="A271" s="41">
        <v>270</v>
      </c>
      <c r="B271" s="42">
        <f>DATE(Sintesi!$C$4-1,12,31)+A271</f>
        <v>44466</v>
      </c>
      <c r="C271" s="41">
        <f>'Paste cell here'!B271</f>
        <v>5.3100000000000001E-2</v>
      </c>
      <c r="D271" s="41">
        <f>'Paste cell here'!I271</f>
        <v>0</v>
      </c>
      <c r="E271" s="1">
        <f>'Paste cell here'!H271</f>
        <v>0.65585470400000001</v>
      </c>
      <c r="F271" s="1">
        <f>Sintesi!$C$5</f>
        <v>0.1</v>
      </c>
      <c r="G271" s="1">
        <f>'Paste cell here'!AA271</f>
        <v>0.2</v>
      </c>
      <c r="H271" s="43">
        <f>'Paste cell here'!U271</f>
        <v>26.800109150000001</v>
      </c>
      <c r="I271" s="43">
        <f>'Paste cell here'!AE271</f>
        <v>39.98372045</v>
      </c>
      <c r="J271" s="44">
        <f>H270*'Paste cell here'!AO271+'Paste cell here'!AF271*'Paste cell here'!AP271</f>
        <v>36.791268129999999</v>
      </c>
      <c r="K271" s="45">
        <f>'Paste cell here'!AG271</f>
        <v>29.595064130000001</v>
      </c>
      <c r="L271" s="41" t="str">
        <f t="shared" si="14"/>
        <v>NO</v>
      </c>
      <c r="M271" s="1">
        <f>(Sintesi!$C$29*F271*1000)</f>
        <v>22.9209</v>
      </c>
      <c r="N271" s="1">
        <f>Sintesi!$C$30*F271*1000</f>
        <v>8.31</v>
      </c>
      <c r="O271" s="1">
        <f t="shared" si="12"/>
        <v>14.610899999999999</v>
      </c>
      <c r="P271" s="1">
        <f>Sintesi!$C$33*G271*1000</f>
        <v>39.3992</v>
      </c>
      <c r="Q271" s="1">
        <f>Sintesi!$C$34*G271*1000</f>
        <v>18.04</v>
      </c>
      <c r="R271" s="1">
        <f t="shared" si="13"/>
        <v>21.359200000000001</v>
      </c>
    </row>
    <row r="272" spans="1:18">
      <c r="A272" s="41">
        <v>271</v>
      </c>
      <c r="B272" s="42">
        <f>DATE(Sintesi!$C$4-1,12,31)+A272</f>
        <v>44467</v>
      </c>
      <c r="C272" s="41">
        <f>'Paste cell here'!B272</f>
        <v>3.0300000000000001E-2</v>
      </c>
      <c r="D272" s="41">
        <f>'Paste cell here'!I272</f>
        <v>0</v>
      </c>
      <c r="E272" s="1">
        <f>'Paste cell here'!H272</f>
        <v>0.60884922100000005</v>
      </c>
      <c r="F272" s="1">
        <f>Sintesi!$C$5</f>
        <v>0.1</v>
      </c>
      <c r="G272" s="1">
        <f>'Paste cell here'!AA272</f>
        <v>0.2</v>
      </c>
      <c r="H272" s="43">
        <f>'Paste cell here'!U272</f>
        <v>23.200994699999999</v>
      </c>
      <c r="I272" s="43">
        <f>'Paste cell here'!AE272</f>
        <v>40.339278780000001</v>
      </c>
      <c r="J272" s="44">
        <f>H271*'Paste cell here'!AO272+'Paste cell here'!AF272*'Paste cell here'!AP272</f>
        <v>39.98372045</v>
      </c>
      <c r="K272" s="45">
        <f>'Paste cell here'!AG272</f>
        <v>30.297732180000001</v>
      </c>
      <c r="L272" s="41" t="str">
        <f t="shared" si="14"/>
        <v>NO</v>
      </c>
      <c r="M272" s="1">
        <f>(Sintesi!$C$29*F272*1000)</f>
        <v>22.9209</v>
      </c>
      <c r="N272" s="1">
        <f>Sintesi!$C$30*F272*1000</f>
        <v>8.31</v>
      </c>
      <c r="O272" s="1">
        <f t="shared" si="12"/>
        <v>14.610899999999999</v>
      </c>
      <c r="P272" s="1">
        <f>Sintesi!$C$33*G272*1000</f>
        <v>39.3992</v>
      </c>
      <c r="Q272" s="1">
        <f>Sintesi!$C$34*G272*1000</f>
        <v>18.04</v>
      </c>
      <c r="R272" s="1">
        <f t="shared" si="13"/>
        <v>21.359200000000001</v>
      </c>
    </row>
    <row r="273" spans="1:18">
      <c r="A273" s="41">
        <v>272</v>
      </c>
      <c r="B273" s="42">
        <f>DATE(Sintesi!$C$4-1,12,31)+A273</f>
        <v>44468</v>
      </c>
      <c r="C273" s="41">
        <f>'Paste cell here'!B273</f>
        <v>3.9199999999999999E-2</v>
      </c>
      <c r="D273" s="41">
        <f>'Paste cell here'!I273</f>
        <v>0</v>
      </c>
      <c r="E273" s="1">
        <f>'Paste cell here'!H273</f>
        <v>0.57952177000000005</v>
      </c>
      <c r="F273" s="1">
        <f>Sintesi!$C$5</f>
        <v>0.1</v>
      </c>
      <c r="G273" s="1">
        <f>'Paste cell here'!AA273</f>
        <v>0.2</v>
      </c>
      <c r="H273" s="43">
        <f>'Paste cell here'!U273</f>
        <v>19.617175679999999</v>
      </c>
      <c r="I273" s="43">
        <f>'Paste cell here'!AE273</f>
        <v>40.195479599999999</v>
      </c>
      <c r="J273" s="44">
        <f>H272*'Paste cell here'!AO273+'Paste cell here'!AF273*'Paste cell here'!AP273</f>
        <v>40.339278780000001</v>
      </c>
      <c r="K273" s="45">
        <f>'Paste cell here'!AG273</f>
        <v>30.73613769</v>
      </c>
      <c r="L273" s="41" t="str">
        <f t="shared" si="14"/>
        <v>NO</v>
      </c>
      <c r="M273" s="1">
        <f>(Sintesi!$C$29*F273*1000)</f>
        <v>22.9209</v>
      </c>
      <c r="N273" s="1">
        <f>Sintesi!$C$30*F273*1000</f>
        <v>8.31</v>
      </c>
      <c r="O273" s="1">
        <f t="shared" si="12"/>
        <v>14.610899999999999</v>
      </c>
      <c r="P273" s="1">
        <f>Sintesi!$C$33*G273*1000</f>
        <v>39.3992</v>
      </c>
      <c r="Q273" s="1">
        <f>Sintesi!$C$34*G273*1000</f>
        <v>18.04</v>
      </c>
      <c r="R273" s="1">
        <f t="shared" si="13"/>
        <v>21.359200000000001</v>
      </c>
    </row>
    <row r="274" spans="1:18">
      <c r="A274" s="41">
        <v>273</v>
      </c>
      <c r="B274" s="42">
        <f>DATE(Sintesi!$C$4-1,12,31)+A274</f>
        <v>44469</v>
      </c>
      <c r="C274" s="41">
        <f>'Paste cell here'!B274</f>
        <v>0</v>
      </c>
      <c r="D274" s="41">
        <f>'Paste cell here'!I274</f>
        <v>0</v>
      </c>
      <c r="E274" s="1">
        <f>'Paste cell here'!H274</f>
        <v>0.559892748</v>
      </c>
      <c r="F274" s="1">
        <f>Sintesi!$C$5</f>
        <v>0.1</v>
      </c>
      <c r="G274" s="1">
        <f>'Paste cell here'!AA274</f>
        <v>0.2</v>
      </c>
      <c r="H274" s="43">
        <f>'Paste cell here'!U274</f>
        <v>16.431304000000001</v>
      </c>
      <c r="I274" s="43">
        <f>'Paste cell here'!AE274</f>
        <v>39.964327300000001</v>
      </c>
      <c r="J274" s="44">
        <f>H273*'Paste cell here'!AO274+'Paste cell here'!AF274*'Paste cell here'!AP274</f>
        <v>40.195479599999999</v>
      </c>
      <c r="K274" s="45">
        <f>'Paste cell here'!AG274</f>
        <v>31.029564870000002</v>
      </c>
      <c r="L274" s="41" t="str">
        <f t="shared" si="14"/>
        <v>NO</v>
      </c>
      <c r="M274" s="1">
        <f>(Sintesi!$C$29*F274*1000)</f>
        <v>22.9209</v>
      </c>
      <c r="N274" s="1">
        <f>Sintesi!$C$30*F274*1000</f>
        <v>8.31</v>
      </c>
      <c r="O274" s="1">
        <f t="shared" si="12"/>
        <v>14.610899999999999</v>
      </c>
      <c r="P274" s="1">
        <f>Sintesi!$C$33*G274*1000</f>
        <v>39.3992</v>
      </c>
      <c r="Q274" s="1">
        <f>Sintesi!$C$34*G274*1000</f>
        <v>18.04</v>
      </c>
      <c r="R274" s="1">
        <f t="shared" si="13"/>
        <v>21.359200000000001</v>
      </c>
    </row>
    <row r="275" spans="1:18">
      <c r="A275" s="41">
        <v>274</v>
      </c>
      <c r="B275" s="42">
        <f>DATE(Sintesi!$C$4-1,12,31)+A275</f>
        <v>44470</v>
      </c>
      <c r="C275" s="41">
        <f>'Paste cell here'!B275</f>
        <v>0</v>
      </c>
      <c r="D275" s="41">
        <f>'Paste cell here'!I275</f>
        <v>0</v>
      </c>
      <c r="E275" s="1">
        <f>'Paste cell here'!H275</f>
        <v>0.57323310900000002</v>
      </c>
      <c r="F275" s="1">
        <f>Sintesi!$C$5</f>
        <v>0.1</v>
      </c>
      <c r="G275" s="1">
        <f>'Paste cell here'!AA275</f>
        <v>0.2</v>
      </c>
      <c r="H275" s="43">
        <f>'Paste cell here'!U275</f>
        <v>13.430217989999999</v>
      </c>
      <c r="I275" s="43">
        <f>'Paste cell here'!AE275</f>
        <v>39.735468439999998</v>
      </c>
      <c r="J275" s="44">
        <f>H274*'Paste cell here'!AO275+'Paste cell here'!AF275*'Paste cell here'!AP275</f>
        <v>39.964327300000001</v>
      </c>
      <c r="K275" s="45">
        <f>'Paste cell here'!AG275</f>
        <v>30.830144619999999</v>
      </c>
      <c r="L275" s="41" t="str">
        <f t="shared" si="14"/>
        <v>NO</v>
      </c>
      <c r="M275" s="1">
        <f>(Sintesi!$C$29*F275*1000)</f>
        <v>22.9209</v>
      </c>
      <c r="N275" s="1">
        <f>Sintesi!$C$30*F275*1000</f>
        <v>8.31</v>
      </c>
      <c r="O275" s="1">
        <f t="shared" si="12"/>
        <v>14.610899999999999</v>
      </c>
      <c r="P275" s="1">
        <f>Sintesi!$C$33*G275*1000</f>
        <v>39.3992</v>
      </c>
      <c r="Q275" s="1">
        <f>Sintesi!$C$34*G275*1000</f>
        <v>18.04</v>
      </c>
      <c r="R275" s="1">
        <f t="shared" si="13"/>
        <v>21.359200000000001</v>
      </c>
    </row>
    <row r="276" spans="1:18">
      <c r="A276" s="41">
        <v>275</v>
      </c>
      <c r="B276" s="42">
        <f>DATE(Sintesi!$C$4-1,12,31)+A276</f>
        <v>44471</v>
      </c>
      <c r="C276" s="41">
        <f>'Paste cell here'!B276</f>
        <v>0</v>
      </c>
      <c r="D276" s="41">
        <f>'Paste cell here'!I276</f>
        <v>0</v>
      </c>
      <c r="E276" s="1">
        <f>'Paste cell here'!H276</f>
        <v>0.57209337999999998</v>
      </c>
      <c r="F276" s="1">
        <f>Sintesi!$C$5</f>
        <v>0.1</v>
      </c>
      <c r="G276" s="1">
        <f>'Paste cell here'!AA276</f>
        <v>0.2</v>
      </c>
      <c r="H276" s="43">
        <f>'Paste cell here'!U276</f>
        <v>11.242687289999999</v>
      </c>
      <c r="I276" s="43">
        <f>'Paste cell here'!AE276</f>
        <v>39.520502190000002</v>
      </c>
      <c r="J276" s="44">
        <f>H275*'Paste cell here'!AO276+'Paste cell here'!AF276*'Paste cell here'!AP276</f>
        <v>39.735468439999998</v>
      </c>
      <c r="K276" s="45">
        <f>'Paste cell here'!AG276</f>
        <v>30.847182010000001</v>
      </c>
      <c r="L276" s="41" t="str">
        <f t="shared" si="14"/>
        <v>NO</v>
      </c>
      <c r="M276" s="1">
        <f>(Sintesi!$C$29*F276*1000)</f>
        <v>22.9209</v>
      </c>
      <c r="N276" s="1">
        <f>Sintesi!$C$30*F276*1000</f>
        <v>8.31</v>
      </c>
      <c r="O276" s="1">
        <f t="shared" si="12"/>
        <v>14.610899999999999</v>
      </c>
      <c r="P276" s="1">
        <f>Sintesi!$C$33*G276*1000</f>
        <v>39.3992</v>
      </c>
      <c r="Q276" s="1">
        <f>Sintesi!$C$34*G276*1000</f>
        <v>18.04</v>
      </c>
      <c r="R276" s="1">
        <f t="shared" si="13"/>
        <v>21.359200000000001</v>
      </c>
    </row>
    <row r="277" spans="1:18">
      <c r="A277" s="41">
        <v>276</v>
      </c>
      <c r="B277" s="42">
        <f>DATE(Sintesi!$C$4-1,12,31)+A277</f>
        <v>44472</v>
      </c>
      <c r="C277" s="41">
        <f>'Paste cell here'!B277</f>
        <v>3.2251105880000002</v>
      </c>
      <c r="D277" s="41">
        <f>'Paste cell here'!I277</f>
        <v>0</v>
      </c>
      <c r="E277" s="1">
        <f>'Paste cell here'!H277</f>
        <v>0.57886368700000002</v>
      </c>
      <c r="F277" s="1">
        <f>Sintesi!$C$5</f>
        <v>0.1</v>
      </c>
      <c r="G277" s="1">
        <f>'Paste cell here'!AA277</f>
        <v>0.2</v>
      </c>
      <c r="H277" s="43">
        <f>'Paste cell here'!U277</f>
        <v>13.433754589999999</v>
      </c>
      <c r="I277" s="43">
        <f>'Paste cell here'!AE277</f>
        <v>39.319175970000003</v>
      </c>
      <c r="J277" s="44">
        <f>H276*'Paste cell here'!AO277+'Paste cell here'!AF277*'Paste cell here'!AP277</f>
        <v>39.520502190000002</v>
      </c>
      <c r="K277" s="45">
        <f>'Paste cell here'!AG277</f>
        <v>30.745975130000001</v>
      </c>
      <c r="L277" s="41" t="str">
        <f t="shared" si="14"/>
        <v>NO</v>
      </c>
      <c r="M277" s="1">
        <f>(Sintesi!$C$29*F277*1000)</f>
        <v>22.9209</v>
      </c>
      <c r="N277" s="1">
        <f>Sintesi!$C$30*F277*1000</f>
        <v>8.31</v>
      </c>
      <c r="O277" s="1">
        <f t="shared" si="12"/>
        <v>14.610899999999999</v>
      </c>
      <c r="P277" s="1">
        <f>Sintesi!$C$33*G277*1000</f>
        <v>39.3992</v>
      </c>
      <c r="Q277" s="1">
        <f>Sintesi!$C$34*G277*1000</f>
        <v>18.04</v>
      </c>
      <c r="R277" s="1">
        <f t="shared" si="13"/>
        <v>21.359200000000001</v>
      </c>
    </row>
    <row r="278" spans="1:18">
      <c r="A278" s="41">
        <v>277</v>
      </c>
      <c r="B278" s="42">
        <f>DATE(Sintesi!$C$4-1,12,31)+A278</f>
        <v>44473</v>
      </c>
      <c r="C278" s="41">
        <f>'Paste cell here'!B278</f>
        <v>51.380185070000003</v>
      </c>
      <c r="D278" s="41">
        <f>'Paste cell here'!I278</f>
        <v>0</v>
      </c>
      <c r="E278" s="1">
        <f>'Paste cell here'!H278</f>
        <v>0.64308118400000003</v>
      </c>
      <c r="F278" s="1">
        <f>Sintesi!$C$5</f>
        <v>0.1</v>
      </c>
      <c r="G278" s="1">
        <f>'Paste cell here'!AA278</f>
        <v>0.2</v>
      </c>
      <c r="H278" s="43">
        <f>'Paste cell here'!U278</f>
        <v>37.033062860000001</v>
      </c>
      <c r="I278" s="43">
        <f>'Paste cell here'!AE278</f>
        <v>51.662002459999997</v>
      </c>
      <c r="J278" s="44">
        <f>H277*'Paste cell here'!AO278+'Paste cell here'!AF278*'Paste cell here'!AP278</f>
        <v>39.319175970000003</v>
      </c>
      <c r="K278" s="45">
        <f>'Paste cell here'!AG278</f>
        <v>29.78601089</v>
      </c>
      <c r="L278" s="41" t="str">
        <f t="shared" si="14"/>
        <v>NO</v>
      </c>
      <c r="M278" s="1">
        <f>(Sintesi!$C$29*F278*1000)</f>
        <v>22.9209</v>
      </c>
      <c r="N278" s="1">
        <f>Sintesi!$C$30*F278*1000</f>
        <v>8.31</v>
      </c>
      <c r="O278" s="1">
        <f t="shared" si="12"/>
        <v>14.610899999999999</v>
      </c>
      <c r="P278" s="1">
        <f>Sintesi!$C$33*G278*1000</f>
        <v>39.3992</v>
      </c>
      <c r="Q278" s="1">
        <f>Sintesi!$C$34*G278*1000</f>
        <v>18.04</v>
      </c>
      <c r="R278" s="1">
        <f t="shared" si="13"/>
        <v>21.359200000000001</v>
      </c>
    </row>
    <row r="279" spans="1:18">
      <c r="A279" s="41">
        <v>278</v>
      </c>
      <c r="B279" s="42">
        <f>DATE(Sintesi!$C$4-1,12,31)+A279</f>
        <v>44474</v>
      </c>
      <c r="C279" s="41">
        <f>'Paste cell here'!B279</f>
        <v>2.6524002979999999</v>
      </c>
      <c r="D279" s="41">
        <f>'Paste cell here'!I279</f>
        <v>0</v>
      </c>
      <c r="E279" s="1">
        <f>'Paste cell here'!H279</f>
        <v>0.641486216</v>
      </c>
      <c r="F279" s="1">
        <f>Sintesi!$C$5</f>
        <v>0.1</v>
      </c>
      <c r="G279" s="1">
        <f>'Paste cell here'!AA279</f>
        <v>0.2</v>
      </c>
      <c r="H279" s="43">
        <f>'Paste cell here'!U279</f>
        <v>29.230399970000001</v>
      </c>
      <c r="I279" s="43">
        <f>'Paste cell here'!AE279</f>
        <v>52.48833905</v>
      </c>
      <c r="J279" s="44">
        <f>H278*'Paste cell here'!AO279+'Paste cell here'!AF279*'Paste cell here'!AP279</f>
        <v>51.662002459999997</v>
      </c>
      <c r="K279" s="45">
        <f>'Paste cell here'!AG279</f>
        <v>29.809853489999998</v>
      </c>
      <c r="L279" s="41" t="str">
        <f t="shared" si="14"/>
        <v>NO</v>
      </c>
      <c r="M279" s="1">
        <f>(Sintesi!$C$29*F279*1000)</f>
        <v>22.9209</v>
      </c>
      <c r="N279" s="1">
        <f>Sintesi!$C$30*F279*1000</f>
        <v>8.31</v>
      </c>
      <c r="O279" s="1">
        <f t="shared" si="12"/>
        <v>14.610899999999999</v>
      </c>
      <c r="P279" s="1">
        <f>Sintesi!$C$33*G279*1000</f>
        <v>39.3992</v>
      </c>
      <c r="Q279" s="1">
        <f>Sintesi!$C$34*G279*1000</f>
        <v>18.04</v>
      </c>
      <c r="R279" s="1">
        <f t="shared" si="13"/>
        <v>21.359200000000001</v>
      </c>
    </row>
    <row r="280" spans="1:18">
      <c r="A280" s="41">
        <v>279</v>
      </c>
      <c r="B280" s="42">
        <f>DATE(Sintesi!$C$4-1,12,31)+A280</f>
        <v>44475</v>
      </c>
      <c r="C280" s="41">
        <f>'Paste cell here'!B280</f>
        <v>10.68860048</v>
      </c>
      <c r="D280" s="41">
        <f>'Paste cell here'!I280</f>
        <v>0</v>
      </c>
      <c r="E280" s="1">
        <f>'Paste cell here'!H280</f>
        <v>0.61668509999999999</v>
      </c>
      <c r="F280" s="1">
        <f>Sintesi!$C$5</f>
        <v>0.1</v>
      </c>
      <c r="G280" s="1">
        <f>'Paste cell here'!AA280</f>
        <v>0.2</v>
      </c>
      <c r="H280" s="43">
        <f>'Paste cell here'!U280</f>
        <v>31.717652560000001</v>
      </c>
      <c r="I280" s="43">
        <f>'Paste cell here'!AE280</f>
        <v>52.370067239999997</v>
      </c>
      <c r="J280" s="44">
        <f>H279*'Paste cell here'!AO280+'Paste cell here'!AF280*'Paste cell here'!AP280</f>
        <v>52.48833905</v>
      </c>
      <c r="K280" s="45">
        <f>'Paste cell here'!AG280</f>
        <v>30.180596449999999</v>
      </c>
      <c r="L280" s="41" t="str">
        <f t="shared" si="14"/>
        <v>NO</v>
      </c>
      <c r="M280" s="1">
        <f>(Sintesi!$C$29*F280*1000)</f>
        <v>22.9209</v>
      </c>
      <c r="N280" s="1">
        <f>Sintesi!$C$30*F280*1000</f>
        <v>8.31</v>
      </c>
      <c r="O280" s="1">
        <f t="shared" si="12"/>
        <v>14.610899999999999</v>
      </c>
      <c r="P280" s="1">
        <f>Sintesi!$C$33*G280*1000</f>
        <v>39.3992</v>
      </c>
      <c r="Q280" s="1">
        <f>Sintesi!$C$34*G280*1000</f>
        <v>18.04</v>
      </c>
      <c r="R280" s="1">
        <f t="shared" si="13"/>
        <v>21.359200000000001</v>
      </c>
    </row>
    <row r="281" spans="1:18">
      <c r="A281" s="41">
        <v>280</v>
      </c>
      <c r="B281" s="42">
        <f>DATE(Sintesi!$C$4-1,12,31)+A281</f>
        <v>44476</v>
      </c>
      <c r="C281" s="41">
        <f>'Paste cell here'!B281</f>
        <v>0</v>
      </c>
      <c r="D281" s="41">
        <f>'Paste cell here'!I281</f>
        <v>0</v>
      </c>
      <c r="E281" s="1">
        <f>'Paste cell here'!H281</f>
        <v>0.64317268999999999</v>
      </c>
      <c r="F281" s="1">
        <f>Sintesi!$C$5</f>
        <v>0.1</v>
      </c>
      <c r="G281" s="1">
        <f>'Paste cell here'!AA281</f>
        <v>0.2</v>
      </c>
      <c r="H281" s="43">
        <f>'Paste cell here'!U281</f>
        <v>26.799338859999999</v>
      </c>
      <c r="I281" s="43">
        <f>'Paste cell here'!AE281</f>
        <v>50.412138640000002</v>
      </c>
      <c r="J281" s="44">
        <f>H280*'Paste cell here'!AO281+'Paste cell here'!AF281*'Paste cell here'!AP281</f>
        <v>52.370067239999997</v>
      </c>
      <c r="K281" s="45">
        <f>'Paste cell here'!AG281</f>
        <v>29.784642999999999</v>
      </c>
      <c r="L281" s="41" t="str">
        <f t="shared" si="14"/>
        <v>NO</v>
      </c>
      <c r="M281" s="1">
        <f>(Sintesi!$C$29*F281*1000)</f>
        <v>22.9209</v>
      </c>
      <c r="N281" s="1">
        <f>Sintesi!$C$30*F281*1000</f>
        <v>8.31</v>
      </c>
      <c r="O281" s="1">
        <f t="shared" si="12"/>
        <v>14.610899999999999</v>
      </c>
      <c r="P281" s="1">
        <f>Sintesi!$C$33*G281*1000</f>
        <v>39.3992</v>
      </c>
      <c r="Q281" s="1">
        <f>Sintesi!$C$34*G281*1000</f>
        <v>18.04</v>
      </c>
      <c r="R281" s="1">
        <f t="shared" si="13"/>
        <v>21.359200000000001</v>
      </c>
    </row>
    <row r="282" spans="1:18">
      <c r="A282" s="41">
        <v>281</v>
      </c>
      <c r="B282" s="42">
        <f>DATE(Sintesi!$C$4-1,12,31)+A282</f>
        <v>44477</v>
      </c>
      <c r="C282" s="41">
        <f>'Paste cell here'!B282</f>
        <v>2.52E-2</v>
      </c>
      <c r="D282" s="41">
        <f>'Paste cell here'!I282</f>
        <v>0</v>
      </c>
      <c r="E282" s="1">
        <f>'Paste cell here'!H282</f>
        <v>0.62256669200000003</v>
      </c>
      <c r="F282" s="1">
        <f>Sintesi!$C$5</f>
        <v>0.1</v>
      </c>
      <c r="G282" s="1">
        <f>'Paste cell here'!AA282</f>
        <v>0.2</v>
      </c>
      <c r="H282" s="43">
        <f>'Paste cell here'!U282</f>
        <v>24.058482380000001</v>
      </c>
      <c r="I282" s="43">
        <f>'Paste cell here'!AE282</f>
        <v>48.21866498</v>
      </c>
      <c r="J282" s="44">
        <f>H281*'Paste cell here'!AO282+'Paste cell here'!AF282*'Paste cell here'!AP282</f>
        <v>50.412138640000002</v>
      </c>
      <c r="K282" s="45">
        <f>'Paste cell here'!AG282</f>
        <v>30.092674639999998</v>
      </c>
      <c r="L282" s="41" t="str">
        <f t="shared" si="14"/>
        <v>NO</v>
      </c>
      <c r="M282" s="1">
        <f>(Sintesi!$C$29*F282*1000)</f>
        <v>22.9209</v>
      </c>
      <c r="N282" s="1">
        <f>Sintesi!$C$30*F282*1000</f>
        <v>8.31</v>
      </c>
      <c r="O282" s="1">
        <f t="shared" si="12"/>
        <v>14.610899999999999</v>
      </c>
      <c r="P282" s="1">
        <f>Sintesi!$C$33*G282*1000</f>
        <v>39.3992</v>
      </c>
      <c r="Q282" s="1">
        <f>Sintesi!$C$34*G282*1000</f>
        <v>18.04</v>
      </c>
      <c r="R282" s="1">
        <f t="shared" si="13"/>
        <v>21.359200000000001</v>
      </c>
    </row>
    <row r="283" spans="1:18">
      <c r="A283" s="41">
        <v>282</v>
      </c>
      <c r="B283" s="42">
        <f>DATE(Sintesi!$C$4-1,12,31)+A283</f>
        <v>44478</v>
      </c>
      <c r="C283" s="41">
        <f>'Paste cell here'!B283</f>
        <v>0</v>
      </c>
      <c r="D283" s="41">
        <f>'Paste cell here'!I283</f>
        <v>0</v>
      </c>
      <c r="E283" s="1">
        <f>'Paste cell here'!H283</f>
        <v>0.61699458200000001</v>
      </c>
      <c r="F283" s="1">
        <f>Sintesi!$C$5</f>
        <v>0.1</v>
      </c>
      <c r="G283" s="1">
        <f>'Paste cell here'!AA283</f>
        <v>0.2</v>
      </c>
      <c r="H283" s="43">
        <f>'Paste cell here'!U283</f>
        <v>21.616168420000001</v>
      </c>
      <c r="I283" s="43">
        <f>'Paste cell here'!AE283</f>
        <v>46.600638660000001</v>
      </c>
      <c r="J283" s="44">
        <f>H282*'Paste cell here'!AO283+'Paste cell here'!AF283*'Paste cell here'!AP283</f>
        <v>48.21866498</v>
      </c>
      <c r="K283" s="45">
        <f>'Paste cell here'!AG283</f>
        <v>30.175970110000002</v>
      </c>
      <c r="L283" s="41" t="str">
        <f t="shared" si="14"/>
        <v>NO</v>
      </c>
      <c r="M283" s="1">
        <f>(Sintesi!$C$29*F283*1000)</f>
        <v>22.9209</v>
      </c>
      <c r="N283" s="1">
        <f>Sintesi!$C$30*F283*1000</f>
        <v>8.31</v>
      </c>
      <c r="O283" s="1">
        <f t="shared" si="12"/>
        <v>14.610899999999999</v>
      </c>
      <c r="P283" s="1">
        <f>Sintesi!$C$33*G283*1000</f>
        <v>39.3992</v>
      </c>
      <c r="Q283" s="1">
        <f>Sintesi!$C$34*G283*1000</f>
        <v>18.04</v>
      </c>
      <c r="R283" s="1">
        <f t="shared" si="13"/>
        <v>21.359200000000001</v>
      </c>
    </row>
    <row r="284" spans="1:18">
      <c r="A284" s="41">
        <v>283</v>
      </c>
      <c r="B284" s="42">
        <f>DATE(Sintesi!$C$4-1,12,31)+A284</f>
        <v>44479</v>
      </c>
      <c r="C284" s="41">
        <f>'Paste cell here'!B284</f>
        <v>0</v>
      </c>
      <c r="D284" s="41">
        <f>'Paste cell here'!I284</f>
        <v>0</v>
      </c>
      <c r="E284" s="1">
        <f>'Paste cell here'!H284</f>
        <v>0.610835617</v>
      </c>
      <c r="F284" s="1">
        <f>Sintesi!$C$5</f>
        <v>0.1</v>
      </c>
      <c r="G284" s="1">
        <f>'Paste cell here'!AA284</f>
        <v>0.2</v>
      </c>
      <c r="H284" s="43">
        <f>'Paste cell here'!U284</f>
        <v>19.462609279999999</v>
      </c>
      <c r="I284" s="43">
        <f>'Paste cell here'!AE284</f>
        <v>45.377551789999998</v>
      </c>
      <c r="J284" s="44">
        <f>H283*'Paste cell here'!AO284+'Paste cell here'!AF284*'Paste cell here'!AP284</f>
        <v>46.600638660000001</v>
      </c>
      <c r="K284" s="45">
        <f>'Paste cell here'!AG284</f>
        <v>30.268038260000001</v>
      </c>
      <c r="L284" s="41" t="str">
        <f t="shared" si="14"/>
        <v>NO</v>
      </c>
      <c r="M284" s="1">
        <f>(Sintesi!$C$29*F284*1000)</f>
        <v>22.9209</v>
      </c>
      <c r="N284" s="1">
        <f>Sintesi!$C$30*F284*1000</f>
        <v>8.31</v>
      </c>
      <c r="O284" s="1">
        <f t="shared" si="12"/>
        <v>14.610899999999999</v>
      </c>
      <c r="P284" s="1">
        <f>Sintesi!$C$33*G284*1000</f>
        <v>39.3992</v>
      </c>
      <c r="Q284" s="1">
        <f>Sintesi!$C$34*G284*1000</f>
        <v>18.04</v>
      </c>
      <c r="R284" s="1">
        <f t="shared" si="13"/>
        <v>21.359200000000001</v>
      </c>
    </row>
    <row r="285" spans="1:18">
      <c r="A285" s="41">
        <v>284</v>
      </c>
      <c r="B285" s="42">
        <f>DATE(Sintesi!$C$4-1,12,31)+A285</f>
        <v>44480</v>
      </c>
      <c r="C285" s="41">
        <f>'Paste cell here'!B285</f>
        <v>0</v>
      </c>
      <c r="D285" s="41">
        <f>'Paste cell here'!I285</f>
        <v>0</v>
      </c>
      <c r="E285" s="1">
        <f>'Paste cell here'!H285</f>
        <v>0.61638288600000002</v>
      </c>
      <c r="F285" s="1">
        <f>Sintesi!$C$5</f>
        <v>0.1</v>
      </c>
      <c r="G285" s="1">
        <f>'Paste cell here'!AA285</f>
        <v>0.2</v>
      </c>
      <c r="H285" s="43">
        <f>'Paste cell here'!U285</f>
        <v>17.302285569999999</v>
      </c>
      <c r="I285" s="43">
        <f>'Paste cell here'!AE285</f>
        <v>44.422409620000003</v>
      </c>
      <c r="J285" s="44">
        <f>H284*'Paste cell here'!AO285+'Paste cell here'!AF285*'Paste cell here'!AP285</f>
        <v>45.377551789999998</v>
      </c>
      <c r="K285" s="45">
        <f>'Paste cell here'!AG285</f>
        <v>30.18511414</v>
      </c>
      <c r="L285" s="41" t="str">
        <f t="shared" si="14"/>
        <v>NO</v>
      </c>
      <c r="M285" s="1">
        <f>(Sintesi!$C$29*F285*1000)</f>
        <v>22.9209</v>
      </c>
      <c r="N285" s="1">
        <f>Sintesi!$C$30*F285*1000</f>
        <v>8.31</v>
      </c>
      <c r="O285" s="1">
        <f t="shared" si="12"/>
        <v>14.610899999999999</v>
      </c>
      <c r="P285" s="1">
        <f>Sintesi!$C$33*G285*1000</f>
        <v>39.3992</v>
      </c>
      <c r="Q285" s="1">
        <f>Sintesi!$C$34*G285*1000</f>
        <v>18.04</v>
      </c>
      <c r="R285" s="1">
        <f t="shared" si="13"/>
        <v>21.359200000000001</v>
      </c>
    </row>
    <row r="286" spans="1:18">
      <c r="A286" s="41">
        <v>285</v>
      </c>
      <c r="B286" s="42">
        <f>DATE(Sintesi!$C$4-1,12,31)+A286</f>
        <v>44481</v>
      </c>
      <c r="C286" s="41">
        <f>'Paste cell here'!B286</f>
        <v>0</v>
      </c>
      <c r="D286" s="41">
        <f>'Paste cell here'!I286</f>
        <v>0</v>
      </c>
      <c r="E286" s="1">
        <f>'Paste cell here'!H286</f>
        <v>0.61428846599999998</v>
      </c>
      <c r="F286" s="1">
        <f>Sintesi!$C$5</f>
        <v>0.1</v>
      </c>
      <c r="G286" s="1">
        <f>'Paste cell here'!AA286</f>
        <v>0.2</v>
      </c>
      <c r="H286" s="43">
        <f>'Paste cell here'!U286</f>
        <v>15.25189709</v>
      </c>
      <c r="I286" s="43">
        <f>'Paste cell here'!AE286</f>
        <v>43.651726480000001</v>
      </c>
      <c r="J286" s="44">
        <f>H285*'Paste cell here'!AO286+'Paste cell here'!AF286*'Paste cell here'!AP286</f>
        <v>44.422409620000003</v>
      </c>
      <c r="K286" s="45">
        <f>'Paste cell here'!AG286</f>
        <v>30.216422860000002</v>
      </c>
      <c r="L286" s="41" t="str">
        <f t="shared" si="14"/>
        <v>NO</v>
      </c>
      <c r="M286" s="1">
        <f>(Sintesi!$C$29*F286*1000)</f>
        <v>22.9209</v>
      </c>
      <c r="N286" s="1">
        <f>Sintesi!$C$30*F286*1000</f>
        <v>8.31</v>
      </c>
      <c r="O286" s="1">
        <f t="shared" si="12"/>
        <v>14.610899999999999</v>
      </c>
      <c r="P286" s="1">
        <f>Sintesi!$C$33*G286*1000</f>
        <v>39.3992</v>
      </c>
      <c r="Q286" s="1">
        <f>Sintesi!$C$34*G286*1000</f>
        <v>18.04</v>
      </c>
      <c r="R286" s="1">
        <f t="shared" si="13"/>
        <v>21.359200000000001</v>
      </c>
    </row>
    <row r="287" spans="1:18">
      <c r="A287" s="41">
        <v>286</v>
      </c>
      <c r="B287" s="42">
        <f>DATE(Sintesi!$C$4-1,12,31)+A287</f>
        <v>44482</v>
      </c>
      <c r="C287" s="41">
        <f>'Paste cell here'!B287</f>
        <v>1.9599999999999999E-2</v>
      </c>
      <c r="D287" s="41">
        <f>'Paste cell here'!I287</f>
        <v>0</v>
      </c>
      <c r="E287" s="1">
        <f>'Paste cell here'!H287</f>
        <v>0.61809794299999998</v>
      </c>
      <c r="F287" s="1">
        <f>Sintesi!$C$5</f>
        <v>0.1</v>
      </c>
      <c r="G287" s="1">
        <f>'Paste cell here'!AA287</f>
        <v>0.2</v>
      </c>
      <c r="H287" s="43">
        <f>'Paste cell here'!U287</f>
        <v>13.356095590000001</v>
      </c>
      <c r="I287" s="43">
        <f>'Paste cell here'!AE287</f>
        <v>43.013105830000001</v>
      </c>
      <c r="J287" s="44">
        <f>H286*'Paste cell here'!AO287+'Paste cell here'!AF287*'Paste cell here'!AP287</f>
        <v>43.651726480000001</v>
      </c>
      <c r="K287" s="45">
        <f>'Paste cell here'!AG287</f>
        <v>30.159476359999999</v>
      </c>
      <c r="L287" s="41" t="str">
        <f t="shared" si="14"/>
        <v>NO</v>
      </c>
      <c r="M287" s="1">
        <f>(Sintesi!$C$29*F287*1000)</f>
        <v>22.9209</v>
      </c>
      <c r="N287" s="1">
        <f>Sintesi!$C$30*F287*1000</f>
        <v>8.31</v>
      </c>
      <c r="O287" s="1">
        <f t="shared" si="12"/>
        <v>14.610899999999999</v>
      </c>
      <c r="P287" s="1">
        <f>Sintesi!$C$33*G287*1000</f>
        <v>39.3992</v>
      </c>
      <c r="Q287" s="1">
        <f>Sintesi!$C$34*G287*1000</f>
        <v>18.04</v>
      </c>
      <c r="R287" s="1">
        <f t="shared" si="13"/>
        <v>21.359200000000001</v>
      </c>
    </row>
    <row r="288" spans="1:18">
      <c r="A288" s="41">
        <v>287</v>
      </c>
      <c r="B288" s="42">
        <f>DATE(Sintesi!$C$4-1,12,31)+A288</f>
        <v>44483</v>
      </c>
      <c r="C288" s="41">
        <f>'Paste cell here'!B288</f>
        <v>0</v>
      </c>
      <c r="D288" s="41">
        <f>'Paste cell here'!I288</f>
        <v>0</v>
      </c>
      <c r="E288" s="1">
        <f>'Paste cell here'!H288</f>
        <v>0.61478056000000003</v>
      </c>
      <c r="F288" s="1">
        <f>Sintesi!$C$5</f>
        <v>0.1</v>
      </c>
      <c r="G288" s="1">
        <f>'Paste cell here'!AA288</f>
        <v>0.2</v>
      </c>
      <c r="H288" s="43">
        <f>'Paste cell here'!U288</f>
        <v>11.80056536</v>
      </c>
      <c r="I288" s="43">
        <f>'Paste cell here'!AE288</f>
        <v>42.470755959999998</v>
      </c>
      <c r="J288" s="44">
        <f>H287*'Paste cell here'!AO288+'Paste cell here'!AF288*'Paste cell here'!AP288</f>
        <v>43.013105830000001</v>
      </c>
      <c r="K288" s="45">
        <f>'Paste cell here'!AG288</f>
        <v>30.20906673</v>
      </c>
      <c r="L288" s="41" t="str">
        <f t="shared" si="14"/>
        <v>NO</v>
      </c>
      <c r="M288" s="1">
        <f>(Sintesi!$C$29*F288*1000)</f>
        <v>22.9209</v>
      </c>
      <c r="N288" s="1">
        <f>Sintesi!$C$30*F288*1000</f>
        <v>8.31</v>
      </c>
      <c r="O288" s="1">
        <f t="shared" si="12"/>
        <v>14.610899999999999</v>
      </c>
      <c r="P288" s="1">
        <f>Sintesi!$C$33*G288*1000</f>
        <v>39.3992</v>
      </c>
      <c r="Q288" s="1">
        <f>Sintesi!$C$34*G288*1000</f>
        <v>18.04</v>
      </c>
      <c r="R288" s="1">
        <f t="shared" si="13"/>
        <v>21.359200000000001</v>
      </c>
    </row>
    <row r="289" spans="1:18">
      <c r="A289" s="41">
        <v>288</v>
      </c>
      <c r="B289" s="42">
        <f>DATE(Sintesi!$C$4-1,12,31)+A289</f>
        <v>44484</v>
      </c>
      <c r="C289" s="41">
        <f>'Paste cell here'!B289</f>
        <v>0</v>
      </c>
      <c r="D289" s="41">
        <f>'Paste cell here'!I289</f>
        <v>0</v>
      </c>
      <c r="E289" s="1">
        <f>'Paste cell here'!H289</f>
        <v>0.61659657099999998</v>
      </c>
      <c r="F289" s="1">
        <f>Sintesi!$C$5</f>
        <v>0.1</v>
      </c>
      <c r="G289" s="1">
        <f>'Paste cell here'!AA289</f>
        <v>0.2</v>
      </c>
      <c r="H289" s="43">
        <f>'Paste cell here'!U289</f>
        <v>10.62625083</v>
      </c>
      <c r="I289" s="43">
        <f>'Paste cell here'!AE289</f>
        <v>42.000828630000001</v>
      </c>
      <c r="J289" s="44">
        <f>H288*'Paste cell here'!AO289+'Paste cell here'!AF289*'Paste cell here'!AP289</f>
        <v>42.470755959999998</v>
      </c>
      <c r="K289" s="45">
        <f>'Paste cell here'!AG289</f>
        <v>30.181919829999998</v>
      </c>
      <c r="L289" s="41" t="str">
        <f t="shared" si="14"/>
        <v>NO</v>
      </c>
      <c r="M289" s="1">
        <f>(Sintesi!$C$29*F289*1000)</f>
        <v>22.9209</v>
      </c>
      <c r="N289" s="1">
        <f>Sintesi!$C$30*F289*1000</f>
        <v>8.31</v>
      </c>
      <c r="O289" s="1">
        <f t="shared" si="12"/>
        <v>14.610899999999999</v>
      </c>
      <c r="P289" s="1">
        <f>Sintesi!$C$33*G289*1000</f>
        <v>39.3992</v>
      </c>
      <c r="Q289" s="1">
        <f>Sintesi!$C$34*G289*1000</f>
        <v>18.04</v>
      </c>
      <c r="R289" s="1">
        <f t="shared" si="13"/>
        <v>21.359200000000001</v>
      </c>
    </row>
    <row r="290" spans="1:18">
      <c r="A290" s="41">
        <v>289</v>
      </c>
      <c r="B290" s="42">
        <f>DATE(Sintesi!$C$4-1,12,31)+A290</f>
        <v>44485</v>
      </c>
      <c r="C290" s="41">
        <f>'Paste cell here'!B290</f>
        <v>0</v>
      </c>
      <c r="D290" s="41">
        <f>'Paste cell here'!I290</f>
        <v>0</v>
      </c>
      <c r="E290" s="1">
        <f>'Paste cell here'!H290</f>
        <v>0.62489466500000002</v>
      </c>
      <c r="F290" s="1">
        <f>Sintesi!$C$5</f>
        <v>0.1</v>
      </c>
      <c r="G290" s="1">
        <f>'Paste cell here'!AA290</f>
        <v>0.2</v>
      </c>
      <c r="H290" s="43">
        <f>'Paste cell here'!U290</f>
        <v>9.6212035670000002</v>
      </c>
      <c r="I290" s="43">
        <f>'Paste cell here'!AE290</f>
        <v>41.58708017</v>
      </c>
      <c r="J290" s="44">
        <f>H289*'Paste cell here'!AO290+'Paste cell here'!AF290*'Paste cell here'!AP290</f>
        <v>42.000828630000001</v>
      </c>
      <c r="K290" s="45">
        <f>'Paste cell here'!AG290</f>
        <v>30.05787462</v>
      </c>
      <c r="L290" s="41" t="str">
        <f t="shared" si="14"/>
        <v>NO</v>
      </c>
      <c r="M290" s="1">
        <f>(Sintesi!$C$29*F290*1000)</f>
        <v>22.9209</v>
      </c>
      <c r="N290" s="1">
        <f>Sintesi!$C$30*F290*1000</f>
        <v>8.31</v>
      </c>
      <c r="O290" s="1">
        <f t="shared" si="12"/>
        <v>14.610899999999999</v>
      </c>
      <c r="P290" s="1">
        <f>Sintesi!$C$33*G290*1000</f>
        <v>39.3992</v>
      </c>
      <c r="Q290" s="1">
        <f>Sintesi!$C$34*G290*1000</f>
        <v>18.04</v>
      </c>
      <c r="R290" s="1">
        <f t="shared" si="13"/>
        <v>21.359200000000001</v>
      </c>
    </row>
    <row r="291" spans="1:18">
      <c r="A291" s="41">
        <v>290</v>
      </c>
      <c r="B291" s="42">
        <f>DATE(Sintesi!$C$4-1,12,31)+A291</f>
        <v>44486</v>
      </c>
      <c r="C291" s="41">
        <f>'Paste cell here'!B291</f>
        <v>0</v>
      </c>
      <c r="D291" s="41">
        <f>'Paste cell here'!I291</f>
        <v>0</v>
      </c>
      <c r="E291" s="1">
        <f>'Paste cell here'!H291</f>
        <v>0.62398555600000005</v>
      </c>
      <c r="F291" s="1">
        <f>Sintesi!$C$5</f>
        <v>0.1</v>
      </c>
      <c r="G291" s="1">
        <f>'Paste cell here'!AA291</f>
        <v>0.2</v>
      </c>
      <c r="H291" s="43">
        <f>'Paste cell here'!U291</f>
        <v>8.7987905079999997</v>
      </c>
      <c r="I291" s="43">
        <f>'Paste cell here'!AE291</f>
        <v>41.218080559999997</v>
      </c>
      <c r="J291" s="44">
        <f>H290*'Paste cell here'!AO291+'Paste cell here'!AF291*'Paste cell here'!AP291</f>
        <v>41.58708017</v>
      </c>
      <c r="K291" s="45">
        <f>'Paste cell here'!AG291</f>
        <v>30.071464559999999</v>
      </c>
      <c r="L291" s="41" t="str">
        <f t="shared" si="14"/>
        <v>NO</v>
      </c>
      <c r="M291" s="1">
        <f>(Sintesi!$C$29*F291*1000)</f>
        <v>22.9209</v>
      </c>
      <c r="N291" s="1">
        <f>Sintesi!$C$30*F291*1000</f>
        <v>8.31</v>
      </c>
      <c r="O291" s="1">
        <f t="shared" si="12"/>
        <v>14.610899999999999</v>
      </c>
      <c r="P291" s="1">
        <f>Sintesi!$C$33*G291*1000</f>
        <v>39.3992</v>
      </c>
      <c r="Q291" s="1">
        <f>Sintesi!$C$34*G291*1000</f>
        <v>18.04</v>
      </c>
      <c r="R291" s="1">
        <f t="shared" si="13"/>
        <v>21.359200000000001</v>
      </c>
    </row>
    <row r="292" spans="1:18">
      <c r="A292" s="41">
        <v>291</v>
      </c>
      <c r="B292" s="42">
        <f>DATE(Sintesi!$C$4-1,12,31)+A292</f>
        <v>44487</v>
      </c>
      <c r="C292" s="41">
        <f>'Paste cell here'!B292</f>
        <v>0</v>
      </c>
      <c r="D292" s="41">
        <f>'Paste cell here'!I292</f>
        <v>0</v>
      </c>
      <c r="E292" s="1">
        <f>'Paste cell here'!H292</f>
        <v>0.62657084100000005</v>
      </c>
      <c r="F292" s="1">
        <f>Sintesi!$C$5</f>
        <v>0.1</v>
      </c>
      <c r="G292" s="1">
        <f>'Paste cell here'!AA292</f>
        <v>0.2</v>
      </c>
      <c r="H292" s="43">
        <f>'Paste cell here'!U292</f>
        <v>8.1198888050000004</v>
      </c>
      <c r="I292" s="43">
        <f>'Paste cell here'!AE292</f>
        <v>40.885514569999998</v>
      </c>
      <c r="J292" s="44">
        <f>H291*'Paste cell here'!AO292+'Paste cell here'!AF292*'Paste cell here'!AP292</f>
        <v>41.218080559999997</v>
      </c>
      <c r="K292" s="45">
        <f>'Paste cell here'!AG292</f>
        <v>30.03281806</v>
      </c>
      <c r="L292" s="41" t="str">
        <f t="shared" si="14"/>
        <v>NO</v>
      </c>
      <c r="M292" s="1">
        <f>(Sintesi!$C$29*F292*1000)</f>
        <v>22.9209</v>
      </c>
      <c r="N292" s="1">
        <f>Sintesi!$C$30*F292*1000</f>
        <v>8.31</v>
      </c>
      <c r="O292" s="1">
        <f t="shared" si="12"/>
        <v>14.610899999999999</v>
      </c>
      <c r="P292" s="1">
        <f>Sintesi!$C$33*G292*1000</f>
        <v>39.3992</v>
      </c>
      <c r="Q292" s="1">
        <f>Sintesi!$C$34*G292*1000</f>
        <v>18.04</v>
      </c>
      <c r="R292" s="1">
        <f t="shared" si="13"/>
        <v>21.359200000000001</v>
      </c>
    </row>
    <row r="293" spans="1:18">
      <c r="A293" s="41">
        <v>292</v>
      </c>
      <c r="B293" s="42">
        <f>DATE(Sintesi!$C$4-1,12,31)+A293</f>
        <v>44488</v>
      </c>
      <c r="C293" s="41">
        <f>'Paste cell here'!B293</f>
        <v>0</v>
      </c>
      <c r="D293" s="41">
        <f>'Paste cell here'!I293</f>
        <v>0</v>
      </c>
      <c r="E293" s="1">
        <f>'Paste cell here'!H293</f>
        <v>0.62881941799999996</v>
      </c>
      <c r="F293" s="1">
        <f>Sintesi!$C$5</f>
        <v>0.1</v>
      </c>
      <c r="G293" s="1">
        <f>'Paste cell here'!AA293</f>
        <v>0.2</v>
      </c>
      <c r="H293" s="43">
        <f>'Paste cell here'!U293</f>
        <v>7.6112618980000004</v>
      </c>
      <c r="I293" s="43">
        <f>'Paste cell here'!AE293</f>
        <v>40.583154329999999</v>
      </c>
      <c r="J293" s="44">
        <f>H292*'Paste cell here'!AO293+'Paste cell here'!AF293*'Paste cell here'!AP293</f>
        <v>40.885514569999998</v>
      </c>
      <c r="K293" s="45">
        <f>'Paste cell here'!AG293</f>
        <v>29.999204899999999</v>
      </c>
      <c r="L293" s="41" t="str">
        <f t="shared" si="14"/>
        <v>NO</v>
      </c>
      <c r="M293" s="1">
        <f>(Sintesi!$C$29*F293*1000)</f>
        <v>22.9209</v>
      </c>
      <c r="N293" s="1">
        <f>Sintesi!$C$30*F293*1000</f>
        <v>8.31</v>
      </c>
      <c r="O293" s="1">
        <f t="shared" si="12"/>
        <v>14.610899999999999</v>
      </c>
      <c r="P293" s="1">
        <f>Sintesi!$C$33*G293*1000</f>
        <v>39.3992</v>
      </c>
      <c r="Q293" s="1">
        <f>Sintesi!$C$34*G293*1000</f>
        <v>18.04</v>
      </c>
      <c r="R293" s="1">
        <f t="shared" si="13"/>
        <v>21.359200000000001</v>
      </c>
    </row>
    <row r="294" spans="1:18">
      <c r="A294" s="41">
        <v>293</v>
      </c>
      <c r="B294" s="42">
        <f>DATE(Sintesi!$C$4-1,12,31)+A294</f>
        <v>44489</v>
      </c>
      <c r="C294" s="41">
        <f>'Paste cell here'!B294</f>
        <v>1.9599999999999999E-2</v>
      </c>
      <c r="D294" s="41">
        <f>'Paste cell here'!I294</f>
        <v>0</v>
      </c>
      <c r="E294" s="1">
        <f>'Paste cell here'!H294</f>
        <v>0.63816589400000001</v>
      </c>
      <c r="F294" s="1">
        <f>Sintesi!$C$5</f>
        <v>0.1</v>
      </c>
      <c r="G294" s="1">
        <f>'Paste cell here'!AA294</f>
        <v>0.2</v>
      </c>
      <c r="H294" s="43">
        <f>'Paste cell here'!U294</f>
        <v>7.2640124449999997</v>
      </c>
      <c r="I294" s="43">
        <f>'Paste cell here'!AE294</f>
        <v>40.306219849999998</v>
      </c>
      <c r="J294" s="44">
        <f>H293*'Paste cell here'!AO294+'Paste cell here'!AF294*'Paste cell here'!AP294</f>
        <v>40.583154329999999</v>
      </c>
      <c r="K294" s="45">
        <f>'Paste cell here'!AG294</f>
        <v>29.8594878</v>
      </c>
      <c r="L294" s="41" t="str">
        <f t="shared" si="14"/>
        <v>NO</v>
      </c>
      <c r="M294" s="1">
        <f>(Sintesi!$C$29*F294*1000)</f>
        <v>22.9209</v>
      </c>
      <c r="N294" s="1">
        <f>Sintesi!$C$30*F294*1000</f>
        <v>8.31</v>
      </c>
      <c r="O294" s="1">
        <f t="shared" si="12"/>
        <v>14.610899999999999</v>
      </c>
      <c r="P294" s="1">
        <f>Sintesi!$C$33*G294*1000</f>
        <v>39.3992</v>
      </c>
      <c r="Q294" s="1">
        <f>Sintesi!$C$34*G294*1000</f>
        <v>18.04</v>
      </c>
      <c r="R294" s="1">
        <f t="shared" si="13"/>
        <v>21.359200000000001</v>
      </c>
    </row>
    <row r="295" spans="1:18">
      <c r="A295" s="41">
        <v>294</v>
      </c>
      <c r="B295" s="42">
        <f>DATE(Sintesi!$C$4-1,12,31)+A295</f>
        <v>44490</v>
      </c>
      <c r="C295" s="41">
        <f>'Paste cell here'!B295</f>
        <v>2.2224008849999999</v>
      </c>
      <c r="D295" s="41">
        <f>'Paste cell here'!I295</f>
        <v>0</v>
      </c>
      <c r="E295" s="1">
        <f>'Paste cell here'!H295</f>
        <v>0.64963646799999997</v>
      </c>
      <c r="F295" s="1">
        <f>Sintesi!$C$5</f>
        <v>0.1</v>
      </c>
      <c r="G295" s="1">
        <f>'Paste cell here'!AA295</f>
        <v>0.2</v>
      </c>
      <c r="H295" s="43">
        <f>'Paste cell here'!U295</f>
        <v>9.2194494939999991</v>
      </c>
      <c r="I295" s="43">
        <f>'Paste cell here'!AE295</f>
        <v>40.050965720000001</v>
      </c>
      <c r="J295" s="44">
        <f>H294*'Paste cell here'!AO295+'Paste cell here'!AF295*'Paste cell here'!AP295</f>
        <v>40.306219849999998</v>
      </c>
      <c r="K295" s="45">
        <f>'Paste cell here'!AG295</f>
        <v>29.68801831</v>
      </c>
      <c r="L295" s="41" t="str">
        <f t="shared" si="14"/>
        <v>NO</v>
      </c>
      <c r="M295" s="1">
        <f>(Sintesi!$C$29*F295*1000)</f>
        <v>22.9209</v>
      </c>
      <c r="N295" s="1">
        <f>Sintesi!$C$30*F295*1000</f>
        <v>8.31</v>
      </c>
      <c r="O295" s="1">
        <f t="shared" si="12"/>
        <v>14.610899999999999</v>
      </c>
      <c r="P295" s="1">
        <f>Sintesi!$C$33*G295*1000</f>
        <v>39.3992</v>
      </c>
      <c r="Q295" s="1">
        <f>Sintesi!$C$34*G295*1000</f>
        <v>18.04</v>
      </c>
      <c r="R295" s="1">
        <f t="shared" si="13"/>
        <v>21.359200000000001</v>
      </c>
    </row>
    <row r="296" spans="1:18">
      <c r="A296" s="41">
        <v>295</v>
      </c>
      <c r="B296" s="42">
        <f>DATE(Sintesi!$C$4-1,12,31)+A296</f>
        <v>44491</v>
      </c>
      <c r="C296" s="41">
        <f>'Paste cell here'!B296</f>
        <v>4.7500000000000001E-2</v>
      </c>
      <c r="D296" s="41">
        <f>'Paste cell here'!I296</f>
        <v>0</v>
      </c>
      <c r="E296" s="1">
        <f>'Paste cell here'!H296</f>
        <v>0.67056729999999998</v>
      </c>
      <c r="F296" s="1">
        <f>Sintesi!$C$5</f>
        <v>0.1</v>
      </c>
      <c r="G296" s="1">
        <f>'Paste cell here'!AA296</f>
        <v>0.2</v>
      </c>
      <c r="H296" s="43">
        <f>'Paste cell here'!U296</f>
        <v>8.6532504120000002</v>
      </c>
      <c r="I296" s="43">
        <f>'Paste cell here'!AE296</f>
        <v>39.814404709999998</v>
      </c>
      <c r="J296" s="44">
        <f>H295*'Paste cell here'!AO296+'Paste cell here'!AF296*'Paste cell here'!AP296</f>
        <v>40.050965720000001</v>
      </c>
      <c r="K296" s="45">
        <f>'Paste cell here'!AG296</f>
        <v>29.375130840000001</v>
      </c>
      <c r="L296" s="41" t="str">
        <f t="shared" si="14"/>
        <v>NO</v>
      </c>
      <c r="M296" s="1">
        <f>(Sintesi!$C$29*F296*1000)</f>
        <v>22.9209</v>
      </c>
      <c r="N296" s="1">
        <f>Sintesi!$C$30*F296*1000</f>
        <v>8.31</v>
      </c>
      <c r="O296" s="1">
        <f t="shared" si="12"/>
        <v>14.610899999999999</v>
      </c>
      <c r="P296" s="1">
        <f>Sintesi!$C$33*G296*1000</f>
        <v>39.3992</v>
      </c>
      <c r="Q296" s="1">
        <f>Sintesi!$C$34*G296*1000</f>
        <v>18.04</v>
      </c>
      <c r="R296" s="1">
        <f t="shared" si="13"/>
        <v>21.359200000000001</v>
      </c>
    </row>
    <row r="297" spans="1:18">
      <c r="A297" s="41">
        <v>296</v>
      </c>
      <c r="B297" s="42">
        <f>DATE(Sintesi!$C$4-1,12,31)+A297</f>
        <v>44492</v>
      </c>
      <c r="C297" s="41">
        <f>'Paste cell here'!B297</f>
        <v>0</v>
      </c>
      <c r="D297" s="41">
        <f>'Paste cell here'!I297</f>
        <v>0</v>
      </c>
      <c r="E297" s="1">
        <f>'Paste cell here'!H297</f>
        <v>0.642113449</v>
      </c>
      <c r="F297" s="1">
        <f>Sintesi!$C$5</f>
        <v>0.1</v>
      </c>
      <c r="G297" s="1">
        <f>'Paste cell here'!AA297</f>
        <v>0.2</v>
      </c>
      <c r="H297" s="43">
        <f>'Paste cell here'!U297</f>
        <v>8.1648640770000007</v>
      </c>
      <c r="I297" s="43">
        <f>'Paste cell here'!AE297</f>
        <v>39.594116990000003</v>
      </c>
      <c r="J297" s="44">
        <f>H296*'Paste cell here'!AO297+'Paste cell here'!AF297*'Paste cell here'!AP297</f>
        <v>39.814404709999998</v>
      </c>
      <c r="K297" s="45">
        <f>'Paste cell here'!AG297</f>
        <v>29.80047721</v>
      </c>
      <c r="L297" s="41" t="str">
        <f t="shared" si="14"/>
        <v>NO</v>
      </c>
      <c r="M297" s="1">
        <f>(Sintesi!$C$29*F297*1000)</f>
        <v>22.9209</v>
      </c>
      <c r="N297" s="1">
        <f>Sintesi!$C$30*F297*1000</f>
        <v>8.31</v>
      </c>
      <c r="O297" s="1">
        <f t="shared" si="12"/>
        <v>14.610899999999999</v>
      </c>
      <c r="P297" s="1">
        <f>Sintesi!$C$33*G297*1000</f>
        <v>39.3992</v>
      </c>
      <c r="Q297" s="1">
        <f>Sintesi!$C$34*G297*1000</f>
        <v>18.04</v>
      </c>
      <c r="R297" s="1">
        <f t="shared" si="13"/>
        <v>21.359200000000001</v>
      </c>
    </row>
    <row r="298" spans="1:18">
      <c r="A298" s="41">
        <v>297</v>
      </c>
      <c r="B298" s="42">
        <f>DATE(Sintesi!$C$4-1,12,31)+A298</f>
        <v>44493</v>
      </c>
      <c r="C298" s="41">
        <f>'Paste cell here'!B298</f>
        <v>2.52E-2</v>
      </c>
      <c r="D298" s="41">
        <f>'Paste cell here'!I298</f>
        <v>0</v>
      </c>
      <c r="E298" s="1">
        <f>'Paste cell here'!H298</f>
        <v>0.64823561399999996</v>
      </c>
      <c r="F298" s="1">
        <f>Sintesi!$C$5</f>
        <v>0.1</v>
      </c>
      <c r="G298" s="1">
        <f>'Paste cell here'!AA298</f>
        <v>0.2</v>
      </c>
      <c r="H298" s="43">
        <f>'Paste cell here'!U298</f>
        <v>7.6845365110000001</v>
      </c>
      <c r="I298" s="43">
        <f>'Paste cell here'!AE298</f>
        <v>39.388117039999997</v>
      </c>
      <c r="J298" s="44">
        <f>H297*'Paste cell here'!AO298+'Paste cell here'!AF298*'Paste cell here'!AP298</f>
        <v>39.594116990000003</v>
      </c>
      <c r="K298" s="45">
        <f>'Paste cell here'!AG298</f>
        <v>29.70895917</v>
      </c>
      <c r="L298" s="41" t="str">
        <f t="shared" si="14"/>
        <v>NO</v>
      </c>
      <c r="M298" s="1">
        <f>(Sintesi!$C$29*F298*1000)</f>
        <v>22.9209</v>
      </c>
      <c r="N298" s="1">
        <f>Sintesi!$C$30*F298*1000</f>
        <v>8.31</v>
      </c>
      <c r="O298" s="1">
        <f t="shared" si="12"/>
        <v>14.610899999999999</v>
      </c>
      <c r="P298" s="1">
        <f>Sintesi!$C$33*G298*1000</f>
        <v>39.3992</v>
      </c>
      <c r="Q298" s="1">
        <f>Sintesi!$C$34*G298*1000</f>
        <v>18.04</v>
      </c>
      <c r="R298" s="1">
        <f t="shared" si="13"/>
        <v>21.359200000000001</v>
      </c>
    </row>
    <row r="299" spans="1:18">
      <c r="A299" s="41">
        <v>298</v>
      </c>
      <c r="B299" s="42">
        <f>DATE(Sintesi!$C$4-1,12,31)+A299</f>
        <v>44494</v>
      </c>
      <c r="C299" s="41">
        <f>'Paste cell here'!B299</f>
        <v>0</v>
      </c>
      <c r="D299" s="41">
        <f>'Paste cell here'!I299</f>
        <v>0</v>
      </c>
      <c r="E299" s="1">
        <f>'Paste cell here'!H299</f>
        <v>0.63950870599999998</v>
      </c>
      <c r="F299" s="1">
        <f>Sintesi!$C$5</f>
        <v>0.1</v>
      </c>
      <c r="G299" s="1">
        <f>'Paste cell here'!AA299</f>
        <v>0.2</v>
      </c>
      <c r="H299" s="43">
        <f>'Paste cell here'!U299</f>
        <v>7.3066496780000003</v>
      </c>
      <c r="I299" s="43">
        <f>'Paste cell here'!AE299</f>
        <v>39.194755809999997</v>
      </c>
      <c r="J299" s="44">
        <f>H298*'Paste cell here'!AO299+'Paste cell here'!AF299*'Paste cell here'!AP299</f>
        <v>39.388117039999997</v>
      </c>
      <c r="K299" s="45">
        <f>'Paste cell here'!AG299</f>
        <v>29.83941458</v>
      </c>
      <c r="L299" s="41" t="str">
        <f t="shared" si="14"/>
        <v>NO</v>
      </c>
      <c r="M299" s="1">
        <f>(Sintesi!$C$29*F299*1000)</f>
        <v>22.9209</v>
      </c>
      <c r="N299" s="1">
        <f>Sintesi!$C$30*F299*1000</f>
        <v>8.31</v>
      </c>
      <c r="O299" s="1">
        <f t="shared" si="12"/>
        <v>14.610899999999999</v>
      </c>
      <c r="P299" s="1">
        <f>Sintesi!$C$33*G299*1000</f>
        <v>39.3992</v>
      </c>
      <c r="Q299" s="1">
        <f>Sintesi!$C$34*G299*1000</f>
        <v>18.04</v>
      </c>
      <c r="R299" s="1">
        <f t="shared" si="13"/>
        <v>21.359200000000001</v>
      </c>
    </row>
    <row r="300" spans="1:18">
      <c r="A300" s="41">
        <v>299</v>
      </c>
      <c r="B300" s="42">
        <f>DATE(Sintesi!$C$4-1,12,31)+A300</f>
        <v>44495</v>
      </c>
      <c r="C300" s="41">
        <f>'Paste cell here'!B300</f>
        <v>0</v>
      </c>
      <c r="D300" s="41">
        <f>'Paste cell here'!I300</f>
        <v>0</v>
      </c>
      <c r="E300" s="1">
        <f>'Paste cell here'!H300</f>
        <v>0.64901807099999997</v>
      </c>
      <c r="F300" s="1">
        <f>Sintesi!$C$5</f>
        <v>0.1</v>
      </c>
      <c r="G300" s="1">
        <f>'Paste cell here'!AA300</f>
        <v>0.2</v>
      </c>
      <c r="H300" s="43">
        <f>'Paste cell here'!U300</f>
        <v>6.9344099430000004</v>
      </c>
      <c r="I300" s="43">
        <f>'Paste cell here'!AE300</f>
        <v>39.012649449999998</v>
      </c>
      <c r="J300" s="44">
        <f>H299*'Paste cell here'!AO300+'Paste cell here'!AF300*'Paste cell here'!AP300</f>
        <v>39.194755809999997</v>
      </c>
      <c r="K300" s="45">
        <f>'Paste cell here'!AG300</f>
        <v>29.697262500000001</v>
      </c>
      <c r="L300" s="41" t="str">
        <f t="shared" si="14"/>
        <v>NO</v>
      </c>
      <c r="M300" s="1">
        <f>(Sintesi!$C$29*F300*1000)</f>
        <v>22.9209</v>
      </c>
      <c r="N300" s="1">
        <f>Sintesi!$C$30*F300*1000</f>
        <v>8.31</v>
      </c>
      <c r="O300" s="1">
        <f t="shared" si="12"/>
        <v>14.610899999999999</v>
      </c>
      <c r="P300" s="1">
        <f>Sintesi!$C$33*G300*1000</f>
        <v>39.3992</v>
      </c>
      <c r="Q300" s="1">
        <f>Sintesi!$C$34*G300*1000</f>
        <v>18.04</v>
      </c>
      <c r="R300" s="1">
        <f t="shared" si="13"/>
        <v>21.359200000000001</v>
      </c>
    </row>
    <row r="301" spans="1:18">
      <c r="A301" s="41">
        <v>300</v>
      </c>
      <c r="B301" s="42">
        <f>DATE(Sintesi!$C$4-1,12,31)+A301</f>
        <v>44496</v>
      </c>
      <c r="C301" s="41">
        <f>'Paste cell here'!B301</f>
        <v>0.30256455399999999</v>
      </c>
      <c r="D301" s="41">
        <f>'Paste cell here'!I301</f>
        <v>0</v>
      </c>
      <c r="E301" s="1">
        <f>'Paste cell here'!H301</f>
        <v>0.64340088100000004</v>
      </c>
      <c r="F301" s="1">
        <f>Sintesi!$C$5</f>
        <v>0.1</v>
      </c>
      <c r="G301" s="1">
        <f>'Paste cell here'!AA301</f>
        <v>0.2</v>
      </c>
      <c r="H301" s="43">
        <f>'Paste cell here'!U301</f>
        <v>6.8592526329999997</v>
      </c>
      <c r="I301" s="43">
        <f>'Paste cell here'!AE301</f>
        <v>38.840625780000003</v>
      </c>
      <c r="J301" s="44">
        <f>H300*'Paste cell here'!AO301+'Paste cell here'!AF301*'Paste cell here'!AP301</f>
        <v>39.012649449999998</v>
      </c>
      <c r="K301" s="45">
        <f>'Paste cell here'!AG301</f>
        <v>29.781231850000001</v>
      </c>
      <c r="L301" s="41" t="str">
        <f t="shared" si="14"/>
        <v>NO</v>
      </c>
      <c r="M301" s="1">
        <f>(Sintesi!$C$29*F301*1000)</f>
        <v>22.9209</v>
      </c>
      <c r="N301" s="1">
        <f>Sintesi!$C$30*F301*1000</f>
        <v>8.31</v>
      </c>
      <c r="O301" s="1">
        <f t="shared" si="12"/>
        <v>14.610899999999999</v>
      </c>
      <c r="P301" s="1">
        <f>Sintesi!$C$33*G301*1000</f>
        <v>39.3992</v>
      </c>
      <c r="Q301" s="1">
        <f>Sintesi!$C$34*G301*1000</f>
        <v>18.04</v>
      </c>
      <c r="R301" s="1">
        <f t="shared" si="13"/>
        <v>21.359200000000001</v>
      </c>
    </row>
    <row r="302" spans="1:18">
      <c r="A302" s="41">
        <v>301</v>
      </c>
      <c r="B302" s="42">
        <f>DATE(Sintesi!$C$4-1,12,31)+A302</f>
        <v>44497</v>
      </c>
      <c r="C302" s="41">
        <f>'Paste cell here'!B302</f>
        <v>0</v>
      </c>
      <c r="D302" s="41">
        <f>'Paste cell here'!I302</f>
        <v>0</v>
      </c>
      <c r="E302" s="1">
        <f>'Paste cell here'!H302</f>
        <v>0.63788339000000005</v>
      </c>
      <c r="F302" s="1">
        <f>Sintesi!$C$5</f>
        <v>0.1</v>
      </c>
      <c r="G302" s="1">
        <f>'Paste cell here'!AA302</f>
        <v>0.2</v>
      </c>
      <c r="H302" s="43">
        <f>'Paste cell here'!U302</f>
        <v>6.5527343199999999</v>
      </c>
      <c r="I302" s="43">
        <f>'Paste cell here'!AE302</f>
        <v>38.677683569999999</v>
      </c>
      <c r="J302" s="44">
        <f>H301*'Paste cell here'!AO302+'Paste cell here'!AF302*'Paste cell here'!AP302</f>
        <v>38.840625780000003</v>
      </c>
      <c r="K302" s="45">
        <f>'Paste cell here'!AG302</f>
        <v>29.86371085</v>
      </c>
      <c r="L302" s="41" t="str">
        <f t="shared" si="14"/>
        <v>NO</v>
      </c>
      <c r="M302" s="1">
        <f>(Sintesi!$C$29*F302*1000)</f>
        <v>22.9209</v>
      </c>
      <c r="N302" s="1">
        <f>Sintesi!$C$30*F302*1000</f>
        <v>8.31</v>
      </c>
      <c r="O302" s="1">
        <f t="shared" si="12"/>
        <v>14.610899999999999</v>
      </c>
      <c r="P302" s="1">
        <f>Sintesi!$C$33*G302*1000</f>
        <v>39.3992</v>
      </c>
      <c r="Q302" s="1">
        <f>Sintesi!$C$34*G302*1000</f>
        <v>18.04</v>
      </c>
      <c r="R302" s="1">
        <f t="shared" si="13"/>
        <v>21.359200000000001</v>
      </c>
    </row>
    <row r="303" spans="1:18">
      <c r="A303" s="41">
        <v>302</v>
      </c>
      <c r="B303" s="42">
        <f>DATE(Sintesi!$C$4-1,12,31)+A303</f>
        <v>44498</v>
      </c>
      <c r="C303" s="41">
        <f>'Paste cell here'!B303</f>
        <v>0</v>
      </c>
      <c r="D303" s="41">
        <f>'Paste cell here'!I303</f>
        <v>0</v>
      </c>
      <c r="E303" s="1">
        <f>'Paste cell here'!H303</f>
        <v>0.64583567399999997</v>
      </c>
      <c r="F303" s="1">
        <f>Sintesi!$C$5</f>
        <v>0.1</v>
      </c>
      <c r="G303" s="1">
        <f>'Paste cell here'!AA303</f>
        <v>0.2</v>
      </c>
      <c r="H303" s="43">
        <f>'Paste cell here'!U303</f>
        <v>6.2945247430000002</v>
      </c>
      <c r="I303" s="43">
        <f>'Paste cell here'!AE303</f>
        <v>38.522961109999997</v>
      </c>
      <c r="J303" s="44">
        <f>H302*'Paste cell here'!AO303+'Paste cell here'!AF303*'Paste cell here'!AP303</f>
        <v>38.677683569999999</v>
      </c>
      <c r="K303" s="45">
        <f>'Paste cell here'!AG303</f>
        <v>29.744835009999999</v>
      </c>
      <c r="L303" s="41" t="str">
        <f t="shared" si="14"/>
        <v>NO</v>
      </c>
      <c r="M303" s="1">
        <f>(Sintesi!$C$29*F303*1000)</f>
        <v>22.9209</v>
      </c>
      <c r="N303" s="1">
        <f>Sintesi!$C$30*F303*1000</f>
        <v>8.31</v>
      </c>
      <c r="O303" s="1">
        <f t="shared" si="12"/>
        <v>14.610899999999999</v>
      </c>
      <c r="P303" s="1">
        <f>Sintesi!$C$33*G303*1000</f>
        <v>39.3992</v>
      </c>
      <c r="Q303" s="1">
        <f>Sintesi!$C$34*G303*1000</f>
        <v>18.04</v>
      </c>
      <c r="R303" s="1">
        <f t="shared" si="13"/>
        <v>21.359200000000001</v>
      </c>
    </row>
    <row r="304" spans="1:18">
      <c r="A304" s="41">
        <v>303</v>
      </c>
      <c r="B304" s="42">
        <f>DATE(Sintesi!$C$4-1,12,31)+A304</f>
        <v>44499</v>
      </c>
      <c r="C304" s="41">
        <f>'Paste cell here'!B304</f>
        <v>1.455518614</v>
      </c>
      <c r="D304" s="41">
        <f>'Paste cell here'!I304</f>
        <v>0</v>
      </c>
      <c r="E304" s="1">
        <f>'Paste cell here'!H304</f>
        <v>0.64869514299999997</v>
      </c>
      <c r="F304" s="1">
        <f>Sintesi!$C$5</f>
        <v>0.1</v>
      </c>
      <c r="G304" s="1">
        <f>'Paste cell here'!AA304</f>
        <v>0.2</v>
      </c>
      <c r="H304" s="43">
        <f>'Paste cell here'!U304</f>
        <v>7.544538449</v>
      </c>
      <c r="I304" s="43">
        <f>'Paste cell here'!AE304</f>
        <v>38.375711670000001</v>
      </c>
      <c r="J304" s="44">
        <f>H303*'Paste cell here'!AO304+'Paste cell here'!AF304*'Paste cell here'!AP304</f>
        <v>38.522961109999997</v>
      </c>
      <c r="K304" s="45">
        <f>'Paste cell here'!AG304</f>
        <v>29.702089829999998</v>
      </c>
      <c r="L304" s="41" t="str">
        <f t="shared" si="14"/>
        <v>NO</v>
      </c>
      <c r="M304" s="1">
        <f>(Sintesi!$C$29*F304*1000)</f>
        <v>22.9209</v>
      </c>
      <c r="N304" s="1">
        <f>Sintesi!$C$30*F304*1000</f>
        <v>8.31</v>
      </c>
      <c r="O304" s="1">
        <f t="shared" si="12"/>
        <v>14.610899999999999</v>
      </c>
      <c r="P304" s="1">
        <f>Sintesi!$C$33*G304*1000</f>
        <v>39.3992</v>
      </c>
      <c r="Q304" s="1">
        <f>Sintesi!$C$34*G304*1000</f>
        <v>18.04</v>
      </c>
      <c r="R304" s="1">
        <f t="shared" si="13"/>
        <v>21.359200000000001</v>
      </c>
    </row>
    <row r="305" spans="1:18">
      <c r="A305" s="41">
        <v>304</v>
      </c>
      <c r="B305" s="42">
        <f>DATE(Sintesi!$C$4-1,12,31)+A305</f>
        <v>44500</v>
      </c>
      <c r="C305" s="41">
        <f>'Paste cell here'!B305</f>
        <v>4.7500000000000001E-2</v>
      </c>
      <c r="D305" s="41">
        <f>'Paste cell here'!I305</f>
        <v>0</v>
      </c>
      <c r="E305" s="1">
        <f>'Paste cell here'!H305</f>
        <v>0.66643061199999998</v>
      </c>
      <c r="F305" s="1">
        <f>Sintesi!$C$5</f>
        <v>0.1</v>
      </c>
      <c r="G305" s="1">
        <f>'Paste cell here'!AA305</f>
        <v>0.2</v>
      </c>
      <c r="H305" s="43">
        <f>'Paste cell here'!U305</f>
        <v>7.3769494040000003</v>
      </c>
      <c r="I305" s="43">
        <f>'Paste cell here'!AE305</f>
        <v>38.235284069999999</v>
      </c>
      <c r="J305" s="44">
        <f>H304*'Paste cell here'!AO305+'Paste cell here'!AF305*'Paste cell here'!AP305</f>
        <v>38.375711670000001</v>
      </c>
      <c r="K305" s="45">
        <f>'Paste cell here'!AG305</f>
        <v>29.436968700000001</v>
      </c>
      <c r="L305" s="41" t="str">
        <f t="shared" si="14"/>
        <v>NO</v>
      </c>
      <c r="M305" s="1">
        <f>(Sintesi!$C$29*F305*1000)</f>
        <v>22.9209</v>
      </c>
      <c r="N305" s="1">
        <f>Sintesi!$C$30*F305*1000</f>
        <v>8.31</v>
      </c>
      <c r="O305" s="1">
        <f t="shared" si="12"/>
        <v>14.610899999999999</v>
      </c>
      <c r="P305" s="1">
        <f>Sintesi!$C$33*G305*1000</f>
        <v>39.3992</v>
      </c>
      <c r="Q305" s="1">
        <f>Sintesi!$C$34*G305*1000</f>
        <v>18.04</v>
      </c>
      <c r="R305" s="1">
        <f t="shared" si="13"/>
        <v>21.359200000000001</v>
      </c>
    </row>
    <row r="306" spans="1:18">
      <c r="A306" s="41">
        <v>305</v>
      </c>
      <c r="B306" s="42">
        <f>DATE(Sintesi!$C$4-1,12,31)+A306</f>
        <v>44501</v>
      </c>
      <c r="C306" s="41">
        <f>'Paste cell here'!B306</f>
        <v>39.750710359999999</v>
      </c>
      <c r="D306" s="41">
        <f>'Paste cell here'!I306</f>
        <v>0</v>
      </c>
      <c r="E306" s="1">
        <f>'Paste cell here'!H306</f>
        <v>0.67070637700000002</v>
      </c>
      <c r="F306" s="1">
        <f>Sintesi!$C$5</f>
        <v>0.1</v>
      </c>
      <c r="G306" s="1">
        <f>'Paste cell here'!AA306</f>
        <v>0.2</v>
      </c>
      <c r="H306" s="43">
        <f>'Paste cell here'!U306</f>
        <v>36.485039759999999</v>
      </c>
      <c r="I306" s="43">
        <f>'Paste cell here'!AE306</f>
        <v>44.79078286</v>
      </c>
      <c r="J306" s="44">
        <f>H305*'Paste cell here'!AO306+'Paste cell here'!AF306*'Paste cell here'!AP306</f>
        <v>38.235284069999999</v>
      </c>
      <c r="K306" s="45">
        <f>'Paste cell here'!AG306</f>
        <v>29.373051820000001</v>
      </c>
      <c r="L306" s="41" t="str">
        <f t="shared" si="14"/>
        <v>NO</v>
      </c>
      <c r="M306" s="1">
        <f>(Sintesi!$C$29*F306*1000)</f>
        <v>22.9209</v>
      </c>
      <c r="N306" s="1">
        <f>Sintesi!$C$30*F306*1000</f>
        <v>8.31</v>
      </c>
      <c r="O306" s="1">
        <f t="shared" si="12"/>
        <v>14.610899999999999</v>
      </c>
      <c r="P306" s="1">
        <f>Sintesi!$C$33*G306*1000</f>
        <v>39.3992</v>
      </c>
      <c r="Q306" s="1">
        <f>Sintesi!$C$34*G306*1000</f>
        <v>18.04</v>
      </c>
      <c r="R306" s="1">
        <f t="shared" si="13"/>
        <v>21.359200000000001</v>
      </c>
    </row>
    <row r="307" spans="1:18">
      <c r="A307" s="41">
        <v>306</v>
      </c>
      <c r="B307" s="42">
        <f>DATE(Sintesi!$C$4-1,12,31)+A307</f>
        <v>44502</v>
      </c>
      <c r="C307" s="41">
        <f>'Paste cell here'!B307</f>
        <v>2.9754613760000002</v>
      </c>
      <c r="D307" s="41">
        <f>'Paste cell here'!I307</f>
        <v>0</v>
      </c>
      <c r="E307" s="1">
        <f>'Paste cell here'!H307</f>
        <v>0.67864024000000001</v>
      </c>
      <c r="F307" s="1">
        <f>Sintesi!$C$5</f>
        <v>0.1</v>
      </c>
      <c r="G307" s="1">
        <f>'Paste cell here'!AA307</f>
        <v>0.2</v>
      </c>
      <c r="H307" s="43">
        <f>'Paste cell here'!U307</f>
        <v>30.027207069999999</v>
      </c>
      <c r="I307" s="43">
        <f>'Paste cell here'!AE307</f>
        <v>50.513320630000003</v>
      </c>
      <c r="J307" s="44">
        <f>H306*'Paste cell here'!AO307+'Paste cell here'!AF307*'Paste cell here'!AP307</f>
        <v>44.79078286</v>
      </c>
      <c r="K307" s="45">
        <f>'Paste cell here'!AG307</f>
        <v>29.254451360000001</v>
      </c>
      <c r="L307" s="41" t="str">
        <f t="shared" si="14"/>
        <v>NO</v>
      </c>
      <c r="M307" s="1">
        <f>(Sintesi!$C$29*F307*1000)</f>
        <v>22.9209</v>
      </c>
      <c r="N307" s="1">
        <f>Sintesi!$C$30*F307*1000</f>
        <v>8.31</v>
      </c>
      <c r="O307" s="1">
        <f t="shared" si="12"/>
        <v>14.610899999999999</v>
      </c>
      <c r="P307" s="1">
        <f>Sintesi!$C$33*G307*1000</f>
        <v>39.3992</v>
      </c>
      <c r="Q307" s="1">
        <f>Sintesi!$C$34*G307*1000</f>
        <v>18.04</v>
      </c>
      <c r="R307" s="1">
        <f t="shared" si="13"/>
        <v>21.359200000000001</v>
      </c>
    </row>
    <row r="308" spans="1:18">
      <c r="A308" s="41">
        <v>307</v>
      </c>
      <c r="B308" s="42">
        <f>DATE(Sintesi!$C$4-1,12,31)+A308</f>
        <v>44503</v>
      </c>
      <c r="C308" s="41">
        <f>'Paste cell here'!B308</f>
        <v>23.646188420000001</v>
      </c>
      <c r="D308" s="41">
        <f>'Paste cell here'!I308</f>
        <v>0</v>
      </c>
      <c r="E308" s="1">
        <f>'Paste cell here'!H308</f>
        <v>0.67193705400000003</v>
      </c>
      <c r="F308" s="1">
        <f>Sintesi!$C$5</f>
        <v>0.1</v>
      </c>
      <c r="G308" s="1">
        <f>'Paste cell here'!AA308</f>
        <v>0.2</v>
      </c>
      <c r="H308" s="43">
        <f>'Paste cell here'!U308</f>
        <v>33.681307480000001</v>
      </c>
      <c r="I308" s="43">
        <f>'Paste cell here'!AE308</f>
        <v>54.82988194</v>
      </c>
      <c r="J308" s="44">
        <f>H307*'Paste cell here'!AO308+'Paste cell here'!AF308*'Paste cell here'!AP308</f>
        <v>50.513320630000003</v>
      </c>
      <c r="K308" s="45">
        <f>'Paste cell here'!AG308</f>
        <v>29.354654879999998</v>
      </c>
      <c r="L308" s="41" t="str">
        <f t="shared" si="14"/>
        <v>NO</v>
      </c>
      <c r="M308" s="1">
        <f>(Sintesi!$C$29*F308*1000)</f>
        <v>22.9209</v>
      </c>
      <c r="N308" s="1">
        <f>Sintesi!$C$30*F308*1000</f>
        <v>8.31</v>
      </c>
      <c r="O308" s="1">
        <f t="shared" si="12"/>
        <v>14.610899999999999</v>
      </c>
      <c r="P308" s="1">
        <f>Sintesi!$C$33*G308*1000</f>
        <v>39.3992</v>
      </c>
      <c r="Q308" s="1">
        <f>Sintesi!$C$34*G308*1000</f>
        <v>18.04</v>
      </c>
      <c r="R308" s="1">
        <f t="shared" si="13"/>
        <v>21.359200000000001</v>
      </c>
    </row>
    <row r="309" spans="1:18">
      <c r="A309" s="41">
        <v>308</v>
      </c>
      <c r="B309" s="42">
        <f>DATE(Sintesi!$C$4-1,12,31)+A309</f>
        <v>44504</v>
      </c>
      <c r="C309" s="41">
        <f>'Paste cell here'!B309</f>
        <v>0</v>
      </c>
      <c r="D309" s="41">
        <f>'Paste cell here'!I309</f>
        <v>0</v>
      </c>
      <c r="E309" s="1">
        <f>'Paste cell here'!H309</f>
        <v>0</v>
      </c>
      <c r="F309" s="1">
        <f>Sintesi!$C$5</f>
        <v>0.1</v>
      </c>
      <c r="G309" s="1">
        <f>'Paste cell here'!AA309</f>
        <v>0</v>
      </c>
      <c r="H309" s="43">
        <f>'Paste cell here'!U309</f>
        <v>0</v>
      </c>
      <c r="I309" s="43">
        <f>'Paste cell here'!AE309</f>
        <v>0</v>
      </c>
      <c r="J309" s="44">
        <f>H308*'Paste cell here'!AO309+'Paste cell here'!AF309*'Paste cell here'!AP309</f>
        <v>0</v>
      </c>
      <c r="K309" s="45">
        <f>'Paste cell here'!AG309</f>
        <v>0</v>
      </c>
      <c r="L309" s="41" t="str">
        <f t="shared" si="14"/>
        <v>NO</v>
      </c>
      <c r="M309" s="1">
        <f>(Sintesi!$C$29*F309*1000)</f>
        <v>22.9209</v>
      </c>
      <c r="N309" s="1">
        <f>Sintesi!$C$30*F309*1000</f>
        <v>8.31</v>
      </c>
      <c r="O309" s="1">
        <f t="shared" si="12"/>
        <v>14.610899999999999</v>
      </c>
      <c r="P309" s="1">
        <f>Sintesi!$C$33*G309*1000</f>
        <v>0</v>
      </c>
      <c r="Q309" s="1">
        <f>Sintesi!$C$34*G309*1000</f>
        <v>0</v>
      </c>
      <c r="R309" s="1">
        <f t="shared" si="13"/>
        <v>0</v>
      </c>
    </row>
    <row r="310" spans="1:18">
      <c r="A310" s="41">
        <v>309</v>
      </c>
      <c r="B310" s="42">
        <f>DATE(Sintesi!$C$4-1,12,31)+A310</f>
        <v>44505</v>
      </c>
      <c r="C310" s="41">
        <f>'Paste cell here'!B310</f>
        <v>0</v>
      </c>
      <c r="D310" s="41">
        <f>'Paste cell here'!I310</f>
        <v>0</v>
      </c>
      <c r="E310" s="1">
        <f>'Paste cell here'!H310</f>
        <v>0</v>
      </c>
      <c r="F310" s="1">
        <f>Sintesi!$C$5</f>
        <v>0.1</v>
      </c>
      <c r="G310" s="1">
        <f>'Paste cell here'!AA310</f>
        <v>0</v>
      </c>
      <c r="H310" s="43">
        <f>'Paste cell here'!U310</f>
        <v>0</v>
      </c>
      <c r="I310" s="43">
        <f>'Paste cell here'!AE310</f>
        <v>0</v>
      </c>
      <c r="J310" s="44">
        <f>H309*'Paste cell here'!AO310+'Paste cell here'!AF310*'Paste cell here'!AP310</f>
        <v>0</v>
      </c>
      <c r="K310" s="45">
        <f>'Paste cell here'!AG310</f>
        <v>0</v>
      </c>
      <c r="L310" s="41" t="str">
        <f t="shared" si="14"/>
        <v>NO</v>
      </c>
      <c r="M310" s="1">
        <f>(Sintesi!$C$29*F310*1000)</f>
        <v>22.9209</v>
      </c>
      <c r="N310" s="1">
        <f>Sintesi!$C$30*F310*1000</f>
        <v>8.31</v>
      </c>
      <c r="O310" s="1">
        <f t="shared" si="12"/>
        <v>14.610899999999999</v>
      </c>
      <c r="P310" s="1">
        <f>Sintesi!$C$33*G310*1000</f>
        <v>0</v>
      </c>
      <c r="Q310" s="1">
        <f>Sintesi!$C$34*G310*1000</f>
        <v>0</v>
      </c>
      <c r="R310" s="1">
        <f t="shared" si="13"/>
        <v>0</v>
      </c>
    </row>
    <row r="311" spans="1:18">
      <c r="A311" s="41">
        <v>310</v>
      </c>
      <c r="B311" s="42">
        <f>DATE(Sintesi!$C$4-1,12,31)+A311</f>
        <v>44506</v>
      </c>
      <c r="C311" s="41">
        <f>'Paste cell here'!B311</f>
        <v>0</v>
      </c>
      <c r="D311" s="41">
        <f>'Paste cell here'!I311</f>
        <v>0</v>
      </c>
      <c r="E311" s="1">
        <f>'Paste cell here'!H311</f>
        <v>0</v>
      </c>
      <c r="F311" s="1">
        <f>Sintesi!$C$5</f>
        <v>0.1</v>
      </c>
      <c r="G311" s="1">
        <f>'Paste cell here'!AA311</f>
        <v>0</v>
      </c>
      <c r="H311" s="43">
        <f>'Paste cell here'!U311</f>
        <v>0</v>
      </c>
      <c r="I311" s="43">
        <f>'Paste cell here'!AE311</f>
        <v>0</v>
      </c>
      <c r="J311" s="44">
        <f>H310*'Paste cell here'!AO311+'Paste cell here'!AF311*'Paste cell here'!AP311</f>
        <v>0</v>
      </c>
      <c r="K311" s="45">
        <f>'Paste cell here'!AG311</f>
        <v>0</v>
      </c>
      <c r="L311" s="41" t="str">
        <f t="shared" si="14"/>
        <v>NO</v>
      </c>
      <c r="M311" s="1">
        <f>(Sintesi!$C$29*F311*1000)</f>
        <v>22.9209</v>
      </c>
      <c r="N311" s="1">
        <f>Sintesi!$C$30*F311*1000</f>
        <v>8.31</v>
      </c>
      <c r="O311" s="1">
        <f t="shared" si="12"/>
        <v>14.610899999999999</v>
      </c>
      <c r="P311" s="1">
        <f>Sintesi!$C$33*G311*1000</f>
        <v>0</v>
      </c>
      <c r="Q311" s="1">
        <f>Sintesi!$C$34*G311*1000</f>
        <v>0</v>
      </c>
      <c r="R311" s="1">
        <f t="shared" si="13"/>
        <v>0</v>
      </c>
    </row>
    <row r="312" spans="1:18">
      <c r="A312" s="41">
        <v>311</v>
      </c>
      <c r="B312" s="42">
        <f>DATE(Sintesi!$C$4-1,12,31)+A312</f>
        <v>44507</v>
      </c>
      <c r="C312" s="41">
        <f>'Paste cell here'!B312</f>
        <v>0</v>
      </c>
      <c r="D312" s="41">
        <f>'Paste cell here'!I312</f>
        <v>0</v>
      </c>
      <c r="E312" s="1">
        <f>'Paste cell here'!H312</f>
        <v>0</v>
      </c>
      <c r="F312" s="1">
        <f>Sintesi!$C$5</f>
        <v>0.1</v>
      </c>
      <c r="G312" s="1">
        <f>'Paste cell here'!AA312</f>
        <v>0</v>
      </c>
      <c r="H312" s="43">
        <f>'Paste cell here'!U312</f>
        <v>0</v>
      </c>
      <c r="I312" s="43">
        <f>'Paste cell here'!AE312</f>
        <v>0</v>
      </c>
      <c r="J312" s="44">
        <f>H311*'Paste cell here'!AO312+'Paste cell here'!AF312*'Paste cell here'!AP312</f>
        <v>0</v>
      </c>
      <c r="K312" s="45">
        <f>'Paste cell here'!AG312</f>
        <v>0</v>
      </c>
      <c r="L312" s="41" t="str">
        <f t="shared" si="14"/>
        <v>NO</v>
      </c>
      <c r="M312" s="1">
        <f>(Sintesi!$C$29*F312*1000)</f>
        <v>22.9209</v>
      </c>
      <c r="N312" s="1">
        <f>Sintesi!$C$30*F312*1000</f>
        <v>8.31</v>
      </c>
      <c r="O312" s="1">
        <f t="shared" si="12"/>
        <v>14.610899999999999</v>
      </c>
      <c r="P312" s="1">
        <f>Sintesi!$C$33*G312*1000</f>
        <v>0</v>
      </c>
      <c r="Q312" s="1">
        <f>Sintesi!$C$34*G312*1000</f>
        <v>0</v>
      </c>
      <c r="R312" s="1">
        <f t="shared" si="13"/>
        <v>0</v>
      </c>
    </row>
    <row r="313" spans="1:18">
      <c r="A313" s="41">
        <v>312</v>
      </c>
      <c r="B313" s="42">
        <f>DATE(Sintesi!$C$4-1,12,31)+A313</f>
        <v>44508</v>
      </c>
      <c r="C313" s="41">
        <f>'Paste cell here'!B313</f>
        <v>0</v>
      </c>
      <c r="D313" s="41">
        <f>'Paste cell here'!I313</f>
        <v>0</v>
      </c>
      <c r="E313" s="1">
        <f>'Paste cell here'!H313</f>
        <v>0</v>
      </c>
      <c r="F313" s="1">
        <f>Sintesi!$C$5</f>
        <v>0.1</v>
      </c>
      <c r="G313" s="1">
        <f>'Paste cell here'!AA313</f>
        <v>0</v>
      </c>
      <c r="H313" s="43">
        <f>'Paste cell here'!U313</f>
        <v>0</v>
      </c>
      <c r="I313" s="43">
        <f>'Paste cell here'!AE313</f>
        <v>0</v>
      </c>
      <c r="J313" s="44">
        <f>H312*'Paste cell here'!AO313+'Paste cell here'!AF313*'Paste cell here'!AP313</f>
        <v>0</v>
      </c>
      <c r="K313" s="45">
        <f>'Paste cell here'!AG313</f>
        <v>0</v>
      </c>
      <c r="L313" s="41" t="str">
        <f t="shared" si="14"/>
        <v>NO</v>
      </c>
      <c r="M313" s="1">
        <f>(Sintesi!$C$29*F313*1000)</f>
        <v>22.9209</v>
      </c>
      <c r="N313" s="1">
        <f>Sintesi!$C$30*F313*1000</f>
        <v>8.31</v>
      </c>
      <c r="O313" s="1">
        <f t="shared" si="12"/>
        <v>14.610899999999999</v>
      </c>
      <c r="P313" s="1">
        <f>Sintesi!$C$33*G313*1000</f>
        <v>0</v>
      </c>
      <c r="Q313" s="1">
        <f>Sintesi!$C$34*G313*1000</f>
        <v>0</v>
      </c>
      <c r="R313" s="1">
        <f t="shared" si="13"/>
        <v>0</v>
      </c>
    </row>
    <row r="314" spans="1:18">
      <c r="A314" s="41">
        <v>313</v>
      </c>
      <c r="B314" s="42">
        <f>DATE(Sintesi!$C$4-1,12,31)+A314</f>
        <v>44509</v>
      </c>
      <c r="C314" s="41">
        <f>'Paste cell here'!B314</f>
        <v>0</v>
      </c>
      <c r="D314" s="41">
        <f>'Paste cell here'!I314</f>
        <v>0</v>
      </c>
      <c r="E314" s="1">
        <f>'Paste cell here'!H314</f>
        <v>0</v>
      </c>
      <c r="F314" s="1">
        <f>Sintesi!$C$5</f>
        <v>0.1</v>
      </c>
      <c r="G314" s="1">
        <f>'Paste cell here'!AA314</f>
        <v>0</v>
      </c>
      <c r="H314" s="43">
        <f>'Paste cell here'!U314</f>
        <v>0</v>
      </c>
      <c r="I314" s="43">
        <f>'Paste cell here'!AE314</f>
        <v>0</v>
      </c>
      <c r="J314" s="44">
        <f>H313*'Paste cell here'!AO314+'Paste cell here'!AF314*'Paste cell here'!AP314</f>
        <v>0</v>
      </c>
      <c r="K314" s="45">
        <f>'Paste cell here'!AG314</f>
        <v>0</v>
      </c>
      <c r="L314" s="41" t="str">
        <f t="shared" si="14"/>
        <v>NO</v>
      </c>
      <c r="M314" s="1">
        <f>(Sintesi!$C$29*F314*1000)</f>
        <v>22.9209</v>
      </c>
      <c r="N314" s="1">
        <f>Sintesi!$C$30*F314*1000</f>
        <v>8.31</v>
      </c>
      <c r="O314" s="1">
        <f t="shared" si="12"/>
        <v>14.610899999999999</v>
      </c>
      <c r="P314" s="1">
        <f>Sintesi!$C$33*G314*1000</f>
        <v>0</v>
      </c>
      <c r="Q314" s="1">
        <f>Sintesi!$C$34*G314*1000</f>
        <v>0</v>
      </c>
      <c r="R314" s="1">
        <f t="shared" si="13"/>
        <v>0</v>
      </c>
    </row>
    <row r="315" spans="1:18">
      <c r="A315" s="41">
        <v>314</v>
      </c>
      <c r="B315" s="42">
        <f>DATE(Sintesi!$C$4-1,12,31)+A315</f>
        <v>44510</v>
      </c>
      <c r="C315" s="41">
        <f>'Paste cell here'!B315</f>
        <v>0</v>
      </c>
      <c r="D315" s="41">
        <f>'Paste cell here'!I315</f>
        <v>0</v>
      </c>
      <c r="E315" s="1">
        <f>'Paste cell here'!H315</f>
        <v>0</v>
      </c>
      <c r="F315" s="1">
        <f>Sintesi!$C$5</f>
        <v>0.1</v>
      </c>
      <c r="G315" s="1">
        <f>'Paste cell here'!AA315</f>
        <v>0</v>
      </c>
      <c r="H315" s="43">
        <f>'Paste cell here'!U315</f>
        <v>0</v>
      </c>
      <c r="I315" s="43">
        <f>'Paste cell here'!AE315</f>
        <v>0</v>
      </c>
      <c r="J315" s="44">
        <f>H314*'Paste cell here'!AO315+'Paste cell here'!AF315*'Paste cell here'!AP315</f>
        <v>0</v>
      </c>
      <c r="K315" s="45">
        <f>'Paste cell here'!AG315</f>
        <v>0</v>
      </c>
      <c r="L315" s="41" t="str">
        <f t="shared" si="14"/>
        <v>NO</v>
      </c>
      <c r="M315" s="1">
        <f>(Sintesi!$C$29*F315*1000)</f>
        <v>22.9209</v>
      </c>
      <c r="N315" s="1">
        <f>Sintesi!$C$30*F315*1000</f>
        <v>8.31</v>
      </c>
      <c r="O315" s="1">
        <f t="shared" si="12"/>
        <v>14.610899999999999</v>
      </c>
      <c r="P315" s="1">
        <f>Sintesi!$C$33*G315*1000</f>
        <v>0</v>
      </c>
      <c r="Q315" s="1">
        <f>Sintesi!$C$34*G315*1000</f>
        <v>0</v>
      </c>
      <c r="R315" s="1">
        <f t="shared" si="13"/>
        <v>0</v>
      </c>
    </row>
    <row r="316" spans="1:18">
      <c r="A316" s="41">
        <v>315</v>
      </c>
      <c r="B316" s="42">
        <f>DATE(Sintesi!$C$4-1,12,31)+A316</f>
        <v>44511</v>
      </c>
      <c r="C316" s="41">
        <f>'Paste cell here'!B316</f>
        <v>0</v>
      </c>
      <c r="D316" s="41">
        <f>'Paste cell here'!I316</f>
        <v>0</v>
      </c>
      <c r="E316" s="1">
        <f>'Paste cell here'!H316</f>
        <v>0</v>
      </c>
      <c r="F316" s="1">
        <f>Sintesi!$C$5</f>
        <v>0.1</v>
      </c>
      <c r="G316" s="1">
        <f>'Paste cell here'!AA316</f>
        <v>0</v>
      </c>
      <c r="H316" s="43">
        <f>'Paste cell here'!U316</f>
        <v>0</v>
      </c>
      <c r="I316" s="43">
        <f>'Paste cell here'!AE316</f>
        <v>0</v>
      </c>
      <c r="J316" s="44">
        <f>H315*'Paste cell here'!AO316+'Paste cell here'!AF316*'Paste cell here'!AP316</f>
        <v>0</v>
      </c>
      <c r="K316" s="45">
        <f>'Paste cell here'!AG316</f>
        <v>0</v>
      </c>
      <c r="L316" s="41" t="str">
        <f t="shared" si="14"/>
        <v>NO</v>
      </c>
      <c r="M316" s="1">
        <f>(Sintesi!$C$29*F316*1000)</f>
        <v>22.9209</v>
      </c>
      <c r="N316" s="1">
        <f>Sintesi!$C$30*F316*1000</f>
        <v>8.31</v>
      </c>
      <c r="O316" s="1">
        <f t="shared" si="12"/>
        <v>14.610899999999999</v>
      </c>
      <c r="P316" s="1">
        <f>Sintesi!$C$33*G316*1000</f>
        <v>0</v>
      </c>
      <c r="Q316" s="1">
        <f>Sintesi!$C$34*G316*1000</f>
        <v>0</v>
      </c>
      <c r="R316" s="1">
        <f t="shared" si="13"/>
        <v>0</v>
      </c>
    </row>
    <row r="317" spans="1:18">
      <c r="A317" s="41">
        <v>316</v>
      </c>
      <c r="B317" s="42">
        <f>DATE(Sintesi!$C$4-1,12,31)+A317</f>
        <v>44512</v>
      </c>
      <c r="C317" s="41">
        <f>'Paste cell here'!B317</f>
        <v>0</v>
      </c>
      <c r="D317" s="41">
        <f>'Paste cell here'!I317</f>
        <v>0</v>
      </c>
      <c r="E317" s="1">
        <f>'Paste cell here'!H317</f>
        <v>0</v>
      </c>
      <c r="F317" s="1">
        <f>Sintesi!$C$5</f>
        <v>0.1</v>
      </c>
      <c r="G317" s="1">
        <f>'Paste cell here'!AA317</f>
        <v>0</v>
      </c>
      <c r="H317" s="43">
        <f>'Paste cell here'!U317</f>
        <v>0</v>
      </c>
      <c r="I317" s="43">
        <f>'Paste cell here'!AE317</f>
        <v>0</v>
      </c>
      <c r="J317" s="44">
        <f>H316*'Paste cell here'!AO317+'Paste cell here'!AF317*'Paste cell here'!AP317</f>
        <v>0</v>
      </c>
      <c r="K317" s="45">
        <f>'Paste cell here'!AG317</f>
        <v>0</v>
      </c>
      <c r="L317" s="41" t="str">
        <f t="shared" si="14"/>
        <v>NO</v>
      </c>
      <c r="M317" s="1">
        <f>(Sintesi!$C$29*F317*1000)</f>
        <v>22.9209</v>
      </c>
      <c r="N317" s="1">
        <f>Sintesi!$C$30*F317*1000</f>
        <v>8.31</v>
      </c>
      <c r="O317" s="1">
        <f t="shared" si="12"/>
        <v>14.610899999999999</v>
      </c>
      <c r="P317" s="1">
        <f>Sintesi!$C$33*G317*1000</f>
        <v>0</v>
      </c>
      <c r="Q317" s="1">
        <f>Sintesi!$C$34*G317*1000</f>
        <v>0</v>
      </c>
      <c r="R317" s="1">
        <f t="shared" si="13"/>
        <v>0</v>
      </c>
    </row>
    <row r="318" spans="1:18">
      <c r="A318" s="41">
        <v>317</v>
      </c>
      <c r="B318" s="42">
        <f>DATE(Sintesi!$C$4-1,12,31)+A318</f>
        <v>44513</v>
      </c>
      <c r="C318" s="41">
        <f>'Paste cell here'!B318</f>
        <v>0</v>
      </c>
      <c r="D318" s="41">
        <f>'Paste cell here'!I318</f>
        <v>0</v>
      </c>
      <c r="E318" s="1">
        <f>'Paste cell here'!H318</f>
        <v>0</v>
      </c>
      <c r="F318" s="1">
        <f>Sintesi!$C$5</f>
        <v>0.1</v>
      </c>
      <c r="G318" s="1">
        <f>'Paste cell here'!AA318</f>
        <v>0</v>
      </c>
      <c r="H318" s="43">
        <f>'Paste cell here'!U318</f>
        <v>0</v>
      </c>
      <c r="I318" s="43">
        <f>'Paste cell here'!AE318</f>
        <v>0</v>
      </c>
      <c r="J318" s="44">
        <f>H317*'Paste cell here'!AO318+'Paste cell here'!AF318*'Paste cell here'!AP318</f>
        <v>0</v>
      </c>
      <c r="K318" s="45">
        <f>'Paste cell here'!AG318</f>
        <v>0</v>
      </c>
      <c r="L318" s="41" t="str">
        <f t="shared" si="14"/>
        <v>NO</v>
      </c>
      <c r="M318" s="1">
        <f>(Sintesi!$C$29*F318*1000)</f>
        <v>22.9209</v>
      </c>
      <c r="N318" s="1">
        <f>Sintesi!$C$30*F318*1000</f>
        <v>8.31</v>
      </c>
      <c r="O318" s="1">
        <f t="shared" si="12"/>
        <v>14.610899999999999</v>
      </c>
      <c r="P318" s="1">
        <f>Sintesi!$C$33*G318*1000</f>
        <v>0</v>
      </c>
      <c r="Q318" s="1">
        <f>Sintesi!$C$34*G318*1000</f>
        <v>0</v>
      </c>
      <c r="R318" s="1">
        <f t="shared" si="13"/>
        <v>0</v>
      </c>
    </row>
    <row r="319" spans="1:18">
      <c r="A319" s="41">
        <v>318</v>
      </c>
      <c r="B319" s="42">
        <f>DATE(Sintesi!$C$4-1,12,31)+A319</f>
        <v>44514</v>
      </c>
      <c r="C319" s="41">
        <f>'Paste cell here'!B319</f>
        <v>0</v>
      </c>
      <c r="D319" s="41">
        <f>'Paste cell here'!I319</f>
        <v>0</v>
      </c>
      <c r="E319" s="1">
        <f>'Paste cell here'!H319</f>
        <v>0</v>
      </c>
      <c r="F319" s="1">
        <f>Sintesi!$C$5</f>
        <v>0.1</v>
      </c>
      <c r="G319" s="1">
        <f>'Paste cell here'!AA319</f>
        <v>0</v>
      </c>
      <c r="H319" s="43">
        <f>'Paste cell here'!U319</f>
        <v>0</v>
      </c>
      <c r="I319" s="43">
        <f>'Paste cell here'!AE319</f>
        <v>0</v>
      </c>
      <c r="J319" s="44">
        <f>H318*'Paste cell here'!AO319+'Paste cell here'!AF319*'Paste cell here'!AP319</f>
        <v>0</v>
      </c>
      <c r="K319" s="45">
        <f>'Paste cell here'!AG319</f>
        <v>0</v>
      </c>
      <c r="L319" s="41" t="str">
        <f t="shared" si="14"/>
        <v>NO</v>
      </c>
      <c r="M319" s="1">
        <f>(Sintesi!$C$29*F319*1000)</f>
        <v>22.9209</v>
      </c>
      <c r="N319" s="1">
        <f>Sintesi!$C$30*F319*1000</f>
        <v>8.31</v>
      </c>
      <c r="O319" s="1">
        <f t="shared" si="12"/>
        <v>14.610899999999999</v>
      </c>
      <c r="P319" s="1">
        <f>Sintesi!$C$33*G319*1000</f>
        <v>0</v>
      </c>
      <c r="Q319" s="1">
        <f>Sintesi!$C$34*G319*1000</f>
        <v>0</v>
      </c>
      <c r="R319" s="1">
        <f t="shared" si="13"/>
        <v>0</v>
      </c>
    </row>
    <row r="320" spans="1:18">
      <c r="A320" s="41">
        <v>319</v>
      </c>
      <c r="B320" s="42">
        <f>DATE(Sintesi!$C$4-1,12,31)+A320</f>
        <v>44515</v>
      </c>
      <c r="C320" s="41">
        <f>'Paste cell here'!B320</f>
        <v>0</v>
      </c>
      <c r="D320" s="41">
        <f>'Paste cell here'!I320</f>
        <v>0</v>
      </c>
      <c r="E320" s="1">
        <f>'Paste cell here'!H320</f>
        <v>0</v>
      </c>
      <c r="F320" s="1">
        <f>Sintesi!$C$5</f>
        <v>0.1</v>
      </c>
      <c r="G320" s="1">
        <f>'Paste cell here'!AA320</f>
        <v>0</v>
      </c>
      <c r="H320" s="43">
        <f>'Paste cell here'!U320</f>
        <v>0</v>
      </c>
      <c r="I320" s="43">
        <f>'Paste cell here'!AE320</f>
        <v>0</v>
      </c>
      <c r="J320" s="44">
        <f>H319*'Paste cell here'!AO320+'Paste cell here'!AF320*'Paste cell here'!AP320</f>
        <v>0</v>
      </c>
      <c r="K320" s="45">
        <f>'Paste cell here'!AG320</f>
        <v>0</v>
      </c>
      <c r="L320" s="41" t="str">
        <f t="shared" si="14"/>
        <v>NO</v>
      </c>
      <c r="M320" s="1">
        <f>(Sintesi!$C$29*F320*1000)</f>
        <v>22.9209</v>
      </c>
      <c r="N320" s="1">
        <f>Sintesi!$C$30*F320*1000</f>
        <v>8.31</v>
      </c>
      <c r="O320" s="1">
        <f t="shared" si="12"/>
        <v>14.610899999999999</v>
      </c>
      <c r="P320" s="1">
        <f>Sintesi!$C$33*G320*1000</f>
        <v>0</v>
      </c>
      <c r="Q320" s="1">
        <f>Sintesi!$C$34*G320*1000</f>
        <v>0</v>
      </c>
      <c r="R320" s="1">
        <f t="shared" si="13"/>
        <v>0</v>
      </c>
    </row>
    <row r="321" spans="1:18">
      <c r="A321" s="41">
        <v>320</v>
      </c>
      <c r="B321" s="42">
        <f>DATE(Sintesi!$C$4-1,12,31)+A321</f>
        <v>44516</v>
      </c>
      <c r="C321" s="41">
        <f>'Paste cell here'!B321</f>
        <v>0</v>
      </c>
      <c r="D321" s="41">
        <f>'Paste cell here'!I321</f>
        <v>0</v>
      </c>
      <c r="E321" s="1">
        <f>'Paste cell here'!H321</f>
        <v>0</v>
      </c>
      <c r="F321" s="1">
        <f>Sintesi!$C$5</f>
        <v>0.1</v>
      </c>
      <c r="G321" s="1">
        <f>'Paste cell here'!AA321</f>
        <v>0</v>
      </c>
      <c r="H321" s="43">
        <f>'Paste cell here'!U321</f>
        <v>0</v>
      </c>
      <c r="I321" s="43">
        <f>'Paste cell here'!AE321</f>
        <v>0</v>
      </c>
      <c r="J321" s="44">
        <f>H320*'Paste cell here'!AO321+'Paste cell here'!AF321*'Paste cell here'!AP321</f>
        <v>0</v>
      </c>
      <c r="K321" s="45">
        <f>'Paste cell here'!AG321</f>
        <v>0</v>
      </c>
      <c r="L321" s="41" t="str">
        <f t="shared" si="14"/>
        <v>NO</v>
      </c>
      <c r="M321" s="1">
        <f>(Sintesi!$C$29*F321*1000)</f>
        <v>22.9209</v>
      </c>
      <c r="N321" s="1">
        <f>Sintesi!$C$30*F321*1000</f>
        <v>8.31</v>
      </c>
      <c r="O321" s="1">
        <f t="shared" si="12"/>
        <v>14.610899999999999</v>
      </c>
      <c r="P321" s="1">
        <f>Sintesi!$C$33*G321*1000</f>
        <v>0</v>
      </c>
      <c r="Q321" s="1">
        <f>Sintesi!$C$34*G321*1000</f>
        <v>0</v>
      </c>
      <c r="R321" s="1">
        <f t="shared" si="13"/>
        <v>0</v>
      </c>
    </row>
    <row r="322" spans="1:18">
      <c r="A322" s="41">
        <v>321</v>
      </c>
      <c r="B322" s="42">
        <f>DATE(Sintesi!$C$4-1,12,31)+A322</f>
        <v>44517</v>
      </c>
      <c r="C322" s="41">
        <f>'Paste cell here'!B322</f>
        <v>0</v>
      </c>
      <c r="D322" s="41">
        <f>'Paste cell here'!I322</f>
        <v>0</v>
      </c>
      <c r="E322" s="1">
        <f>'Paste cell here'!H322</f>
        <v>0</v>
      </c>
      <c r="F322" s="1">
        <f>Sintesi!$C$5</f>
        <v>0.1</v>
      </c>
      <c r="G322" s="1">
        <f>'Paste cell here'!AA322</f>
        <v>0</v>
      </c>
      <c r="H322" s="43">
        <f>'Paste cell here'!U322</f>
        <v>0</v>
      </c>
      <c r="I322" s="43">
        <f>'Paste cell here'!AE322</f>
        <v>0</v>
      </c>
      <c r="J322" s="44">
        <f>H321*'Paste cell here'!AO322+'Paste cell here'!AF322*'Paste cell here'!AP322</f>
        <v>0</v>
      </c>
      <c r="K322" s="45">
        <f>'Paste cell here'!AG322</f>
        <v>0</v>
      </c>
      <c r="L322" s="41" t="str">
        <f t="shared" si="14"/>
        <v>NO</v>
      </c>
      <c r="M322" s="1">
        <f>(Sintesi!$C$29*F322*1000)</f>
        <v>22.9209</v>
      </c>
      <c r="N322" s="1">
        <f>Sintesi!$C$30*F322*1000</f>
        <v>8.31</v>
      </c>
      <c r="O322" s="1">
        <f t="shared" si="12"/>
        <v>14.610899999999999</v>
      </c>
      <c r="P322" s="1">
        <f>Sintesi!$C$33*G322*1000</f>
        <v>0</v>
      </c>
      <c r="Q322" s="1">
        <f>Sintesi!$C$34*G322*1000</f>
        <v>0</v>
      </c>
      <c r="R322" s="1">
        <f t="shared" si="13"/>
        <v>0</v>
      </c>
    </row>
    <row r="323" spans="1:18">
      <c r="A323" s="41">
        <v>322</v>
      </c>
      <c r="B323" s="42">
        <f>DATE(Sintesi!$C$4-1,12,31)+A323</f>
        <v>44518</v>
      </c>
      <c r="C323" s="41">
        <f>'Paste cell here'!B323</f>
        <v>0</v>
      </c>
      <c r="D323" s="41">
        <f>'Paste cell here'!I323</f>
        <v>0</v>
      </c>
      <c r="E323" s="1">
        <f>'Paste cell here'!H323</f>
        <v>0</v>
      </c>
      <c r="F323" s="1">
        <f>Sintesi!$C$5</f>
        <v>0.1</v>
      </c>
      <c r="G323" s="1">
        <f>'Paste cell here'!AA323</f>
        <v>0</v>
      </c>
      <c r="H323" s="43">
        <f>'Paste cell here'!U323</f>
        <v>0</v>
      </c>
      <c r="I323" s="43">
        <f>'Paste cell here'!AE323</f>
        <v>0</v>
      </c>
      <c r="J323" s="44">
        <f>H322*'Paste cell here'!AO323+'Paste cell here'!AF323*'Paste cell here'!AP323</f>
        <v>0</v>
      </c>
      <c r="K323" s="45">
        <f>'Paste cell here'!AG323</f>
        <v>0</v>
      </c>
      <c r="L323" s="41" t="str">
        <f t="shared" si="14"/>
        <v>NO</v>
      </c>
      <c r="M323" s="1">
        <f>(Sintesi!$C$29*F323*1000)</f>
        <v>22.9209</v>
      </c>
      <c r="N323" s="1">
        <f>Sintesi!$C$30*F323*1000</f>
        <v>8.31</v>
      </c>
      <c r="O323" s="1">
        <f t="shared" ref="O323:O366" si="15">M323-N323</f>
        <v>14.610899999999999</v>
      </c>
      <c r="P323" s="1">
        <f>Sintesi!$C$33*G323*1000</f>
        <v>0</v>
      </c>
      <c r="Q323" s="1">
        <f>Sintesi!$C$34*G323*1000</f>
        <v>0</v>
      </c>
      <c r="R323" s="1">
        <f t="shared" ref="R323:R366" si="16">P323-Q323</f>
        <v>0</v>
      </c>
    </row>
    <row r="324" spans="1:18">
      <c r="A324" s="41">
        <v>323</v>
      </c>
      <c r="B324" s="42">
        <f>DATE(Sintesi!$C$4-1,12,31)+A324</f>
        <v>44519</v>
      </c>
      <c r="C324" s="41">
        <f>'Paste cell here'!B324</f>
        <v>0</v>
      </c>
      <c r="D324" s="41">
        <f>'Paste cell here'!I324</f>
        <v>0</v>
      </c>
      <c r="E324" s="1">
        <f>'Paste cell here'!H324</f>
        <v>0</v>
      </c>
      <c r="F324" s="1">
        <f>Sintesi!$C$5</f>
        <v>0.1</v>
      </c>
      <c r="G324" s="1">
        <f>'Paste cell here'!AA324</f>
        <v>0</v>
      </c>
      <c r="H324" s="43">
        <f>'Paste cell here'!U324</f>
        <v>0</v>
      </c>
      <c r="I324" s="43">
        <f>'Paste cell here'!AE324</f>
        <v>0</v>
      </c>
      <c r="J324" s="44">
        <f>H323*'Paste cell here'!AO324+'Paste cell here'!AF324*'Paste cell here'!AP324</f>
        <v>0</v>
      </c>
      <c r="K324" s="45">
        <f>'Paste cell here'!AG324</f>
        <v>0</v>
      </c>
      <c r="L324" s="41" t="str">
        <f t="shared" ref="L324:L366" si="17">IF(J324&lt;K324,"YES","NO")</f>
        <v>NO</v>
      </c>
      <c r="M324" s="1">
        <f>(Sintesi!$C$29*F324*1000)</f>
        <v>22.9209</v>
      </c>
      <c r="N324" s="1">
        <f>Sintesi!$C$30*F324*1000</f>
        <v>8.31</v>
      </c>
      <c r="O324" s="1">
        <f t="shared" si="15"/>
        <v>14.610899999999999</v>
      </c>
      <c r="P324" s="1">
        <f>Sintesi!$C$33*G324*1000</f>
        <v>0</v>
      </c>
      <c r="Q324" s="1">
        <f>Sintesi!$C$34*G324*1000</f>
        <v>0</v>
      </c>
      <c r="R324" s="1">
        <f t="shared" si="16"/>
        <v>0</v>
      </c>
    </row>
    <row r="325" spans="1:18">
      <c r="A325" s="41">
        <v>324</v>
      </c>
      <c r="B325" s="42">
        <f>DATE(Sintesi!$C$4-1,12,31)+A325</f>
        <v>44520</v>
      </c>
      <c r="C325" s="41">
        <f>'Paste cell here'!B325</f>
        <v>0</v>
      </c>
      <c r="D325" s="41">
        <f>'Paste cell here'!I325</f>
        <v>0</v>
      </c>
      <c r="E325" s="1">
        <f>'Paste cell here'!H325</f>
        <v>0</v>
      </c>
      <c r="F325" s="1">
        <f>Sintesi!$C$5</f>
        <v>0.1</v>
      </c>
      <c r="G325" s="1">
        <f>'Paste cell here'!AA325</f>
        <v>0</v>
      </c>
      <c r="H325" s="43">
        <f>'Paste cell here'!U325</f>
        <v>0</v>
      </c>
      <c r="I325" s="43">
        <f>'Paste cell here'!AE325</f>
        <v>0</v>
      </c>
      <c r="J325" s="44">
        <f>H324*'Paste cell here'!AO325+'Paste cell here'!AF325*'Paste cell here'!AP325</f>
        <v>0</v>
      </c>
      <c r="K325" s="45">
        <f>'Paste cell here'!AG325</f>
        <v>0</v>
      </c>
      <c r="L325" s="41" t="str">
        <f t="shared" si="17"/>
        <v>NO</v>
      </c>
      <c r="M325" s="1">
        <f>(Sintesi!$C$29*F325*1000)</f>
        <v>22.9209</v>
      </c>
      <c r="N325" s="1">
        <f>Sintesi!$C$30*F325*1000</f>
        <v>8.31</v>
      </c>
      <c r="O325" s="1">
        <f t="shared" si="15"/>
        <v>14.610899999999999</v>
      </c>
      <c r="P325" s="1">
        <f>Sintesi!$C$33*G325*1000</f>
        <v>0</v>
      </c>
      <c r="Q325" s="1">
        <f>Sintesi!$C$34*G325*1000</f>
        <v>0</v>
      </c>
      <c r="R325" s="1">
        <f t="shared" si="16"/>
        <v>0</v>
      </c>
    </row>
    <row r="326" spans="1:18">
      <c r="A326" s="41">
        <v>325</v>
      </c>
      <c r="B326" s="42">
        <f>DATE(Sintesi!$C$4-1,12,31)+A326</f>
        <v>44521</v>
      </c>
      <c r="C326" s="41">
        <f>'Paste cell here'!B326</f>
        <v>0</v>
      </c>
      <c r="D326" s="41">
        <f>'Paste cell here'!I326</f>
        <v>0</v>
      </c>
      <c r="E326" s="1">
        <f>'Paste cell here'!H326</f>
        <v>0</v>
      </c>
      <c r="F326" s="1">
        <f>Sintesi!$C$5</f>
        <v>0.1</v>
      </c>
      <c r="G326" s="1">
        <f>'Paste cell here'!AA326</f>
        <v>0</v>
      </c>
      <c r="H326" s="43">
        <f>'Paste cell here'!U326</f>
        <v>0</v>
      </c>
      <c r="I326" s="43">
        <f>'Paste cell here'!AE326</f>
        <v>0</v>
      </c>
      <c r="J326" s="44">
        <f>H325*'Paste cell here'!AO326+'Paste cell here'!AF326*'Paste cell here'!AP326</f>
        <v>0</v>
      </c>
      <c r="K326" s="45">
        <f>'Paste cell here'!AG326</f>
        <v>0</v>
      </c>
      <c r="L326" s="41" t="str">
        <f t="shared" si="17"/>
        <v>NO</v>
      </c>
      <c r="M326" s="1">
        <f>(Sintesi!$C$29*F326*1000)</f>
        <v>22.9209</v>
      </c>
      <c r="N326" s="1">
        <f>Sintesi!$C$30*F326*1000</f>
        <v>8.31</v>
      </c>
      <c r="O326" s="1">
        <f t="shared" si="15"/>
        <v>14.610899999999999</v>
      </c>
      <c r="P326" s="1">
        <f>Sintesi!$C$33*G326*1000</f>
        <v>0</v>
      </c>
      <c r="Q326" s="1">
        <f>Sintesi!$C$34*G326*1000</f>
        <v>0</v>
      </c>
      <c r="R326" s="1">
        <f t="shared" si="16"/>
        <v>0</v>
      </c>
    </row>
    <row r="327" spans="1:18">
      <c r="A327" s="41">
        <v>326</v>
      </c>
      <c r="B327" s="42">
        <f>DATE(Sintesi!$C$4-1,12,31)+A327</f>
        <v>44522</v>
      </c>
      <c r="C327" s="41">
        <f>'Paste cell here'!B327</f>
        <v>0</v>
      </c>
      <c r="D327" s="41">
        <f>'Paste cell here'!I327</f>
        <v>0</v>
      </c>
      <c r="E327" s="1">
        <f>'Paste cell here'!H327</f>
        <v>0</v>
      </c>
      <c r="F327" s="1">
        <f>Sintesi!$C$5</f>
        <v>0.1</v>
      </c>
      <c r="G327" s="1">
        <f>'Paste cell here'!AA327</f>
        <v>0</v>
      </c>
      <c r="H327" s="43">
        <f>'Paste cell here'!U327</f>
        <v>0</v>
      </c>
      <c r="I327" s="43">
        <f>'Paste cell here'!AE327</f>
        <v>0</v>
      </c>
      <c r="J327" s="44">
        <f>H326*'Paste cell here'!AO327+'Paste cell here'!AF327*'Paste cell here'!AP327</f>
        <v>0</v>
      </c>
      <c r="K327" s="45">
        <f>'Paste cell here'!AG327</f>
        <v>0</v>
      </c>
      <c r="L327" s="41" t="str">
        <f t="shared" si="17"/>
        <v>NO</v>
      </c>
      <c r="M327" s="1">
        <f>(Sintesi!$C$29*F327*1000)</f>
        <v>22.9209</v>
      </c>
      <c r="N327" s="1">
        <f>Sintesi!$C$30*F327*1000</f>
        <v>8.31</v>
      </c>
      <c r="O327" s="1">
        <f t="shared" si="15"/>
        <v>14.610899999999999</v>
      </c>
      <c r="P327" s="1">
        <f>Sintesi!$C$33*G327*1000</f>
        <v>0</v>
      </c>
      <c r="Q327" s="1">
        <f>Sintesi!$C$34*G327*1000</f>
        <v>0</v>
      </c>
      <c r="R327" s="1">
        <f t="shared" si="16"/>
        <v>0</v>
      </c>
    </row>
    <row r="328" spans="1:18">
      <c r="A328" s="41">
        <v>327</v>
      </c>
      <c r="B328" s="42">
        <f>DATE(Sintesi!$C$4-1,12,31)+A328</f>
        <v>44523</v>
      </c>
      <c r="C328" s="41">
        <f>'Paste cell here'!B328</f>
        <v>0</v>
      </c>
      <c r="D328" s="41">
        <f>'Paste cell here'!I328</f>
        <v>0</v>
      </c>
      <c r="E328" s="1">
        <f>'Paste cell here'!H328</f>
        <v>0</v>
      </c>
      <c r="F328" s="1">
        <f>Sintesi!$C$5</f>
        <v>0.1</v>
      </c>
      <c r="G328" s="1">
        <f>'Paste cell here'!AA328</f>
        <v>0</v>
      </c>
      <c r="H328" s="43">
        <f>'Paste cell here'!U328</f>
        <v>0</v>
      </c>
      <c r="I328" s="43">
        <f>'Paste cell here'!AE328</f>
        <v>0</v>
      </c>
      <c r="J328" s="44">
        <f>H327*'Paste cell here'!AO328+'Paste cell here'!AF328*'Paste cell here'!AP328</f>
        <v>0</v>
      </c>
      <c r="K328" s="45">
        <f>'Paste cell here'!AG328</f>
        <v>0</v>
      </c>
      <c r="L328" s="41" t="str">
        <f t="shared" si="17"/>
        <v>NO</v>
      </c>
      <c r="M328" s="1">
        <f>(Sintesi!$C$29*F328*1000)</f>
        <v>22.9209</v>
      </c>
      <c r="N328" s="1">
        <f>Sintesi!$C$30*F328*1000</f>
        <v>8.31</v>
      </c>
      <c r="O328" s="1">
        <f t="shared" si="15"/>
        <v>14.610899999999999</v>
      </c>
      <c r="P328" s="1">
        <f>Sintesi!$C$33*G328*1000</f>
        <v>0</v>
      </c>
      <c r="Q328" s="1">
        <f>Sintesi!$C$34*G328*1000</f>
        <v>0</v>
      </c>
      <c r="R328" s="1">
        <f t="shared" si="16"/>
        <v>0</v>
      </c>
    </row>
    <row r="329" spans="1:18">
      <c r="A329" s="41">
        <v>328</v>
      </c>
      <c r="B329" s="42">
        <f>DATE(Sintesi!$C$4-1,12,31)+A329</f>
        <v>44524</v>
      </c>
      <c r="C329" s="41">
        <f>'Paste cell here'!B329</f>
        <v>0</v>
      </c>
      <c r="D329" s="41">
        <f>'Paste cell here'!I329</f>
        <v>0</v>
      </c>
      <c r="E329" s="1">
        <f>'Paste cell here'!H329</f>
        <v>0</v>
      </c>
      <c r="F329" s="1">
        <f>Sintesi!$C$5</f>
        <v>0.1</v>
      </c>
      <c r="G329" s="1">
        <f>'Paste cell here'!AA329</f>
        <v>0</v>
      </c>
      <c r="H329" s="43">
        <f>'Paste cell here'!U329</f>
        <v>0</v>
      </c>
      <c r="I329" s="43">
        <f>'Paste cell here'!AE329</f>
        <v>0</v>
      </c>
      <c r="J329" s="44">
        <f>H328*'Paste cell here'!AO329+'Paste cell here'!AF329*'Paste cell here'!AP329</f>
        <v>0</v>
      </c>
      <c r="K329" s="45">
        <f>'Paste cell here'!AG329</f>
        <v>0</v>
      </c>
      <c r="L329" s="41" t="str">
        <f t="shared" si="17"/>
        <v>NO</v>
      </c>
      <c r="M329" s="1">
        <f>(Sintesi!$C$29*F329*1000)</f>
        <v>22.9209</v>
      </c>
      <c r="N329" s="1">
        <f>Sintesi!$C$30*F329*1000</f>
        <v>8.31</v>
      </c>
      <c r="O329" s="1">
        <f t="shared" si="15"/>
        <v>14.610899999999999</v>
      </c>
      <c r="P329" s="1">
        <f>Sintesi!$C$33*G329*1000</f>
        <v>0</v>
      </c>
      <c r="Q329" s="1">
        <f>Sintesi!$C$34*G329*1000</f>
        <v>0</v>
      </c>
      <c r="R329" s="1">
        <f t="shared" si="16"/>
        <v>0</v>
      </c>
    </row>
    <row r="330" spans="1:18">
      <c r="A330" s="41">
        <v>329</v>
      </c>
      <c r="B330" s="42">
        <f>DATE(Sintesi!$C$4-1,12,31)+A330</f>
        <v>44525</v>
      </c>
      <c r="C330" s="41">
        <f>'Paste cell here'!B330</f>
        <v>0</v>
      </c>
      <c r="D330" s="41">
        <f>'Paste cell here'!I330</f>
        <v>0</v>
      </c>
      <c r="E330" s="1">
        <f>'Paste cell here'!H330</f>
        <v>0</v>
      </c>
      <c r="F330" s="1">
        <f>Sintesi!$C$5</f>
        <v>0.1</v>
      </c>
      <c r="G330" s="1">
        <f>'Paste cell here'!AA330</f>
        <v>0</v>
      </c>
      <c r="H330" s="43">
        <f>'Paste cell here'!U330</f>
        <v>0</v>
      </c>
      <c r="I330" s="43">
        <f>'Paste cell here'!AE330</f>
        <v>0</v>
      </c>
      <c r="J330" s="44">
        <f>H329*'Paste cell here'!AO330+'Paste cell here'!AF330*'Paste cell here'!AP330</f>
        <v>0</v>
      </c>
      <c r="K330" s="45">
        <f>'Paste cell here'!AG330</f>
        <v>0</v>
      </c>
      <c r="L330" s="41" t="str">
        <f t="shared" si="17"/>
        <v>NO</v>
      </c>
      <c r="M330" s="1">
        <f>(Sintesi!$C$29*F330*1000)</f>
        <v>22.9209</v>
      </c>
      <c r="N330" s="1">
        <f>Sintesi!$C$30*F330*1000</f>
        <v>8.31</v>
      </c>
      <c r="O330" s="1">
        <f t="shared" si="15"/>
        <v>14.610899999999999</v>
      </c>
      <c r="P330" s="1">
        <f>Sintesi!$C$33*G330*1000</f>
        <v>0</v>
      </c>
      <c r="Q330" s="1">
        <f>Sintesi!$C$34*G330*1000</f>
        <v>0</v>
      </c>
      <c r="R330" s="1">
        <f t="shared" si="16"/>
        <v>0</v>
      </c>
    </row>
    <row r="331" spans="1:18">
      <c r="A331" s="41">
        <v>330</v>
      </c>
      <c r="B331" s="42">
        <f>DATE(Sintesi!$C$4-1,12,31)+A331</f>
        <v>44526</v>
      </c>
      <c r="C331" s="41">
        <f>'Paste cell here'!B331</f>
        <v>0</v>
      </c>
      <c r="D331" s="41">
        <f>'Paste cell here'!I331</f>
        <v>0</v>
      </c>
      <c r="E331" s="1">
        <f>'Paste cell here'!H331</f>
        <v>0</v>
      </c>
      <c r="F331" s="1">
        <f>Sintesi!$C$5</f>
        <v>0.1</v>
      </c>
      <c r="G331" s="1">
        <f>'Paste cell here'!AA331</f>
        <v>0</v>
      </c>
      <c r="H331" s="43">
        <f>'Paste cell here'!U331</f>
        <v>0</v>
      </c>
      <c r="I331" s="43">
        <f>'Paste cell here'!AE331</f>
        <v>0</v>
      </c>
      <c r="J331" s="44">
        <f>H330*'Paste cell here'!AO331+'Paste cell here'!AF331*'Paste cell here'!AP331</f>
        <v>0</v>
      </c>
      <c r="K331" s="45">
        <f>'Paste cell here'!AG331</f>
        <v>0</v>
      </c>
      <c r="L331" s="41" t="str">
        <f t="shared" si="17"/>
        <v>NO</v>
      </c>
      <c r="M331" s="1">
        <f>(Sintesi!$C$29*F331*1000)</f>
        <v>22.9209</v>
      </c>
      <c r="N331" s="1">
        <f>Sintesi!$C$30*F331*1000</f>
        <v>8.31</v>
      </c>
      <c r="O331" s="1">
        <f t="shared" si="15"/>
        <v>14.610899999999999</v>
      </c>
      <c r="P331" s="1">
        <f>Sintesi!$C$33*G331*1000</f>
        <v>0</v>
      </c>
      <c r="Q331" s="1">
        <f>Sintesi!$C$34*G331*1000</f>
        <v>0</v>
      </c>
      <c r="R331" s="1">
        <f t="shared" si="16"/>
        <v>0</v>
      </c>
    </row>
    <row r="332" spans="1:18">
      <c r="A332" s="41">
        <v>331</v>
      </c>
      <c r="B332" s="42">
        <f>DATE(Sintesi!$C$4-1,12,31)+A332</f>
        <v>44527</v>
      </c>
      <c r="C332" s="41">
        <f>'Paste cell here'!B332</f>
        <v>0</v>
      </c>
      <c r="D332" s="41">
        <f>'Paste cell here'!I332</f>
        <v>0</v>
      </c>
      <c r="E332" s="1">
        <f>'Paste cell here'!H332</f>
        <v>0</v>
      </c>
      <c r="F332" s="1">
        <f>Sintesi!$C$5</f>
        <v>0.1</v>
      </c>
      <c r="G332" s="1">
        <f>'Paste cell here'!AA332</f>
        <v>0</v>
      </c>
      <c r="H332" s="43">
        <f>'Paste cell here'!U332</f>
        <v>0</v>
      </c>
      <c r="I332" s="43">
        <f>'Paste cell here'!AE332</f>
        <v>0</v>
      </c>
      <c r="J332" s="44">
        <f>H331*'Paste cell here'!AO332+'Paste cell here'!AF332*'Paste cell here'!AP332</f>
        <v>0</v>
      </c>
      <c r="K332" s="45">
        <f>'Paste cell here'!AG332</f>
        <v>0</v>
      </c>
      <c r="L332" s="41" t="str">
        <f t="shared" si="17"/>
        <v>NO</v>
      </c>
      <c r="M332" s="1">
        <f>(Sintesi!$C$29*F332*1000)</f>
        <v>22.9209</v>
      </c>
      <c r="N332" s="1">
        <f>Sintesi!$C$30*F332*1000</f>
        <v>8.31</v>
      </c>
      <c r="O332" s="1">
        <f t="shared" si="15"/>
        <v>14.610899999999999</v>
      </c>
      <c r="P332" s="1">
        <f>Sintesi!$C$33*G332*1000</f>
        <v>0</v>
      </c>
      <c r="Q332" s="1">
        <f>Sintesi!$C$34*G332*1000</f>
        <v>0</v>
      </c>
      <c r="R332" s="1">
        <f t="shared" si="16"/>
        <v>0</v>
      </c>
    </row>
    <row r="333" spans="1:18">
      <c r="A333" s="41">
        <v>332</v>
      </c>
      <c r="B333" s="42">
        <f>DATE(Sintesi!$C$4-1,12,31)+A333</f>
        <v>44528</v>
      </c>
      <c r="C333" s="41">
        <f>'Paste cell here'!B333</f>
        <v>0</v>
      </c>
      <c r="D333" s="41">
        <f>'Paste cell here'!I333</f>
        <v>0</v>
      </c>
      <c r="E333" s="1">
        <f>'Paste cell here'!H333</f>
        <v>0</v>
      </c>
      <c r="F333" s="1">
        <f>Sintesi!$C$5</f>
        <v>0.1</v>
      </c>
      <c r="G333" s="1">
        <f>'Paste cell here'!AA333</f>
        <v>0</v>
      </c>
      <c r="H333" s="43">
        <f>'Paste cell here'!U333</f>
        <v>0</v>
      </c>
      <c r="I333" s="43">
        <f>'Paste cell here'!AE333</f>
        <v>0</v>
      </c>
      <c r="J333" s="44">
        <f>H332*'Paste cell here'!AO333+'Paste cell here'!AF333*'Paste cell here'!AP333</f>
        <v>0</v>
      </c>
      <c r="K333" s="45">
        <f>'Paste cell here'!AG333</f>
        <v>0</v>
      </c>
      <c r="L333" s="41" t="str">
        <f t="shared" si="17"/>
        <v>NO</v>
      </c>
      <c r="M333" s="1">
        <f>(Sintesi!$C$29*F333*1000)</f>
        <v>22.9209</v>
      </c>
      <c r="N333" s="1">
        <f>Sintesi!$C$30*F333*1000</f>
        <v>8.31</v>
      </c>
      <c r="O333" s="1">
        <f t="shared" si="15"/>
        <v>14.610899999999999</v>
      </c>
      <c r="P333" s="1">
        <f>Sintesi!$C$33*G333*1000</f>
        <v>0</v>
      </c>
      <c r="Q333" s="1">
        <f>Sintesi!$C$34*G333*1000</f>
        <v>0</v>
      </c>
      <c r="R333" s="1">
        <f t="shared" si="16"/>
        <v>0</v>
      </c>
    </row>
    <row r="334" spans="1:18">
      <c r="A334" s="41">
        <v>333</v>
      </c>
      <c r="B334" s="42">
        <f>DATE(Sintesi!$C$4-1,12,31)+A334</f>
        <v>44529</v>
      </c>
      <c r="C334" s="41">
        <f>'Paste cell here'!B334</f>
        <v>0</v>
      </c>
      <c r="D334" s="41">
        <f>'Paste cell here'!I334</f>
        <v>0</v>
      </c>
      <c r="E334" s="1">
        <f>'Paste cell here'!H334</f>
        <v>0</v>
      </c>
      <c r="F334" s="1">
        <f>Sintesi!$C$5</f>
        <v>0.1</v>
      </c>
      <c r="G334" s="1">
        <f>'Paste cell here'!AA334</f>
        <v>0</v>
      </c>
      <c r="H334" s="43">
        <f>'Paste cell here'!U334</f>
        <v>0</v>
      </c>
      <c r="I334" s="43">
        <f>'Paste cell here'!AE334</f>
        <v>0</v>
      </c>
      <c r="J334" s="44">
        <f>H333*'Paste cell here'!AO334+'Paste cell here'!AF334*'Paste cell here'!AP334</f>
        <v>0</v>
      </c>
      <c r="K334" s="45">
        <f>'Paste cell here'!AG334</f>
        <v>0</v>
      </c>
      <c r="L334" s="41" t="str">
        <f t="shared" si="17"/>
        <v>NO</v>
      </c>
      <c r="M334" s="1">
        <f>(Sintesi!$C$29*F334*1000)</f>
        <v>22.9209</v>
      </c>
      <c r="N334" s="1">
        <f>Sintesi!$C$30*F334*1000</f>
        <v>8.31</v>
      </c>
      <c r="O334" s="1">
        <f t="shared" si="15"/>
        <v>14.610899999999999</v>
      </c>
      <c r="P334" s="1">
        <f>Sintesi!$C$33*G334*1000</f>
        <v>0</v>
      </c>
      <c r="Q334" s="1">
        <f>Sintesi!$C$34*G334*1000</f>
        <v>0</v>
      </c>
      <c r="R334" s="1">
        <f t="shared" si="16"/>
        <v>0</v>
      </c>
    </row>
    <row r="335" spans="1:18">
      <c r="A335" s="41">
        <v>334</v>
      </c>
      <c r="B335" s="42">
        <f>DATE(Sintesi!$C$4-1,12,31)+A335</f>
        <v>44530</v>
      </c>
      <c r="C335" s="41">
        <f>'Paste cell here'!B335</f>
        <v>0</v>
      </c>
      <c r="D335" s="41">
        <f>'Paste cell here'!I335</f>
        <v>0</v>
      </c>
      <c r="E335" s="1">
        <f>'Paste cell here'!H335</f>
        <v>0</v>
      </c>
      <c r="F335" s="1">
        <f>Sintesi!$C$5</f>
        <v>0.1</v>
      </c>
      <c r="G335" s="1">
        <f>'Paste cell here'!AA335</f>
        <v>0</v>
      </c>
      <c r="H335" s="43">
        <f>'Paste cell here'!U335</f>
        <v>0</v>
      </c>
      <c r="I335" s="43">
        <f>'Paste cell here'!AE335</f>
        <v>0</v>
      </c>
      <c r="J335" s="44">
        <f>H334*'Paste cell here'!AO335+'Paste cell here'!AF335*'Paste cell here'!AP335</f>
        <v>0</v>
      </c>
      <c r="K335" s="45">
        <f>'Paste cell here'!AG335</f>
        <v>0</v>
      </c>
      <c r="L335" s="41" t="str">
        <f t="shared" si="17"/>
        <v>NO</v>
      </c>
      <c r="M335" s="1">
        <f>(Sintesi!$C$29*F335*1000)</f>
        <v>22.9209</v>
      </c>
      <c r="N335" s="1">
        <f>Sintesi!$C$30*F335*1000</f>
        <v>8.31</v>
      </c>
      <c r="O335" s="1">
        <f t="shared" si="15"/>
        <v>14.610899999999999</v>
      </c>
      <c r="P335" s="1">
        <f>Sintesi!$C$33*G335*1000</f>
        <v>0</v>
      </c>
      <c r="Q335" s="1">
        <f>Sintesi!$C$34*G335*1000</f>
        <v>0</v>
      </c>
      <c r="R335" s="1">
        <f t="shared" si="16"/>
        <v>0</v>
      </c>
    </row>
    <row r="336" spans="1:18">
      <c r="A336" s="41">
        <v>335</v>
      </c>
      <c r="B336" s="42">
        <f>DATE(Sintesi!$C$4-1,12,31)+A336</f>
        <v>44531</v>
      </c>
      <c r="C336" s="41">
        <f>'Paste cell here'!B336</f>
        <v>0</v>
      </c>
      <c r="D336" s="41">
        <f>'Paste cell here'!I336</f>
        <v>0</v>
      </c>
      <c r="E336" s="1">
        <f>'Paste cell here'!H336</f>
        <v>0</v>
      </c>
      <c r="F336" s="1">
        <f>Sintesi!$C$5</f>
        <v>0.1</v>
      </c>
      <c r="G336" s="1">
        <f>'Paste cell here'!AA336</f>
        <v>0</v>
      </c>
      <c r="H336" s="43">
        <f>'Paste cell here'!U336</f>
        <v>0</v>
      </c>
      <c r="I336" s="43">
        <f>'Paste cell here'!AE336</f>
        <v>0</v>
      </c>
      <c r="J336" s="44">
        <f>H335*'Paste cell here'!AO336+'Paste cell here'!AF336*'Paste cell here'!AP336</f>
        <v>0</v>
      </c>
      <c r="K336" s="45">
        <f>'Paste cell here'!AG336</f>
        <v>0</v>
      </c>
      <c r="L336" s="41" t="str">
        <f t="shared" si="17"/>
        <v>NO</v>
      </c>
      <c r="M336" s="1">
        <f>(Sintesi!$C$29*F336*1000)</f>
        <v>22.9209</v>
      </c>
      <c r="N336" s="1">
        <f>Sintesi!$C$30*F336*1000</f>
        <v>8.31</v>
      </c>
      <c r="O336" s="1">
        <f t="shared" si="15"/>
        <v>14.610899999999999</v>
      </c>
      <c r="P336" s="1">
        <f>Sintesi!$C$33*G336*1000</f>
        <v>0</v>
      </c>
      <c r="Q336" s="1">
        <f>Sintesi!$C$34*G336*1000</f>
        <v>0</v>
      </c>
      <c r="R336" s="1">
        <f t="shared" si="16"/>
        <v>0</v>
      </c>
    </row>
    <row r="337" spans="1:18">
      <c r="A337" s="41">
        <v>336</v>
      </c>
      <c r="B337" s="42">
        <f>DATE(Sintesi!$C$4-1,12,31)+A337</f>
        <v>44532</v>
      </c>
      <c r="C337" s="41">
        <f>'Paste cell here'!B337</f>
        <v>0</v>
      </c>
      <c r="D337" s="41">
        <f>'Paste cell here'!I337</f>
        <v>0</v>
      </c>
      <c r="E337" s="1">
        <f>'Paste cell here'!H337</f>
        <v>0</v>
      </c>
      <c r="F337" s="1">
        <f>Sintesi!$C$5</f>
        <v>0.1</v>
      </c>
      <c r="G337" s="1">
        <f>'Paste cell here'!AA337</f>
        <v>0</v>
      </c>
      <c r="H337" s="43">
        <f>'Paste cell here'!U337</f>
        <v>0</v>
      </c>
      <c r="I337" s="43">
        <f>'Paste cell here'!AE337</f>
        <v>0</v>
      </c>
      <c r="J337" s="44">
        <f>H336*'Paste cell here'!AO337+'Paste cell here'!AF337*'Paste cell here'!AP337</f>
        <v>0</v>
      </c>
      <c r="K337" s="45">
        <f>'Paste cell here'!AG337</f>
        <v>0</v>
      </c>
      <c r="L337" s="41" t="str">
        <f t="shared" si="17"/>
        <v>NO</v>
      </c>
      <c r="M337" s="1">
        <f>(Sintesi!$C$29*F337*1000)</f>
        <v>22.9209</v>
      </c>
      <c r="N337" s="1">
        <f>Sintesi!$C$30*F337*1000</f>
        <v>8.31</v>
      </c>
      <c r="O337" s="1">
        <f t="shared" si="15"/>
        <v>14.610899999999999</v>
      </c>
      <c r="P337" s="1">
        <f>Sintesi!$C$33*G337*1000</f>
        <v>0</v>
      </c>
      <c r="Q337" s="1">
        <f>Sintesi!$C$34*G337*1000</f>
        <v>0</v>
      </c>
      <c r="R337" s="1">
        <f t="shared" si="16"/>
        <v>0</v>
      </c>
    </row>
    <row r="338" spans="1:18">
      <c r="A338" s="41">
        <v>337</v>
      </c>
      <c r="B338" s="42">
        <f>DATE(Sintesi!$C$4-1,12,31)+A338</f>
        <v>44533</v>
      </c>
      <c r="C338" s="41">
        <f>'Paste cell here'!B338</f>
        <v>0</v>
      </c>
      <c r="D338" s="41">
        <f>'Paste cell here'!I338</f>
        <v>0</v>
      </c>
      <c r="E338" s="1">
        <f>'Paste cell here'!H338</f>
        <v>0</v>
      </c>
      <c r="F338" s="1">
        <f>Sintesi!$C$5</f>
        <v>0.1</v>
      </c>
      <c r="G338" s="1">
        <f>'Paste cell here'!AA338</f>
        <v>0</v>
      </c>
      <c r="H338" s="43">
        <f>'Paste cell here'!U338</f>
        <v>0</v>
      </c>
      <c r="I338" s="43">
        <f>'Paste cell here'!AE338</f>
        <v>0</v>
      </c>
      <c r="J338" s="44">
        <f>H337*'Paste cell here'!AO338+'Paste cell here'!AF338*'Paste cell here'!AP338</f>
        <v>0</v>
      </c>
      <c r="K338" s="45">
        <f>'Paste cell here'!AG338</f>
        <v>0</v>
      </c>
      <c r="L338" s="41" t="str">
        <f t="shared" si="17"/>
        <v>NO</v>
      </c>
      <c r="M338" s="1">
        <f>(Sintesi!$C$29*F338*1000)</f>
        <v>22.9209</v>
      </c>
      <c r="N338" s="1">
        <f>Sintesi!$C$30*F338*1000</f>
        <v>8.31</v>
      </c>
      <c r="O338" s="1">
        <f t="shared" si="15"/>
        <v>14.610899999999999</v>
      </c>
      <c r="P338" s="1">
        <f>Sintesi!$C$33*G338*1000</f>
        <v>0</v>
      </c>
      <c r="Q338" s="1">
        <f>Sintesi!$C$34*G338*1000</f>
        <v>0</v>
      </c>
      <c r="R338" s="1">
        <f t="shared" si="16"/>
        <v>0</v>
      </c>
    </row>
    <row r="339" spans="1:18">
      <c r="A339" s="41">
        <v>338</v>
      </c>
      <c r="B339" s="42">
        <f>DATE(Sintesi!$C$4-1,12,31)+A339</f>
        <v>44534</v>
      </c>
      <c r="C339" s="41">
        <f>'Paste cell here'!B339</f>
        <v>0</v>
      </c>
      <c r="D339" s="41">
        <f>'Paste cell here'!I339</f>
        <v>0</v>
      </c>
      <c r="E339" s="1">
        <f>'Paste cell here'!H339</f>
        <v>0</v>
      </c>
      <c r="F339" s="1">
        <f>Sintesi!$C$5</f>
        <v>0.1</v>
      </c>
      <c r="G339" s="1">
        <f>'Paste cell here'!AA339</f>
        <v>0</v>
      </c>
      <c r="H339" s="43">
        <f>'Paste cell here'!U339</f>
        <v>0</v>
      </c>
      <c r="I339" s="43">
        <f>'Paste cell here'!AE339</f>
        <v>0</v>
      </c>
      <c r="J339" s="44">
        <f>H338*'Paste cell here'!AO339+'Paste cell here'!AF339*'Paste cell here'!AP339</f>
        <v>0</v>
      </c>
      <c r="K339" s="45">
        <f>'Paste cell here'!AG339</f>
        <v>0</v>
      </c>
      <c r="L339" s="41" t="str">
        <f t="shared" si="17"/>
        <v>NO</v>
      </c>
      <c r="M339" s="1">
        <f>(Sintesi!$C$29*F339*1000)</f>
        <v>22.9209</v>
      </c>
      <c r="N339" s="1">
        <f>Sintesi!$C$30*F339*1000</f>
        <v>8.31</v>
      </c>
      <c r="O339" s="1">
        <f t="shared" si="15"/>
        <v>14.610899999999999</v>
      </c>
      <c r="P339" s="1">
        <f>Sintesi!$C$33*G339*1000</f>
        <v>0</v>
      </c>
      <c r="Q339" s="1">
        <f>Sintesi!$C$34*G339*1000</f>
        <v>0</v>
      </c>
      <c r="R339" s="1">
        <f t="shared" si="16"/>
        <v>0</v>
      </c>
    </row>
    <row r="340" spans="1:18">
      <c r="A340" s="41">
        <v>339</v>
      </c>
      <c r="B340" s="42">
        <f>DATE(Sintesi!$C$4-1,12,31)+A340</f>
        <v>44535</v>
      </c>
      <c r="C340" s="41">
        <f>'Paste cell here'!B340</f>
        <v>0</v>
      </c>
      <c r="D340" s="41">
        <f>'Paste cell here'!I340</f>
        <v>0</v>
      </c>
      <c r="E340" s="1">
        <f>'Paste cell here'!H340</f>
        <v>0</v>
      </c>
      <c r="F340" s="1">
        <f>Sintesi!$C$5</f>
        <v>0.1</v>
      </c>
      <c r="G340" s="1">
        <f>'Paste cell here'!AA340</f>
        <v>0</v>
      </c>
      <c r="H340" s="43">
        <f>'Paste cell here'!U340</f>
        <v>0</v>
      </c>
      <c r="I340" s="43">
        <f>'Paste cell here'!AE340</f>
        <v>0</v>
      </c>
      <c r="J340" s="44">
        <f>H339*'Paste cell here'!AO340+'Paste cell here'!AF340*'Paste cell here'!AP340</f>
        <v>0</v>
      </c>
      <c r="K340" s="45">
        <f>'Paste cell here'!AG340</f>
        <v>0</v>
      </c>
      <c r="L340" s="41" t="str">
        <f t="shared" si="17"/>
        <v>NO</v>
      </c>
      <c r="M340" s="1">
        <f>(Sintesi!$C$29*F340*1000)</f>
        <v>22.9209</v>
      </c>
      <c r="N340" s="1">
        <f>Sintesi!$C$30*F340*1000</f>
        <v>8.31</v>
      </c>
      <c r="O340" s="1">
        <f t="shared" si="15"/>
        <v>14.610899999999999</v>
      </c>
      <c r="P340" s="1">
        <f>Sintesi!$C$33*G340*1000</f>
        <v>0</v>
      </c>
      <c r="Q340" s="1">
        <f>Sintesi!$C$34*G340*1000</f>
        <v>0</v>
      </c>
      <c r="R340" s="1">
        <f t="shared" si="16"/>
        <v>0</v>
      </c>
    </row>
    <row r="341" spans="1:18">
      <c r="A341" s="41">
        <v>340</v>
      </c>
      <c r="B341" s="42">
        <f>DATE(Sintesi!$C$4-1,12,31)+A341</f>
        <v>44536</v>
      </c>
      <c r="C341" s="41">
        <f>'Paste cell here'!B341</f>
        <v>0</v>
      </c>
      <c r="D341" s="41">
        <f>'Paste cell here'!I341</f>
        <v>0</v>
      </c>
      <c r="E341" s="1">
        <f>'Paste cell here'!H341</f>
        <v>0</v>
      </c>
      <c r="F341" s="1">
        <f>Sintesi!$C$5</f>
        <v>0.1</v>
      </c>
      <c r="G341" s="1">
        <f>'Paste cell here'!AA341</f>
        <v>0</v>
      </c>
      <c r="H341" s="43">
        <f>'Paste cell here'!U341</f>
        <v>0</v>
      </c>
      <c r="I341" s="43">
        <f>'Paste cell here'!AE341</f>
        <v>0</v>
      </c>
      <c r="J341" s="44">
        <f>H340*'Paste cell here'!AO341+'Paste cell here'!AF341*'Paste cell here'!AP341</f>
        <v>0</v>
      </c>
      <c r="K341" s="45">
        <f>'Paste cell here'!AG341</f>
        <v>0</v>
      </c>
      <c r="L341" s="41" t="str">
        <f t="shared" si="17"/>
        <v>NO</v>
      </c>
      <c r="M341" s="1">
        <f>(Sintesi!$C$29*F341*1000)</f>
        <v>22.9209</v>
      </c>
      <c r="N341" s="1">
        <f>Sintesi!$C$30*F341*1000</f>
        <v>8.31</v>
      </c>
      <c r="O341" s="1">
        <f t="shared" si="15"/>
        <v>14.610899999999999</v>
      </c>
      <c r="P341" s="1">
        <f>Sintesi!$C$33*G341*1000</f>
        <v>0</v>
      </c>
      <c r="Q341" s="1">
        <f>Sintesi!$C$34*G341*1000</f>
        <v>0</v>
      </c>
      <c r="R341" s="1">
        <f t="shared" si="16"/>
        <v>0</v>
      </c>
    </row>
    <row r="342" spans="1:18">
      <c r="A342" s="41">
        <v>341</v>
      </c>
      <c r="B342" s="42">
        <f>DATE(Sintesi!$C$4-1,12,31)+A342</f>
        <v>44537</v>
      </c>
      <c r="C342" s="41">
        <f>'Paste cell here'!B342</f>
        <v>0</v>
      </c>
      <c r="D342" s="41">
        <f>'Paste cell here'!I342</f>
        <v>0</v>
      </c>
      <c r="E342" s="1">
        <f>'Paste cell here'!H342</f>
        <v>0</v>
      </c>
      <c r="F342" s="1">
        <f>Sintesi!$C$5</f>
        <v>0.1</v>
      </c>
      <c r="G342" s="1">
        <f>'Paste cell here'!AA342</f>
        <v>0</v>
      </c>
      <c r="H342" s="43">
        <f>'Paste cell here'!U342</f>
        <v>0</v>
      </c>
      <c r="I342" s="43">
        <f>'Paste cell here'!AE342</f>
        <v>0</v>
      </c>
      <c r="J342" s="44">
        <f>H341*'Paste cell here'!AO342+'Paste cell here'!AF342*'Paste cell here'!AP342</f>
        <v>0</v>
      </c>
      <c r="K342" s="45">
        <f>'Paste cell here'!AG342</f>
        <v>0</v>
      </c>
      <c r="L342" s="41" t="str">
        <f t="shared" si="17"/>
        <v>NO</v>
      </c>
      <c r="M342" s="1">
        <f>(Sintesi!$C$29*F342*1000)</f>
        <v>22.9209</v>
      </c>
      <c r="N342" s="1">
        <f>Sintesi!$C$30*F342*1000</f>
        <v>8.31</v>
      </c>
      <c r="O342" s="1">
        <f t="shared" si="15"/>
        <v>14.610899999999999</v>
      </c>
      <c r="P342" s="1">
        <f>Sintesi!$C$33*G342*1000</f>
        <v>0</v>
      </c>
      <c r="Q342" s="1">
        <f>Sintesi!$C$34*G342*1000</f>
        <v>0</v>
      </c>
      <c r="R342" s="1">
        <f t="shared" si="16"/>
        <v>0</v>
      </c>
    </row>
    <row r="343" spans="1:18">
      <c r="A343" s="41">
        <v>342</v>
      </c>
      <c r="B343" s="42">
        <f>DATE(Sintesi!$C$4-1,12,31)+A343</f>
        <v>44538</v>
      </c>
      <c r="C343" s="41">
        <f>'Paste cell here'!B343</f>
        <v>0</v>
      </c>
      <c r="D343" s="41">
        <f>'Paste cell here'!I343</f>
        <v>0</v>
      </c>
      <c r="E343" s="1">
        <f>'Paste cell here'!H343</f>
        <v>0</v>
      </c>
      <c r="F343" s="1">
        <f>Sintesi!$C$5</f>
        <v>0.1</v>
      </c>
      <c r="G343" s="1">
        <f>'Paste cell here'!AA343</f>
        <v>0</v>
      </c>
      <c r="H343" s="43">
        <f>'Paste cell here'!U343</f>
        <v>0</v>
      </c>
      <c r="I343" s="43">
        <f>'Paste cell here'!AE343</f>
        <v>0</v>
      </c>
      <c r="J343" s="44">
        <f>H342*'Paste cell here'!AO343+'Paste cell here'!AF343*'Paste cell here'!AP343</f>
        <v>0</v>
      </c>
      <c r="K343" s="45">
        <f>'Paste cell here'!AG343</f>
        <v>0</v>
      </c>
      <c r="L343" s="41" t="str">
        <f t="shared" si="17"/>
        <v>NO</v>
      </c>
      <c r="M343" s="1">
        <f>(Sintesi!$C$29*F343*1000)</f>
        <v>22.9209</v>
      </c>
      <c r="N343" s="1">
        <f>Sintesi!$C$30*F343*1000</f>
        <v>8.31</v>
      </c>
      <c r="O343" s="1">
        <f t="shared" si="15"/>
        <v>14.610899999999999</v>
      </c>
      <c r="P343" s="1">
        <f>Sintesi!$C$33*G343*1000</f>
        <v>0</v>
      </c>
      <c r="Q343" s="1">
        <f>Sintesi!$C$34*G343*1000</f>
        <v>0</v>
      </c>
      <c r="R343" s="1">
        <f t="shared" si="16"/>
        <v>0</v>
      </c>
    </row>
    <row r="344" spans="1:18">
      <c r="A344" s="41">
        <v>343</v>
      </c>
      <c r="B344" s="42">
        <f>DATE(Sintesi!$C$4-1,12,31)+A344</f>
        <v>44539</v>
      </c>
      <c r="C344" s="41">
        <f>'Paste cell here'!B344</f>
        <v>0</v>
      </c>
      <c r="D344" s="41">
        <f>'Paste cell here'!I344</f>
        <v>0</v>
      </c>
      <c r="E344" s="1">
        <f>'Paste cell here'!H344</f>
        <v>0</v>
      </c>
      <c r="F344" s="1">
        <f>Sintesi!$C$5</f>
        <v>0.1</v>
      </c>
      <c r="G344" s="1">
        <f>'Paste cell here'!AA344</f>
        <v>0</v>
      </c>
      <c r="H344" s="43">
        <f>'Paste cell here'!U344</f>
        <v>0</v>
      </c>
      <c r="I344" s="43">
        <f>'Paste cell here'!AE344</f>
        <v>0</v>
      </c>
      <c r="J344" s="44">
        <f>H343*'Paste cell here'!AO344+'Paste cell here'!AF344*'Paste cell here'!AP344</f>
        <v>0</v>
      </c>
      <c r="K344" s="45">
        <f>'Paste cell here'!AG344</f>
        <v>0</v>
      </c>
      <c r="L344" s="41" t="str">
        <f t="shared" si="17"/>
        <v>NO</v>
      </c>
      <c r="M344" s="1">
        <f>(Sintesi!$C$29*F344*1000)</f>
        <v>22.9209</v>
      </c>
      <c r="N344" s="1">
        <f>Sintesi!$C$30*F344*1000</f>
        <v>8.31</v>
      </c>
      <c r="O344" s="1">
        <f t="shared" si="15"/>
        <v>14.610899999999999</v>
      </c>
      <c r="P344" s="1">
        <f>Sintesi!$C$33*G344*1000</f>
        <v>0</v>
      </c>
      <c r="Q344" s="1">
        <f>Sintesi!$C$34*G344*1000</f>
        <v>0</v>
      </c>
      <c r="R344" s="1">
        <f t="shared" si="16"/>
        <v>0</v>
      </c>
    </row>
    <row r="345" spans="1:18">
      <c r="A345" s="41">
        <v>344</v>
      </c>
      <c r="B345" s="42">
        <f>DATE(Sintesi!$C$4-1,12,31)+A345</f>
        <v>44540</v>
      </c>
      <c r="C345" s="41">
        <f>'Paste cell here'!B345</f>
        <v>0</v>
      </c>
      <c r="D345" s="41">
        <f>'Paste cell here'!I345</f>
        <v>0</v>
      </c>
      <c r="E345" s="1">
        <f>'Paste cell here'!H345</f>
        <v>0</v>
      </c>
      <c r="F345" s="1">
        <f>Sintesi!$C$5</f>
        <v>0.1</v>
      </c>
      <c r="G345" s="1">
        <f>'Paste cell here'!AA345</f>
        <v>0</v>
      </c>
      <c r="H345" s="43">
        <f>'Paste cell here'!U345</f>
        <v>0</v>
      </c>
      <c r="I345" s="43">
        <f>'Paste cell here'!AE345</f>
        <v>0</v>
      </c>
      <c r="J345" s="44">
        <f>H344*'Paste cell here'!AO345+'Paste cell here'!AF345*'Paste cell here'!AP345</f>
        <v>0</v>
      </c>
      <c r="K345" s="45">
        <f>'Paste cell here'!AG345</f>
        <v>0</v>
      </c>
      <c r="L345" s="41" t="str">
        <f t="shared" si="17"/>
        <v>NO</v>
      </c>
      <c r="M345" s="1">
        <f>(Sintesi!$C$29*F345*1000)</f>
        <v>22.9209</v>
      </c>
      <c r="N345" s="1">
        <f>Sintesi!$C$30*F345*1000</f>
        <v>8.31</v>
      </c>
      <c r="O345" s="1">
        <f t="shared" si="15"/>
        <v>14.610899999999999</v>
      </c>
      <c r="P345" s="1">
        <f>Sintesi!$C$33*G345*1000</f>
        <v>0</v>
      </c>
      <c r="Q345" s="1">
        <f>Sintesi!$C$34*G345*1000</f>
        <v>0</v>
      </c>
      <c r="R345" s="1">
        <f t="shared" si="16"/>
        <v>0</v>
      </c>
    </row>
    <row r="346" spans="1:18">
      <c r="A346" s="41">
        <v>345</v>
      </c>
      <c r="B346" s="42">
        <f>DATE(Sintesi!$C$4-1,12,31)+A346</f>
        <v>44541</v>
      </c>
      <c r="C346" s="41">
        <f>'Paste cell here'!B346</f>
        <v>0</v>
      </c>
      <c r="D346" s="41">
        <f>'Paste cell here'!I346</f>
        <v>0</v>
      </c>
      <c r="E346" s="1">
        <f>'Paste cell here'!H346</f>
        <v>0</v>
      </c>
      <c r="F346" s="1">
        <f>Sintesi!$C$5</f>
        <v>0.1</v>
      </c>
      <c r="G346" s="1">
        <f>'Paste cell here'!AA346</f>
        <v>0</v>
      </c>
      <c r="H346" s="43">
        <f>'Paste cell here'!U346</f>
        <v>0</v>
      </c>
      <c r="I346" s="43">
        <f>'Paste cell here'!AE346</f>
        <v>0</v>
      </c>
      <c r="J346" s="44">
        <f>H345*'Paste cell here'!AO346+'Paste cell here'!AF346*'Paste cell here'!AP346</f>
        <v>0</v>
      </c>
      <c r="K346" s="45">
        <f>'Paste cell here'!AG346</f>
        <v>0</v>
      </c>
      <c r="L346" s="41" t="str">
        <f t="shared" si="17"/>
        <v>NO</v>
      </c>
      <c r="M346" s="1">
        <f>(Sintesi!$C$29*F346*1000)</f>
        <v>22.9209</v>
      </c>
      <c r="N346" s="1">
        <f>Sintesi!$C$30*F346*1000</f>
        <v>8.31</v>
      </c>
      <c r="O346" s="1">
        <f t="shared" si="15"/>
        <v>14.610899999999999</v>
      </c>
      <c r="P346" s="1">
        <f>Sintesi!$C$33*G346*1000</f>
        <v>0</v>
      </c>
      <c r="Q346" s="1">
        <f>Sintesi!$C$34*G346*1000</f>
        <v>0</v>
      </c>
      <c r="R346" s="1">
        <f t="shared" si="16"/>
        <v>0</v>
      </c>
    </row>
    <row r="347" spans="1:18">
      <c r="A347" s="41">
        <v>346</v>
      </c>
      <c r="B347" s="42">
        <f>DATE(Sintesi!$C$4-1,12,31)+A347</f>
        <v>44542</v>
      </c>
      <c r="C347" s="41">
        <f>'Paste cell here'!B347</f>
        <v>0</v>
      </c>
      <c r="D347" s="41">
        <f>'Paste cell here'!I347</f>
        <v>0</v>
      </c>
      <c r="E347" s="1">
        <f>'Paste cell here'!H347</f>
        <v>0</v>
      </c>
      <c r="F347" s="1">
        <f>Sintesi!$C$5</f>
        <v>0.1</v>
      </c>
      <c r="G347" s="1">
        <f>'Paste cell here'!AA347</f>
        <v>0</v>
      </c>
      <c r="H347" s="43">
        <f>'Paste cell here'!U347</f>
        <v>0</v>
      </c>
      <c r="I347" s="43">
        <f>'Paste cell here'!AE347</f>
        <v>0</v>
      </c>
      <c r="J347" s="44">
        <f>H346*'Paste cell here'!AO347+'Paste cell here'!AF347*'Paste cell here'!AP347</f>
        <v>0</v>
      </c>
      <c r="K347" s="45">
        <f>'Paste cell here'!AG347</f>
        <v>0</v>
      </c>
      <c r="L347" s="41" t="str">
        <f t="shared" si="17"/>
        <v>NO</v>
      </c>
      <c r="M347" s="1">
        <f>(Sintesi!$C$29*F347*1000)</f>
        <v>22.9209</v>
      </c>
      <c r="N347" s="1">
        <f>Sintesi!$C$30*F347*1000</f>
        <v>8.31</v>
      </c>
      <c r="O347" s="1">
        <f t="shared" si="15"/>
        <v>14.610899999999999</v>
      </c>
      <c r="P347" s="1">
        <f>Sintesi!$C$33*G347*1000</f>
        <v>0</v>
      </c>
      <c r="Q347" s="1">
        <f>Sintesi!$C$34*G347*1000</f>
        <v>0</v>
      </c>
      <c r="R347" s="1">
        <f t="shared" si="16"/>
        <v>0</v>
      </c>
    </row>
    <row r="348" spans="1:18">
      <c r="A348" s="41">
        <v>347</v>
      </c>
      <c r="B348" s="42">
        <f>DATE(Sintesi!$C$4-1,12,31)+A348</f>
        <v>44543</v>
      </c>
      <c r="C348" s="41">
        <f>'Paste cell here'!B348</f>
        <v>0</v>
      </c>
      <c r="D348" s="41">
        <f>'Paste cell here'!I348</f>
        <v>0</v>
      </c>
      <c r="E348" s="1">
        <f>'Paste cell here'!H348</f>
        <v>0</v>
      </c>
      <c r="F348" s="1">
        <f>Sintesi!$C$5</f>
        <v>0.1</v>
      </c>
      <c r="G348" s="1">
        <f>'Paste cell here'!AA348</f>
        <v>0</v>
      </c>
      <c r="H348" s="43">
        <f>'Paste cell here'!U348</f>
        <v>0</v>
      </c>
      <c r="I348" s="43">
        <f>'Paste cell here'!AE348</f>
        <v>0</v>
      </c>
      <c r="J348" s="44">
        <f>H347*'Paste cell here'!AO348+'Paste cell here'!AF348*'Paste cell here'!AP348</f>
        <v>0</v>
      </c>
      <c r="K348" s="45">
        <f>'Paste cell here'!AG348</f>
        <v>0</v>
      </c>
      <c r="L348" s="41" t="str">
        <f t="shared" si="17"/>
        <v>NO</v>
      </c>
      <c r="M348" s="1">
        <f>(Sintesi!$C$29*F348*1000)</f>
        <v>22.9209</v>
      </c>
      <c r="N348" s="1">
        <f>Sintesi!$C$30*F348*1000</f>
        <v>8.31</v>
      </c>
      <c r="O348" s="1">
        <f t="shared" si="15"/>
        <v>14.610899999999999</v>
      </c>
      <c r="P348" s="1">
        <f>Sintesi!$C$33*G348*1000</f>
        <v>0</v>
      </c>
      <c r="Q348" s="1">
        <f>Sintesi!$C$34*G348*1000</f>
        <v>0</v>
      </c>
      <c r="R348" s="1">
        <f t="shared" si="16"/>
        <v>0</v>
      </c>
    </row>
    <row r="349" spans="1:18">
      <c r="A349" s="41">
        <v>348</v>
      </c>
      <c r="B349" s="42">
        <f>DATE(Sintesi!$C$4-1,12,31)+A349</f>
        <v>44544</v>
      </c>
      <c r="C349" s="41">
        <f>'Paste cell here'!B349</f>
        <v>0</v>
      </c>
      <c r="D349" s="41">
        <f>'Paste cell here'!I349</f>
        <v>0</v>
      </c>
      <c r="E349" s="1">
        <f>'Paste cell here'!H349</f>
        <v>0</v>
      </c>
      <c r="F349" s="1">
        <f>Sintesi!$C$5</f>
        <v>0.1</v>
      </c>
      <c r="G349" s="1">
        <f>'Paste cell here'!AA349</f>
        <v>0</v>
      </c>
      <c r="H349" s="43">
        <f>'Paste cell here'!U349</f>
        <v>0</v>
      </c>
      <c r="I349" s="43">
        <f>'Paste cell here'!AE349</f>
        <v>0</v>
      </c>
      <c r="J349" s="44">
        <f>H348*'Paste cell here'!AO349+'Paste cell here'!AF349*'Paste cell here'!AP349</f>
        <v>0</v>
      </c>
      <c r="K349" s="45">
        <f>'Paste cell here'!AG349</f>
        <v>0</v>
      </c>
      <c r="L349" s="41" t="str">
        <f t="shared" si="17"/>
        <v>NO</v>
      </c>
      <c r="M349" s="1">
        <f>(Sintesi!$C$29*F349*1000)</f>
        <v>22.9209</v>
      </c>
      <c r="N349" s="1">
        <f>Sintesi!$C$30*F349*1000</f>
        <v>8.31</v>
      </c>
      <c r="O349" s="1">
        <f t="shared" si="15"/>
        <v>14.610899999999999</v>
      </c>
      <c r="P349" s="1">
        <f>Sintesi!$C$33*G349*1000</f>
        <v>0</v>
      </c>
      <c r="Q349" s="1">
        <f>Sintesi!$C$34*G349*1000</f>
        <v>0</v>
      </c>
      <c r="R349" s="1">
        <f t="shared" si="16"/>
        <v>0</v>
      </c>
    </row>
    <row r="350" spans="1:18">
      <c r="A350" s="41">
        <v>349</v>
      </c>
      <c r="B350" s="42">
        <f>DATE(Sintesi!$C$4-1,12,31)+A350</f>
        <v>44545</v>
      </c>
      <c r="C350" s="41">
        <f>'Paste cell here'!B350</f>
        <v>0</v>
      </c>
      <c r="D350" s="41">
        <f>'Paste cell here'!I350</f>
        <v>0</v>
      </c>
      <c r="E350" s="1">
        <f>'Paste cell here'!H350</f>
        <v>0</v>
      </c>
      <c r="F350" s="1">
        <f>Sintesi!$C$5</f>
        <v>0.1</v>
      </c>
      <c r="G350" s="1">
        <f>'Paste cell here'!AA350</f>
        <v>0</v>
      </c>
      <c r="H350" s="43">
        <f>'Paste cell here'!U350</f>
        <v>0</v>
      </c>
      <c r="I350" s="43">
        <f>'Paste cell here'!AE350</f>
        <v>0</v>
      </c>
      <c r="J350" s="44">
        <f>H349*'Paste cell here'!AO350+'Paste cell here'!AF350*'Paste cell here'!AP350</f>
        <v>0</v>
      </c>
      <c r="K350" s="45">
        <f>'Paste cell here'!AG350</f>
        <v>0</v>
      </c>
      <c r="L350" s="41" t="str">
        <f t="shared" si="17"/>
        <v>NO</v>
      </c>
      <c r="M350" s="1">
        <f>(Sintesi!$C$29*F350*1000)</f>
        <v>22.9209</v>
      </c>
      <c r="N350" s="1">
        <f>Sintesi!$C$30*F350*1000</f>
        <v>8.31</v>
      </c>
      <c r="O350" s="1">
        <f t="shared" si="15"/>
        <v>14.610899999999999</v>
      </c>
      <c r="P350" s="1">
        <f>Sintesi!$C$33*G350*1000</f>
        <v>0</v>
      </c>
      <c r="Q350" s="1">
        <f>Sintesi!$C$34*G350*1000</f>
        <v>0</v>
      </c>
      <c r="R350" s="1">
        <f t="shared" si="16"/>
        <v>0</v>
      </c>
    </row>
    <row r="351" spans="1:18">
      <c r="A351" s="41">
        <v>350</v>
      </c>
      <c r="B351" s="42">
        <f>DATE(Sintesi!$C$4-1,12,31)+A351</f>
        <v>44546</v>
      </c>
      <c r="C351" s="41">
        <f>'Paste cell here'!B351</f>
        <v>0</v>
      </c>
      <c r="D351" s="41">
        <f>'Paste cell here'!I351</f>
        <v>0</v>
      </c>
      <c r="E351" s="1">
        <f>'Paste cell here'!H351</f>
        <v>0</v>
      </c>
      <c r="F351" s="1">
        <f>Sintesi!$C$5</f>
        <v>0.1</v>
      </c>
      <c r="G351" s="1">
        <f>'Paste cell here'!AA351</f>
        <v>0</v>
      </c>
      <c r="H351" s="43">
        <f>'Paste cell here'!U351</f>
        <v>0</v>
      </c>
      <c r="I351" s="43">
        <f>'Paste cell here'!AE351</f>
        <v>0</v>
      </c>
      <c r="J351" s="44">
        <f>H350*'Paste cell here'!AO351+'Paste cell here'!AF351*'Paste cell here'!AP351</f>
        <v>0</v>
      </c>
      <c r="K351" s="45">
        <f>'Paste cell here'!AG351</f>
        <v>0</v>
      </c>
      <c r="L351" s="41" t="str">
        <f t="shared" si="17"/>
        <v>NO</v>
      </c>
      <c r="M351" s="1">
        <f>(Sintesi!$C$29*F351*1000)</f>
        <v>22.9209</v>
      </c>
      <c r="N351" s="1">
        <f>Sintesi!$C$30*F351*1000</f>
        <v>8.31</v>
      </c>
      <c r="O351" s="1">
        <f t="shared" si="15"/>
        <v>14.610899999999999</v>
      </c>
      <c r="P351" s="1">
        <f>Sintesi!$C$33*G351*1000</f>
        <v>0</v>
      </c>
      <c r="Q351" s="1">
        <f>Sintesi!$C$34*G351*1000</f>
        <v>0</v>
      </c>
      <c r="R351" s="1">
        <f t="shared" si="16"/>
        <v>0</v>
      </c>
    </row>
    <row r="352" spans="1:18">
      <c r="A352" s="41">
        <v>351</v>
      </c>
      <c r="B352" s="42">
        <f>DATE(Sintesi!$C$4-1,12,31)+A352</f>
        <v>44547</v>
      </c>
      <c r="C352" s="41">
        <f>'Paste cell here'!B352</f>
        <v>0</v>
      </c>
      <c r="D352" s="41">
        <f>'Paste cell here'!I352</f>
        <v>0</v>
      </c>
      <c r="E352" s="1">
        <f>'Paste cell here'!H352</f>
        <v>0</v>
      </c>
      <c r="F352" s="1">
        <f>Sintesi!$C$5</f>
        <v>0.1</v>
      </c>
      <c r="G352" s="1">
        <f>'Paste cell here'!AA352</f>
        <v>0</v>
      </c>
      <c r="H352" s="43">
        <f>'Paste cell here'!U352</f>
        <v>0</v>
      </c>
      <c r="I352" s="43">
        <f>'Paste cell here'!AE352</f>
        <v>0</v>
      </c>
      <c r="J352" s="44">
        <f>H351*'Paste cell here'!AO352+'Paste cell here'!AF352*'Paste cell here'!AP352</f>
        <v>0</v>
      </c>
      <c r="K352" s="45">
        <f>'Paste cell here'!AG352</f>
        <v>0</v>
      </c>
      <c r="L352" s="41" t="str">
        <f t="shared" si="17"/>
        <v>NO</v>
      </c>
      <c r="M352" s="1">
        <f>(Sintesi!$C$29*F352*1000)</f>
        <v>22.9209</v>
      </c>
      <c r="N352" s="1">
        <f>Sintesi!$C$30*F352*1000</f>
        <v>8.31</v>
      </c>
      <c r="O352" s="1">
        <f t="shared" si="15"/>
        <v>14.610899999999999</v>
      </c>
      <c r="P352" s="1">
        <f>Sintesi!$C$33*G352*1000</f>
        <v>0</v>
      </c>
      <c r="Q352" s="1">
        <f>Sintesi!$C$34*G352*1000</f>
        <v>0</v>
      </c>
      <c r="R352" s="1">
        <f t="shared" si="16"/>
        <v>0</v>
      </c>
    </row>
    <row r="353" spans="1:18">
      <c r="A353" s="41">
        <v>352</v>
      </c>
      <c r="B353" s="42">
        <f>DATE(Sintesi!$C$4-1,12,31)+A353</f>
        <v>44548</v>
      </c>
      <c r="C353" s="41">
        <f>'Paste cell here'!B353</f>
        <v>0</v>
      </c>
      <c r="D353" s="41">
        <f>'Paste cell here'!I353</f>
        <v>0</v>
      </c>
      <c r="E353" s="1">
        <f>'Paste cell here'!H353</f>
        <v>0</v>
      </c>
      <c r="F353" s="1">
        <f>Sintesi!$C$5</f>
        <v>0.1</v>
      </c>
      <c r="G353" s="1">
        <f>'Paste cell here'!AA353</f>
        <v>0</v>
      </c>
      <c r="H353" s="43">
        <f>'Paste cell here'!U353</f>
        <v>0</v>
      </c>
      <c r="I353" s="43">
        <f>'Paste cell here'!AE353</f>
        <v>0</v>
      </c>
      <c r="J353" s="44">
        <f>H352*'Paste cell here'!AO353+'Paste cell here'!AF353*'Paste cell here'!AP353</f>
        <v>0</v>
      </c>
      <c r="K353" s="45">
        <f>'Paste cell here'!AG353</f>
        <v>0</v>
      </c>
      <c r="L353" s="41" t="str">
        <f t="shared" si="17"/>
        <v>NO</v>
      </c>
      <c r="M353" s="1">
        <f>(Sintesi!$C$29*F353*1000)</f>
        <v>22.9209</v>
      </c>
      <c r="N353" s="1">
        <f>Sintesi!$C$30*F353*1000</f>
        <v>8.31</v>
      </c>
      <c r="O353" s="1">
        <f t="shared" si="15"/>
        <v>14.610899999999999</v>
      </c>
      <c r="P353" s="1">
        <f>Sintesi!$C$33*G353*1000</f>
        <v>0</v>
      </c>
      <c r="Q353" s="1">
        <f>Sintesi!$C$34*G353*1000</f>
        <v>0</v>
      </c>
      <c r="R353" s="1">
        <f t="shared" si="16"/>
        <v>0</v>
      </c>
    </row>
    <row r="354" spans="1:18">
      <c r="A354" s="41">
        <v>353</v>
      </c>
      <c r="B354" s="42">
        <f>DATE(Sintesi!$C$4-1,12,31)+A354</f>
        <v>44549</v>
      </c>
      <c r="C354" s="41">
        <f>'Paste cell here'!B354</f>
        <v>0</v>
      </c>
      <c r="D354" s="41">
        <f>'Paste cell here'!I354</f>
        <v>0</v>
      </c>
      <c r="E354" s="1">
        <f>'Paste cell here'!H354</f>
        <v>0</v>
      </c>
      <c r="F354" s="1">
        <f>Sintesi!$C$5</f>
        <v>0.1</v>
      </c>
      <c r="G354" s="1">
        <f>'Paste cell here'!AA354</f>
        <v>0</v>
      </c>
      <c r="H354" s="43">
        <f>'Paste cell here'!U354</f>
        <v>0</v>
      </c>
      <c r="I354" s="43">
        <f>'Paste cell here'!AE354</f>
        <v>0</v>
      </c>
      <c r="J354" s="44">
        <f>H353*'Paste cell here'!AO354+'Paste cell here'!AF354*'Paste cell here'!AP354</f>
        <v>0</v>
      </c>
      <c r="K354" s="45">
        <f>'Paste cell here'!AG354</f>
        <v>0</v>
      </c>
      <c r="L354" s="41" t="str">
        <f t="shared" si="17"/>
        <v>NO</v>
      </c>
      <c r="M354" s="1">
        <f>(Sintesi!$C$29*F354*1000)</f>
        <v>22.9209</v>
      </c>
      <c r="N354" s="1">
        <f>Sintesi!$C$30*F354*1000</f>
        <v>8.31</v>
      </c>
      <c r="O354" s="1">
        <f t="shared" si="15"/>
        <v>14.610899999999999</v>
      </c>
      <c r="P354" s="1">
        <f>Sintesi!$C$33*G354*1000</f>
        <v>0</v>
      </c>
      <c r="Q354" s="1">
        <f>Sintesi!$C$34*G354*1000</f>
        <v>0</v>
      </c>
      <c r="R354" s="1">
        <f t="shared" si="16"/>
        <v>0</v>
      </c>
    </row>
    <row r="355" spans="1:18">
      <c r="A355" s="41">
        <v>354</v>
      </c>
      <c r="B355" s="42">
        <f>DATE(Sintesi!$C$4-1,12,31)+A355</f>
        <v>44550</v>
      </c>
      <c r="C355" s="41">
        <f>'Paste cell here'!B355</f>
        <v>0</v>
      </c>
      <c r="D355" s="41">
        <f>'Paste cell here'!I355</f>
        <v>0</v>
      </c>
      <c r="E355" s="1">
        <f>'Paste cell here'!H355</f>
        <v>0</v>
      </c>
      <c r="F355" s="1">
        <f>Sintesi!$C$5</f>
        <v>0.1</v>
      </c>
      <c r="G355" s="1">
        <f>'Paste cell here'!AA355</f>
        <v>0</v>
      </c>
      <c r="H355" s="43">
        <f>'Paste cell here'!U355</f>
        <v>0</v>
      </c>
      <c r="I355" s="43">
        <f>'Paste cell here'!AE355</f>
        <v>0</v>
      </c>
      <c r="J355" s="44">
        <f>H354*'Paste cell here'!AO355+'Paste cell here'!AF355*'Paste cell here'!AP355</f>
        <v>0</v>
      </c>
      <c r="K355" s="45">
        <f>'Paste cell here'!AG355</f>
        <v>0</v>
      </c>
      <c r="L355" s="41" t="str">
        <f t="shared" si="17"/>
        <v>NO</v>
      </c>
      <c r="M355" s="1">
        <f>(Sintesi!$C$29*F355*1000)</f>
        <v>22.9209</v>
      </c>
      <c r="N355" s="1">
        <f>Sintesi!$C$30*F355*1000</f>
        <v>8.31</v>
      </c>
      <c r="O355" s="1">
        <f t="shared" si="15"/>
        <v>14.610899999999999</v>
      </c>
      <c r="P355" s="1">
        <f>Sintesi!$C$33*G355*1000</f>
        <v>0</v>
      </c>
      <c r="Q355" s="1">
        <f>Sintesi!$C$34*G355*1000</f>
        <v>0</v>
      </c>
      <c r="R355" s="1">
        <f t="shared" si="16"/>
        <v>0</v>
      </c>
    </row>
    <row r="356" spans="1:18">
      <c r="A356" s="41">
        <v>355</v>
      </c>
      <c r="B356" s="42">
        <f>DATE(Sintesi!$C$4-1,12,31)+A356</f>
        <v>44551</v>
      </c>
      <c r="C356" s="41">
        <f>'Paste cell here'!B356</f>
        <v>0</v>
      </c>
      <c r="D356" s="41">
        <f>'Paste cell here'!I356</f>
        <v>0</v>
      </c>
      <c r="E356" s="1">
        <f>'Paste cell here'!H356</f>
        <v>0</v>
      </c>
      <c r="F356" s="1">
        <f>Sintesi!$C$5</f>
        <v>0.1</v>
      </c>
      <c r="G356" s="1">
        <f>'Paste cell here'!AA356</f>
        <v>0</v>
      </c>
      <c r="H356" s="43">
        <f>'Paste cell here'!U356</f>
        <v>0</v>
      </c>
      <c r="I356" s="43">
        <f>'Paste cell here'!AE356</f>
        <v>0</v>
      </c>
      <c r="J356" s="44">
        <f>H355*'Paste cell here'!AO356+'Paste cell here'!AF356*'Paste cell here'!AP356</f>
        <v>0</v>
      </c>
      <c r="K356" s="45">
        <f>'Paste cell here'!AG356</f>
        <v>0</v>
      </c>
      <c r="L356" s="41" t="str">
        <f t="shared" si="17"/>
        <v>NO</v>
      </c>
      <c r="M356" s="1">
        <f>(Sintesi!$C$29*F356*1000)</f>
        <v>22.9209</v>
      </c>
      <c r="N356" s="1">
        <f>Sintesi!$C$30*F356*1000</f>
        <v>8.31</v>
      </c>
      <c r="O356" s="1">
        <f t="shared" si="15"/>
        <v>14.610899999999999</v>
      </c>
      <c r="P356" s="1">
        <f>Sintesi!$C$33*G356*1000</f>
        <v>0</v>
      </c>
      <c r="Q356" s="1">
        <f>Sintesi!$C$34*G356*1000</f>
        <v>0</v>
      </c>
      <c r="R356" s="1">
        <f t="shared" si="16"/>
        <v>0</v>
      </c>
    </row>
    <row r="357" spans="1:18">
      <c r="A357" s="41">
        <v>356</v>
      </c>
      <c r="B357" s="42">
        <f>DATE(Sintesi!$C$4-1,12,31)+A357</f>
        <v>44552</v>
      </c>
      <c r="C357" s="41">
        <f>'Paste cell here'!B357</f>
        <v>0</v>
      </c>
      <c r="D357" s="41">
        <f>'Paste cell here'!I357</f>
        <v>0</v>
      </c>
      <c r="E357" s="1">
        <f>'Paste cell here'!H357</f>
        <v>0</v>
      </c>
      <c r="F357" s="1">
        <f>Sintesi!$C$5</f>
        <v>0.1</v>
      </c>
      <c r="G357" s="1">
        <f>'Paste cell here'!AA357</f>
        <v>0</v>
      </c>
      <c r="H357" s="43">
        <f>'Paste cell here'!U357</f>
        <v>0</v>
      </c>
      <c r="I357" s="43">
        <f>'Paste cell here'!AE357</f>
        <v>0</v>
      </c>
      <c r="J357" s="44">
        <f>H356*'Paste cell here'!AO357+'Paste cell here'!AF357*'Paste cell here'!AP357</f>
        <v>0</v>
      </c>
      <c r="K357" s="45">
        <f>'Paste cell here'!AG357</f>
        <v>0</v>
      </c>
      <c r="L357" s="41" t="str">
        <f t="shared" si="17"/>
        <v>NO</v>
      </c>
      <c r="M357" s="1">
        <f>(Sintesi!$C$29*F357*1000)</f>
        <v>22.9209</v>
      </c>
      <c r="N357" s="1">
        <f>Sintesi!$C$30*F357*1000</f>
        <v>8.31</v>
      </c>
      <c r="O357" s="1">
        <f t="shared" si="15"/>
        <v>14.610899999999999</v>
      </c>
      <c r="P357" s="1">
        <f>Sintesi!$C$33*G357*1000</f>
        <v>0</v>
      </c>
      <c r="Q357" s="1">
        <f>Sintesi!$C$34*G357*1000</f>
        <v>0</v>
      </c>
      <c r="R357" s="1">
        <f t="shared" si="16"/>
        <v>0</v>
      </c>
    </row>
    <row r="358" spans="1:18">
      <c r="A358" s="41">
        <v>357</v>
      </c>
      <c r="B358" s="42">
        <f>DATE(Sintesi!$C$4-1,12,31)+A358</f>
        <v>44553</v>
      </c>
      <c r="C358" s="41">
        <f>'Paste cell here'!B358</f>
        <v>0</v>
      </c>
      <c r="D358" s="41">
        <f>'Paste cell here'!I358</f>
        <v>0</v>
      </c>
      <c r="E358" s="1">
        <f>'Paste cell here'!H358</f>
        <v>0</v>
      </c>
      <c r="F358" s="1">
        <f>Sintesi!$C$5</f>
        <v>0.1</v>
      </c>
      <c r="G358" s="1">
        <f>'Paste cell here'!AA358</f>
        <v>0</v>
      </c>
      <c r="H358" s="43">
        <f>'Paste cell here'!U358</f>
        <v>0</v>
      </c>
      <c r="I358" s="43">
        <f>'Paste cell here'!AE358</f>
        <v>0</v>
      </c>
      <c r="J358" s="44">
        <f>H357*'Paste cell here'!AO358+'Paste cell here'!AF358*'Paste cell here'!AP358</f>
        <v>0</v>
      </c>
      <c r="K358" s="45">
        <f>'Paste cell here'!AG358</f>
        <v>0</v>
      </c>
      <c r="L358" s="41" t="str">
        <f t="shared" si="17"/>
        <v>NO</v>
      </c>
      <c r="M358" s="1">
        <f>(Sintesi!$C$29*F358*1000)</f>
        <v>22.9209</v>
      </c>
      <c r="N358" s="1">
        <f>Sintesi!$C$30*F358*1000</f>
        <v>8.31</v>
      </c>
      <c r="O358" s="1">
        <f t="shared" si="15"/>
        <v>14.610899999999999</v>
      </c>
      <c r="P358" s="1">
        <f>Sintesi!$C$33*G358*1000</f>
        <v>0</v>
      </c>
      <c r="Q358" s="1">
        <f>Sintesi!$C$34*G358*1000</f>
        <v>0</v>
      </c>
      <c r="R358" s="1">
        <f t="shared" si="16"/>
        <v>0</v>
      </c>
    </row>
    <row r="359" spans="1:18">
      <c r="A359" s="41">
        <v>358</v>
      </c>
      <c r="B359" s="42">
        <f>DATE(Sintesi!$C$4-1,12,31)+A359</f>
        <v>44554</v>
      </c>
      <c r="C359" s="41">
        <f>'Paste cell here'!B359</f>
        <v>0</v>
      </c>
      <c r="D359" s="41">
        <f>'Paste cell here'!I359</f>
        <v>0</v>
      </c>
      <c r="E359" s="1">
        <f>'Paste cell here'!H359</f>
        <v>0</v>
      </c>
      <c r="F359" s="1">
        <f>Sintesi!$C$5</f>
        <v>0.1</v>
      </c>
      <c r="G359" s="1">
        <f>'Paste cell here'!AA359</f>
        <v>0</v>
      </c>
      <c r="H359" s="43">
        <f>'Paste cell here'!U359</f>
        <v>0</v>
      </c>
      <c r="I359" s="43">
        <f>'Paste cell here'!AE359</f>
        <v>0</v>
      </c>
      <c r="J359" s="44">
        <f>H358*'Paste cell here'!AO359+'Paste cell here'!AF359*'Paste cell here'!AP359</f>
        <v>0</v>
      </c>
      <c r="K359" s="45">
        <f>'Paste cell here'!AG359</f>
        <v>0</v>
      </c>
      <c r="L359" s="41" t="str">
        <f t="shared" si="17"/>
        <v>NO</v>
      </c>
      <c r="M359" s="1">
        <f>(Sintesi!$C$29*F359*1000)</f>
        <v>22.9209</v>
      </c>
      <c r="N359" s="1">
        <f>Sintesi!$C$30*F359*1000</f>
        <v>8.31</v>
      </c>
      <c r="O359" s="1">
        <f t="shared" si="15"/>
        <v>14.610899999999999</v>
      </c>
      <c r="P359" s="1">
        <f>Sintesi!$C$33*G359*1000</f>
        <v>0</v>
      </c>
      <c r="Q359" s="1">
        <f>Sintesi!$C$34*G359*1000</f>
        <v>0</v>
      </c>
      <c r="R359" s="1">
        <f t="shared" si="16"/>
        <v>0</v>
      </c>
    </row>
    <row r="360" spans="1:18">
      <c r="A360" s="41">
        <v>359</v>
      </c>
      <c r="B360" s="42">
        <f>DATE(Sintesi!$C$4-1,12,31)+A360</f>
        <v>44555</v>
      </c>
      <c r="C360" s="41">
        <f>'Paste cell here'!B360</f>
        <v>0</v>
      </c>
      <c r="D360" s="41">
        <f>'Paste cell here'!I360</f>
        <v>0</v>
      </c>
      <c r="E360" s="1">
        <f>'Paste cell here'!H360</f>
        <v>0</v>
      </c>
      <c r="F360" s="1">
        <f>Sintesi!$C$5</f>
        <v>0.1</v>
      </c>
      <c r="G360" s="1">
        <f>'Paste cell here'!AA360</f>
        <v>0</v>
      </c>
      <c r="H360" s="43">
        <f>'Paste cell here'!U360</f>
        <v>0</v>
      </c>
      <c r="I360" s="43">
        <f>'Paste cell here'!AE360</f>
        <v>0</v>
      </c>
      <c r="J360" s="44">
        <f>H359*'Paste cell here'!AO360+'Paste cell here'!AF360*'Paste cell here'!AP360</f>
        <v>0</v>
      </c>
      <c r="K360" s="45">
        <f>'Paste cell here'!AG360</f>
        <v>0</v>
      </c>
      <c r="L360" s="41" t="str">
        <f t="shared" si="17"/>
        <v>NO</v>
      </c>
      <c r="M360" s="1">
        <f>(Sintesi!$C$29*F360*1000)</f>
        <v>22.9209</v>
      </c>
      <c r="N360" s="1">
        <f>Sintesi!$C$30*F360*1000</f>
        <v>8.31</v>
      </c>
      <c r="O360" s="1">
        <f t="shared" si="15"/>
        <v>14.610899999999999</v>
      </c>
      <c r="P360" s="1">
        <f>Sintesi!$C$33*G360*1000</f>
        <v>0</v>
      </c>
      <c r="Q360" s="1">
        <f>Sintesi!$C$34*G360*1000</f>
        <v>0</v>
      </c>
      <c r="R360" s="1">
        <f t="shared" si="16"/>
        <v>0</v>
      </c>
    </row>
    <row r="361" spans="1:18">
      <c r="A361" s="41">
        <v>360</v>
      </c>
      <c r="B361" s="42">
        <f>DATE(Sintesi!$C$4-1,12,31)+A361</f>
        <v>44556</v>
      </c>
      <c r="C361" s="41">
        <f>'Paste cell here'!B361</f>
        <v>0</v>
      </c>
      <c r="D361" s="41">
        <f>'Paste cell here'!I361</f>
        <v>0</v>
      </c>
      <c r="E361" s="1">
        <f>'Paste cell here'!H361</f>
        <v>0</v>
      </c>
      <c r="F361" s="1">
        <f>Sintesi!$C$5</f>
        <v>0.1</v>
      </c>
      <c r="G361" s="1">
        <f>'Paste cell here'!AA361</f>
        <v>0</v>
      </c>
      <c r="H361" s="43">
        <f>'Paste cell here'!U361</f>
        <v>0</v>
      </c>
      <c r="I361" s="43">
        <f>'Paste cell here'!AE361</f>
        <v>0</v>
      </c>
      <c r="J361" s="44">
        <f>H360*'Paste cell here'!AO361+'Paste cell here'!AF361*'Paste cell here'!AP361</f>
        <v>0</v>
      </c>
      <c r="K361" s="45">
        <f>'Paste cell here'!AG361</f>
        <v>0</v>
      </c>
      <c r="L361" s="41" t="str">
        <f t="shared" si="17"/>
        <v>NO</v>
      </c>
      <c r="M361" s="1">
        <f>(Sintesi!$C$29*F361*1000)</f>
        <v>22.9209</v>
      </c>
      <c r="N361" s="1">
        <f>Sintesi!$C$30*F361*1000</f>
        <v>8.31</v>
      </c>
      <c r="O361" s="1">
        <f t="shared" si="15"/>
        <v>14.610899999999999</v>
      </c>
      <c r="P361" s="1">
        <f>Sintesi!$C$33*G361*1000</f>
        <v>0</v>
      </c>
      <c r="Q361" s="1">
        <f>Sintesi!$C$34*G361*1000</f>
        <v>0</v>
      </c>
      <c r="R361" s="1">
        <f t="shared" si="16"/>
        <v>0</v>
      </c>
    </row>
    <row r="362" spans="1:18">
      <c r="A362" s="41">
        <v>361</v>
      </c>
      <c r="B362" s="42">
        <f>DATE(Sintesi!$C$4-1,12,31)+A362</f>
        <v>44557</v>
      </c>
      <c r="C362" s="41">
        <f>'Paste cell here'!B362</f>
        <v>0</v>
      </c>
      <c r="D362" s="41">
        <f>'Paste cell here'!I362</f>
        <v>0</v>
      </c>
      <c r="E362" s="1">
        <f>'Paste cell here'!H362</f>
        <v>0</v>
      </c>
      <c r="F362" s="1">
        <f>Sintesi!$C$5</f>
        <v>0.1</v>
      </c>
      <c r="G362" s="1">
        <f>'Paste cell here'!AA362</f>
        <v>0</v>
      </c>
      <c r="H362" s="43">
        <f>'Paste cell here'!U362</f>
        <v>0</v>
      </c>
      <c r="I362" s="43">
        <f>'Paste cell here'!AE362</f>
        <v>0</v>
      </c>
      <c r="J362" s="44">
        <f>H361*'Paste cell here'!AO362+'Paste cell here'!AF362*'Paste cell here'!AP362</f>
        <v>0</v>
      </c>
      <c r="K362" s="45">
        <f>'Paste cell here'!AG362</f>
        <v>0</v>
      </c>
      <c r="L362" s="41" t="str">
        <f t="shared" si="17"/>
        <v>NO</v>
      </c>
      <c r="M362" s="1">
        <f>(Sintesi!$C$29*F362*1000)</f>
        <v>22.9209</v>
      </c>
      <c r="N362" s="1">
        <f>Sintesi!$C$30*F362*1000</f>
        <v>8.31</v>
      </c>
      <c r="O362" s="1">
        <f t="shared" si="15"/>
        <v>14.610899999999999</v>
      </c>
      <c r="P362" s="1">
        <f>Sintesi!$C$33*G362*1000</f>
        <v>0</v>
      </c>
      <c r="Q362" s="1">
        <f>Sintesi!$C$34*G362*1000</f>
        <v>0</v>
      </c>
      <c r="R362" s="1">
        <f t="shared" si="16"/>
        <v>0</v>
      </c>
    </row>
    <row r="363" spans="1:18">
      <c r="A363" s="41">
        <v>362</v>
      </c>
      <c r="B363" s="42">
        <f>DATE(Sintesi!$C$4-1,12,31)+A363</f>
        <v>44558</v>
      </c>
      <c r="C363" s="41">
        <f>'Paste cell here'!B363</f>
        <v>0</v>
      </c>
      <c r="D363" s="41">
        <f>'Paste cell here'!I363</f>
        <v>0</v>
      </c>
      <c r="E363" s="1">
        <f>'Paste cell here'!H363</f>
        <v>0</v>
      </c>
      <c r="F363" s="1">
        <f>Sintesi!$C$5</f>
        <v>0.1</v>
      </c>
      <c r="G363" s="1">
        <f>'Paste cell here'!AA363</f>
        <v>0</v>
      </c>
      <c r="H363" s="43">
        <f>'Paste cell here'!U363</f>
        <v>0</v>
      </c>
      <c r="I363" s="43">
        <f>'Paste cell here'!AE363</f>
        <v>0</v>
      </c>
      <c r="J363" s="44">
        <f>H362*'Paste cell here'!AO363+'Paste cell here'!AF363*'Paste cell here'!AP363</f>
        <v>0</v>
      </c>
      <c r="K363" s="45">
        <f>'Paste cell here'!AG363</f>
        <v>0</v>
      </c>
      <c r="L363" s="41" t="str">
        <f t="shared" si="17"/>
        <v>NO</v>
      </c>
      <c r="M363" s="1">
        <f>(Sintesi!$C$29*F363*1000)</f>
        <v>22.9209</v>
      </c>
      <c r="N363" s="1">
        <f>Sintesi!$C$30*F363*1000</f>
        <v>8.31</v>
      </c>
      <c r="O363" s="1">
        <f t="shared" si="15"/>
        <v>14.610899999999999</v>
      </c>
      <c r="P363" s="1">
        <f>Sintesi!$C$33*G363*1000</f>
        <v>0</v>
      </c>
      <c r="Q363" s="1">
        <f>Sintesi!$C$34*G363*1000</f>
        <v>0</v>
      </c>
      <c r="R363" s="1">
        <f t="shared" si="16"/>
        <v>0</v>
      </c>
    </row>
    <row r="364" spans="1:18">
      <c r="A364" s="41">
        <v>363</v>
      </c>
      <c r="B364" s="42">
        <f>DATE(Sintesi!$C$4-1,12,31)+A364</f>
        <v>44559</v>
      </c>
      <c r="C364" s="41">
        <f>'Paste cell here'!B364</f>
        <v>0</v>
      </c>
      <c r="D364" s="41">
        <f>'Paste cell here'!I364</f>
        <v>0</v>
      </c>
      <c r="E364" s="1">
        <f>'Paste cell here'!H364</f>
        <v>0</v>
      </c>
      <c r="F364" s="1">
        <f>Sintesi!$C$5</f>
        <v>0.1</v>
      </c>
      <c r="G364" s="1">
        <f>'Paste cell here'!AA364</f>
        <v>0</v>
      </c>
      <c r="H364" s="43">
        <f>'Paste cell here'!U364</f>
        <v>0</v>
      </c>
      <c r="I364" s="43">
        <f>'Paste cell here'!AE364</f>
        <v>0</v>
      </c>
      <c r="J364" s="44">
        <f>H363*'Paste cell here'!AO364+'Paste cell here'!AF364*'Paste cell here'!AP364</f>
        <v>0</v>
      </c>
      <c r="K364" s="45">
        <f>'Paste cell here'!AG364</f>
        <v>0</v>
      </c>
      <c r="L364" s="41" t="str">
        <f t="shared" si="17"/>
        <v>NO</v>
      </c>
      <c r="M364" s="1">
        <f>(Sintesi!$C$29*F364*1000)</f>
        <v>22.9209</v>
      </c>
      <c r="N364" s="1">
        <f>Sintesi!$C$30*F364*1000</f>
        <v>8.31</v>
      </c>
      <c r="O364" s="1">
        <f t="shared" si="15"/>
        <v>14.610899999999999</v>
      </c>
      <c r="P364" s="1">
        <f>Sintesi!$C$33*G364*1000</f>
        <v>0</v>
      </c>
      <c r="Q364" s="1">
        <f>Sintesi!$C$34*G364*1000</f>
        <v>0</v>
      </c>
      <c r="R364" s="1">
        <f t="shared" si="16"/>
        <v>0</v>
      </c>
    </row>
    <row r="365" spans="1:18">
      <c r="A365" s="41">
        <v>364</v>
      </c>
      <c r="B365" s="42">
        <f>DATE(Sintesi!$C$4-1,12,31)+A365</f>
        <v>44560</v>
      </c>
      <c r="C365" s="41">
        <f>'Paste cell here'!B365</f>
        <v>0</v>
      </c>
      <c r="D365" s="41">
        <f>'Paste cell here'!I365</f>
        <v>0</v>
      </c>
      <c r="E365" s="1">
        <f>'Paste cell here'!H365</f>
        <v>0</v>
      </c>
      <c r="F365" s="1">
        <f>Sintesi!$C$5</f>
        <v>0.1</v>
      </c>
      <c r="G365" s="1">
        <f>'Paste cell here'!AA365</f>
        <v>0</v>
      </c>
      <c r="H365" s="43">
        <f>'Paste cell here'!U365</f>
        <v>0</v>
      </c>
      <c r="I365" s="43">
        <f>'Paste cell here'!AE365</f>
        <v>0</v>
      </c>
      <c r="J365" s="44">
        <f>H364*'Paste cell here'!AO365+'Paste cell here'!AF365*'Paste cell here'!AP365</f>
        <v>0</v>
      </c>
      <c r="K365" s="45">
        <f>'Paste cell here'!AG365</f>
        <v>0</v>
      </c>
      <c r="L365" s="41" t="str">
        <f t="shared" si="17"/>
        <v>NO</v>
      </c>
      <c r="M365" s="1">
        <f>(Sintesi!$C$29*F365*1000)</f>
        <v>22.9209</v>
      </c>
      <c r="N365" s="1">
        <f>Sintesi!$C$30*F365*1000</f>
        <v>8.31</v>
      </c>
      <c r="O365" s="1">
        <f t="shared" si="15"/>
        <v>14.610899999999999</v>
      </c>
      <c r="P365" s="1">
        <f>Sintesi!$C$33*G365*1000</f>
        <v>0</v>
      </c>
      <c r="Q365" s="1">
        <f>Sintesi!$C$34*G365*1000</f>
        <v>0</v>
      </c>
      <c r="R365" s="1">
        <f t="shared" si="16"/>
        <v>0</v>
      </c>
    </row>
    <row r="366" spans="1:18">
      <c r="A366" s="41">
        <v>365</v>
      </c>
      <c r="B366" s="42">
        <f>DATE(Sintesi!$C$4-1,12,31)+A366</f>
        <v>44561</v>
      </c>
      <c r="C366" s="41">
        <f>'Paste cell here'!B366</f>
        <v>0</v>
      </c>
      <c r="D366" s="41">
        <f>'Paste cell here'!I366</f>
        <v>0</v>
      </c>
      <c r="E366" s="1">
        <f>'Paste cell here'!H366</f>
        <v>0</v>
      </c>
      <c r="F366" s="1">
        <f>Sintesi!$C$5</f>
        <v>0.1</v>
      </c>
      <c r="G366" s="1">
        <f>'Paste cell here'!AA366</f>
        <v>0</v>
      </c>
      <c r="H366" s="43">
        <f>'Paste cell here'!U366</f>
        <v>0</v>
      </c>
      <c r="I366" s="43">
        <f>'Paste cell here'!AE366</f>
        <v>0</v>
      </c>
      <c r="J366" s="44"/>
      <c r="K366" s="45">
        <f>'Paste cell here'!AG366</f>
        <v>0</v>
      </c>
      <c r="L366" s="41" t="str">
        <f t="shared" si="17"/>
        <v>NO</v>
      </c>
      <c r="M366" s="1">
        <f>(Sintesi!$C$29*F366*1000)</f>
        <v>22.9209</v>
      </c>
      <c r="N366" s="1">
        <f>Sintesi!$C$30*F366*1000</f>
        <v>8.31</v>
      </c>
      <c r="O366" s="1">
        <f t="shared" si="15"/>
        <v>14.610899999999999</v>
      </c>
      <c r="P366" s="1">
        <f>Sintesi!$C$33*G366*1000</f>
        <v>0</v>
      </c>
      <c r="Q366" s="1">
        <f>Sintesi!$C$34*G366*1000</f>
        <v>0</v>
      </c>
      <c r="R366" s="1">
        <f t="shared" si="16"/>
        <v>0</v>
      </c>
    </row>
  </sheetData>
  <conditionalFormatting sqref="A2:R366">
    <cfRule type="expression" dxfId="10" priority="2">
      <formula>$L2="YES"</formula>
    </cfRule>
  </conditionalFormatting>
  <conditionalFormatting sqref="L14">
    <cfRule type="expression" dxfId="9" priority="1">
      <formula>$L2="YES"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64B94-9F92-4B52-8AD9-BA21D2FEBD61}">
  <sheetPr codeName="Foglio5"/>
  <dimension ref="A1:R366"/>
  <sheetViews>
    <sheetView zoomScale="81" zoomScaleNormal="100" workbookViewId="0">
      <selection activeCell="J10" sqref="J10"/>
    </sheetView>
  </sheetViews>
  <sheetFormatPr defaultColWidth="9.140625" defaultRowHeight="11.25"/>
  <cols>
    <col min="1" max="1" width="11.140625" style="1" bestFit="1" customWidth="1"/>
    <col min="2" max="7" width="11.140625" style="1" customWidth="1"/>
    <col min="8" max="8" width="9.140625" style="1"/>
    <col min="9" max="10" width="14" style="1" customWidth="1"/>
    <col min="11" max="12" width="10.85546875" style="1" bestFit="1" customWidth="1"/>
    <col min="13" max="16384" width="9.140625" style="1"/>
  </cols>
  <sheetData>
    <row r="1" spans="1:18" ht="22.5">
      <c r="A1" s="3" t="s">
        <v>7</v>
      </c>
      <c r="B1" s="3" t="s">
        <v>71</v>
      </c>
      <c r="C1" s="3" t="s">
        <v>89</v>
      </c>
      <c r="D1" s="4" t="s">
        <v>59</v>
      </c>
      <c r="E1" s="3" t="s">
        <v>58</v>
      </c>
      <c r="F1" s="3" t="s">
        <v>69</v>
      </c>
      <c r="G1" s="3" t="s">
        <v>70</v>
      </c>
      <c r="H1" s="4" t="s">
        <v>52</v>
      </c>
      <c r="I1" s="3" t="s">
        <v>51</v>
      </c>
      <c r="J1" s="3" t="s">
        <v>92</v>
      </c>
      <c r="K1" s="3" t="s">
        <v>87</v>
      </c>
      <c r="L1" s="4" t="s">
        <v>73</v>
      </c>
      <c r="M1" s="4" t="s">
        <v>76</v>
      </c>
      <c r="N1" s="4"/>
      <c r="O1" s="13" t="s">
        <v>72</v>
      </c>
      <c r="P1" s="13" t="s">
        <v>74</v>
      </c>
      <c r="Q1" s="13" t="s">
        <v>75</v>
      </c>
    </row>
    <row r="2" spans="1:18">
      <c r="A2" s="1">
        <f>'Paste cell here'!A2</f>
        <v>1</v>
      </c>
      <c r="B2" s="2">
        <f>DATE(Sintesi!$C$4-1,12,31)+A2</f>
        <v>44197</v>
      </c>
      <c r="C2" s="34" cm="1">
        <f t="array" ref="C2">_xlfn.IFNA(MATCH(1,(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)*(_xlfn.ANCHORARRAY(Sintesi!$C$15)&gt;=0)+(_xlfn.ANCHORARRAY(Sintesi!$C$15)&lt;0),0),0)</f>
        <v>0</v>
      </c>
      <c r="D2" s="1" cm="1">
        <f t="array" ref="D2">IF(ISBLANK($E3),IF(ISNUMBER($E1),IF($C2&gt;0,IF(($E2=INDEX(_xlfn.ANCHORARRAY(Sintesi!$C$14),1,$C2))*(INDEX(_xlfn.ANCHORARRAY(Sintesi!$C$15),1,$C2)&gt;0),0,IF(($E2=INDEX(_xlfn.ANCHORARRAY(Sintesi!$C$14),1,$C2))*(INDEX(_xlfn.ANCHORARRAY(Sintesi!$C$15),1,$C2)&lt;0)+($E2&gt;=$E1)*($E2&lt;=INDEX($E:$E,MATCH(TRUE,INDEX((ISNUMBER($E:$E)),0),0)))*($E2&gt;INDEX(_xlfn.ANCHORARRAY(Sintesi!$C$14),1,$C2))*($E2&lt;=INDEX(_xlfn.ANCHORARRAY(Sintesi!$C$15),1,$C2))*(INDEX(_xlfn.ANCHORARRAY(Sintesi!$C$15),1,$C2)&gt;0),1,IF(($E2&gt;=$E1)*($E2&lt;=INDEX($E:$E,MATCH(TRUE,INDEX((ISNUMBER($E:$E)),0),0)))*($E2&gt;INDEX(_xlfn.ANCHORARRAY(Sintesi!$C$14),1,$C2))*($E2&lt;INDEX(_xlfn.ANCHORARRAY(Sintesi!$C$16),1,$C2))*(INDEX(_xlfn.ANCHORARRAY(Sintesi!$C$15),1,$C2)&lt;0)+($E2&gt;=$E1)*($E2&lt;=INDEX($E:$E,MATCH(TRUE,INDEX((ISNUMBER($E:$E)),0),0)))*($E2&gt;INDEX(_xlfn.ANCHORARRAY(Sintesi!$C$15),1,$C2))*($E2&lt;INDEX(_xlfn.ANCHORARRAY(Sintesi!$C$16),1,$C2))*(INDEX(_xlfn.ANCHORARRAY(Sintesi!$C$15),1,$C2)&gt;0),2,IF($E2=(INDEX(_xlfn.ANCHORARRAY(Sintesi!$C$16),1,$C2)),3,4)))),0),IF($C2&gt;0,IF(($E2=INDEX(_xlfn.ANCHORARRAY(Sintesi!$C$14),1,$C2))*(INDEX(_xlfn.ANCHORARRAY(Sintesi!$C$15),1,$C2)&gt;0),0,IF(($E2=INDEX(_xlfn.ANCHORARRAY(Sintesi!$C$14),1,$C2))*(INDEX(_xlfn.ANCHORARRAY(Sintesi!$C$15),1,$C2)&lt;0)+($E2&gt;=LOOKUP(2,1/($E:$E&lt;&gt;""),$E:$E))*($E2&lt;=INDEX($E:$E,MATCH(TRUE,INDEX((ISNUMBER($E:$E)),0),0)))*($E2&gt;INDEX(_xlfn.ANCHORARRAY(Sintesi!$C$14),1,$C2))*($E2&lt;=INDEX(_xlfn.ANCHORARRAY(Sintesi!$C$15),1,$C2))*(INDEX(_xlfn.ANCHORARRAY(Sintesi!$C$15),1,$C2)&gt;0),1,IF(($E2&gt;=LOOKUP(2,1/($E:$E&lt;&gt;""),$E:$E))*($E2&lt;=INDEX($E:$E,MATCH(TRUE,INDEX((ISNUMBER($E:$E)),0),0)))*($E2&gt;INDEX(_xlfn.ANCHORARRAY(Sintesi!$C$14),1,$C2))*($E2&lt;INDEX(_xlfn.ANCHORARRAY(Sintesi!$C$16),1,$C2))*(INDEX(_xlfn.ANCHORARRAY(Sintesi!$C$15),1,$C2)&lt;0)+($E2&gt;=LOOKUP(2,1/($E:$E&lt;&gt;""),$E:$E))*($E2&lt;=INDEX($E:$E,MATCH(TRUE,INDEX((ISNUMBER($E:$E)),0),0)))*($E2&gt;INDEX(_xlfn.ANCHORARRAY(Sintesi!$C$15),1,$C2))*($E2&lt;INDEX(_xlfn.ANCHORARRAY(Sintesi!$C$16),1,$C2))*(INDEX(_xlfn.ANCHORARRAY(Sintesi!$C$15),1,$C2)&gt;0),2,IF($E2=(INDEX(_xlfn.ANCHORARRAY(Sintesi!$C$16),1,$C2)),3,4)))),0)),IF(ISNUMBER($E1),IF($C2&gt;0,IF(($E2=INDEX(_xlfn.ANCHORARRAY(Sintesi!$C$14),1,$C2))*(INDEX(_xlfn.ANCHORARRAY(Sintesi!$C$15),1,$C2)&gt;0),0,IF(($E2=INDEX(_xlfn.ANCHORARRAY(Sintesi!$C$14),1,$C2))*(INDEX(_xlfn.ANCHORARRAY(Sintesi!$C$15),1,$C2)&lt;0)+($E2&gt;=$E1)*($E2&lt;=$E3)*($E2&gt;INDEX(_xlfn.ANCHORARRAY(Sintesi!$C$14),1,$C2))*($E2&lt;=INDEX(_xlfn.ANCHORARRAY(Sintesi!$C$15),1,$C2))*(INDEX(_xlfn.ANCHORARRAY(Sintesi!$C$15),1,$C2)&gt;0),1,IF(($E2&gt;=$E1)*($E2&lt;=$E3)*($E2&gt;INDEX(_xlfn.ANCHORARRAY(Sintesi!$C$14),1,$C2))*($E2&lt;INDEX(_xlfn.ANCHORARRAY(Sintesi!$C$16),1,$C2))*(INDEX(_xlfn.ANCHORARRAY(Sintesi!$C$15),1,$C2)&lt;0)+($E2&gt;=$E1)*($E2&lt;=$E3)*($E2&gt;INDEX(_xlfn.ANCHORARRAY(Sintesi!$C$15),1,$C2))*($E2&lt;INDEX(_xlfn.ANCHORARRAY(Sintesi!$C$16),1,$C2))*(INDEX(_xlfn.ANCHORARRAY(Sintesi!$C$15),1,$C2)&gt;0),2,IF($E2=(INDEX(_xlfn.ANCHORARRAY(Sintesi!$C$16),1,$C2)),3,4)))),0),IF($C2&gt;0,IF(($E2=INDEX(_xlfn.ANCHORARRAY(Sintesi!$C$14),1,$C2))*(INDEX(_xlfn.ANCHORARRAY(Sintesi!$C$15),1,$C2)&gt;0),0,IF(($E2=INDEX(_xlfn.ANCHORARRAY(Sintesi!$C$14),1,$C2))*(INDEX(_xlfn.ANCHORARRAY(Sintesi!$C$15),1,$C2)&lt;0)+($E2&gt;=LOOKUP(2,1/($E:$E&lt;&gt;""),$E:$E))*($E2&lt;=$E3)*($E2&gt;INDEX(_xlfn.ANCHORARRAY(Sintesi!$C$14),1,$C2))*($E2&lt;=INDEX(_xlfn.ANCHORARRAY(Sintesi!$C$15),1,$C2))*(INDEX(_xlfn.ANCHORARRAY(Sintesi!$C$15),1,$C2)&gt;0),1,IF(($E2&gt;=LOOKUP(2,1/($E:$E&lt;&gt;""),$E:$E))*($E2&lt;=$E3)*($E2&gt;INDEX(_xlfn.ANCHORARRAY(Sintesi!$C$14),1,$C2))*($E2&lt;INDEX(_xlfn.ANCHORARRAY(Sintesi!$C$16),1,$C2))*(INDEX(_xlfn.ANCHORARRAY(Sintesi!$C$15),1,$C2)&lt;0)+($E2&gt;=LOOKUP(2,1/($E:$E&lt;&gt;""),$E:$E))*($E2&lt;=$E3)*($E2&gt;INDEX(_xlfn.ANCHORARRAY(Sintesi!$C$15),1,$C2))*($E2&lt;INDEX(_xlfn.ANCHORARRAY(Sintesi!$C$16),1,$C2))*(INDEX(_xlfn.ANCHORARRAY(Sintesi!$C$15),1,$C2)&gt;0),2,IF($E2=(INDEX(_xlfn.ANCHORARRAY(Sintesi!$C$16),1,$C2)),3,4)))),0)))</f>
        <v>0</v>
      </c>
      <c r="E2" s="1">
        <f>'Paste cell here'!F2</f>
        <v>0</v>
      </c>
      <c r="F2" s="1">
        <f>'Paste cell here'!C2</f>
        <v>2.7460746949999999</v>
      </c>
      <c r="G2" s="1">
        <f>'Paste cell here'!D2</f>
        <v>0.46124940599999997</v>
      </c>
      <c r="H2" s="1">
        <f>'Paste cell here'!E2</f>
        <v>0.236094791</v>
      </c>
      <c r="I2" s="1">
        <f>'Paste cell here'!X2</f>
        <v>0</v>
      </c>
      <c r="J2" s="1">
        <f>'Paste cell here'!Y2+'Paste cell here'!S2</f>
        <v>0</v>
      </c>
      <c r="K2" s="1">
        <f>I2/H2</f>
        <v>0</v>
      </c>
      <c r="L2" s="1">
        <f t="shared" ref="L2:L65" si="0">AVERAGE(($F2+$G2)/2-($F2-$G2)/2*COS(PI()*(8-VLOOKUP(MONTH(B2),$O$1:$Q$13,3))/(VLOOKUP(MONTH(B2),$O$1:$Q$13,2)-VLOOKUP(MONTH(B2),$O$1:$Q$13,3))),($F2+$G2)/2-($F2-$G2)/2*COS(PI()*(9-VLOOKUP(MONTH(B2),$O$1:$Q$13,3))/(VLOOKUP(MONTH(B2),$O$1:$Q$13,2)-VLOOKUP(MONTH(B2),$O$1:$Q$13,3))),($F2+$G2)/2-($F2-$G2)/2*COS(PI()*(10-VLOOKUP(MONTH(B2),$O$1:$Q$13,3))/(VLOOKUP(MONTH(B2),$O$1:$Q$13,2)-VLOOKUP(MONTH(B2),$O$1:$Q$13,3))),($F2+$G2)/2-($F2-$G2)/2*COS(PI()*(11-VLOOKUP(MONTH(B2),$O$1:$Q$13,3))/(VLOOKUP(MONTH(B2),$O$1:$Q$13,2)-VLOOKUP(MONTH(B2),$O$1:$Q$13,3))),($F2+$G2)/2-($F2-$G2)/2*COS(PI()*(12-VLOOKUP(MONTH(B2),$O$1:$Q$13,3))/(VLOOKUP(MONTH(B2),$O$1:$Q$13,2)-VLOOKUP(MONTH(B2),$O$1:$Q$13,3))),($F2+$G2)/2-($F2-$G2)/2*COS(PI()*(13-VLOOKUP(MONTH(B2),$O$1:$Q$13,3))/(VLOOKUP(MONTH(B2),$O$1:$Q$13,2)-VLOOKUP(MONTH(B2),$O$1:$Q$13,3))),($F2+$G2)/2-($F2-$G2)/2*COS(PI()*(14-VLOOKUP(MONTH(B2),$O$1:$Q$13,3))/(VLOOKUP(MONTH(B2),$O$1:$Q$13,2)-VLOOKUP(MONTH(B2),$O$1:$Q$13,3))))</f>
        <v>1.9176426654193774</v>
      </c>
      <c r="M2" s="1" cm="1">
        <f t="array" ref="M2">IF(AND(A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,0)),0),A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),IF(L2&lt;_xlfn.IFNA(INDEX(_xlfn.ANCHORARRAY(Sintesi!$C$17),1,MATCH(1,(_xlfn.ANCHORARRAY(Sintesi!$C$9)&gt;_xlfn.ANCHORARRAY(Sintesi!$C$10))*(A1&gt;=_xlfn.ANCHORARRAY(Sintesi!$C$9))+(_xlfn.ANCHORARRAY(Sintesi!$C$9)&gt;_xlfn.ANCHORARRAY(Sintesi!$C$10))*(A1&lt;=_xlfn.ANCHORARRAY(Sintesi!$C$10))+(_xlfn.ANCHORARRAY(Sintesi!$C$9)&lt;_xlfn.ANCHORARRAY(Sintesi!$C$10))*(A1&gt;=_xlfn.ANCHORARRAY(Sintesi!$C$9))*(A1&lt;=_xlfn.ANCHORARRAY(Sintesi!$C$10)),0)),0),1,IF(L2&gt;=_xlfn.IFNA(INDEX(_xlfn.ANCHORARRAY(Sintesi!$C$18),1,MATCH(1,(_xlfn.ANCHORARRAY(Sintesi!$C$9)&gt;_xlfn.ANCHORARRAY(Sintesi!$C$10))*(A1&gt;=_xlfn.ANCHORARRAY(Sintesi!$C$9))+(_xlfn.ANCHORARRAY(Sintesi!$C$9)&gt;_xlfn.ANCHORARRAY(Sintesi!$C$10))*(A1&lt;=_xlfn.ANCHORARRAY(Sintesi!$C$10))+(_xlfn.ANCHORARRAY(Sintesi!$C$9)&lt;_xlfn.ANCHORARRAY(Sintesi!$C$10))*(A1&gt;=_xlfn.ANCHORARRAY(Sintesi!$C$9))*(A1&lt;=_xlfn.ANCHORARRAY(Sintesi!$C$10)),0)),0),0,1-(L2-_xlfn.IFNA(INDEX(_xlfn.ANCHORARRAY(Sintesi!$C$17),1,MATCH(1,(_xlfn.ANCHORARRAY(Sintesi!$C$9)&gt;_xlfn.ANCHORARRAY(Sintesi!$C$10))*(A1&gt;=_xlfn.ANCHORARRAY(Sintesi!$C$9))+(_xlfn.ANCHORARRAY(Sintesi!$C$9)&gt;_xlfn.ANCHORARRAY(Sintesi!$C$10))*(A1&lt;=_xlfn.ANCHORARRAY(Sintesi!$C$10))+(_xlfn.ANCHORARRAY(Sintesi!$C$9)&lt;_xlfn.ANCHORARRAY(Sintesi!$C$10))*(A1&gt;=_xlfn.ANCHORARRAY(Sintesi!$C$9))*(A1&lt;=_xlfn.ANCHORARRAY(Sintesi!$C$10)),0)),0))/(_xlfn.IFNA(INDEX(_xlfn.ANCHORARRAY(Sintesi!$C$18),1,MATCH(1,(_xlfn.ANCHORARRAY(Sintesi!$C$9)&gt;_xlfn.ANCHORARRAY(Sintesi!$C$10))*(A1&gt;=_xlfn.ANCHORARRAY(Sintesi!$C$9))+(_xlfn.ANCHORARRAY(Sintesi!$C$9)&gt;_xlfn.ANCHORARRAY(Sintesi!$C$10))*(A1&lt;=_xlfn.ANCHORARRAY(Sintesi!$C$10))+(_xlfn.ANCHORARRAY(Sintesi!$C$9)&lt;_xlfn.ANCHORARRAY(Sintesi!$C$10))*(A1&gt;=_xlfn.ANCHORARRAY(Sintesi!$C$9))*(A1&lt;=_xlfn.ANCHORARRAY(Sintesi!$C$10)),0)),0)-_xlfn.IFNA(INDEX(_xlfn.ANCHORARRAY(Sintesi!$C$17),1,MATCH(1,(_xlfn.ANCHORARRAY(Sintesi!$C$9)&gt;_xlfn.ANCHORARRAY(Sintesi!$C$10))*(A1&gt;=_xlfn.ANCHORARRAY(Sintesi!$C$9))+(_xlfn.ANCHORARRAY(Sintesi!$C$9)&gt;_xlfn.ANCHORARRAY(Sintesi!$C$10))*(A1&lt;=_xlfn.ANCHORARRAY(Sintesi!$C$10))+(_xlfn.ANCHORARRAY(Sintesi!$C$9)&lt;_xlfn.ANCHORARRAY(Sintesi!$C$10))*(A1&gt;=_xlfn.ANCHORARRAY(Sintesi!$C$9))*(A1&lt;=_xlfn.ANCHORARRAY(Sintesi!$C$10)),0)),0)))),0)</f>
        <v>0</v>
      </c>
      <c r="O2" s="14">
        <v>1</v>
      </c>
      <c r="P2" s="14">
        <v>14</v>
      </c>
      <c r="Q2" s="14">
        <v>6</v>
      </c>
    </row>
    <row r="3" spans="1:18">
      <c r="A3" s="1">
        <f>'Paste cell here'!A3</f>
        <v>2</v>
      </c>
      <c r="B3" s="2">
        <f>DATE(Sintesi!$C$4-1,12,31)+A3</f>
        <v>44198</v>
      </c>
      <c r="C3" s="34" cm="1">
        <f t="array" ref="C3">_xlfn.IFNA(MATCH(1,(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)*(_xlfn.ANCHORARRAY(Sintesi!$C$15)&gt;=0)+(_xlfn.ANCHORARRAY(Sintesi!$C$15)&lt;0),0),0)</f>
        <v>0</v>
      </c>
      <c r="D3" s="1" cm="1">
        <f t="array" ref="D3">IF(ISBLANK($E4),IF(ISNUMBER($E2),IF($C3&gt;0,IF(($E3=INDEX(_xlfn.ANCHORARRAY(Sintesi!$C$14),1,$C3))*(INDEX(_xlfn.ANCHORARRAY(Sintesi!$C$15),1,$C3)&gt;0),0,IF(($E3=INDEX(_xlfn.ANCHORARRAY(Sintesi!$C$14),1,$C3))*(INDEX(_xlfn.ANCHORARRAY(Sintesi!$C$15),1,$C3)&lt;0)+($E3&gt;=$E2)*($E3&lt;=INDEX($E:$E,MATCH(TRUE,INDEX((ISNUMBER($E:$E)),0),0)))*($E3&gt;INDEX(_xlfn.ANCHORARRAY(Sintesi!$C$14),1,$C3))*($E3&lt;=INDEX(_xlfn.ANCHORARRAY(Sintesi!$C$15),1,$C3))*(INDEX(_xlfn.ANCHORARRAY(Sintesi!$C$15),1,$C3)&gt;0),1,IF(($E3&gt;=$E2)*($E3&lt;=INDEX($E:$E,MATCH(TRUE,INDEX((ISNUMBER($E:$E)),0),0)))*($E3&gt;INDEX(_xlfn.ANCHORARRAY(Sintesi!$C$14),1,$C3))*($E3&lt;INDEX(_xlfn.ANCHORARRAY(Sintesi!$C$16),1,$C3))*(INDEX(_xlfn.ANCHORARRAY(Sintesi!$C$15),1,$C3)&lt;0)+($E3&gt;=$E2)*($E3&lt;=INDEX($E:$E,MATCH(TRUE,INDEX((ISNUMBER($E:$E)),0),0)))*($E3&gt;INDEX(_xlfn.ANCHORARRAY(Sintesi!$C$15),1,$C3))*($E3&lt;INDEX(_xlfn.ANCHORARRAY(Sintesi!$C$16),1,$C3))*(INDEX(_xlfn.ANCHORARRAY(Sintesi!$C$15),1,$C3)&gt;0),2,IF($E3=(INDEX(_xlfn.ANCHORARRAY(Sintesi!$C$16),1,$C3)),3,4)))),0),IF($C3&gt;0,IF(($E3=INDEX(_xlfn.ANCHORARRAY(Sintesi!$C$14),1,$C3))*(INDEX(_xlfn.ANCHORARRAY(Sintesi!$C$15),1,$C3)&gt;0),0,IF(($E3=INDEX(_xlfn.ANCHORARRAY(Sintesi!$C$14),1,$C3))*(INDEX(_xlfn.ANCHORARRAY(Sintesi!$C$15),1,$C3)&lt;0)+($E3&gt;=LOOKUP(2,1/($E:$E&lt;&gt;""),$E:$E))*($E3&lt;=INDEX($E:$E,MATCH(TRUE,INDEX((ISNUMBER($E:$E)),0),0)))*($E3&gt;INDEX(_xlfn.ANCHORARRAY(Sintesi!$C$14),1,$C3))*($E3&lt;=INDEX(_xlfn.ANCHORARRAY(Sintesi!$C$15),1,$C3))*(INDEX(_xlfn.ANCHORARRAY(Sintesi!$C$15),1,$C3)&gt;0),1,IF(($E3&gt;=LOOKUP(2,1/($E:$E&lt;&gt;""),$E:$E))*($E3&lt;=INDEX($E:$E,MATCH(TRUE,INDEX((ISNUMBER($E:$E)),0),0)))*($E3&gt;INDEX(_xlfn.ANCHORARRAY(Sintesi!$C$14),1,$C3))*($E3&lt;INDEX(_xlfn.ANCHORARRAY(Sintesi!$C$16),1,$C3))*(INDEX(_xlfn.ANCHORARRAY(Sintesi!$C$15),1,$C3)&lt;0)+($E3&gt;=LOOKUP(2,1/($E:$E&lt;&gt;""),$E:$E))*($E3&lt;=INDEX($E:$E,MATCH(TRUE,INDEX((ISNUMBER($E:$E)),0),0)))*($E3&gt;INDEX(_xlfn.ANCHORARRAY(Sintesi!$C$15),1,$C3))*($E3&lt;INDEX(_xlfn.ANCHORARRAY(Sintesi!$C$16),1,$C3))*(INDEX(_xlfn.ANCHORARRAY(Sintesi!$C$15),1,$C3)&gt;0),2,IF($E3=(INDEX(_xlfn.ANCHORARRAY(Sintesi!$C$16),1,$C3)),3,4)))),0)),IF(ISNUMBER($E2),IF($C3&gt;0,IF(($E3=INDEX(_xlfn.ANCHORARRAY(Sintesi!$C$14),1,$C3))*(INDEX(_xlfn.ANCHORARRAY(Sintesi!$C$15),1,$C3)&gt;0),0,IF(($E3=INDEX(_xlfn.ANCHORARRAY(Sintesi!$C$14),1,$C3))*(INDEX(_xlfn.ANCHORARRAY(Sintesi!$C$15),1,$C3)&lt;0)+($E3&gt;=$E2)*($E3&lt;=$E4)*($E3&gt;INDEX(_xlfn.ANCHORARRAY(Sintesi!$C$14),1,$C3))*($E3&lt;=INDEX(_xlfn.ANCHORARRAY(Sintesi!$C$15),1,$C3))*(INDEX(_xlfn.ANCHORARRAY(Sintesi!$C$15),1,$C3)&gt;0),1,IF(($E3&gt;=$E2)*($E3&lt;=$E4)*($E3&gt;INDEX(_xlfn.ANCHORARRAY(Sintesi!$C$14),1,$C3))*($E3&lt;INDEX(_xlfn.ANCHORARRAY(Sintesi!$C$16),1,$C3))*(INDEX(_xlfn.ANCHORARRAY(Sintesi!$C$15),1,$C3)&lt;0)+($E3&gt;=$E2)*($E3&lt;=$E4)*($E3&gt;INDEX(_xlfn.ANCHORARRAY(Sintesi!$C$15),1,$C3))*($E3&lt;INDEX(_xlfn.ANCHORARRAY(Sintesi!$C$16),1,$C3))*(INDEX(_xlfn.ANCHORARRAY(Sintesi!$C$15),1,$C3)&gt;0),2,IF($E3=(INDEX(_xlfn.ANCHORARRAY(Sintesi!$C$16),1,$C3)),3,4)))),0),IF($C3&gt;0,IF(($E3=INDEX(_xlfn.ANCHORARRAY(Sintesi!$C$14),1,$C3))*(INDEX(_xlfn.ANCHORARRAY(Sintesi!$C$15),1,$C3)&gt;0),0,IF(($E3=INDEX(_xlfn.ANCHORARRAY(Sintesi!$C$14),1,$C3))*(INDEX(_xlfn.ANCHORARRAY(Sintesi!$C$15),1,$C3)&lt;0)+($E3&gt;=LOOKUP(2,1/($E:$E&lt;&gt;""),$E:$E))*($E3&lt;=$E4)*($E3&gt;INDEX(_xlfn.ANCHORARRAY(Sintesi!$C$14),1,$C3))*($E3&lt;=INDEX(_xlfn.ANCHORARRAY(Sintesi!$C$15),1,$C3))*(INDEX(_xlfn.ANCHORARRAY(Sintesi!$C$15),1,$C3)&gt;0),1,IF(($E3&gt;=LOOKUP(2,1/($E:$E&lt;&gt;""),$E:$E))*($E3&lt;=$E4)*($E3&gt;INDEX(_xlfn.ANCHORARRAY(Sintesi!$C$14),1,$C3))*($E3&lt;INDEX(_xlfn.ANCHORARRAY(Sintesi!$C$16),1,$C3))*(INDEX(_xlfn.ANCHORARRAY(Sintesi!$C$15),1,$C3)&lt;0)+($E3&gt;=LOOKUP(2,1/($E:$E&lt;&gt;""),$E:$E))*($E3&lt;=$E4)*($E3&gt;INDEX(_xlfn.ANCHORARRAY(Sintesi!$C$15),1,$C3))*($E3&lt;INDEX(_xlfn.ANCHORARRAY(Sintesi!$C$16),1,$C3))*(INDEX(_xlfn.ANCHORARRAY(Sintesi!$C$15),1,$C3)&gt;0),2,IF($E3=(INDEX(_xlfn.ANCHORARRAY(Sintesi!$C$16),1,$C3)),3,4)))),0)))</f>
        <v>0</v>
      </c>
      <c r="E3" s="1">
        <f>'Paste cell here'!F3</f>
        <v>0</v>
      </c>
      <c r="F3" s="1">
        <f>'Paste cell here'!C3</f>
        <v>4.0688511009999999</v>
      </c>
      <c r="G3" s="1">
        <f>'Paste cell here'!D3</f>
        <v>1.497320274</v>
      </c>
      <c r="H3" s="1">
        <f>'Paste cell here'!E3</f>
        <v>0.25406542999999998</v>
      </c>
      <c r="I3" s="1">
        <f>'Paste cell here'!X3</f>
        <v>0</v>
      </c>
      <c r="J3" s="1">
        <f>'Paste cell here'!Y3+'Paste cell here'!S3</f>
        <v>0</v>
      </c>
      <c r="K3" s="1">
        <f>I3/H3</f>
        <v>0</v>
      </c>
      <c r="L3" s="1">
        <f t="shared" si="0"/>
        <v>3.1364653678776513</v>
      </c>
      <c r="M3" s="1" cm="1">
        <f t="array" ref="M3">IF(AND(A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,A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),IF(L3&lt;_xlfn.IFNA(INDEX(_xlfn.ANCHORARRAY(Sintesi!$C$17),1,MATCH(1,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,0)),0),1,IF(L3&gt;=_xlfn.IFNA(INDEX(_xlfn.ANCHORARRAY(Sintesi!$C$18),1,MATCH(1,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,0)),0),0,1-(L3-_xlfn.IFNA(INDEX(_xlfn.ANCHORARRAY(Sintesi!$C$17),1,MATCH(1,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,0)),0))/(_xlfn.IFNA(INDEX(_xlfn.ANCHORARRAY(Sintesi!$C$18),1,MATCH(1,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,0)),0)-_xlfn.IFNA(INDEX(_xlfn.ANCHORARRAY(Sintesi!$C$17),1,MATCH(1,(_xlfn.ANCHORARRAY(Sintesi!$C$9)&gt;_xlfn.ANCHORARRAY(Sintesi!$C$10))*(A2&gt;=_xlfn.ANCHORARRAY(Sintesi!$C$9))+(_xlfn.ANCHORARRAY(Sintesi!$C$9)&gt;_xlfn.ANCHORARRAY(Sintesi!$C$10))*(A2&lt;=_xlfn.ANCHORARRAY(Sintesi!$C$10))+(_xlfn.ANCHORARRAY(Sintesi!$C$9)&lt;_xlfn.ANCHORARRAY(Sintesi!$C$10))*(A2&gt;=_xlfn.ANCHORARRAY(Sintesi!$C$9))*(A2&lt;=_xlfn.ANCHORARRAY(Sintesi!$C$10)),0)),0)))),0)</f>
        <v>0</v>
      </c>
      <c r="O3" s="14">
        <v>2</v>
      </c>
      <c r="P3" s="14">
        <v>14</v>
      </c>
      <c r="Q3" s="14">
        <v>6</v>
      </c>
    </row>
    <row r="4" spans="1:18">
      <c r="A4" s="1">
        <f>'Paste cell here'!A4</f>
        <v>3</v>
      </c>
      <c r="B4" s="2">
        <f>DATE(Sintesi!$C$4-1,12,31)+A4</f>
        <v>44199</v>
      </c>
      <c r="C4" s="34" cm="1">
        <f t="array" ref="C4">_xlfn.IFNA(MATCH(1,(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)*(_xlfn.ANCHORARRAY(Sintesi!$C$15)&gt;=0)+(_xlfn.ANCHORARRAY(Sintesi!$C$15)&lt;0),0),0)</f>
        <v>0</v>
      </c>
      <c r="D4" s="1" cm="1">
        <f t="array" ref="D4">IF(ISBLANK($E5),IF(ISNUMBER($E3),IF($C4&gt;0,IF(($E4=INDEX(_xlfn.ANCHORARRAY(Sintesi!$C$14),1,$C4))*(INDEX(_xlfn.ANCHORARRAY(Sintesi!$C$15),1,$C4)&gt;0),0,IF(($E4=INDEX(_xlfn.ANCHORARRAY(Sintesi!$C$14),1,$C4))*(INDEX(_xlfn.ANCHORARRAY(Sintesi!$C$15),1,$C4)&lt;0)+($E4&gt;=$E3)*($E4&lt;=INDEX($E:$E,MATCH(TRUE,INDEX((ISNUMBER($E:$E)),0),0)))*($E4&gt;INDEX(_xlfn.ANCHORARRAY(Sintesi!$C$14),1,$C4))*($E4&lt;=INDEX(_xlfn.ANCHORARRAY(Sintesi!$C$15),1,$C4))*(INDEX(_xlfn.ANCHORARRAY(Sintesi!$C$15),1,$C4)&gt;0),1,IF(($E4&gt;=$E3)*($E4&lt;=INDEX($E:$E,MATCH(TRUE,INDEX((ISNUMBER($E:$E)),0),0)))*($E4&gt;INDEX(_xlfn.ANCHORARRAY(Sintesi!$C$14),1,$C4))*($E4&lt;INDEX(_xlfn.ANCHORARRAY(Sintesi!$C$16),1,$C4))*(INDEX(_xlfn.ANCHORARRAY(Sintesi!$C$15),1,$C4)&lt;0)+($E4&gt;=$E3)*($E4&lt;=INDEX($E:$E,MATCH(TRUE,INDEX((ISNUMBER($E:$E)),0),0)))*($E4&gt;INDEX(_xlfn.ANCHORARRAY(Sintesi!$C$15),1,$C4))*($E4&lt;INDEX(_xlfn.ANCHORARRAY(Sintesi!$C$16),1,$C4))*(INDEX(_xlfn.ANCHORARRAY(Sintesi!$C$15),1,$C4)&gt;0),2,IF($E4=(INDEX(_xlfn.ANCHORARRAY(Sintesi!$C$16),1,$C4)),3,4)))),0),IF($C4&gt;0,IF(($E4=INDEX(_xlfn.ANCHORARRAY(Sintesi!$C$14),1,$C4))*(INDEX(_xlfn.ANCHORARRAY(Sintesi!$C$15),1,$C4)&gt;0),0,IF(($E4=INDEX(_xlfn.ANCHORARRAY(Sintesi!$C$14),1,$C4))*(INDEX(_xlfn.ANCHORARRAY(Sintesi!$C$15),1,$C4)&lt;0)+($E4&gt;=LOOKUP(2,1/($E:$E&lt;&gt;""),$E:$E))*($E4&lt;=INDEX($E:$E,MATCH(TRUE,INDEX((ISNUMBER($E:$E)),0),0)))*($E4&gt;INDEX(_xlfn.ANCHORARRAY(Sintesi!$C$14),1,$C4))*($E4&lt;=INDEX(_xlfn.ANCHORARRAY(Sintesi!$C$15),1,$C4))*(INDEX(_xlfn.ANCHORARRAY(Sintesi!$C$15),1,$C4)&gt;0),1,IF(($E4&gt;=LOOKUP(2,1/($E:$E&lt;&gt;""),$E:$E))*($E4&lt;=INDEX($E:$E,MATCH(TRUE,INDEX((ISNUMBER($E:$E)),0),0)))*($E4&gt;INDEX(_xlfn.ANCHORARRAY(Sintesi!$C$14),1,$C4))*($E4&lt;INDEX(_xlfn.ANCHORARRAY(Sintesi!$C$16),1,$C4))*(INDEX(_xlfn.ANCHORARRAY(Sintesi!$C$15),1,$C4)&lt;0)+($E4&gt;=LOOKUP(2,1/($E:$E&lt;&gt;""),$E:$E))*($E4&lt;=INDEX($E:$E,MATCH(TRUE,INDEX((ISNUMBER($E:$E)),0),0)))*($E4&gt;INDEX(_xlfn.ANCHORARRAY(Sintesi!$C$15),1,$C4))*($E4&lt;INDEX(_xlfn.ANCHORARRAY(Sintesi!$C$16),1,$C4))*(INDEX(_xlfn.ANCHORARRAY(Sintesi!$C$15),1,$C4)&gt;0),2,IF($E4=(INDEX(_xlfn.ANCHORARRAY(Sintesi!$C$16),1,$C4)),3,4)))),0)),IF(ISNUMBER($E3),IF($C4&gt;0,IF(($E4=INDEX(_xlfn.ANCHORARRAY(Sintesi!$C$14),1,$C4))*(INDEX(_xlfn.ANCHORARRAY(Sintesi!$C$15),1,$C4)&gt;0),0,IF(($E4=INDEX(_xlfn.ANCHORARRAY(Sintesi!$C$14),1,$C4))*(INDEX(_xlfn.ANCHORARRAY(Sintesi!$C$15),1,$C4)&lt;0)+($E4&gt;=$E3)*($E4&lt;=$E5)*($E4&gt;INDEX(_xlfn.ANCHORARRAY(Sintesi!$C$14),1,$C4))*($E4&lt;=INDEX(_xlfn.ANCHORARRAY(Sintesi!$C$15),1,$C4))*(INDEX(_xlfn.ANCHORARRAY(Sintesi!$C$15),1,$C4)&gt;0),1,IF(($E4&gt;=$E3)*($E4&lt;=$E5)*($E4&gt;INDEX(_xlfn.ANCHORARRAY(Sintesi!$C$14),1,$C4))*($E4&lt;INDEX(_xlfn.ANCHORARRAY(Sintesi!$C$16),1,$C4))*(INDEX(_xlfn.ANCHORARRAY(Sintesi!$C$15),1,$C4)&lt;0)+($E4&gt;=$E3)*($E4&lt;=$E5)*($E4&gt;INDEX(_xlfn.ANCHORARRAY(Sintesi!$C$15),1,$C4))*($E4&lt;INDEX(_xlfn.ANCHORARRAY(Sintesi!$C$16),1,$C4))*(INDEX(_xlfn.ANCHORARRAY(Sintesi!$C$15),1,$C4)&gt;0),2,IF($E4=(INDEX(_xlfn.ANCHORARRAY(Sintesi!$C$16),1,$C4)),3,4)))),0),IF($C4&gt;0,IF(($E4=INDEX(_xlfn.ANCHORARRAY(Sintesi!$C$14),1,$C4))*(INDEX(_xlfn.ANCHORARRAY(Sintesi!$C$15),1,$C4)&gt;0),0,IF(($E4=INDEX(_xlfn.ANCHORARRAY(Sintesi!$C$14),1,$C4))*(INDEX(_xlfn.ANCHORARRAY(Sintesi!$C$15),1,$C4)&lt;0)+($E4&gt;=LOOKUP(2,1/($E:$E&lt;&gt;""),$E:$E))*($E4&lt;=$E5)*($E4&gt;INDEX(_xlfn.ANCHORARRAY(Sintesi!$C$14),1,$C4))*($E4&lt;=INDEX(_xlfn.ANCHORARRAY(Sintesi!$C$15),1,$C4))*(INDEX(_xlfn.ANCHORARRAY(Sintesi!$C$15),1,$C4)&gt;0),1,IF(($E4&gt;=LOOKUP(2,1/($E:$E&lt;&gt;""),$E:$E))*($E4&lt;=$E5)*($E4&gt;INDEX(_xlfn.ANCHORARRAY(Sintesi!$C$14),1,$C4))*($E4&lt;INDEX(_xlfn.ANCHORARRAY(Sintesi!$C$16),1,$C4))*(INDEX(_xlfn.ANCHORARRAY(Sintesi!$C$15),1,$C4)&lt;0)+($E4&gt;=LOOKUP(2,1/($E:$E&lt;&gt;""),$E:$E))*($E4&lt;=$E5)*($E4&gt;INDEX(_xlfn.ANCHORARRAY(Sintesi!$C$15),1,$C4))*($E4&lt;INDEX(_xlfn.ANCHORARRAY(Sintesi!$C$16),1,$C4))*(INDEX(_xlfn.ANCHORARRAY(Sintesi!$C$15),1,$C4)&gt;0),2,IF($E4=(INDEX(_xlfn.ANCHORARRAY(Sintesi!$C$16),1,$C4)),3,4)))),0)))</f>
        <v>0</v>
      </c>
      <c r="E4" s="1">
        <f>'Paste cell here'!F4</f>
        <v>0</v>
      </c>
      <c r="F4" s="1">
        <f>'Paste cell here'!C4</f>
        <v>8.1612494059999996</v>
      </c>
      <c r="G4" s="1">
        <f>'Paste cell here'!D4</f>
        <v>2.0300588390000001</v>
      </c>
      <c r="H4" s="1">
        <f>'Paste cell here'!E4</f>
        <v>0.21547654199999999</v>
      </c>
      <c r="I4" s="1">
        <f>'Paste cell here'!X4</f>
        <v>0</v>
      </c>
      <c r="J4" s="1">
        <f>'Paste cell here'!Y4+'Paste cell here'!S4</f>
        <v>0</v>
      </c>
      <c r="K4" s="1">
        <f t="shared" ref="K4:K66" si="1">I4/H4</f>
        <v>0</v>
      </c>
      <c r="L4" s="1">
        <f t="shared" si="0"/>
        <v>5.9382021254841124</v>
      </c>
      <c r="M4" s="1" cm="1">
        <f t="array" ref="M4">IF(AND(A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,A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),IF(L4&lt;_xlfn.IFNA(INDEX(_xlfn.ANCHORARRAY(Sintesi!$C$17)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,1,IF(L4&gt;=_xlfn.IFNA(INDEX(_xlfn.ANCHORARRAY(Sintesi!$C$18)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,0,1-(L4-_xlfn.IFNA(INDEX(_xlfn.ANCHORARRAY(Sintesi!$C$17)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)/(_xlfn.IFNA(INDEX(_xlfn.ANCHORARRAY(Sintesi!$C$18)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-_xlfn.IFNA(INDEX(_xlfn.ANCHORARRAY(Sintesi!$C$17),1,MATCH(1,(_xlfn.ANCHORARRAY(Sintesi!$C$9)&gt;_xlfn.ANCHORARRAY(Sintesi!$C$10))*(A3&gt;=_xlfn.ANCHORARRAY(Sintesi!$C$9))+(_xlfn.ANCHORARRAY(Sintesi!$C$9)&gt;_xlfn.ANCHORARRAY(Sintesi!$C$10))*(A3&lt;=_xlfn.ANCHORARRAY(Sintesi!$C$10))+(_xlfn.ANCHORARRAY(Sintesi!$C$9)&lt;_xlfn.ANCHORARRAY(Sintesi!$C$10))*(A3&gt;=_xlfn.ANCHORARRAY(Sintesi!$C$9))*(A3&lt;=_xlfn.ANCHORARRAY(Sintesi!$C$10)),0)),0)))),0)</f>
        <v>0</v>
      </c>
      <c r="O4" s="14">
        <v>3</v>
      </c>
      <c r="P4" s="14">
        <v>14</v>
      </c>
      <c r="Q4" s="14">
        <v>5</v>
      </c>
    </row>
    <row r="5" spans="1:18">
      <c r="A5" s="1">
        <f>'Paste cell here'!A5</f>
        <v>4</v>
      </c>
      <c r="B5" s="2">
        <f>DATE(Sintesi!$C$4-1,12,31)+A5</f>
        <v>44200</v>
      </c>
      <c r="C5" s="34" cm="1">
        <f t="array" ref="C5">_xlfn.IFNA(MATCH(1,(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)*(_xlfn.ANCHORARRAY(Sintesi!$C$15)&gt;=0)+(_xlfn.ANCHORARRAY(Sintesi!$C$15)&lt;0),0),0)</f>
        <v>0</v>
      </c>
      <c r="D5" s="1" cm="1">
        <f t="array" ref="D5">IF(ISBLANK($E6),IF(ISNUMBER($E4),IF($C5&gt;0,IF(($E5=INDEX(_xlfn.ANCHORARRAY(Sintesi!$C$14),1,$C5))*(INDEX(_xlfn.ANCHORARRAY(Sintesi!$C$15),1,$C5)&gt;0),0,IF(($E5=INDEX(_xlfn.ANCHORARRAY(Sintesi!$C$14),1,$C5))*(INDEX(_xlfn.ANCHORARRAY(Sintesi!$C$15),1,$C5)&lt;0)+($E5&gt;=$E4)*($E5&lt;=INDEX($E:$E,MATCH(TRUE,INDEX((ISNUMBER($E:$E)),0),0)))*($E5&gt;INDEX(_xlfn.ANCHORARRAY(Sintesi!$C$14),1,$C5))*($E5&lt;=INDEX(_xlfn.ANCHORARRAY(Sintesi!$C$15),1,$C5))*(INDEX(_xlfn.ANCHORARRAY(Sintesi!$C$15),1,$C5)&gt;0),1,IF(($E5&gt;=$E4)*($E5&lt;=INDEX($E:$E,MATCH(TRUE,INDEX((ISNUMBER($E:$E)),0),0)))*($E5&gt;INDEX(_xlfn.ANCHORARRAY(Sintesi!$C$14),1,$C5))*($E5&lt;INDEX(_xlfn.ANCHORARRAY(Sintesi!$C$16),1,$C5))*(INDEX(_xlfn.ANCHORARRAY(Sintesi!$C$15),1,$C5)&lt;0)+($E5&gt;=$E4)*($E5&lt;=INDEX($E:$E,MATCH(TRUE,INDEX((ISNUMBER($E:$E)),0),0)))*($E5&gt;INDEX(_xlfn.ANCHORARRAY(Sintesi!$C$15),1,$C5))*($E5&lt;INDEX(_xlfn.ANCHORARRAY(Sintesi!$C$16),1,$C5))*(INDEX(_xlfn.ANCHORARRAY(Sintesi!$C$15),1,$C5)&gt;0),2,IF($E5=(INDEX(_xlfn.ANCHORARRAY(Sintesi!$C$16),1,$C5)),3,4)))),0),IF($C5&gt;0,IF(($E5=INDEX(_xlfn.ANCHORARRAY(Sintesi!$C$14),1,$C5))*(INDEX(_xlfn.ANCHORARRAY(Sintesi!$C$15),1,$C5)&gt;0),0,IF(($E5=INDEX(_xlfn.ANCHORARRAY(Sintesi!$C$14),1,$C5))*(INDEX(_xlfn.ANCHORARRAY(Sintesi!$C$15),1,$C5)&lt;0)+($E5&gt;=LOOKUP(2,1/($E:$E&lt;&gt;""),$E:$E))*($E5&lt;=INDEX($E:$E,MATCH(TRUE,INDEX((ISNUMBER($E:$E)),0),0)))*($E5&gt;INDEX(_xlfn.ANCHORARRAY(Sintesi!$C$14),1,$C5))*($E5&lt;=INDEX(_xlfn.ANCHORARRAY(Sintesi!$C$15),1,$C5))*(INDEX(_xlfn.ANCHORARRAY(Sintesi!$C$15),1,$C5)&gt;0),1,IF(($E5&gt;=LOOKUP(2,1/($E:$E&lt;&gt;""),$E:$E))*($E5&lt;=INDEX($E:$E,MATCH(TRUE,INDEX((ISNUMBER($E:$E)),0),0)))*($E5&gt;INDEX(_xlfn.ANCHORARRAY(Sintesi!$C$14),1,$C5))*($E5&lt;INDEX(_xlfn.ANCHORARRAY(Sintesi!$C$16),1,$C5))*(INDEX(_xlfn.ANCHORARRAY(Sintesi!$C$15),1,$C5)&lt;0)+($E5&gt;=LOOKUP(2,1/($E:$E&lt;&gt;""),$E:$E))*($E5&lt;=INDEX($E:$E,MATCH(TRUE,INDEX((ISNUMBER($E:$E)),0),0)))*($E5&gt;INDEX(_xlfn.ANCHORARRAY(Sintesi!$C$15),1,$C5))*($E5&lt;INDEX(_xlfn.ANCHORARRAY(Sintesi!$C$16),1,$C5))*(INDEX(_xlfn.ANCHORARRAY(Sintesi!$C$15),1,$C5)&gt;0),2,IF($E5=(INDEX(_xlfn.ANCHORARRAY(Sintesi!$C$16),1,$C5)),3,4)))),0)),IF(ISNUMBER($E4),IF($C5&gt;0,IF(($E5=INDEX(_xlfn.ANCHORARRAY(Sintesi!$C$14),1,$C5))*(INDEX(_xlfn.ANCHORARRAY(Sintesi!$C$15),1,$C5)&gt;0),0,IF(($E5=INDEX(_xlfn.ANCHORARRAY(Sintesi!$C$14),1,$C5))*(INDEX(_xlfn.ANCHORARRAY(Sintesi!$C$15),1,$C5)&lt;0)+($E5&gt;=$E4)*($E5&lt;=$E6)*($E5&gt;INDEX(_xlfn.ANCHORARRAY(Sintesi!$C$14),1,$C5))*($E5&lt;=INDEX(_xlfn.ANCHORARRAY(Sintesi!$C$15),1,$C5))*(INDEX(_xlfn.ANCHORARRAY(Sintesi!$C$15),1,$C5)&gt;0),1,IF(($E5&gt;=$E4)*($E5&lt;=$E6)*($E5&gt;INDEX(_xlfn.ANCHORARRAY(Sintesi!$C$14),1,$C5))*($E5&lt;INDEX(_xlfn.ANCHORARRAY(Sintesi!$C$16),1,$C5))*(INDEX(_xlfn.ANCHORARRAY(Sintesi!$C$15),1,$C5)&lt;0)+($E5&gt;=$E4)*($E5&lt;=$E6)*($E5&gt;INDEX(_xlfn.ANCHORARRAY(Sintesi!$C$15),1,$C5))*($E5&lt;INDEX(_xlfn.ANCHORARRAY(Sintesi!$C$16),1,$C5))*(INDEX(_xlfn.ANCHORARRAY(Sintesi!$C$15),1,$C5)&gt;0),2,IF($E5=(INDEX(_xlfn.ANCHORARRAY(Sintesi!$C$16),1,$C5)),3,4)))),0),IF($C5&gt;0,IF(($E5=INDEX(_xlfn.ANCHORARRAY(Sintesi!$C$14),1,$C5))*(INDEX(_xlfn.ANCHORARRAY(Sintesi!$C$15),1,$C5)&gt;0),0,IF(($E5=INDEX(_xlfn.ANCHORARRAY(Sintesi!$C$14),1,$C5))*(INDEX(_xlfn.ANCHORARRAY(Sintesi!$C$15),1,$C5)&lt;0)+($E5&gt;=LOOKUP(2,1/($E:$E&lt;&gt;""),$E:$E))*($E5&lt;=$E6)*($E5&gt;INDEX(_xlfn.ANCHORARRAY(Sintesi!$C$14),1,$C5))*($E5&lt;=INDEX(_xlfn.ANCHORARRAY(Sintesi!$C$15),1,$C5))*(INDEX(_xlfn.ANCHORARRAY(Sintesi!$C$15),1,$C5)&gt;0),1,IF(($E5&gt;=LOOKUP(2,1/($E:$E&lt;&gt;""),$E:$E))*($E5&lt;=$E6)*($E5&gt;INDEX(_xlfn.ANCHORARRAY(Sintesi!$C$14),1,$C5))*($E5&lt;INDEX(_xlfn.ANCHORARRAY(Sintesi!$C$16),1,$C5))*(INDEX(_xlfn.ANCHORARRAY(Sintesi!$C$15),1,$C5)&lt;0)+($E5&gt;=LOOKUP(2,1/($E:$E&lt;&gt;""),$E:$E))*($E5&lt;=$E6)*($E5&gt;INDEX(_xlfn.ANCHORARRAY(Sintesi!$C$15),1,$C5))*($E5&lt;INDEX(_xlfn.ANCHORARRAY(Sintesi!$C$16),1,$C5))*(INDEX(_xlfn.ANCHORARRAY(Sintesi!$C$15),1,$C5)&gt;0),2,IF($E5=(INDEX(_xlfn.ANCHORARRAY(Sintesi!$C$16),1,$C5)),3,4)))),0)))</f>
        <v>0</v>
      </c>
      <c r="E5" s="1">
        <f>'Paste cell here'!F5</f>
        <v>0</v>
      </c>
      <c r="F5" s="1">
        <f>'Paste cell here'!C5</f>
        <v>6.7460746949999999</v>
      </c>
      <c r="G5" s="1">
        <f>'Paste cell here'!D5</f>
        <v>4.3895113319999997</v>
      </c>
      <c r="H5" s="1">
        <f>'Paste cell here'!E5</f>
        <v>0.233862185</v>
      </c>
      <c r="I5" s="1">
        <f>'Paste cell here'!X5</f>
        <v>0</v>
      </c>
      <c r="J5" s="1">
        <f>'Paste cell here'!Y5+'Paste cell here'!S5</f>
        <v>0</v>
      </c>
      <c r="K5" s="1">
        <f t="shared" si="1"/>
        <v>0</v>
      </c>
      <c r="L5" s="1">
        <f t="shared" si="0"/>
        <v>5.891631872152975</v>
      </c>
      <c r="M5" s="1" cm="1">
        <f t="array" ref="M5">IF(AND(A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,A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),IF(L5&lt;_xlfn.IFNA(INDEX(_xlfn.ANCHORARRAY(Sintesi!$C$17)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,1,IF(L5&gt;=_xlfn.IFNA(INDEX(_xlfn.ANCHORARRAY(Sintesi!$C$18)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,0,1-(L5-_xlfn.IFNA(INDEX(_xlfn.ANCHORARRAY(Sintesi!$C$17)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)/(_xlfn.IFNA(INDEX(_xlfn.ANCHORARRAY(Sintesi!$C$18)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-_xlfn.IFNA(INDEX(_xlfn.ANCHORARRAY(Sintesi!$C$17),1,MATCH(1,(_xlfn.ANCHORARRAY(Sintesi!$C$9)&gt;_xlfn.ANCHORARRAY(Sintesi!$C$10))*(A4&gt;=_xlfn.ANCHORARRAY(Sintesi!$C$9))+(_xlfn.ANCHORARRAY(Sintesi!$C$9)&gt;_xlfn.ANCHORARRAY(Sintesi!$C$10))*(A4&lt;=_xlfn.ANCHORARRAY(Sintesi!$C$10))+(_xlfn.ANCHORARRAY(Sintesi!$C$9)&lt;_xlfn.ANCHORARRAY(Sintesi!$C$10))*(A4&gt;=_xlfn.ANCHORARRAY(Sintesi!$C$9))*(A4&lt;=_xlfn.ANCHORARRAY(Sintesi!$C$10)),0)),0)))),0)</f>
        <v>0</v>
      </c>
      <c r="O5" s="14">
        <v>4</v>
      </c>
      <c r="P5" s="14">
        <v>15</v>
      </c>
      <c r="Q5" s="14">
        <v>5</v>
      </c>
    </row>
    <row r="6" spans="1:18">
      <c r="A6" s="1">
        <f>'Paste cell here'!A6</f>
        <v>5</v>
      </c>
      <c r="B6" s="2">
        <f>DATE(Sintesi!$C$4-1,12,31)+A6</f>
        <v>44201</v>
      </c>
      <c r="C6" s="34" cm="1">
        <f t="array" ref="C6">_xlfn.IFNA(MATCH(1,(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)*(_xlfn.ANCHORARRAY(Sintesi!$C$15)&gt;=0)+(_xlfn.ANCHORARRAY(Sintesi!$C$15)&lt;0),0),0)</f>
        <v>0</v>
      </c>
      <c r="D6" s="1" cm="1">
        <f t="array" ref="D6">IF(ISBLANK($E7),IF(ISNUMBER($E5),IF($C6&gt;0,IF(($E6=INDEX(_xlfn.ANCHORARRAY(Sintesi!$C$14),1,$C6))*(INDEX(_xlfn.ANCHORARRAY(Sintesi!$C$15),1,$C6)&gt;0),0,IF(($E6=INDEX(_xlfn.ANCHORARRAY(Sintesi!$C$14),1,$C6))*(INDEX(_xlfn.ANCHORARRAY(Sintesi!$C$15),1,$C6)&lt;0)+($E6&gt;=$E5)*($E6&lt;=INDEX($E:$E,MATCH(TRUE,INDEX((ISNUMBER($E:$E)),0),0)))*($E6&gt;INDEX(_xlfn.ANCHORARRAY(Sintesi!$C$14),1,$C6))*($E6&lt;=INDEX(_xlfn.ANCHORARRAY(Sintesi!$C$15),1,$C6))*(INDEX(_xlfn.ANCHORARRAY(Sintesi!$C$15),1,$C6)&gt;0),1,IF(($E6&gt;=$E5)*($E6&lt;=INDEX($E:$E,MATCH(TRUE,INDEX((ISNUMBER($E:$E)),0),0)))*($E6&gt;INDEX(_xlfn.ANCHORARRAY(Sintesi!$C$14),1,$C6))*($E6&lt;INDEX(_xlfn.ANCHORARRAY(Sintesi!$C$16),1,$C6))*(INDEX(_xlfn.ANCHORARRAY(Sintesi!$C$15),1,$C6)&lt;0)+($E6&gt;=$E5)*($E6&lt;=INDEX($E:$E,MATCH(TRUE,INDEX((ISNUMBER($E:$E)),0),0)))*($E6&gt;INDEX(_xlfn.ANCHORARRAY(Sintesi!$C$15),1,$C6))*($E6&lt;INDEX(_xlfn.ANCHORARRAY(Sintesi!$C$16),1,$C6))*(INDEX(_xlfn.ANCHORARRAY(Sintesi!$C$15),1,$C6)&gt;0),2,IF($E6=(INDEX(_xlfn.ANCHORARRAY(Sintesi!$C$16),1,$C6)),3,4)))),0),IF($C6&gt;0,IF(($E6=INDEX(_xlfn.ANCHORARRAY(Sintesi!$C$14),1,$C6))*(INDEX(_xlfn.ANCHORARRAY(Sintesi!$C$15),1,$C6)&gt;0),0,IF(($E6=INDEX(_xlfn.ANCHORARRAY(Sintesi!$C$14),1,$C6))*(INDEX(_xlfn.ANCHORARRAY(Sintesi!$C$15),1,$C6)&lt;0)+($E6&gt;=LOOKUP(2,1/($E:$E&lt;&gt;""),$E:$E))*($E6&lt;=INDEX($E:$E,MATCH(TRUE,INDEX((ISNUMBER($E:$E)),0),0)))*($E6&gt;INDEX(_xlfn.ANCHORARRAY(Sintesi!$C$14),1,$C6))*($E6&lt;=INDEX(_xlfn.ANCHORARRAY(Sintesi!$C$15),1,$C6))*(INDEX(_xlfn.ANCHORARRAY(Sintesi!$C$15),1,$C6)&gt;0),1,IF(($E6&gt;=LOOKUP(2,1/($E:$E&lt;&gt;""),$E:$E))*($E6&lt;=INDEX($E:$E,MATCH(TRUE,INDEX((ISNUMBER($E:$E)),0),0)))*($E6&gt;INDEX(_xlfn.ANCHORARRAY(Sintesi!$C$14),1,$C6))*($E6&lt;INDEX(_xlfn.ANCHORARRAY(Sintesi!$C$16),1,$C6))*(INDEX(_xlfn.ANCHORARRAY(Sintesi!$C$15),1,$C6)&lt;0)+($E6&gt;=LOOKUP(2,1/($E:$E&lt;&gt;""),$E:$E))*($E6&lt;=INDEX($E:$E,MATCH(TRUE,INDEX((ISNUMBER($E:$E)),0),0)))*($E6&gt;INDEX(_xlfn.ANCHORARRAY(Sintesi!$C$15),1,$C6))*($E6&lt;INDEX(_xlfn.ANCHORARRAY(Sintesi!$C$16),1,$C6))*(INDEX(_xlfn.ANCHORARRAY(Sintesi!$C$15),1,$C6)&gt;0),2,IF($E6=(INDEX(_xlfn.ANCHORARRAY(Sintesi!$C$16),1,$C6)),3,4)))),0)),IF(ISNUMBER($E5),IF($C6&gt;0,IF(($E6=INDEX(_xlfn.ANCHORARRAY(Sintesi!$C$14),1,$C6))*(INDEX(_xlfn.ANCHORARRAY(Sintesi!$C$15),1,$C6)&gt;0),0,IF(($E6=INDEX(_xlfn.ANCHORARRAY(Sintesi!$C$14),1,$C6))*(INDEX(_xlfn.ANCHORARRAY(Sintesi!$C$15),1,$C6)&lt;0)+($E6&gt;=$E5)*($E6&lt;=$E7)*($E6&gt;INDEX(_xlfn.ANCHORARRAY(Sintesi!$C$14),1,$C6))*($E6&lt;=INDEX(_xlfn.ANCHORARRAY(Sintesi!$C$15),1,$C6))*(INDEX(_xlfn.ANCHORARRAY(Sintesi!$C$15),1,$C6)&gt;0),1,IF(($E6&gt;=$E5)*($E6&lt;=$E7)*($E6&gt;INDEX(_xlfn.ANCHORARRAY(Sintesi!$C$14),1,$C6))*($E6&lt;INDEX(_xlfn.ANCHORARRAY(Sintesi!$C$16),1,$C6))*(INDEX(_xlfn.ANCHORARRAY(Sintesi!$C$15),1,$C6)&lt;0)+($E6&gt;=$E5)*($E6&lt;=$E7)*($E6&gt;INDEX(_xlfn.ANCHORARRAY(Sintesi!$C$15),1,$C6))*($E6&lt;INDEX(_xlfn.ANCHORARRAY(Sintesi!$C$16),1,$C6))*(INDEX(_xlfn.ANCHORARRAY(Sintesi!$C$15),1,$C6)&gt;0),2,IF($E6=(INDEX(_xlfn.ANCHORARRAY(Sintesi!$C$16),1,$C6)),3,4)))),0),IF($C6&gt;0,IF(($E6=INDEX(_xlfn.ANCHORARRAY(Sintesi!$C$14),1,$C6))*(INDEX(_xlfn.ANCHORARRAY(Sintesi!$C$15),1,$C6)&gt;0),0,IF(($E6=INDEX(_xlfn.ANCHORARRAY(Sintesi!$C$14),1,$C6))*(INDEX(_xlfn.ANCHORARRAY(Sintesi!$C$15),1,$C6)&lt;0)+($E6&gt;=LOOKUP(2,1/($E:$E&lt;&gt;""),$E:$E))*($E6&lt;=$E7)*($E6&gt;INDEX(_xlfn.ANCHORARRAY(Sintesi!$C$14),1,$C6))*($E6&lt;=INDEX(_xlfn.ANCHORARRAY(Sintesi!$C$15),1,$C6))*(INDEX(_xlfn.ANCHORARRAY(Sintesi!$C$15),1,$C6)&gt;0),1,IF(($E6&gt;=LOOKUP(2,1/($E:$E&lt;&gt;""),$E:$E))*($E6&lt;=$E7)*($E6&gt;INDEX(_xlfn.ANCHORARRAY(Sintesi!$C$14),1,$C6))*($E6&lt;INDEX(_xlfn.ANCHORARRAY(Sintesi!$C$16),1,$C6))*(INDEX(_xlfn.ANCHORARRAY(Sintesi!$C$15),1,$C6)&lt;0)+($E6&gt;=LOOKUP(2,1/($E:$E&lt;&gt;""),$E:$E))*($E6&lt;=$E7)*($E6&gt;INDEX(_xlfn.ANCHORARRAY(Sintesi!$C$15),1,$C6))*($E6&lt;INDEX(_xlfn.ANCHORARRAY(Sintesi!$C$16),1,$C6))*(INDEX(_xlfn.ANCHORARRAY(Sintesi!$C$15),1,$C6)&gt;0),2,IF($E6=(INDEX(_xlfn.ANCHORARRAY(Sintesi!$C$16),1,$C6)),3,4)))),0)))</f>
        <v>0</v>
      </c>
      <c r="E6" s="1">
        <f>'Paste cell here'!F6</f>
        <v>0</v>
      </c>
      <c r="F6" s="1">
        <f>'Paste cell here'!C6</f>
        <v>6.9</v>
      </c>
      <c r="G6" s="1">
        <f>'Paste cell here'!D6</f>
        <v>2.9820194940000002</v>
      </c>
      <c r="H6" s="1">
        <f>'Paste cell here'!E6</f>
        <v>0.33052825899999999</v>
      </c>
      <c r="I6" s="1">
        <f>'Paste cell here'!X6</f>
        <v>0</v>
      </c>
      <c r="J6" s="1">
        <f>'Paste cell here'!Y6+'Paste cell here'!S6</f>
        <v>0</v>
      </c>
      <c r="K6" s="1">
        <f t="shared" si="1"/>
        <v>0</v>
      </c>
      <c r="L6" s="1">
        <f t="shared" si="0"/>
        <v>5.4794184973051161</v>
      </c>
      <c r="M6" s="1" cm="1">
        <f t="array" ref="M6">IF(AND(A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,A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),IF(L6&lt;_xlfn.IFNA(INDEX(_xlfn.ANCHORARRAY(Sintesi!$C$17)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,1,IF(L6&gt;=_xlfn.IFNA(INDEX(_xlfn.ANCHORARRAY(Sintesi!$C$18)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,0,1-(L6-_xlfn.IFNA(INDEX(_xlfn.ANCHORARRAY(Sintesi!$C$17)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)/(_xlfn.IFNA(INDEX(_xlfn.ANCHORARRAY(Sintesi!$C$18)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-_xlfn.IFNA(INDEX(_xlfn.ANCHORARRAY(Sintesi!$C$17),1,MATCH(1,(_xlfn.ANCHORARRAY(Sintesi!$C$9)&gt;_xlfn.ANCHORARRAY(Sintesi!$C$10))*(A5&gt;=_xlfn.ANCHORARRAY(Sintesi!$C$9))+(_xlfn.ANCHORARRAY(Sintesi!$C$9)&gt;_xlfn.ANCHORARRAY(Sintesi!$C$10))*(A5&lt;=_xlfn.ANCHORARRAY(Sintesi!$C$10))+(_xlfn.ANCHORARRAY(Sintesi!$C$9)&lt;_xlfn.ANCHORARRAY(Sintesi!$C$10))*(A5&gt;=_xlfn.ANCHORARRAY(Sintesi!$C$9))*(A5&lt;=_xlfn.ANCHORARRAY(Sintesi!$C$10)),0)),0)))),0)</f>
        <v>0</v>
      </c>
      <c r="O6" s="14">
        <v>5</v>
      </c>
      <c r="P6" s="14">
        <v>15</v>
      </c>
      <c r="Q6" s="14">
        <v>4</v>
      </c>
    </row>
    <row r="7" spans="1:18" ht="11.25" customHeight="1">
      <c r="A7" s="1">
        <f>'Paste cell here'!A7</f>
        <v>6</v>
      </c>
      <c r="B7" s="2">
        <f>DATE(Sintesi!$C$4-1,12,31)+A7</f>
        <v>44202</v>
      </c>
      <c r="C7" s="34" cm="1">
        <f t="array" ref="C7">_xlfn.IFNA(MATCH(1,(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)*(_xlfn.ANCHORARRAY(Sintesi!$C$15)&gt;=0)+(_xlfn.ANCHORARRAY(Sintesi!$C$15)&lt;0),0),0)</f>
        <v>0</v>
      </c>
      <c r="D7" s="1" cm="1">
        <f t="array" ref="D7">IF(ISBLANK($E8),IF(ISNUMBER($E6),IF($C7&gt;0,IF(($E7=INDEX(_xlfn.ANCHORARRAY(Sintesi!$C$14),1,$C7))*(INDEX(_xlfn.ANCHORARRAY(Sintesi!$C$15),1,$C7)&gt;0),0,IF(($E7=INDEX(_xlfn.ANCHORARRAY(Sintesi!$C$14),1,$C7))*(INDEX(_xlfn.ANCHORARRAY(Sintesi!$C$15),1,$C7)&lt;0)+($E7&gt;=$E6)*($E7&lt;=INDEX($E:$E,MATCH(TRUE,INDEX((ISNUMBER($E:$E)),0),0)))*($E7&gt;INDEX(_xlfn.ANCHORARRAY(Sintesi!$C$14),1,$C7))*($E7&lt;=INDEX(_xlfn.ANCHORARRAY(Sintesi!$C$15),1,$C7))*(INDEX(_xlfn.ANCHORARRAY(Sintesi!$C$15),1,$C7)&gt;0),1,IF(($E7&gt;=$E6)*($E7&lt;=INDEX($E:$E,MATCH(TRUE,INDEX((ISNUMBER($E:$E)),0),0)))*($E7&gt;INDEX(_xlfn.ANCHORARRAY(Sintesi!$C$14),1,$C7))*($E7&lt;INDEX(_xlfn.ANCHORARRAY(Sintesi!$C$16),1,$C7))*(INDEX(_xlfn.ANCHORARRAY(Sintesi!$C$15),1,$C7)&lt;0)+($E7&gt;=$E6)*($E7&lt;=INDEX($E:$E,MATCH(TRUE,INDEX((ISNUMBER($E:$E)),0),0)))*($E7&gt;INDEX(_xlfn.ANCHORARRAY(Sintesi!$C$15),1,$C7))*($E7&lt;INDEX(_xlfn.ANCHORARRAY(Sintesi!$C$16),1,$C7))*(INDEX(_xlfn.ANCHORARRAY(Sintesi!$C$15),1,$C7)&gt;0),2,IF($E7=(INDEX(_xlfn.ANCHORARRAY(Sintesi!$C$16),1,$C7)),3,4)))),0),IF($C7&gt;0,IF(($E7=INDEX(_xlfn.ANCHORARRAY(Sintesi!$C$14),1,$C7))*(INDEX(_xlfn.ANCHORARRAY(Sintesi!$C$15),1,$C7)&gt;0),0,IF(($E7=INDEX(_xlfn.ANCHORARRAY(Sintesi!$C$14),1,$C7))*(INDEX(_xlfn.ANCHORARRAY(Sintesi!$C$15),1,$C7)&lt;0)+($E7&gt;=LOOKUP(2,1/($E:$E&lt;&gt;""),$E:$E))*($E7&lt;=INDEX($E:$E,MATCH(TRUE,INDEX((ISNUMBER($E:$E)),0),0)))*($E7&gt;INDEX(_xlfn.ANCHORARRAY(Sintesi!$C$14),1,$C7))*($E7&lt;=INDEX(_xlfn.ANCHORARRAY(Sintesi!$C$15),1,$C7))*(INDEX(_xlfn.ANCHORARRAY(Sintesi!$C$15),1,$C7)&gt;0),1,IF(($E7&gt;=LOOKUP(2,1/($E:$E&lt;&gt;""),$E:$E))*($E7&lt;=INDEX($E:$E,MATCH(TRUE,INDEX((ISNUMBER($E:$E)),0),0)))*($E7&gt;INDEX(_xlfn.ANCHORARRAY(Sintesi!$C$14),1,$C7))*($E7&lt;INDEX(_xlfn.ANCHORARRAY(Sintesi!$C$16),1,$C7))*(INDEX(_xlfn.ANCHORARRAY(Sintesi!$C$15),1,$C7)&lt;0)+($E7&gt;=LOOKUP(2,1/($E:$E&lt;&gt;""),$E:$E))*($E7&lt;=INDEX($E:$E,MATCH(TRUE,INDEX((ISNUMBER($E:$E)),0),0)))*($E7&gt;INDEX(_xlfn.ANCHORARRAY(Sintesi!$C$15),1,$C7))*($E7&lt;INDEX(_xlfn.ANCHORARRAY(Sintesi!$C$16),1,$C7))*(INDEX(_xlfn.ANCHORARRAY(Sintesi!$C$15),1,$C7)&gt;0),2,IF($E7=(INDEX(_xlfn.ANCHORARRAY(Sintesi!$C$16),1,$C7)),3,4)))),0)),IF(ISNUMBER($E6),IF($C7&gt;0,IF(($E7=INDEX(_xlfn.ANCHORARRAY(Sintesi!$C$14),1,$C7))*(INDEX(_xlfn.ANCHORARRAY(Sintesi!$C$15),1,$C7)&gt;0),0,IF(($E7=INDEX(_xlfn.ANCHORARRAY(Sintesi!$C$14),1,$C7))*(INDEX(_xlfn.ANCHORARRAY(Sintesi!$C$15),1,$C7)&lt;0)+($E7&gt;=$E6)*($E7&lt;=$E8)*($E7&gt;INDEX(_xlfn.ANCHORARRAY(Sintesi!$C$14),1,$C7))*($E7&lt;=INDEX(_xlfn.ANCHORARRAY(Sintesi!$C$15),1,$C7))*(INDEX(_xlfn.ANCHORARRAY(Sintesi!$C$15),1,$C7)&gt;0),1,IF(($E7&gt;=$E6)*($E7&lt;=$E8)*($E7&gt;INDEX(_xlfn.ANCHORARRAY(Sintesi!$C$14),1,$C7))*($E7&lt;INDEX(_xlfn.ANCHORARRAY(Sintesi!$C$16),1,$C7))*(INDEX(_xlfn.ANCHORARRAY(Sintesi!$C$15),1,$C7)&lt;0)+($E7&gt;=$E6)*($E7&lt;=$E8)*($E7&gt;INDEX(_xlfn.ANCHORARRAY(Sintesi!$C$15),1,$C7))*($E7&lt;INDEX(_xlfn.ANCHORARRAY(Sintesi!$C$16),1,$C7))*(INDEX(_xlfn.ANCHORARRAY(Sintesi!$C$15),1,$C7)&gt;0),2,IF($E7=(INDEX(_xlfn.ANCHORARRAY(Sintesi!$C$16),1,$C7)),3,4)))),0),IF($C7&gt;0,IF(($E7=INDEX(_xlfn.ANCHORARRAY(Sintesi!$C$14),1,$C7))*(INDEX(_xlfn.ANCHORARRAY(Sintesi!$C$15),1,$C7)&gt;0),0,IF(($E7=INDEX(_xlfn.ANCHORARRAY(Sintesi!$C$14),1,$C7))*(INDEX(_xlfn.ANCHORARRAY(Sintesi!$C$15),1,$C7)&lt;0)+($E7&gt;=LOOKUP(2,1/($E:$E&lt;&gt;""),$E:$E))*($E7&lt;=$E8)*($E7&gt;INDEX(_xlfn.ANCHORARRAY(Sintesi!$C$14),1,$C7))*($E7&lt;=INDEX(_xlfn.ANCHORARRAY(Sintesi!$C$15),1,$C7))*(INDEX(_xlfn.ANCHORARRAY(Sintesi!$C$15),1,$C7)&gt;0),1,IF(($E7&gt;=LOOKUP(2,1/($E:$E&lt;&gt;""),$E:$E))*($E7&lt;=$E8)*($E7&gt;INDEX(_xlfn.ANCHORARRAY(Sintesi!$C$14),1,$C7))*($E7&lt;INDEX(_xlfn.ANCHORARRAY(Sintesi!$C$16),1,$C7))*(INDEX(_xlfn.ANCHORARRAY(Sintesi!$C$15),1,$C7)&lt;0)+($E7&gt;=LOOKUP(2,1/($E:$E&lt;&gt;""),$E:$E))*($E7&lt;=$E8)*($E7&gt;INDEX(_xlfn.ANCHORARRAY(Sintesi!$C$15),1,$C7))*($E7&lt;INDEX(_xlfn.ANCHORARRAY(Sintesi!$C$16),1,$C7))*(INDEX(_xlfn.ANCHORARRAY(Sintesi!$C$15),1,$C7)&gt;0),2,IF($E7=(INDEX(_xlfn.ANCHORARRAY(Sintesi!$C$16),1,$C7)),3,4)))),0)))</f>
        <v>0</v>
      </c>
      <c r="E7" s="1">
        <f>'Paste cell here'!F7</f>
        <v>0</v>
      </c>
      <c r="F7" s="1">
        <f>'Paste cell here'!C7</f>
        <v>5.802679726</v>
      </c>
      <c r="G7" s="1">
        <f>'Paste cell here'!D7</f>
        <v>2.4179805060000001</v>
      </c>
      <c r="H7" s="1">
        <f>'Paste cell here'!E7</f>
        <v>0.27605688299999998</v>
      </c>
      <c r="I7" s="1">
        <f>'Paste cell here'!X7</f>
        <v>0</v>
      </c>
      <c r="J7" s="1">
        <f>'Paste cell here'!Y7+'Paste cell here'!S7</f>
        <v>0</v>
      </c>
      <c r="K7" s="1">
        <f t="shared" si="1"/>
        <v>0</v>
      </c>
      <c r="L7" s="1">
        <f t="shared" si="0"/>
        <v>4.5754553697903519</v>
      </c>
      <c r="M7" s="1" cm="1">
        <f t="array" ref="M7">IF(AND(A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,A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),IF(L7&lt;_xlfn.IFNA(INDEX(_xlfn.ANCHORARRAY(Sintesi!$C$17)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,1,IF(L7&gt;=_xlfn.IFNA(INDEX(_xlfn.ANCHORARRAY(Sintesi!$C$18)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,0,1-(L7-_xlfn.IFNA(INDEX(_xlfn.ANCHORARRAY(Sintesi!$C$17)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)/(_xlfn.IFNA(INDEX(_xlfn.ANCHORARRAY(Sintesi!$C$18)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-_xlfn.IFNA(INDEX(_xlfn.ANCHORARRAY(Sintesi!$C$17),1,MATCH(1,(_xlfn.ANCHORARRAY(Sintesi!$C$9)&gt;_xlfn.ANCHORARRAY(Sintesi!$C$10))*(A6&gt;=_xlfn.ANCHORARRAY(Sintesi!$C$9))+(_xlfn.ANCHORARRAY(Sintesi!$C$9)&gt;_xlfn.ANCHORARRAY(Sintesi!$C$10))*(A6&lt;=_xlfn.ANCHORARRAY(Sintesi!$C$10))+(_xlfn.ANCHORARRAY(Sintesi!$C$9)&lt;_xlfn.ANCHORARRAY(Sintesi!$C$10))*(A6&gt;=_xlfn.ANCHORARRAY(Sintesi!$C$9))*(A6&lt;=_xlfn.ANCHORARRAY(Sintesi!$C$10)),0)),0)))),0)</f>
        <v>0</v>
      </c>
      <c r="N7" s="31"/>
      <c r="O7" s="14">
        <v>6</v>
      </c>
      <c r="P7" s="14">
        <v>16</v>
      </c>
      <c r="Q7" s="14">
        <v>4</v>
      </c>
      <c r="R7" s="36"/>
    </row>
    <row r="8" spans="1:18">
      <c r="A8" s="1">
        <f>'Paste cell here'!A8</f>
        <v>7</v>
      </c>
      <c r="B8" s="2">
        <f>DATE(Sintesi!$C$4-1,12,31)+A8</f>
        <v>44203</v>
      </c>
      <c r="C8" s="34" cm="1">
        <f t="array" ref="C8">_xlfn.IFNA(MATCH(1,(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)*(_xlfn.ANCHORARRAY(Sintesi!$C$15)&gt;=0)+(_xlfn.ANCHORARRAY(Sintesi!$C$15)&lt;0),0),0)</f>
        <v>0</v>
      </c>
      <c r="D8" s="1" cm="1">
        <f t="array" ref="D8">IF(ISBLANK($E9),IF(ISNUMBER($E7),IF($C8&gt;0,IF(($E8=INDEX(_xlfn.ANCHORARRAY(Sintesi!$C$14),1,$C8))*(INDEX(_xlfn.ANCHORARRAY(Sintesi!$C$15),1,$C8)&gt;0),0,IF(($E8=INDEX(_xlfn.ANCHORARRAY(Sintesi!$C$14),1,$C8))*(INDEX(_xlfn.ANCHORARRAY(Sintesi!$C$15),1,$C8)&lt;0)+($E8&gt;=$E7)*($E8&lt;=INDEX($E:$E,MATCH(TRUE,INDEX((ISNUMBER($E:$E)),0),0)))*($E8&gt;INDEX(_xlfn.ANCHORARRAY(Sintesi!$C$14),1,$C8))*($E8&lt;=INDEX(_xlfn.ANCHORARRAY(Sintesi!$C$15),1,$C8))*(INDEX(_xlfn.ANCHORARRAY(Sintesi!$C$15),1,$C8)&gt;0),1,IF(($E8&gt;=$E7)*($E8&lt;=INDEX($E:$E,MATCH(TRUE,INDEX((ISNUMBER($E:$E)),0),0)))*($E8&gt;INDEX(_xlfn.ANCHORARRAY(Sintesi!$C$14),1,$C8))*($E8&lt;INDEX(_xlfn.ANCHORARRAY(Sintesi!$C$16),1,$C8))*(INDEX(_xlfn.ANCHORARRAY(Sintesi!$C$15),1,$C8)&lt;0)+($E8&gt;=$E7)*($E8&lt;=INDEX($E:$E,MATCH(TRUE,INDEX((ISNUMBER($E:$E)),0),0)))*($E8&gt;INDEX(_xlfn.ANCHORARRAY(Sintesi!$C$15),1,$C8))*($E8&lt;INDEX(_xlfn.ANCHORARRAY(Sintesi!$C$16),1,$C8))*(INDEX(_xlfn.ANCHORARRAY(Sintesi!$C$15),1,$C8)&gt;0),2,IF($E8=(INDEX(_xlfn.ANCHORARRAY(Sintesi!$C$16),1,$C8)),3,4)))),0),IF($C8&gt;0,IF(($E8=INDEX(_xlfn.ANCHORARRAY(Sintesi!$C$14),1,$C8))*(INDEX(_xlfn.ANCHORARRAY(Sintesi!$C$15),1,$C8)&gt;0),0,IF(($E8=INDEX(_xlfn.ANCHORARRAY(Sintesi!$C$14),1,$C8))*(INDEX(_xlfn.ANCHORARRAY(Sintesi!$C$15),1,$C8)&lt;0)+($E8&gt;=LOOKUP(2,1/($E:$E&lt;&gt;""),$E:$E))*($E8&lt;=INDEX($E:$E,MATCH(TRUE,INDEX((ISNUMBER($E:$E)),0),0)))*($E8&gt;INDEX(_xlfn.ANCHORARRAY(Sintesi!$C$14),1,$C8))*($E8&lt;=INDEX(_xlfn.ANCHORARRAY(Sintesi!$C$15),1,$C8))*(INDEX(_xlfn.ANCHORARRAY(Sintesi!$C$15),1,$C8)&gt;0),1,IF(($E8&gt;=LOOKUP(2,1/($E:$E&lt;&gt;""),$E:$E))*($E8&lt;=INDEX($E:$E,MATCH(TRUE,INDEX((ISNUMBER($E:$E)),0),0)))*($E8&gt;INDEX(_xlfn.ANCHORARRAY(Sintesi!$C$14),1,$C8))*($E8&lt;INDEX(_xlfn.ANCHORARRAY(Sintesi!$C$16),1,$C8))*(INDEX(_xlfn.ANCHORARRAY(Sintesi!$C$15),1,$C8)&lt;0)+($E8&gt;=LOOKUP(2,1/($E:$E&lt;&gt;""),$E:$E))*($E8&lt;=INDEX($E:$E,MATCH(TRUE,INDEX((ISNUMBER($E:$E)),0),0)))*($E8&gt;INDEX(_xlfn.ANCHORARRAY(Sintesi!$C$15),1,$C8))*($E8&lt;INDEX(_xlfn.ANCHORARRAY(Sintesi!$C$16),1,$C8))*(INDEX(_xlfn.ANCHORARRAY(Sintesi!$C$15),1,$C8)&gt;0),2,IF($E8=(INDEX(_xlfn.ANCHORARRAY(Sintesi!$C$16),1,$C8)),3,4)))),0)),IF(ISNUMBER($E7),IF($C8&gt;0,IF(($E8=INDEX(_xlfn.ANCHORARRAY(Sintesi!$C$14),1,$C8))*(INDEX(_xlfn.ANCHORARRAY(Sintesi!$C$15),1,$C8)&gt;0),0,IF(($E8=INDEX(_xlfn.ANCHORARRAY(Sintesi!$C$14),1,$C8))*(INDEX(_xlfn.ANCHORARRAY(Sintesi!$C$15),1,$C8)&lt;0)+($E8&gt;=$E7)*($E8&lt;=$E9)*($E8&gt;INDEX(_xlfn.ANCHORARRAY(Sintesi!$C$14),1,$C8))*($E8&lt;=INDEX(_xlfn.ANCHORARRAY(Sintesi!$C$15),1,$C8))*(INDEX(_xlfn.ANCHORARRAY(Sintesi!$C$15),1,$C8)&gt;0),1,IF(($E8&gt;=$E7)*($E8&lt;=$E9)*($E8&gt;INDEX(_xlfn.ANCHORARRAY(Sintesi!$C$14),1,$C8))*($E8&lt;INDEX(_xlfn.ANCHORARRAY(Sintesi!$C$16),1,$C8))*(INDEX(_xlfn.ANCHORARRAY(Sintesi!$C$15),1,$C8)&lt;0)+($E8&gt;=$E7)*($E8&lt;=$E9)*($E8&gt;INDEX(_xlfn.ANCHORARRAY(Sintesi!$C$15),1,$C8))*($E8&lt;INDEX(_xlfn.ANCHORARRAY(Sintesi!$C$16),1,$C8))*(INDEX(_xlfn.ANCHORARRAY(Sintesi!$C$15),1,$C8)&gt;0),2,IF($E8=(INDEX(_xlfn.ANCHORARRAY(Sintesi!$C$16),1,$C8)),3,4)))),0),IF($C8&gt;0,IF(($E8=INDEX(_xlfn.ANCHORARRAY(Sintesi!$C$14),1,$C8))*(INDEX(_xlfn.ANCHORARRAY(Sintesi!$C$15),1,$C8)&gt;0),0,IF(($E8=INDEX(_xlfn.ANCHORARRAY(Sintesi!$C$14),1,$C8))*(INDEX(_xlfn.ANCHORARRAY(Sintesi!$C$15),1,$C8)&lt;0)+($E8&gt;=LOOKUP(2,1/($E:$E&lt;&gt;""),$E:$E))*($E8&lt;=$E9)*($E8&gt;INDEX(_xlfn.ANCHORARRAY(Sintesi!$C$14),1,$C8))*($E8&lt;=INDEX(_xlfn.ANCHORARRAY(Sintesi!$C$15),1,$C8))*(INDEX(_xlfn.ANCHORARRAY(Sintesi!$C$15),1,$C8)&gt;0),1,IF(($E8&gt;=LOOKUP(2,1/($E:$E&lt;&gt;""),$E:$E))*($E8&lt;=$E9)*($E8&gt;INDEX(_xlfn.ANCHORARRAY(Sintesi!$C$14),1,$C8))*($E8&lt;INDEX(_xlfn.ANCHORARRAY(Sintesi!$C$16),1,$C8))*(INDEX(_xlfn.ANCHORARRAY(Sintesi!$C$15),1,$C8)&lt;0)+($E8&gt;=LOOKUP(2,1/($E:$E&lt;&gt;""),$E:$E))*($E8&lt;=$E9)*($E8&gt;INDEX(_xlfn.ANCHORARRAY(Sintesi!$C$15),1,$C8))*($E8&lt;INDEX(_xlfn.ANCHORARRAY(Sintesi!$C$16),1,$C8))*(INDEX(_xlfn.ANCHORARRAY(Sintesi!$C$15),1,$C8)&gt;0),2,IF($E8=(INDEX(_xlfn.ANCHORARRAY(Sintesi!$C$16),1,$C8)),3,4)))),0)))</f>
        <v>0</v>
      </c>
      <c r="E8" s="1">
        <f>'Paste cell here'!F8</f>
        <v>0</v>
      </c>
      <c r="F8" s="1">
        <f>'Paste cell here'!C8</f>
        <v>7.5311488989999997</v>
      </c>
      <c r="G8" s="1">
        <f>'Paste cell here'!D8</f>
        <v>1.8820194939999999</v>
      </c>
      <c r="H8" s="1">
        <f>'Paste cell here'!E8</f>
        <v>0.34334282900000002</v>
      </c>
      <c r="I8" s="1">
        <f>'Paste cell here'!X8</f>
        <v>0</v>
      </c>
      <c r="J8" s="1">
        <f>'Paste cell here'!Y8+'Paste cell here'!S8</f>
        <v>0</v>
      </c>
      <c r="K8" s="1">
        <f t="shared" si="1"/>
        <v>0</v>
      </c>
      <c r="L8" s="1">
        <f t="shared" si="0"/>
        <v>5.4828873706990819</v>
      </c>
      <c r="M8" s="1" cm="1">
        <f t="array" ref="M8">IF(AND(A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,A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),IF(L8&lt;_xlfn.IFNA(INDEX(_xlfn.ANCHORARRAY(Sintesi!$C$17)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,1,IF(L8&gt;=_xlfn.IFNA(INDEX(_xlfn.ANCHORARRAY(Sintesi!$C$18)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,0,1-(L8-_xlfn.IFNA(INDEX(_xlfn.ANCHORARRAY(Sintesi!$C$17)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)/(_xlfn.IFNA(INDEX(_xlfn.ANCHORARRAY(Sintesi!$C$18)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-_xlfn.IFNA(INDEX(_xlfn.ANCHORARRAY(Sintesi!$C$17),1,MATCH(1,(_xlfn.ANCHORARRAY(Sintesi!$C$9)&gt;_xlfn.ANCHORARRAY(Sintesi!$C$10))*(A7&gt;=_xlfn.ANCHORARRAY(Sintesi!$C$9))+(_xlfn.ANCHORARRAY(Sintesi!$C$9)&gt;_xlfn.ANCHORARRAY(Sintesi!$C$10))*(A7&lt;=_xlfn.ANCHORARRAY(Sintesi!$C$10))+(_xlfn.ANCHORARRAY(Sintesi!$C$9)&lt;_xlfn.ANCHORARRAY(Sintesi!$C$10))*(A7&gt;=_xlfn.ANCHORARRAY(Sintesi!$C$9))*(A7&lt;=_xlfn.ANCHORARRAY(Sintesi!$C$10)),0)),0)))),0)</f>
        <v>0</v>
      </c>
      <c r="O8" s="14">
        <v>7</v>
      </c>
      <c r="P8" s="14">
        <v>15</v>
      </c>
      <c r="Q8" s="14">
        <v>4</v>
      </c>
    </row>
    <row r="9" spans="1:18" ht="11.25" customHeight="1">
      <c r="A9" s="1">
        <f>'Paste cell here'!A9</f>
        <v>8</v>
      </c>
      <c r="B9" s="2">
        <f>DATE(Sintesi!$C$4-1,12,31)+A9</f>
        <v>44204</v>
      </c>
      <c r="C9" s="34" cm="1">
        <f t="array" ref="C9">_xlfn.IFNA(MATCH(1,(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)*(_xlfn.ANCHORARRAY(Sintesi!$C$15)&gt;=0)+(_xlfn.ANCHORARRAY(Sintesi!$C$15)&lt;0),0),0)</f>
        <v>0</v>
      </c>
      <c r="D9" s="1" cm="1">
        <f t="array" ref="D9">IF(ISBLANK($E10),IF(ISNUMBER($E8),IF($C9&gt;0,IF(($E9=INDEX(_xlfn.ANCHORARRAY(Sintesi!$C$14),1,$C9))*(INDEX(_xlfn.ANCHORARRAY(Sintesi!$C$15),1,$C9)&gt;0),0,IF(($E9=INDEX(_xlfn.ANCHORARRAY(Sintesi!$C$14),1,$C9))*(INDEX(_xlfn.ANCHORARRAY(Sintesi!$C$15),1,$C9)&lt;0)+($E9&gt;=$E8)*($E9&lt;=INDEX($E:$E,MATCH(TRUE,INDEX((ISNUMBER($E:$E)),0),0)))*($E9&gt;INDEX(_xlfn.ANCHORARRAY(Sintesi!$C$14),1,$C9))*($E9&lt;=INDEX(_xlfn.ANCHORARRAY(Sintesi!$C$15),1,$C9))*(INDEX(_xlfn.ANCHORARRAY(Sintesi!$C$15),1,$C9)&gt;0),1,IF(($E9&gt;=$E8)*($E9&lt;=INDEX($E:$E,MATCH(TRUE,INDEX((ISNUMBER($E:$E)),0),0)))*($E9&gt;INDEX(_xlfn.ANCHORARRAY(Sintesi!$C$14),1,$C9))*($E9&lt;INDEX(_xlfn.ANCHORARRAY(Sintesi!$C$16),1,$C9))*(INDEX(_xlfn.ANCHORARRAY(Sintesi!$C$15),1,$C9)&lt;0)+($E9&gt;=$E8)*($E9&lt;=INDEX($E:$E,MATCH(TRUE,INDEX((ISNUMBER($E:$E)),0),0)))*($E9&gt;INDEX(_xlfn.ANCHORARRAY(Sintesi!$C$15),1,$C9))*($E9&lt;INDEX(_xlfn.ANCHORARRAY(Sintesi!$C$16),1,$C9))*(INDEX(_xlfn.ANCHORARRAY(Sintesi!$C$15),1,$C9)&gt;0),2,IF($E9=(INDEX(_xlfn.ANCHORARRAY(Sintesi!$C$16),1,$C9)),3,4)))),0),IF($C9&gt;0,IF(($E9=INDEX(_xlfn.ANCHORARRAY(Sintesi!$C$14),1,$C9))*(INDEX(_xlfn.ANCHORARRAY(Sintesi!$C$15),1,$C9)&gt;0),0,IF(($E9=INDEX(_xlfn.ANCHORARRAY(Sintesi!$C$14),1,$C9))*(INDEX(_xlfn.ANCHORARRAY(Sintesi!$C$15),1,$C9)&lt;0)+($E9&gt;=LOOKUP(2,1/($E:$E&lt;&gt;""),$E:$E))*($E9&lt;=INDEX($E:$E,MATCH(TRUE,INDEX((ISNUMBER($E:$E)),0),0)))*($E9&gt;INDEX(_xlfn.ANCHORARRAY(Sintesi!$C$14),1,$C9))*($E9&lt;=INDEX(_xlfn.ANCHORARRAY(Sintesi!$C$15),1,$C9))*(INDEX(_xlfn.ANCHORARRAY(Sintesi!$C$15),1,$C9)&gt;0),1,IF(($E9&gt;=LOOKUP(2,1/($E:$E&lt;&gt;""),$E:$E))*($E9&lt;=INDEX($E:$E,MATCH(TRUE,INDEX((ISNUMBER($E:$E)),0),0)))*($E9&gt;INDEX(_xlfn.ANCHORARRAY(Sintesi!$C$14),1,$C9))*($E9&lt;INDEX(_xlfn.ANCHORARRAY(Sintesi!$C$16),1,$C9))*(INDEX(_xlfn.ANCHORARRAY(Sintesi!$C$15),1,$C9)&lt;0)+($E9&gt;=LOOKUP(2,1/($E:$E&lt;&gt;""),$E:$E))*($E9&lt;=INDEX($E:$E,MATCH(TRUE,INDEX((ISNUMBER($E:$E)),0),0)))*($E9&gt;INDEX(_xlfn.ANCHORARRAY(Sintesi!$C$15),1,$C9))*($E9&lt;INDEX(_xlfn.ANCHORARRAY(Sintesi!$C$16),1,$C9))*(INDEX(_xlfn.ANCHORARRAY(Sintesi!$C$15),1,$C9)&gt;0),2,IF($E9=(INDEX(_xlfn.ANCHORARRAY(Sintesi!$C$16),1,$C9)),3,4)))),0)),IF(ISNUMBER($E8),IF($C9&gt;0,IF(($E9=INDEX(_xlfn.ANCHORARRAY(Sintesi!$C$14),1,$C9))*(INDEX(_xlfn.ANCHORARRAY(Sintesi!$C$15),1,$C9)&gt;0),0,IF(($E9=INDEX(_xlfn.ANCHORARRAY(Sintesi!$C$14),1,$C9))*(INDEX(_xlfn.ANCHORARRAY(Sintesi!$C$15),1,$C9)&lt;0)+($E9&gt;=$E8)*($E9&lt;=$E10)*($E9&gt;INDEX(_xlfn.ANCHORARRAY(Sintesi!$C$14),1,$C9))*($E9&lt;=INDEX(_xlfn.ANCHORARRAY(Sintesi!$C$15),1,$C9))*(INDEX(_xlfn.ANCHORARRAY(Sintesi!$C$15),1,$C9)&gt;0),1,IF(($E9&gt;=$E8)*($E9&lt;=$E10)*($E9&gt;INDEX(_xlfn.ANCHORARRAY(Sintesi!$C$14),1,$C9))*($E9&lt;INDEX(_xlfn.ANCHORARRAY(Sintesi!$C$16),1,$C9))*(INDEX(_xlfn.ANCHORARRAY(Sintesi!$C$15),1,$C9)&lt;0)+($E9&gt;=$E8)*($E9&lt;=$E10)*($E9&gt;INDEX(_xlfn.ANCHORARRAY(Sintesi!$C$15),1,$C9))*($E9&lt;INDEX(_xlfn.ANCHORARRAY(Sintesi!$C$16),1,$C9))*(INDEX(_xlfn.ANCHORARRAY(Sintesi!$C$15),1,$C9)&gt;0),2,IF($E9=(INDEX(_xlfn.ANCHORARRAY(Sintesi!$C$16),1,$C9)),3,4)))),0),IF($C9&gt;0,IF(($E9=INDEX(_xlfn.ANCHORARRAY(Sintesi!$C$14),1,$C9))*(INDEX(_xlfn.ANCHORARRAY(Sintesi!$C$15),1,$C9)&gt;0),0,IF(($E9=INDEX(_xlfn.ANCHORARRAY(Sintesi!$C$14),1,$C9))*(INDEX(_xlfn.ANCHORARRAY(Sintesi!$C$15),1,$C9)&lt;0)+($E9&gt;=LOOKUP(2,1/($E:$E&lt;&gt;""),$E:$E))*($E9&lt;=$E10)*($E9&gt;INDEX(_xlfn.ANCHORARRAY(Sintesi!$C$14),1,$C9))*($E9&lt;=INDEX(_xlfn.ANCHORARRAY(Sintesi!$C$15),1,$C9))*(INDEX(_xlfn.ANCHORARRAY(Sintesi!$C$15),1,$C9)&gt;0),1,IF(($E9&gt;=LOOKUP(2,1/($E:$E&lt;&gt;""),$E:$E))*($E9&lt;=$E10)*($E9&gt;INDEX(_xlfn.ANCHORARRAY(Sintesi!$C$14),1,$C9))*($E9&lt;INDEX(_xlfn.ANCHORARRAY(Sintesi!$C$16),1,$C9))*(INDEX(_xlfn.ANCHORARRAY(Sintesi!$C$15),1,$C9)&lt;0)+($E9&gt;=LOOKUP(2,1/($E:$E&lt;&gt;""),$E:$E))*($E9&lt;=$E10)*($E9&gt;INDEX(_xlfn.ANCHORARRAY(Sintesi!$C$15),1,$C9))*($E9&lt;INDEX(_xlfn.ANCHORARRAY(Sintesi!$C$16),1,$C9))*(INDEX(_xlfn.ANCHORARRAY(Sintesi!$C$15),1,$C9)&gt;0),2,IF($E9=(INDEX(_xlfn.ANCHORARRAY(Sintesi!$C$16),1,$C9)),3,4)))),0)))</f>
        <v>0</v>
      </c>
      <c r="E9" s="1">
        <f>'Paste cell here'!F9</f>
        <v>0</v>
      </c>
      <c r="F9" s="1">
        <f>'Paste cell here'!C9</f>
        <v>6.992675899</v>
      </c>
      <c r="G9" s="1">
        <f>'Paste cell here'!D9</f>
        <v>-2.7566050309999999</v>
      </c>
      <c r="H9" s="1">
        <f>'Paste cell here'!E9</f>
        <v>0.15304997300000001</v>
      </c>
      <c r="I9" s="1">
        <f>'Paste cell here'!X9</f>
        <v>0</v>
      </c>
      <c r="J9" s="1">
        <f>'Paste cell here'!Y9+'Paste cell here'!S9</f>
        <v>0</v>
      </c>
      <c r="K9" s="1">
        <f t="shared" si="1"/>
        <v>0</v>
      </c>
      <c r="L9" s="1">
        <f t="shared" si="0"/>
        <v>3.4577812938521149</v>
      </c>
      <c r="M9" s="1" cm="1">
        <f t="array" ref="M9">IF(AND(A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,A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),IF(L9&lt;_xlfn.IFNA(INDEX(_xlfn.ANCHORARRAY(Sintesi!$C$17)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,1,IF(L9&gt;=_xlfn.IFNA(INDEX(_xlfn.ANCHORARRAY(Sintesi!$C$18)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,0,1-(L9-_xlfn.IFNA(INDEX(_xlfn.ANCHORARRAY(Sintesi!$C$17)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)/(_xlfn.IFNA(INDEX(_xlfn.ANCHORARRAY(Sintesi!$C$18)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-_xlfn.IFNA(INDEX(_xlfn.ANCHORARRAY(Sintesi!$C$17),1,MATCH(1,(_xlfn.ANCHORARRAY(Sintesi!$C$9)&gt;_xlfn.ANCHORARRAY(Sintesi!$C$10))*(A8&gt;=_xlfn.ANCHORARRAY(Sintesi!$C$9))+(_xlfn.ANCHORARRAY(Sintesi!$C$9)&gt;_xlfn.ANCHORARRAY(Sintesi!$C$10))*(A8&lt;=_xlfn.ANCHORARRAY(Sintesi!$C$10))+(_xlfn.ANCHORARRAY(Sintesi!$C$9)&lt;_xlfn.ANCHORARRAY(Sintesi!$C$10))*(A8&gt;=_xlfn.ANCHORARRAY(Sintesi!$C$9))*(A8&lt;=_xlfn.ANCHORARRAY(Sintesi!$C$10)),0)),0)))),0)</f>
        <v>0</v>
      </c>
      <c r="N9" s="32"/>
      <c r="O9" s="14">
        <v>8</v>
      </c>
      <c r="P9" s="14">
        <v>15</v>
      </c>
      <c r="Q9" s="14">
        <v>5</v>
      </c>
    </row>
    <row r="10" spans="1:18">
      <c r="A10" s="1">
        <f>'Paste cell here'!A10</f>
        <v>9</v>
      </c>
      <c r="B10" s="2">
        <f>DATE(Sintesi!$C$4-1,12,31)+A10</f>
        <v>44205</v>
      </c>
      <c r="C10" s="34" cm="1">
        <f t="array" ref="C10">_xlfn.IFNA(MATCH(1,(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)*(_xlfn.ANCHORARRAY(Sintesi!$C$15)&gt;=0)+(_xlfn.ANCHORARRAY(Sintesi!$C$15)&lt;0),0),0)</f>
        <v>0</v>
      </c>
      <c r="D10" s="1" cm="1">
        <f t="array" ref="D10">IF(ISBLANK($E11),IF(ISNUMBER($E9),IF($C10&gt;0,IF(($E10=INDEX(_xlfn.ANCHORARRAY(Sintesi!$C$14),1,$C10))*(INDEX(_xlfn.ANCHORARRAY(Sintesi!$C$15),1,$C10)&gt;0),0,IF(($E10=INDEX(_xlfn.ANCHORARRAY(Sintesi!$C$14),1,$C10))*(INDEX(_xlfn.ANCHORARRAY(Sintesi!$C$15),1,$C10)&lt;0)+($E10&gt;=$E9)*($E10&lt;=INDEX($E:$E,MATCH(TRUE,INDEX((ISNUMBER($E:$E)),0),0)))*($E10&gt;INDEX(_xlfn.ANCHORARRAY(Sintesi!$C$14),1,$C10))*($E10&lt;=INDEX(_xlfn.ANCHORARRAY(Sintesi!$C$15),1,$C10))*(INDEX(_xlfn.ANCHORARRAY(Sintesi!$C$15),1,$C10)&gt;0),1,IF(($E10&gt;=$E9)*($E10&lt;=INDEX($E:$E,MATCH(TRUE,INDEX((ISNUMBER($E:$E)),0),0)))*($E10&gt;INDEX(_xlfn.ANCHORARRAY(Sintesi!$C$14),1,$C10))*($E10&lt;INDEX(_xlfn.ANCHORARRAY(Sintesi!$C$16),1,$C10))*(INDEX(_xlfn.ANCHORARRAY(Sintesi!$C$15),1,$C10)&lt;0)+($E10&gt;=$E9)*($E10&lt;=INDEX($E:$E,MATCH(TRUE,INDEX((ISNUMBER($E:$E)),0),0)))*($E10&gt;INDEX(_xlfn.ANCHORARRAY(Sintesi!$C$15),1,$C10))*($E10&lt;INDEX(_xlfn.ANCHORARRAY(Sintesi!$C$16),1,$C10))*(INDEX(_xlfn.ANCHORARRAY(Sintesi!$C$15),1,$C10)&gt;0),2,IF($E10=(INDEX(_xlfn.ANCHORARRAY(Sintesi!$C$16),1,$C10)),3,4)))),0),IF($C10&gt;0,IF(($E10=INDEX(_xlfn.ANCHORARRAY(Sintesi!$C$14),1,$C10))*(INDEX(_xlfn.ANCHORARRAY(Sintesi!$C$15),1,$C10)&gt;0),0,IF(($E10=INDEX(_xlfn.ANCHORARRAY(Sintesi!$C$14),1,$C10))*(INDEX(_xlfn.ANCHORARRAY(Sintesi!$C$15),1,$C10)&lt;0)+($E10&gt;=LOOKUP(2,1/($E:$E&lt;&gt;""),$E:$E))*($E10&lt;=INDEX($E:$E,MATCH(TRUE,INDEX((ISNUMBER($E:$E)),0),0)))*($E10&gt;INDEX(_xlfn.ANCHORARRAY(Sintesi!$C$14),1,$C10))*($E10&lt;=INDEX(_xlfn.ANCHORARRAY(Sintesi!$C$15),1,$C10))*(INDEX(_xlfn.ANCHORARRAY(Sintesi!$C$15),1,$C10)&gt;0),1,IF(($E10&gt;=LOOKUP(2,1/($E:$E&lt;&gt;""),$E:$E))*($E10&lt;=INDEX($E:$E,MATCH(TRUE,INDEX((ISNUMBER($E:$E)),0),0)))*($E10&gt;INDEX(_xlfn.ANCHORARRAY(Sintesi!$C$14),1,$C10))*($E10&lt;INDEX(_xlfn.ANCHORARRAY(Sintesi!$C$16),1,$C10))*(INDEX(_xlfn.ANCHORARRAY(Sintesi!$C$15),1,$C10)&lt;0)+($E10&gt;=LOOKUP(2,1/($E:$E&lt;&gt;""),$E:$E))*($E10&lt;=INDEX($E:$E,MATCH(TRUE,INDEX((ISNUMBER($E:$E)),0),0)))*($E10&gt;INDEX(_xlfn.ANCHORARRAY(Sintesi!$C$15),1,$C10))*($E10&lt;INDEX(_xlfn.ANCHORARRAY(Sintesi!$C$16),1,$C10))*(INDEX(_xlfn.ANCHORARRAY(Sintesi!$C$15),1,$C10)&gt;0),2,IF($E10=(INDEX(_xlfn.ANCHORARRAY(Sintesi!$C$16),1,$C10)),3,4)))),0)),IF(ISNUMBER($E9),IF($C10&gt;0,IF(($E10=INDEX(_xlfn.ANCHORARRAY(Sintesi!$C$14),1,$C10))*(INDEX(_xlfn.ANCHORARRAY(Sintesi!$C$15),1,$C10)&gt;0),0,IF(($E10=INDEX(_xlfn.ANCHORARRAY(Sintesi!$C$14),1,$C10))*(INDEX(_xlfn.ANCHORARRAY(Sintesi!$C$15),1,$C10)&lt;0)+($E10&gt;=$E9)*($E10&lt;=$E11)*($E10&gt;INDEX(_xlfn.ANCHORARRAY(Sintesi!$C$14),1,$C10))*($E10&lt;=INDEX(_xlfn.ANCHORARRAY(Sintesi!$C$15),1,$C10))*(INDEX(_xlfn.ANCHORARRAY(Sintesi!$C$15),1,$C10)&gt;0),1,IF(($E10&gt;=$E9)*($E10&lt;=$E11)*($E10&gt;INDEX(_xlfn.ANCHORARRAY(Sintesi!$C$14),1,$C10))*($E10&lt;INDEX(_xlfn.ANCHORARRAY(Sintesi!$C$16),1,$C10))*(INDEX(_xlfn.ANCHORARRAY(Sintesi!$C$15),1,$C10)&lt;0)+($E10&gt;=$E9)*($E10&lt;=$E11)*($E10&gt;INDEX(_xlfn.ANCHORARRAY(Sintesi!$C$15),1,$C10))*($E10&lt;INDEX(_xlfn.ANCHORARRAY(Sintesi!$C$16),1,$C10))*(INDEX(_xlfn.ANCHORARRAY(Sintesi!$C$15),1,$C10)&gt;0),2,IF($E10=(INDEX(_xlfn.ANCHORARRAY(Sintesi!$C$16),1,$C10)),3,4)))),0),IF($C10&gt;0,IF(($E10=INDEX(_xlfn.ANCHORARRAY(Sintesi!$C$14),1,$C10))*(INDEX(_xlfn.ANCHORARRAY(Sintesi!$C$15),1,$C10)&gt;0),0,IF(($E10=INDEX(_xlfn.ANCHORARRAY(Sintesi!$C$14),1,$C10))*(INDEX(_xlfn.ANCHORARRAY(Sintesi!$C$15),1,$C10)&lt;0)+($E10&gt;=LOOKUP(2,1/($E:$E&lt;&gt;""),$E:$E))*($E10&lt;=$E11)*($E10&gt;INDEX(_xlfn.ANCHORARRAY(Sintesi!$C$14),1,$C10))*($E10&lt;=INDEX(_xlfn.ANCHORARRAY(Sintesi!$C$15),1,$C10))*(INDEX(_xlfn.ANCHORARRAY(Sintesi!$C$15),1,$C10)&gt;0),1,IF(($E10&gt;=LOOKUP(2,1/($E:$E&lt;&gt;""),$E:$E))*($E10&lt;=$E11)*($E10&gt;INDEX(_xlfn.ANCHORARRAY(Sintesi!$C$14),1,$C10))*($E10&lt;INDEX(_xlfn.ANCHORARRAY(Sintesi!$C$16),1,$C10))*(INDEX(_xlfn.ANCHORARRAY(Sintesi!$C$15),1,$C10)&lt;0)+($E10&gt;=LOOKUP(2,1/($E:$E&lt;&gt;""),$E:$E))*($E10&lt;=$E11)*($E10&gt;INDEX(_xlfn.ANCHORARRAY(Sintesi!$C$15),1,$C10))*($E10&lt;INDEX(_xlfn.ANCHORARRAY(Sintesi!$C$16),1,$C10))*(INDEX(_xlfn.ANCHORARRAY(Sintesi!$C$15),1,$C10)&gt;0),2,IF($E10=(INDEX(_xlfn.ANCHORARRAY(Sintesi!$C$16),1,$C10)),3,4)))),0)))</f>
        <v>0</v>
      </c>
      <c r="E10" s="1">
        <f>'Paste cell here'!F10</f>
        <v>0</v>
      </c>
      <c r="F10" s="1">
        <f>'Paste cell here'!C10</f>
        <v>5.1073241009999997</v>
      </c>
      <c r="G10" s="1">
        <f>'Paste cell here'!D10</f>
        <v>-2.374543869</v>
      </c>
      <c r="H10" s="1">
        <f>'Paste cell here'!E10</f>
        <v>0.32686016400000001</v>
      </c>
      <c r="I10" s="1">
        <f>'Paste cell here'!X10</f>
        <v>0</v>
      </c>
      <c r="J10" s="1">
        <f>'Paste cell here'!Y10+'Paste cell here'!S10</f>
        <v>0</v>
      </c>
      <c r="K10" s="1">
        <f t="shared" si="1"/>
        <v>0</v>
      </c>
      <c r="L10" s="1">
        <f t="shared" si="0"/>
        <v>2.3945481626024834</v>
      </c>
      <c r="M10" s="1" cm="1">
        <f t="array" ref="M10">IF(AND(A10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,A10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),IF(L10&lt;_xlfn.IFNA(INDEX(_xlfn.ANCHORARRAY(Sintesi!$C$17)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,1,IF(L10&gt;=_xlfn.IFNA(INDEX(_xlfn.ANCHORARRAY(Sintesi!$C$18)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,0,1-(L10-_xlfn.IFNA(INDEX(_xlfn.ANCHORARRAY(Sintesi!$C$17)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)/(_xlfn.IFNA(INDEX(_xlfn.ANCHORARRAY(Sintesi!$C$18)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-_xlfn.IFNA(INDEX(_xlfn.ANCHORARRAY(Sintesi!$C$17),1,MATCH(1,(_xlfn.ANCHORARRAY(Sintesi!$C$9)&gt;_xlfn.ANCHORARRAY(Sintesi!$C$10))*(A9&gt;=_xlfn.ANCHORARRAY(Sintesi!$C$9))+(_xlfn.ANCHORARRAY(Sintesi!$C$9)&gt;_xlfn.ANCHORARRAY(Sintesi!$C$10))*(A9&lt;=_xlfn.ANCHORARRAY(Sintesi!$C$10))+(_xlfn.ANCHORARRAY(Sintesi!$C$9)&lt;_xlfn.ANCHORARRAY(Sintesi!$C$10))*(A9&gt;=_xlfn.ANCHORARRAY(Sintesi!$C$9))*(A9&lt;=_xlfn.ANCHORARRAY(Sintesi!$C$10)),0)),0)))),0)</f>
        <v>0</v>
      </c>
      <c r="O10" s="14">
        <v>9</v>
      </c>
      <c r="P10" s="14">
        <v>15</v>
      </c>
      <c r="Q10" s="14">
        <v>5</v>
      </c>
    </row>
    <row r="11" spans="1:18" ht="12.75">
      <c r="A11" s="1">
        <f>'Paste cell here'!A11</f>
        <v>10</v>
      </c>
      <c r="B11" s="2">
        <f>DATE(Sintesi!$C$4-1,12,31)+A11</f>
        <v>44206</v>
      </c>
      <c r="C11" s="34" cm="1">
        <f t="array" ref="C11">_xlfn.IFNA(MATCH(1,(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)*(_xlfn.ANCHORARRAY(Sintesi!$C$15)&gt;=0)+(_xlfn.ANCHORARRAY(Sintesi!$C$15)&lt;0),0),0)</f>
        <v>0</v>
      </c>
      <c r="D11" s="1" cm="1">
        <f t="array" ref="D11">IF(ISBLANK($E12),IF(ISNUMBER($E10),IF($C11&gt;0,IF(($E11=INDEX(_xlfn.ANCHORARRAY(Sintesi!$C$14),1,$C11))*(INDEX(_xlfn.ANCHORARRAY(Sintesi!$C$15),1,$C11)&gt;0),0,IF(($E11=INDEX(_xlfn.ANCHORARRAY(Sintesi!$C$14),1,$C11))*(INDEX(_xlfn.ANCHORARRAY(Sintesi!$C$15),1,$C11)&lt;0)+($E11&gt;=$E10)*($E11&lt;=INDEX($E:$E,MATCH(TRUE,INDEX((ISNUMBER($E:$E)),0),0)))*($E11&gt;INDEX(_xlfn.ANCHORARRAY(Sintesi!$C$14),1,$C11))*($E11&lt;=INDEX(_xlfn.ANCHORARRAY(Sintesi!$C$15),1,$C11))*(INDEX(_xlfn.ANCHORARRAY(Sintesi!$C$15),1,$C11)&gt;0),1,IF(($E11&gt;=$E10)*($E11&lt;=INDEX($E:$E,MATCH(TRUE,INDEX((ISNUMBER($E:$E)),0),0)))*($E11&gt;INDEX(_xlfn.ANCHORARRAY(Sintesi!$C$14),1,$C11))*($E11&lt;INDEX(_xlfn.ANCHORARRAY(Sintesi!$C$16),1,$C11))*(INDEX(_xlfn.ANCHORARRAY(Sintesi!$C$15),1,$C11)&lt;0)+($E11&gt;=$E10)*($E11&lt;=INDEX($E:$E,MATCH(TRUE,INDEX((ISNUMBER($E:$E)),0),0)))*($E11&gt;INDEX(_xlfn.ANCHORARRAY(Sintesi!$C$15),1,$C11))*($E11&lt;INDEX(_xlfn.ANCHORARRAY(Sintesi!$C$16),1,$C11))*(INDEX(_xlfn.ANCHORARRAY(Sintesi!$C$15),1,$C11)&gt;0),2,IF($E11=(INDEX(_xlfn.ANCHORARRAY(Sintesi!$C$16),1,$C11)),3,4)))),0),IF($C11&gt;0,IF(($E11=INDEX(_xlfn.ANCHORARRAY(Sintesi!$C$14),1,$C11))*(INDEX(_xlfn.ANCHORARRAY(Sintesi!$C$15),1,$C11)&gt;0),0,IF(($E11=INDEX(_xlfn.ANCHORARRAY(Sintesi!$C$14),1,$C11))*(INDEX(_xlfn.ANCHORARRAY(Sintesi!$C$15),1,$C11)&lt;0)+($E11&gt;=LOOKUP(2,1/($E:$E&lt;&gt;""),$E:$E))*($E11&lt;=INDEX($E:$E,MATCH(TRUE,INDEX((ISNUMBER($E:$E)),0),0)))*($E11&gt;INDEX(_xlfn.ANCHORARRAY(Sintesi!$C$14),1,$C11))*($E11&lt;=INDEX(_xlfn.ANCHORARRAY(Sintesi!$C$15),1,$C11))*(INDEX(_xlfn.ANCHORARRAY(Sintesi!$C$15),1,$C11)&gt;0),1,IF(($E11&gt;=LOOKUP(2,1/($E:$E&lt;&gt;""),$E:$E))*($E11&lt;=INDEX($E:$E,MATCH(TRUE,INDEX((ISNUMBER($E:$E)),0),0)))*($E11&gt;INDEX(_xlfn.ANCHORARRAY(Sintesi!$C$14),1,$C11))*($E11&lt;INDEX(_xlfn.ANCHORARRAY(Sintesi!$C$16),1,$C11))*(INDEX(_xlfn.ANCHORARRAY(Sintesi!$C$15),1,$C11)&lt;0)+($E11&gt;=LOOKUP(2,1/($E:$E&lt;&gt;""),$E:$E))*($E11&lt;=INDEX($E:$E,MATCH(TRUE,INDEX((ISNUMBER($E:$E)),0),0)))*($E11&gt;INDEX(_xlfn.ANCHORARRAY(Sintesi!$C$15),1,$C11))*($E11&lt;INDEX(_xlfn.ANCHORARRAY(Sintesi!$C$16),1,$C11))*(INDEX(_xlfn.ANCHORARRAY(Sintesi!$C$15),1,$C11)&gt;0),2,IF($E11=(INDEX(_xlfn.ANCHORARRAY(Sintesi!$C$16),1,$C11)),3,4)))),0)),IF(ISNUMBER($E10),IF($C11&gt;0,IF(($E11=INDEX(_xlfn.ANCHORARRAY(Sintesi!$C$14),1,$C11))*(INDEX(_xlfn.ANCHORARRAY(Sintesi!$C$15),1,$C11)&gt;0),0,IF(($E11=INDEX(_xlfn.ANCHORARRAY(Sintesi!$C$14),1,$C11))*(INDEX(_xlfn.ANCHORARRAY(Sintesi!$C$15),1,$C11)&lt;0)+($E11&gt;=$E10)*($E11&lt;=$E12)*($E11&gt;INDEX(_xlfn.ANCHORARRAY(Sintesi!$C$14),1,$C11))*($E11&lt;=INDEX(_xlfn.ANCHORARRAY(Sintesi!$C$15),1,$C11))*(INDEX(_xlfn.ANCHORARRAY(Sintesi!$C$15),1,$C11)&gt;0),1,IF(($E11&gt;=$E10)*($E11&lt;=$E12)*($E11&gt;INDEX(_xlfn.ANCHORARRAY(Sintesi!$C$14),1,$C11))*($E11&lt;INDEX(_xlfn.ANCHORARRAY(Sintesi!$C$16),1,$C11))*(INDEX(_xlfn.ANCHORARRAY(Sintesi!$C$15),1,$C11)&lt;0)+($E11&gt;=$E10)*($E11&lt;=$E12)*($E11&gt;INDEX(_xlfn.ANCHORARRAY(Sintesi!$C$15),1,$C11))*($E11&lt;INDEX(_xlfn.ANCHORARRAY(Sintesi!$C$16),1,$C11))*(INDEX(_xlfn.ANCHORARRAY(Sintesi!$C$15),1,$C11)&gt;0),2,IF($E11=(INDEX(_xlfn.ANCHORARRAY(Sintesi!$C$16),1,$C11)),3,4)))),0),IF($C11&gt;0,IF(($E11=INDEX(_xlfn.ANCHORARRAY(Sintesi!$C$14),1,$C11))*(INDEX(_xlfn.ANCHORARRAY(Sintesi!$C$15),1,$C11)&gt;0),0,IF(($E11=INDEX(_xlfn.ANCHORARRAY(Sintesi!$C$14),1,$C11))*(INDEX(_xlfn.ANCHORARRAY(Sintesi!$C$15),1,$C11)&lt;0)+($E11&gt;=LOOKUP(2,1/($E:$E&lt;&gt;""),$E:$E))*($E11&lt;=$E12)*($E11&gt;INDEX(_xlfn.ANCHORARRAY(Sintesi!$C$14),1,$C11))*($E11&lt;=INDEX(_xlfn.ANCHORARRAY(Sintesi!$C$15),1,$C11))*(INDEX(_xlfn.ANCHORARRAY(Sintesi!$C$15),1,$C11)&gt;0),1,IF(($E11&gt;=LOOKUP(2,1/($E:$E&lt;&gt;""),$E:$E))*($E11&lt;=$E12)*($E11&gt;INDEX(_xlfn.ANCHORARRAY(Sintesi!$C$14),1,$C11))*($E11&lt;INDEX(_xlfn.ANCHORARRAY(Sintesi!$C$16),1,$C11))*(INDEX(_xlfn.ANCHORARRAY(Sintesi!$C$15),1,$C11)&lt;0)+($E11&gt;=LOOKUP(2,1/($E:$E&lt;&gt;""),$E:$E))*($E11&lt;=$E12)*($E11&gt;INDEX(_xlfn.ANCHORARRAY(Sintesi!$C$15),1,$C11))*($E11&lt;INDEX(_xlfn.ANCHORARRAY(Sintesi!$C$16),1,$C11))*(INDEX(_xlfn.ANCHORARRAY(Sintesi!$C$15),1,$C11)&gt;0),2,IF($E11=(INDEX(_xlfn.ANCHORARRAY(Sintesi!$C$16),1,$C11)),3,4)))),0)))</f>
        <v>0</v>
      </c>
      <c r="E11" s="1">
        <f>'Paste cell here'!F11</f>
        <v>0</v>
      </c>
      <c r="F11" s="1">
        <f>'Paste cell here'!C11</f>
        <v>4.7926758989999998</v>
      </c>
      <c r="G11" s="1">
        <f>'Paste cell here'!D11</f>
        <v>-3.3640552010000002</v>
      </c>
      <c r="H11" s="1">
        <f>'Paste cell here'!E11</f>
        <v>0.38540601000000002</v>
      </c>
      <c r="I11" s="1">
        <f>'Paste cell here'!X11</f>
        <v>0</v>
      </c>
      <c r="J11" s="1">
        <f>'Paste cell here'!Y11+'Paste cell here'!S11</f>
        <v>0</v>
      </c>
      <c r="K11" s="1">
        <f t="shared" si="1"/>
        <v>0</v>
      </c>
      <c r="L11" s="1">
        <f t="shared" si="0"/>
        <v>1.8352080643920192</v>
      </c>
      <c r="M11" s="1" cm="1">
        <f t="array" ref="M11">IF(AND(A11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,A11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),IF(L11&lt;_xlfn.IFNA(INDEX(_xlfn.ANCHORARRAY(Sintesi!$C$17)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,1,IF(L11&gt;=_xlfn.IFNA(INDEX(_xlfn.ANCHORARRAY(Sintesi!$C$18)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,0,1-(L11-_xlfn.IFNA(INDEX(_xlfn.ANCHORARRAY(Sintesi!$C$17)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)/(_xlfn.IFNA(INDEX(_xlfn.ANCHORARRAY(Sintesi!$C$18)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-_xlfn.IFNA(INDEX(_xlfn.ANCHORARRAY(Sintesi!$C$17),1,MATCH(1,(_xlfn.ANCHORARRAY(Sintesi!$C$9)&gt;_xlfn.ANCHORARRAY(Sintesi!$C$10))*(A10&gt;=_xlfn.ANCHORARRAY(Sintesi!$C$9))+(_xlfn.ANCHORARRAY(Sintesi!$C$9)&gt;_xlfn.ANCHORARRAY(Sintesi!$C$10))*(A10&lt;=_xlfn.ANCHORARRAY(Sintesi!$C$10))+(_xlfn.ANCHORARRAY(Sintesi!$C$9)&lt;_xlfn.ANCHORARRAY(Sintesi!$C$10))*(A10&gt;=_xlfn.ANCHORARRAY(Sintesi!$C$9))*(A10&lt;=_xlfn.ANCHORARRAY(Sintesi!$C$10)),0)),0)))),0)</f>
        <v>0</v>
      </c>
      <c r="N11" s="31"/>
      <c r="O11" s="14">
        <v>10</v>
      </c>
      <c r="P11" s="14">
        <v>14</v>
      </c>
      <c r="Q11" s="14">
        <v>6</v>
      </c>
    </row>
    <row r="12" spans="1:18" ht="12.75">
      <c r="A12" s="1">
        <f>'Paste cell here'!A12</f>
        <v>11</v>
      </c>
      <c r="B12" s="2">
        <f>DATE(Sintesi!$C$4-1,12,31)+A12</f>
        <v>44207</v>
      </c>
      <c r="C12" s="34" cm="1">
        <f t="array" ref="C12">_xlfn.IFNA(MATCH(1,(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)*(_xlfn.ANCHORARRAY(Sintesi!$C$15)&gt;=0)+(_xlfn.ANCHORARRAY(Sintesi!$C$15)&lt;0),0),0)</f>
        <v>0</v>
      </c>
      <c r="D12" s="1" cm="1">
        <f t="array" ref="D12">IF(ISBLANK($E13),IF(ISNUMBER($E11),IF($C12&gt;0,IF(($E12=INDEX(_xlfn.ANCHORARRAY(Sintesi!$C$14),1,$C12))*(INDEX(_xlfn.ANCHORARRAY(Sintesi!$C$15),1,$C12)&gt;0),0,IF(($E12=INDEX(_xlfn.ANCHORARRAY(Sintesi!$C$14),1,$C12))*(INDEX(_xlfn.ANCHORARRAY(Sintesi!$C$15),1,$C12)&lt;0)+($E12&gt;=$E11)*($E12&lt;=INDEX($E:$E,MATCH(TRUE,INDEX((ISNUMBER($E:$E)),0),0)))*($E12&gt;INDEX(_xlfn.ANCHORARRAY(Sintesi!$C$14),1,$C12))*($E12&lt;=INDEX(_xlfn.ANCHORARRAY(Sintesi!$C$15),1,$C12))*(INDEX(_xlfn.ANCHORARRAY(Sintesi!$C$15),1,$C12)&gt;0),1,IF(($E12&gt;=$E11)*($E12&lt;=INDEX($E:$E,MATCH(TRUE,INDEX((ISNUMBER($E:$E)),0),0)))*($E12&gt;INDEX(_xlfn.ANCHORARRAY(Sintesi!$C$14),1,$C12))*($E12&lt;INDEX(_xlfn.ANCHORARRAY(Sintesi!$C$16),1,$C12))*(INDEX(_xlfn.ANCHORARRAY(Sintesi!$C$15),1,$C12)&lt;0)+($E12&gt;=$E11)*($E12&lt;=INDEX($E:$E,MATCH(TRUE,INDEX((ISNUMBER($E:$E)),0),0)))*($E12&gt;INDEX(_xlfn.ANCHORARRAY(Sintesi!$C$15),1,$C12))*($E12&lt;INDEX(_xlfn.ANCHORARRAY(Sintesi!$C$16),1,$C12))*(INDEX(_xlfn.ANCHORARRAY(Sintesi!$C$15),1,$C12)&gt;0),2,IF($E12=(INDEX(_xlfn.ANCHORARRAY(Sintesi!$C$16),1,$C12)),3,4)))),0),IF($C12&gt;0,IF(($E12=INDEX(_xlfn.ANCHORARRAY(Sintesi!$C$14),1,$C12))*(INDEX(_xlfn.ANCHORARRAY(Sintesi!$C$15),1,$C12)&gt;0),0,IF(($E12=INDEX(_xlfn.ANCHORARRAY(Sintesi!$C$14),1,$C12))*(INDEX(_xlfn.ANCHORARRAY(Sintesi!$C$15),1,$C12)&lt;0)+($E12&gt;=LOOKUP(2,1/($E:$E&lt;&gt;""),$E:$E))*($E12&lt;=INDEX($E:$E,MATCH(TRUE,INDEX((ISNUMBER($E:$E)),0),0)))*($E12&gt;INDEX(_xlfn.ANCHORARRAY(Sintesi!$C$14),1,$C12))*($E12&lt;=INDEX(_xlfn.ANCHORARRAY(Sintesi!$C$15),1,$C12))*(INDEX(_xlfn.ANCHORARRAY(Sintesi!$C$15),1,$C12)&gt;0),1,IF(($E12&gt;=LOOKUP(2,1/($E:$E&lt;&gt;""),$E:$E))*($E12&lt;=INDEX($E:$E,MATCH(TRUE,INDEX((ISNUMBER($E:$E)),0),0)))*($E12&gt;INDEX(_xlfn.ANCHORARRAY(Sintesi!$C$14),1,$C12))*($E12&lt;INDEX(_xlfn.ANCHORARRAY(Sintesi!$C$16),1,$C12))*(INDEX(_xlfn.ANCHORARRAY(Sintesi!$C$15),1,$C12)&lt;0)+($E12&gt;=LOOKUP(2,1/($E:$E&lt;&gt;""),$E:$E))*($E12&lt;=INDEX($E:$E,MATCH(TRUE,INDEX((ISNUMBER($E:$E)),0),0)))*($E12&gt;INDEX(_xlfn.ANCHORARRAY(Sintesi!$C$15),1,$C12))*($E12&lt;INDEX(_xlfn.ANCHORARRAY(Sintesi!$C$16),1,$C12))*(INDEX(_xlfn.ANCHORARRAY(Sintesi!$C$15),1,$C12)&gt;0),2,IF($E12=(INDEX(_xlfn.ANCHORARRAY(Sintesi!$C$16),1,$C12)),3,4)))),0)),IF(ISNUMBER($E11),IF($C12&gt;0,IF(($E12=INDEX(_xlfn.ANCHORARRAY(Sintesi!$C$14),1,$C12))*(INDEX(_xlfn.ANCHORARRAY(Sintesi!$C$15),1,$C12)&gt;0),0,IF(($E12=INDEX(_xlfn.ANCHORARRAY(Sintesi!$C$14),1,$C12))*(INDEX(_xlfn.ANCHORARRAY(Sintesi!$C$15),1,$C12)&lt;0)+($E12&gt;=$E11)*($E12&lt;=$E13)*($E12&gt;INDEX(_xlfn.ANCHORARRAY(Sintesi!$C$14),1,$C12))*($E12&lt;=INDEX(_xlfn.ANCHORARRAY(Sintesi!$C$15),1,$C12))*(INDEX(_xlfn.ANCHORARRAY(Sintesi!$C$15),1,$C12)&gt;0),1,IF(($E12&gt;=$E11)*($E12&lt;=$E13)*($E12&gt;INDEX(_xlfn.ANCHORARRAY(Sintesi!$C$14),1,$C12))*($E12&lt;INDEX(_xlfn.ANCHORARRAY(Sintesi!$C$16),1,$C12))*(INDEX(_xlfn.ANCHORARRAY(Sintesi!$C$15),1,$C12)&lt;0)+($E12&gt;=$E11)*($E12&lt;=$E13)*($E12&gt;INDEX(_xlfn.ANCHORARRAY(Sintesi!$C$15),1,$C12))*($E12&lt;INDEX(_xlfn.ANCHORARRAY(Sintesi!$C$16),1,$C12))*(INDEX(_xlfn.ANCHORARRAY(Sintesi!$C$15),1,$C12)&gt;0),2,IF($E12=(INDEX(_xlfn.ANCHORARRAY(Sintesi!$C$16),1,$C12)),3,4)))),0),IF($C12&gt;0,IF(($E12=INDEX(_xlfn.ANCHORARRAY(Sintesi!$C$14),1,$C12))*(INDEX(_xlfn.ANCHORARRAY(Sintesi!$C$15),1,$C12)&gt;0),0,IF(($E12=INDEX(_xlfn.ANCHORARRAY(Sintesi!$C$14),1,$C12))*(INDEX(_xlfn.ANCHORARRAY(Sintesi!$C$15),1,$C12)&lt;0)+($E12&gt;=LOOKUP(2,1/($E:$E&lt;&gt;""),$E:$E))*($E12&lt;=$E13)*($E12&gt;INDEX(_xlfn.ANCHORARRAY(Sintesi!$C$14),1,$C12))*($E12&lt;=INDEX(_xlfn.ANCHORARRAY(Sintesi!$C$15),1,$C12))*(INDEX(_xlfn.ANCHORARRAY(Sintesi!$C$15),1,$C12)&gt;0),1,IF(($E12&gt;=LOOKUP(2,1/($E:$E&lt;&gt;""),$E:$E))*($E12&lt;=$E13)*($E12&gt;INDEX(_xlfn.ANCHORARRAY(Sintesi!$C$14),1,$C12))*($E12&lt;INDEX(_xlfn.ANCHORARRAY(Sintesi!$C$16),1,$C12))*(INDEX(_xlfn.ANCHORARRAY(Sintesi!$C$15),1,$C12)&lt;0)+($E12&gt;=LOOKUP(2,1/($E:$E&lt;&gt;""),$E:$E))*($E12&lt;=$E13)*($E12&gt;INDEX(_xlfn.ANCHORARRAY(Sintesi!$C$15),1,$C12))*($E12&lt;INDEX(_xlfn.ANCHORARRAY(Sintesi!$C$16),1,$C12))*(INDEX(_xlfn.ANCHORARRAY(Sintesi!$C$15),1,$C12)&gt;0),2,IF($E12=(INDEX(_xlfn.ANCHORARRAY(Sintesi!$C$16),1,$C12)),3,4)))),0)))</f>
        <v>0</v>
      </c>
      <c r="E12" s="1">
        <f>'Paste cell here'!F12</f>
        <v>0</v>
      </c>
      <c r="F12" s="1">
        <f>'Paste cell here'!C12</f>
        <v>5.4</v>
      </c>
      <c r="G12" s="1">
        <f>'Paste cell here'!D12</f>
        <v>-5.3847154320000001</v>
      </c>
      <c r="H12" s="1">
        <f>'Paste cell here'!E12</f>
        <v>0.21565158000000001</v>
      </c>
      <c r="I12" s="1">
        <f>'Paste cell here'!X12</f>
        <v>0</v>
      </c>
      <c r="J12" s="1">
        <f>'Paste cell here'!Y12+'Paste cell here'!S12</f>
        <v>0</v>
      </c>
      <c r="K12" s="1">
        <f t="shared" si="1"/>
        <v>0</v>
      </c>
      <c r="L12" s="1">
        <f t="shared" si="0"/>
        <v>1.4896775185416726</v>
      </c>
      <c r="M12" s="1" cm="1">
        <f t="array" ref="M12">IF(AND(A12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,A12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),IF(L12&lt;_xlfn.IFNA(INDEX(_xlfn.ANCHORARRAY(Sintesi!$C$17)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,1,IF(L12&gt;=_xlfn.IFNA(INDEX(_xlfn.ANCHORARRAY(Sintesi!$C$18)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,0,1-(L12-_xlfn.IFNA(INDEX(_xlfn.ANCHORARRAY(Sintesi!$C$17)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)/(_xlfn.IFNA(INDEX(_xlfn.ANCHORARRAY(Sintesi!$C$18)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-_xlfn.IFNA(INDEX(_xlfn.ANCHORARRAY(Sintesi!$C$17),1,MATCH(1,(_xlfn.ANCHORARRAY(Sintesi!$C$9)&gt;_xlfn.ANCHORARRAY(Sintesi!$C$10))*(A11&gt;=_xlfn.ANCHORARRAY(Sintesi!$C$9))+(_xlfn.ANCHORARRAY(Sintesi!$C$9)&gt;_xlfn.ANCHORARRAY(Sintesi!$C$10))*(A11&lt;=_xlfn.ANCHORARRAY(Sintesi!$C$10))+(_xlfn.ANCHORARRAY(Sintesi!$C$9)&lt;_xlfn.ANCHORARRAY(Sintesi!$C$10))*(A11&gt;=_xlfn.ANCHORARRAY(Sintesi!$C$9))*(A11&lt;=_xlfn.ANCHORARRAY(Sintesi!$C$10)),0)),0)))),0)</f>
        <v>0</v>
      </c>
      <c r="N12" s="31"/>
      <c r="O12" s="14">
        <v>11</v>
      </c>
      <c r="P12" s="14">
        <v>14</v>
      </c>
      <c r="Q12" s="14">
        <v>6</v>
      </c>
    </row>
    <row r="13" spans="1:18">
      <c r="A13" s="1">
        <f>'Paste cell here'!A13</f>
        <v>12</v>
      </c>
      <c r="B13" s="2">
        <f>DATE(Sintesi!$C$4-1,12,31)+A13</f>
        <v>44208</v>
      </c>
      <c r="C13" s="34" cm="1">
        <f t="array" ref="C13">_xlfn.IFNA(MATCH(1,(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)*(_xlfn.ANCHORARRAY(Sintesi!$C$15)&gt;=0)+(_xlfn.ANCHORARRAY(Sintesi!$C$15)&lt;0),0),0)</f>
        <v>0</v>
      </c>
      <c r="D13" s="1" cm="1">
        <f t="array" ref="D13">IF(ISBLANK($E14),IF(ISNUMBER($E12),IF($C13&gt;0,IF(($E13=INDEX(_xlfn.ANCHORARRAY(Sintesi!$C$14),1,$C13))*(INDEX(_xlfn.ANCHORARRAY(Sintesi!$C$15),1,$C13)&gt;0),0,IF(($E13=INDEX(_xlfn.ANCHORARRAY(Sintesi!$C$14),1,$C13))*(INDEX(_xlfn.ANCHORARRAY(Sintesi!$C$15),1,$C13)&lt;0)+($E13&gt;=$E12)*($E13&lt;=INDEX($E:$E,MATCH(TRUE,INDEX((ISNUMBER($E:$E)),0),0)))*($E13&gt;INDEX(_xlfn.ANCHORARRAY(Sintesi!$C$14),1,$C13))*($E13&lt;=INDEX(_xlfn.ANCHORARRAY(Sintesi!$C$15),1,$C13))*(INDEX(_xlfn.ANCHORARRAY(Sintesi!$C$15),1,$C13)&gt;0),1,IF(($E13&gt;=$E12)*($E13&lt;=INDEX($E:$E,MATCH(TRUE,INDEX((ISNUMBER($E:$E)),0),0)))*($E13&gt;INDEX(_xlfn.ANCHORARRAY(Sintesi!$C$14),1,$C13))*($E13&lt;INDEX(_xlfn.ANCHORARRAY(Sintesi!$C$16),1,$C13))*(INDEX(_xlfn.ANCHORARRAY(Sintesi!$C$15),1,$C13)&lt;0)+($E13&gt;=$E12)*($E13&lt;=INDEX($E:$E,MATCH(TRUE,INDEX((ISNUMBER($E:$E)),0),0)))*($E13&gt;INDEX(_xlfn.ANCHORARRAY(Sintesi!$C$15),1,$C13))*($E13&lt;INDEX(_xlfn.ANCHORARRAY(Sintesi!$C$16),1,$C13))*(INDEX(_xlfn.ANCHORARRAY(Sintesi!$C$15),1,$C13)&gt;0),2,IF($E13=(INDEX(_xlfn.ANCHORARRAY(Sintesi!$C$16),1,$C13)),3,4)))),0),IF($C13&gt;0,IF(($E13=INDEX(_xlfn.ANCHORARRAY(Sintesi!$C$14),1,$C13))*(INDEX(_xlfn.ANCHORARRAY(Sintesi!$C$15),1,$C13)&gt;0),0,IF(($E13=INDEX(_xlfn.ANCHORARRAY(Sintesi!$C$14),1,$C13))*(INDEX(_xlfn.ANCHORARRAY(Sintesi!$C$15),1,$C13)&lt;0)+($E13&gt;=LOOKUP(2,1/($E:$E&lt;&gt;""),$E:$E))*($E13&lt;=INDEX($E:$E,MATCH(TRUE,INDEX((ISNUMBER($E:$E)),0),0)))*($E13&gt;INDEX(_xlfn.ANCHORARRAY(Sintesi!$C$14),1,$C13))*($E13&lt;=INDEX(_xlfn.ANCHORARRAY(Sintesi!$C$15),1,$C13))*(INDEX(_xlfn.ANCHORARRAY(Sintesi!$C$15),1,$C13)&gt;0),1,IF(($E13&gt;=LOOKUP(2,1/($E:$E&lt;&gt;""),$E:$E))*($E13&lt;=INDEX($E:$E,MATCH(TRUE,INDEX((ISNUMBER($E:$E)),0),0)))*($E13&gt;INDEX(_xlfn.ANCHORARRAY(Sintesi!$C$14),1,$C13))*($E13&lt;INDEX(_xlfn.ANCHORARRAY(Sintesi!$C$16),1,$C13))*(INDEX(_xlfn.ANCHORARRAY(Sintesi!$C$15),1,$C13)&lt;0)+($E13&gt;=LOOKUP(2,1/($E:$E&lt;&gt;""),$E:$E))*($E13&lt;=INDEX($E:$E,MATCH(TRUE,INDEX((ISNUMBER($E:$E)),0),0)))*($E13&gt;INDEX(_xlfn.ANCHORARRAY(Sintesi!$C$15),1,$C13))*($E13&lt;INDEX(_xlfn.ANCHORARRAY(Sintesi!$C$16),1,$C13))*(INDEX(_xlfn.ANCHORARRAY(Sintesi!$C$15),1,$C13)&gt;0),2,IF($E13=(INDEX(_xlfn.ANCHORARRAY(Sintesi!$C$16),1,$C13)),3,4)))),0)),IF(ISNUMBER($E12),IF($C13&gt;0,IF(($E13=INDEX(_xlfn.ANCHORARRAY(Sintesi!$C$14),1,$C13))*(INDEX(_xlfn.ANCHORARRAY(Sintesi!$C$15),1,$C13)&gt;0),0,IF(($E13=INDEX(_xlfn.ANCHORARRAY(Sintesi!$C$14),1,$C13))*(INDEX(_xlfn.ANCHORARRAY(Sintesi!$C$15),1,$C13)&lt;0)+($E13&gt;=$E12)*($E13&lt;=$E14)*($E13&gt;INDEX(_xlfn.ANCHORARRAY(Sintesi!$C$14),1,$C13))*($E13&lt;=INDEX(_xlfn.ANCHORARRAY(Sintesi!$C$15),1,$C13))*(INDEX(_xlfn.ANCHORARRAY(Sintesi!$C$15),1,$C13)&gt;0),1,IF(($E13&gt;=$E12)*($E13&lt;=$E14)*($E13&gt;INDEX(_xlfn.ANCHORARRAY(Sintesi!$C$14),1,$C13))*($E13&lt;INDEX(_xlfn.ANCHORARRAY(Sintesi!$C$16),1,$C13))*(INDEX(_xlfn.ANCHORARRAY(Sintesi!$C$15),1,$C13)&lt;0)+($E13&gt;=$E12)*($E13&lt;=$E14)*($E13&gt;INDEX(_xlfn.ANCHORARRAY(Sintesi!$C$15),1,$C13))*($E13&lt;INDEX(_xlfn.ANCHORARRAY(Sintesi!$C$16),1,$C13))*(INDEX(_xlfn.ANCHORARRAY(Sintesi!$C$15),1,$C13)&gt;0),2,IF($E13=(INDEX(_xlfn.ANCHORARRAY(Sintesi!$C$16),1,$C13)),3,4)))),0),IF($C13&gt;0,IF(($E13=INDEX(_xlfn.ANCHORARRAY(Sintesi!$C$14),1,$C13))*(INDEX(_xlfn.ANCHORARRAY(Sintesi!$C$15),1,$C13)&gt;0),0,IF(($E13=INDEX(_xlfn.ANCHORARRAY(Sintesi!$C$14),1,$C13))*(INDEX(_xlfn.ANCHORARRAY(Sintesi!$C$15),1,$C13)&lt;0)+($E13&gt;=LOOKUP(2,1/($E:$E&lt;&gt;""),$E:$E))*($E13&lt;=$E14)*($E13&gt;INDEX(_xlfn.ANCHORARRAY(Sintesi!$C$14),1,$C13))*($E13&lt;=INDEX(_xlfn.ANCHORARRAY(Sintesi!$C$15),1,$C13))*(INDEX(_xlfn.ANCHORARRAY(Sintesi!$C$15),1,$C13)&gt;0),1,IF(($E13&gt;=LOOKUP(2,1/($E:$E&lt;&gt;""),$E:$E))*($E13&lt;=$E14)*($E13&gt;INDEX(_xlfn.ANCHORARRAY(Sintesi!$C$14),1,$C13))*($E13&lt;INDEX(_xlfn.ANCHORARRAY(Sintesi!$C$16),1,$C13))*(INDEX(_xlfn.ANCHORARRAY(Sintesi!$C$15),1,$C13)&lt;0)+($E13&gt;=LOOKUP(2,1/($E:$E&lt;&gt;""),$E:$E))*($E13&lt;=$E14)*($E13&gt;INDEX(_xlfn.ANCHORARRAY(Sintesi!$C$15),1,$C13))*($E13&lt;INDEX(_xlfn.ANCHORARRAY(Sintesi!$C$16),1,$C13))*(INDEX(_xlfn.ANCHORARRAY(Sintesi!$C$15),1,$C13)&gt;0),2,IF($E13=(INDEX(_xlfn.ANCHORARRAY(Sintesi!$C$16),1,$C13)),3,4)))),0)))</f>
        <v>0</v>
      </c>
      <c r="E13" s="1">
        <f>'Paste cell here'!F13</f>
        <v>0</v>
      </c>
      <c r="F13" s="1">
        <f>'Paste cell here'!C13</f>
        <v>5.4</v>
      </c>
      <c r="G13" s="1">
        <f>'Paste cell here'!D13</f>
        <v>-5.1206602319999996</v>
      </c>
      <c r="H13" s="1">
        <f>'Paste cell here'!E13</f>
        <v>0.31862093699999999</v>
      </c>
      <c r="I13" s="1">
        <f>'Paste cell here'!X13</f>
        <v>0</v>
      </c>
      <c r="J13" s="1">
        <f>'Paste cell here'!Y13+'Paste cell here'!S13</f>
        <v>0</v>
      </c>
      <c r="K13" s="1">
        <f t="shared" si="1"/>
        <v>0</v>
      </c>
      <c r="L13" s="1">
        <f t="shared" si="0"/>
        <v>1.5854186617750179</v>
      </c>
      <c r="M13" s="1" cm="1">
        <f t="array" ref="M13">IF(AND(A13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,A13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),IF(L13&lt;_xlfn.IFNA(INDEX(_xlfn.ANCHORARRAY(Sintesi!$C$17)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,1,IF(L13&gt;=_xlfn.IFNA(INDEX(_xlfn.ANCHORARRAY(Sintesi!$C$18)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,0,1-(L13-_xlfn.IFNA(INDEX(_xlfn.ANCHORARRAY(Sintesi!$C$17)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)/(_xlfn.IFNA(INDEX(_xlfn.ANCHORARRAY(Sintesi!$C$18)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-_xlfn.IFNA(INDEX(_xlfn.ANCHORARRAY(Sintesi!$C$17),1,MATCH(1,(_xlfn.ANCHORARRAY(Sintesi!$C$9)&gt;_xlfn.ANCHORARRAY(Sintesi!$C$10))*(A12&gt;=_xlfn.ANCHORARRAY(Sintesi!$C$9))+(_xlfn.ANCHORARRAY(Sintesi!$C$9)&gt;_xlfn.ANCHORARRAY(Sintesi!$C$10))*(A12&lt;=_xlfn.ANCHORARRAY(Sintesi!$C$10))+(_xlfn.ANCHORARRAY(Sintesi!$C$9)&lt;_xlfn.ANCHORARRAY(Sintesi!$C$10))*(A12&gt;=_xlfn.ANCHORARRAY(Sintesi!$C$9))*(A12&lt;=_xlfn.ANCHORARRAY(Sintesi!$C$10)),0)),0)))),0)</f>
        <v>0</v>
      </c>
      <c r="O13" s="14">
        <v>12</v>
      </c>
      <c r="P13" s="14">
        <v>14</v>
      </c>
      <c r="Q13" s="14">
        <v>7</v>
      </c>
    </row>
    <row r="14" spans="1:18">
      <c r="A14" s="1">
        <f>'Paste cell here'!A14</f>
        <v>13</v>
      </c>
      <c r="B14" s="2">
        <f>DATE(Sintesi!$C$4-1,12,31)+A14</f>
        <v>44209</v>
      </c>
      <c r="C14" s="34" cm="1">
        <f t="array" ref="C14">_xlfn.IFNA(MATCH(1,(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)*(_xlfn.ANCHORARRAY(Sintesi!$C$15)&gt;=0)+(_xlfn.ANCHORARRAY(Sintesi!$C$15)&lt;0),0),0)</f>
        <v>0</v>
      </c>
      <c r="D14" s="1" cm="1">
        <f t="array" ref="D14">IF(ISBLANK($E15),IF(ISNUMBER($E13),IF($C14&gt;0,IF(($E14=INDEX(_xlfn.ANCHORARRAY(Sintesi!$C$14),1,$C14))*(INDEX(_xlfn.ANCHORARRAY(Sintesi!$C$15),1,$C14)&gt;0),0,IF(($E14=INDEX(_xlfn.ANCHORARRAY(Sintesi!$C$14),1,$C14))*(INDEX(_xlfn.ANCHORARRAY(Sintesi!$C$15),1,$C14)&lt;0)+($E14&gt;=$E13)*($E14&lt;=INDEX($E:$E,MATCH(TRUE,INDEX((ISNUMBER($E:$E)),0),0)))*($E14&gt;INDEX(_xlfn.ANCHORARRAY(Sintesi!$C$14),1,$C14))*($E14&lt;=INDEX(_xlfn.ANCHORARRAY(Sintesi!$C$15),1,$C14))*(INDEX(_xlfn.ANCHORARRAY(Sintesi!$C$15),1,$C14)&gt;0),1,IF(($E14&gt;=$E13)*($E14&lt;=INDEX($E:$E,MATCH(TRUE,INDEX((ISNUMBER($E:$E)),0),0)))*($E14&gt;INDEX(_xlfn.ANCHORARRAY(Sintesi!$C$14),1,$C14))*($E14&lt;INDEX(_xlfn.ANCHORARRAY(Sintesi!$C$16),1,$C14))*(INDEX(_xlfn.ANCHORARRAY(Sintesi!$C$15),1,$C14)&lt;0)+($E14&gt;=$E13)*($E14&lt;=INDEX($E:$E,MATCH(TRUE,INDEX((ISNUMBER($E:$E)),0),0)))*($E14&gt;INDEX(_xlfn.ANCHORARRAY(Sintesi!$C$15),1,$C14))*($E14&lt;INDEX(_xlfn.ANCHORARRAY(Sintesi!$C$16),1,$C14))*(INDEX(_xlfn.ANCHORARRAY(Sintesi!$C$15),1,$C14)&gt;0),2,IF($E14=(INDEX(_xlfn.ANCHORARRAY(Sintesi!$C$16),1,$C14)),3,4)))),0),IF($C14&gt;0,IF(($E14=INDEX(_xlfn.ANCHORARRAY(Sintesi!$C$14),1,$C14))*(INDEX(_xlfn.ANCHORARRAY(Sintesi!$C$15),1,$C14)&gt;0),0,IF(($E14=INDEX(_xlfn.ANCHORARRAY(Sintesi!$C$14),1,$C14))*(INDEX(_xlfn.ANCHORARRAY(Sintesi!$C$15),1,$C14)&lt;0)+($E14&gt;=LOOKUP(2,1/($E:$E&lt;&gt;""),$E:$E))*($E14&lt;=INDEX($E:$E,MATCH(TRUE,INDEX((ISNUMBER($E:$E)),0),0)))*($E14&gt;INDEX(_xlfn.ANCHORARRAY(Sintesi!$C$14),1,$C14))*($E14&lt;=INDEX(_xlfn.ANCHORARRAY(Sintesi!$C$15),1,$C14))*(INDEX(_xlfn.ANCHORARRAY(Sintesi!$C$15),1,$C14)&gt;0),1,IF(($E14&gt;=LOOKUP(2,1/($E:$E&lt;&gt;""),$E:$E))*($E14&lt;=INDEX($E:$E,MATCH(TRUE,INDEX((ISNUMBER($E:$E)),0),0)))*($E14&gt;INDEX(_xlfn.ANCHORARRAY(Sintesi!$C$14),1,$C14))*($E14&lt;INDEX(_xlfn.ANCHORARRAY(Sintesi!$C$16),1,$C14))*(INDEX(_xlfn.ANCHORARRAY(Sintesi!$C$15),1,$C14)&lt;0)+($E14&gt;=LOOKUP(2,1/($E:$E&lt;&gt;""),$E:$E))*($E14&lt;=INDEX($E:$E,MATCH(TRUE,INDEX((ISNUMBER($E:$E)),0),0)))*($E14&gt;INDEX(_xlfn.ANCHORARRAY(Sintesi!$C$15),1,$C14))*($E14&lt;INDEX(_xlfn.ANCHORARRAY(Sintesi!$C$16),1,$C14))*(INDEX(_xlfn.ANCHORARRAY(Sintesi!$C$15),1,$C14)&gt;0),2,IF($E14=(INDEX(_xlfn.ANCHORARRAY(Sintesi!$C$16),1,$C14)),3,4)))),0)),IF(ISNUMBER($E13),IF($C14&gt;0,IF(($E14=INDEX(_xlfn.ANCHORARRAY(Sintesi!$C$14),1,$C14))*(INDEX(_xlfn.ANCHORARRAY(Sintesi!$C$15),1,$C14)&gt;0),0,IF(($E14=INDEX(_xlfn.ANCHORARRAY(Sintesi!$C$14),1,$C14))*(INDEX(_xlfn.ANCHORARRAY(Sintesi!$C$15),1,$C14)&lt;0)+($E14&gt;=$E13)*($E14&lt;=$E15)*($E14&gt;INDEX(_xlfn.ANCHORARRAY(Sintesi!$C$14),1,$C14))*($E14&lt;=INDEX(_xlfn.ANCHORARRAY(Sintesi!$C$15),1,$C14))*(INDEX(_xlfn.ANCHORARRAY(Sintesi!$C$15),1,$C14)&gt;0),1,IF(($E14&gt;=$E13)*($E14&lt;=$E15)*($E14&gt;INDEX(_xlfn.ANCHORARRAY(Sintesi!$C$14),1,$C14))*($E14&lt;INDEX(_xlfn.ANCHORARRAY(Sintesi!$C$16),1,$C14))*(INDEX(_xlfn.ANCHORARRAY(Sintesi!$C$15),1,$C14)&lt;0)+($E14&gt;=$E13)*($E14&lt;=$E15)*($E14&gt;INDEX(_xlfn.ANCHORARRAY(Sintesi!$C$15),1,$C14))*($E14&lt;INDEX(_xlfn.ANCHORARRAY(Sintesi!$C$16),1,$C14))*(INDEX(_xlfn.ANCHORARRAY(Sintesi!$C$15),1,$C14)&gt;0),2,IF($E14=(INDEX(_xlfn.ANCHORARRAY(Sintesi!$C$16),1,$C14)),3,4)))),0),IF($C14&gt;0,IF(($E14=INDEX(_xlfn.ANCHORARRAY(Sintesi!$C$14),1,$C14))*(INDEX(_xlfn.ANCHORARRAY(Sintesi!$C$15),1,$C14)&gt;0),0,IF(($E14=INDEX(_xlfn.ANCHORARRAY(Sintesi!$C$14),1,$C14))*(INDEX(_xlfn.ANCHORARRAY(Sintesi!$C$15),1,$C14)&lt;0)+($E14&gt;=LOOKUP(2,1/($E:$E&lt;&gt;""),$E:$E))*($E14&lt;=$E15)*($E14&gt;INDEX(_xlfn.ANCHORARRAY(Sintesi!$C$14),1,$C14))*($E14&lt;=INDEX(_xlfn.ANCHORARRAY(Sintesi!$C$15),1,$C14))*(INDEX(_xlfn.ANCHORARRAY(Sintesi!$C$15),1,$C14)&gt;0),1,IF(($E14&gt;=LOOKUP(2,1/($E:$E&lt;&gt;""),$E:$E))*($E14&lt;=$E15)*($E14&gt;INDEX(_xlfn.ANCHORARRAY(Sintesi!$C$14),1,$C14))*($E14&lt;INDEX(_xlfn.ANCHORARRAY(Sintesi!$C$16),1,$C14))*(INDEX(_xlfn.ANCHORARRAY(Sintesi!$C$15),1,$C14)&lt;0)+($E14&gt;=LOOKUP(2,1/($E:$E&lt;&gt;""),$E:$E))*($E14&lt;=$E15)*($E14&gt;INDEX(_xlfn.ANCHORARRAY(Sintesi!$C$15),1,$C14))*($E14&lt;INDEX(_xlfn.ANCHORARRAY(Sintesi!$C$16),1,$C14))*(INDEX(_xlfn.ANCHORARRAY(Sintesi!$C$15),1,$C14)&gt;0),2,IF($E14=(INDEX(_xlfn.ANCHORARRAY(Sintesi!$C$16),1,$C14)),3,4)))),0)))</f>
        <v>0</v>
      </c>
      <c r="E14" s="1">
        <f>'Paste cell here'!F14</f>
        <v>0</v>
      </c>
      <c r="F14" s="1">
        <f>'Paste cell here'!C14</f>
        <v>12.28666387</v>
      </c>
      <c r="G14" s="1">
        <f>'Paste cell here'!D14</f>
        <v>-2.831148899</v>
      </c>
      <c r="H14" s="1">
        <f>'Paste cell here'!E14</f>
        <v>0.59177572499999997</v>
      </c>
      <c r="I14" s="1">
        <f>'Paste cell here'!X14</f>
        <v>0</v>
      </c>
      <c r="J14" s="1">
        <f>'Paste cell here'!Y14+'Paste cell here'!S14</f>
        <v>0</v>
      </c>
      <c r="K14" s="1">
        <f t="shared" si="1"/>
        <v>0</v>
      </c>
      <c r="L14" s="1">
        <f t="shared" si="0"/>
        <v>6.8052468114012052</v>
      </c>
      <c r="M14" s="1" cm="1">
        <f t="array" ref="M14">IF(AND(A14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,A14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),IF(L14&lt;_xlfn.IFNA(INDEX(_xlfn.ANCHORARRAY(Sintesi!$C$17)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,1,IF(L14&gt;=_xlfn.IFNA(INDEX(_xlfn.ANCHORARRAY(Sintesi!$C$18)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,0,1-(L14-_xlfn.IFNA(INDEX(_xlfn.ANCHORARRAY(Sintesi!$C$17)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)/(_xlfn.IFNA(INDEX(_xlfn.ANCHORARRAY(Sintesi!$C$18)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-_xlfn.IFNA(INDEX(_xlfn.ANCHORARRAY(Sintesi!$C$17),1,MATCH(1,(_xlfn.ANCHORARRAY(Sintesi!$C$9)&gt;_xlfn.ANCHORARRAY(Sintesi!$C$10))*(A13&gt;=_xlfn.ANCHORARRAY(Sintesi!$C$9))+(_xlfn.ANCHORARRAY(Sintesi!$C$9)&gt;_xlfn.ANCHORARRAY(Sintesi!$C$10))*(A13&lt;=_xlfn.ANCHORARRAY(Sintesi!$C$10))+(_xlfn.ANCHORARRAY(Sintesi!$C$9)&lt;_xlfn.ANCHORARRAY(Sintesi!$C$10))*(A13&gt;=_xlfn.ANCHORARRAY(Sintesi!$C$9))*(A13&lt;=_xlfn.ANCHORARRAY(Sintesi!$C$10)),0)),0)))),0)</f>
        <v>0</v>
      </c>
    </row>
    <row r="15" spans="1:18">
      <c r="A15" s="1">
        <f>'Paste cell here'!A15</f>
        <v>14</v>
      </c>
      <c r="B15" s="2">
        <f>DATE(Sintesi!$C$4-1,12,31)+A15</f>
        <v>44210</v>
      </c>
      <c r="C15" s="34" cm="1">
        <f t="array" ref="C15">_xlfn.IFNA(MATCH(1,(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)*(_xlfn.ANCHORARRAY(Sintesi!$C$15)&gt;=0)+(_xlfn.ANCHORARRAY(Sintesi!$C$15)&lt;0),0),0)</f>
        <v>0</v>
      </c>
      <c r="D15" s="1" cm="1">
        <f t="array" ref="D15">IF(ISBLANK($E16),IF(ISNUMBER($E14),IF($C15&gt;0,IF(($E15=INDEX(_xlfn.ANCHORARRAY(Sintesi!$C$14),1,$C15))*(INDEX(_xlfn.ANCHORARRAY(Sintesi!$C$15),1,$C15)&gt;0),0,IF(($E15=INDEX(_xlfn.ANCHORARRAY(Sintesi!$C$14),1,$C15))*(INDEX(_xlfn.ANCHORARRAY(Sintesi!$C$15),1,$C15)&lt;0)+($E15&gt;=$E14)*($E15&lt;=INDEX($E:$E,MATCH(TRUE,INDEX((ISNUMBER($E:$E)),0),0)))*($E15&gt;INDEX(_xlfn.ANCHORARRAY(Sintesi!$C$14),1,$C15))*($E15&lt;=INDEX(_xlfn.ANCHORARRAY(Sintesi!$C$15),1,$C15))*(INDEX(_xlfn.ANCHORARRAY(Sintesi!$C$15),1,$C15)&gt;0),1,IF(($E15&gt;=$E14)*($E15&lt;=INDEX($E:$E,MATCH(TRUE,INDEX((ISNUMBER($E:$E)),0),0)))*($E15&gt;INDEX(_xlfn.ANCHORARRAY(Sintesi!$C$14),1,$C15))*($E15&lt;INDEX(_xlfn.ANCHORARRAY(Sintesi!$C$16),1,$C15))*(INDEX(_xlfn.ANCHORARRAY(Sintesi!$C$15),1,$C15)&lt;0)+($E15&gt;=$E14)*($E15&lt;=INDEX($E:$E,MATCH(TRUE,INDEX((ISNUMBER($E:$E)),0),0)))*($E15&gt;INDEX(_xlfn.ANCHORARRAY(Sintesi!$C$15),1,$C15))*($E15&lt;INDEX(_xlfn.ANCHORARRAY(Sintesi!$C$16),1,$C15))*(INDEX(_xlfn.ANCHORARRAY(Sintesi!$C$15),1,$C15)&gt;0),2,IF($E15=(INDEX(_xlfn.ANCHORARRAY(Sintesi!$C$16),1,$C15)),3,4)))),0),IF($C15&gt;0,IF(($E15=INDEX(_xlfn.ANCHORARRAY(Sintesi!$C$14),1,$C15))*(INDEX(_xlfn.ANCHORARRAY(Sintesi!$C$15),1,$C15)&gt;0),0,IF(($E15=INDEX(_xlfn.ANCHORARRAY(Sintesi!$C$14),1,$C15))*(INDEX(_xlfn.ANCHORARRAY(Sintesi!$C$15),1,$C15)&lt;0)+($E15&gt;=LOOKUP(2,1/($E:$E&lt;&gt;""),$E:$E))*($E15&lt;=INDEX($E:$E,MATCH(TRUE,INDEX((ISNUMBER($E:$E)),0),0)))*($E15&gt;INDEX(_xlfn.ANCHORARRAY(Sintesi!$C$14),1,$C15))*($E15&lt;=INDEX(_xlfn.ANCHORARRAY(Sintesi!$C$15),1,$C15))*(INDEX(_xlfn.ANCHORARRAY(Sintesi!$C$15),1,$C15)&gt;0),1,IF(($E15&gt;=LOOKUP(2,1/($E:$E&lt;&gt;""),$E:$E))*($E15&lt;=INDEX($E:$E,MATCH(TRUE,INDEX((ISNUMBER($E:$E)),0),0)))*($E15&gt;INDEX(_xlfn.ANCHORARRAY(Sintesi!$C$14),1,$C15))*($E15&lt;INDEX(_xlfn.ANCHORARRAY(Sintesi!$C$16),1,$C15))*(INDEX(_xlfn.ANCHORARRAY(Sintesi!$C$15),1,$C15)&lt;0)+($E15&gt;=LOOKUP(2,1/($E:$E&lt;&gt;""),$E:$E))*($E15&lt;=INDEX($E:$E,MATCH(TRUE,INDEX((ISNUMBER($E:$E)),0),0)))*($E15&gt;INDEX(_xlfn.ANCHORARRAY(Sintesi!$C$15),1,$C15))*($E15&lt;INDEX(_xlfn.ANCHORARRAY(Sintesi!$C$16),1,$C15))*(INDEX(_xlfn.ANCHORARRAY(Sintesi!$C$15),1,$C15)&gt;0),2,IF($E15=(INDEX(_xlfn.ANCHORARRAY(Sintesi!$C$16),1,$C15)),3,4)))),0)),IF(ISNUMBER($E14),IF($C15&gt;0,IF(($E15=INDEX(_xlfn.ANCHORARRAY(Sintesi!$C$14),1,$C15))*(INDEX(_xlfn.ANCHORARRAY(Sintesi!$C$15),1,$C15)&gt;0),0,IF(($E15=INDEX(_xlfn.ANCHORARRAY(Sintesi!$C$14),1,$C15))*(INDEX(_xlfn.ANCHORARRAY(Sintesi!$C$15),1,$C15)&lt;0)+($E15&gt;=$E14)*($E15&lt;=$E16)*($E15&gt;INDEX(_xlfn.ANCHORARRAY(Sintesi!$C$14),1,$C15))*($E15&lt;=INDEX(_xlfn.ANCHORARRAY(Sintesi!$C$15),1,$C15))*(INDEX(_xlfn.ANCHORARRAY(Sintesi!$C$15),1,$C15)&gt;0),1,IF(($E15&gt;=$E14)*($E15&lt;=$E16)*($E15&gt;INDEX(_xlfn.ANCHORARRAY(Sintesi!$C$14),1,$C15))*($E15&lt;INDEX(_xlfn.ANCHORARRAY(Sintesi!$C$16),1,$C15))*(INDEX(_xlfn.ANCHORARRAY(Sintesi!$C$15),1,$C15)&lt;0)+($E15&gt;=$E14)*($E15&lt;=$E16)*($E15&gt;INDEX(_xlfn.ANCHORARRAY(Sintesi!$C$15),1,$C15))*($E15&lt;INDEX(_xlfn.ANCHORARRAY(Sintesi!$C$16),1,$C15))*(INDEX(_xlfn.ANCHORARRAY(Sintesi!$C$15),1,$C15)&gt;0),2,IF($E15=(INDEX(_xlfn.ANCHORARRAY(Sintesi!$C$16),1,$C15)),3,4)))),0),IF($C15&gt;0,IF(($E15=INDEX(_xlfn.ANCHORARRAY(Sintesi!$C$14),1,$C15))*(INDEX(_xlfn.ANCHORARRAY(Sintesi!$C$15),1,$C15)&gt;0),0,IF(($E15=INDEX(_xlfn.ANCHORARRAY(Sintesi!$C$14),1,$C15))*(INDEX(_xlfn.ANCHORARRAY(Sintesi!$C$15),1,$C15)&lt;0)+($E15&gt;=LOOKUP(2,1/($E:$E&lt;&gt;""),$E:$E))*($E15&lt;=$E16)*($E15&gt;INDEX(_xlfn.ANCHORARRAY(Sintesi!$C$14),1,$C15))*($E15&lt;=INDEX(_xlfn.ANCHORARRAY(Sintesi!$C$15),1,$C15))*(INDEX(_xlfn.ANCHORARRAY(Sintesi!$C$15),1,$C15)&gt;0),1,IF(($E15&gt;=LOOKUP(2,1/($E:$E&lt;&gt;""),$E:$E))*($E15&lt;=$E16)*($E15&gt;INDEX(_xlfn.ANCHORARRAY(Sintesi!$C$14),1,$C15))*($E15&lt;INDEX(_xlfn.ANCHORARRAY(Sintesi!$C$16),1,$C15))*(INDEX(_xlfn.ANCHORARRAY(Sintesi!$C$15),1,$C15)&lt;0)+($E15&gt;=LOOKUP(2,1/($E:$E&lt;&gt;""),$E:$E))*($E15&lt;=$E16)*($E15&gt;INDEX(_xlfn.ANCHORARRAY(Sintesi!$C$15),1,$C15))*($E15&lt;INDEX(_xlfn.ANCHORARRAY(Sintesi!$C$16),1,$C15))*(INDEX(_xlfn.ANCHORARRAY(Sintesi!$C$15),1,$C15)&gt;0),2,IF($E15=(INDEX(_xlfn.ANCHORARRAY(Sintesi!$C$16),1,$C15)),3,4)))),0)))</f>
        <v>0</v>
      </c>
      <c r="E15" s="1">
        <f>'Paste cell here'!F15</f>
        <v>0</v>
      </c>
      <c r="F15" s="1">
        <f>'Paste cell here'!C15</f>
        <v>8.7633239120000006</v>
      </c>
      <c r="G15" s="1">
        <f>'Paste cell here'!D15</f>
        <v>-3.11333613</v>
      </c>
      <c r="H15" s="1">
        <f>'Paste cell here'!E15</f>
        <v>0.50498093200000005</v>
      </c>
      <c r="I15" s="1">
        <f>'Paste cell here'!X15</f>
        <v>0</v>
      </c>
      <c r="J15" s="1">
        <f>'Paste cell here'!Y15+'Paste cell here'!S15</f>
        <v>0</v>
      </c>
      <c r="K15" s="1">
        <f t="shared" si="1"/>
        <v>0</v>
      </c>
      <c r="L15" s="1">
        <f t="shared" si="0"/>
        <v>4.4570841173856026</v>
      </c>
      <c r="M15" s="1" cm="1">
        <f t="array" ref="M15">IF(AND(A15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,A15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),IF(L15&lt;_xlfn.IFNA(INDEX(_xlfn.ANCHORARRAY(Sintesi!$C$17)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,1,IF(L15&gt;=_xlfn.IFNA(INDEX(_xlfn.ANCHORARRAY(Sintesi!$C$18)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,0,1-(L15-_xlfn.IFNA(INDEX(_xlfn.ANCHORARRAY(Sintesi!$C$17)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)/(_xlfn.IFNA(INDEX(_xlfn.ANCHORARRAY(Sintesi!$C$18)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-_xlfn.IFNA(INDEX(_xlfn.ANCHORARRAY(Sintesi!$C$17),1,MATCH(1,(_xlfn.ANCHORARRAY(Sintesi!$C$9)&gt;_xlfn.ANCHORARRAY(Sintesi!$C$10))*(A14&gt;=_xlfn.ANCHORARRAY(Sintesi!$C$9))+(_xlfn.ANCHORARRAY(Sintesi!$C$9)&gt;_xlfn.ANCHORARRAY(Sintesi!$C$10))*(A14&lt;=_xlfn.ANCHORARRAY(Sintesi!$C$10))+(_xlfn.ANCHORARRAY(Sintesi!$C$9)&lt;_xlfn.ANCHORARRAY(Sintesi!$C$10))*(A14&gt;=_xlfn.ANCHORARRAY(Sintesi!$C$9))*(A14&lt;=_xlfn.ANCHORARRAY(Sintesi!$C$10)),0)),0)))),0)</f>
        <v>0</v>
      </c>
    </row>
    <row r="16" spans="1:18">
      <c r="A16" s="1">
        <f>'Paste cell here'!A16</f>
        <v>15</v>
      </c>
      <c r="B16" s="2">
        <f>DATE(Sintesi!$C$4-1,12,31)+A16</f>
        <v>44211</v>
      </c>
      <c r="C16" s="34" cm="1">
        <f t="array" ref="C16">_xlfn.IFNA(MATCH(1,(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)*(_xlfn.ANCHORARRAY(Sintesi!$C$15)&gt;=0)+(_xlfn.ANCHORARRAY(Sintesi!$C$15)&lt;0),0),0)</f>
        <v>0</v>
      </c>
      <c r="D16" s="1" cm="1">
        <f t="array" ref="D16">IF(ISBLANK($E17),IF(ISNUMBER($E15),IF($C16&gt;0,IF(($E16=INDEX(_xlfn.ANCHORARRAY(Sintesi!$C$14),1,$C16))*(INDEX(_xlfn.ANCHORARRAY(Sintesi!$C$15),1,$C16)&gt;0),0,IF(($E16=INDEX(_xlfn.ANCHORARRAY(Sintesi!$C$14),1,$C16))*(INDEX(_xlfn.ANCHORARRAY(Sintesi!$C$15),1,$C16)&lt;0)+($E16&gt;=$E15)*($E16&lt;=INDEX($E:$E,MATCH(TRUE,INDEX((ISNUMBER($E:$E)),0),0)))*($E16&gt;INDEX(_xlfn.ANCHORARRAY(Sintesi!$C$14),1,$C16))*($E16&lt;=INDEX(_xlfn.ANCHORARRAY(Sintesi!$C$15),1,$C16))*(INDEX(_xlfn.ANCHORARRAY(Sintesi!$C$15),1,$C16)&gt;0),1,IF(($E16&gt;=$E15)*($E16&lt;=INDEX($E:$E,MATCH(TRUE,INDEX((ISNUMBER($E:$E)),0),0)))*($E16&gt;INDEX(_xlfn.ANCHORARRAY(Sintesi!$C$14),1,$C16))*($E16&lt;INDEX(_xlfn.ANCHORARRAY(Sintesi!$C$16),1,$C16))*(INDEX(_xlfn.ANCHORARRAY(Sintesi!$C$15),1,$C16)&lt;0)+($E16&gt;=$E15)*($E16&lt;=INDEX($E:$E,MATCH(TRUE,INDEX((ISNUMBER($E:$E)),0),0)))*($E16&gt;INDEX(_xlfn.ANCHORARRAY(Sintesi!$C$15),1,$C16))*($E16&lt;INDEX(_xlfn.ANCHORARRAY(Sintesi!$C$16),1,$C16))*(INDEX(_xlfn.ANCHORARRAY(Sintesi!$C$15),1,$C16)&gt;0),2,IF($E16=(INDEX(_xlfn.ANCHORARRAY(Sintesi!$C$16),1,$C16)),3,4)))),0),IF($C16&gt;0,IF(($E16=INDEX(_xlfn.ANCHORARRAY(Sintesi!$C$14),1,$C16))*(INDEX(_xlfn.ANCHORARRAY(Sintesi!$C$15),1,$C16)&gt;0),0,IF(($E16=INDEX(_xlfn.ANCHORARRAY(Sintesi!$C$14),1,$C16))*(INDEX(_xlfn.ANCHORARRAY(Sintesi!$C$15),1,$C16)&lt;0)+($E16&gt;=LOOKUP(2,1/($E:$E&lt;&gt;""),$E:$E))*($E16&lt;=INDEX($E:$E,MATCH(TRUE,INDEX((ISNUMBER($E:$E)),0),0)))*($E16&gt;INDEX(_xlfn.ANCHORARRAY(Sintesi!$C$14),1,$C16))*($E16&lt;=INDEX(_xlfn.ANCHORARRAY(Sintesi!$C$15),1,$C16))*(INDEX(_xlfn.ANCHORARRAY(Sintesi!$C$15),1,$C16)&gt;0),1,IF(($E16&gt;=LOOKUP(2,1/($E:$E&lt;&gt;""),$E:$E))*($E16&lt;=INDEX($E:$E,MATCH(TRUE,INDEX((ISNUMBER($E:$E)),0),0)))*($E16&gt;INDEX(_xlfn.ANCHORARRAY(Sintesi!$C$14),1,$C16))*($E16&lt;INDEX(_xlfn.ANCHORARRAY(Sintesi!$C$16),1,$C16))*(INDEX(_xlfn.ANCHORARRAY(Sintesi!$C$15),1,$C16)&lt;0)+($E16&gt;=LOOKUP(2,1/($E:$E&lt;&gt;""),$E:$E))*($E16&lt;=INDEX($E:$E,MATCH(TRUE,INDEX((ISNUMBER($E:$E)),0),0)))*($E16&gt;INDEX(_xlfn.ANCHORARRAY(Sintesi!$C$15),1,$C16))*($E16&lt;INDEX(_xlfn.ANCHORARRAY(Sintesi!$C$16),1,$C16))*(INDEX(_xlfn.ANCHORARRAY(Sintesi!$C$15),1,$C16)&gt;0),2,IF($E16=(INDEX(_xlfn.ANCHORARRAY(Sintesi!$C$16),1,$C16)),3,4)))),0)),IF(ISNUMBER($E15),IF($C16&gt;0,IF(($E16=INDEX(_xlfn.ANCHORARRAY(Sintesi!$C$14),1,$C16))*(INDEX(_xlfn.ANCHORARRAY(Sintesi!$C$15),1,$C16)&gt;0),0,IF(($E16=INDEX(_xlfn.ANCHORARRAY(Sintesi!$C$14),1,$C16))*(INDEX(_xlfn.ANCHORARRAY(Sintesi!$C$15),1,$C16)&lt;0)+($E16&gt;=$E15)*($E16&lt;=$E17)*($E16&gt;INDEX(_xlfn.ANCHORARRAY(Sintesi!$C$14),1,$C16))*($E16&lt;=INDEX(_xlfn.ANCHORARRAY(Sintesi!$C$15),1,$C16))*(INDEX(_xlfn.ANCHORARRAY(Sintesi!$C$15),1,$C16)&gt;0),1,IF(($E16&gt;=$E15)*($E16&lt;=$E17)*($E16&gt;INDEX(_xlfn.ANCHORARRAY(Sintesi!$C$14),1,$C16))*($E16&lt;INDEX(_xlfn.ANCHORARRAY(Sintesi!$C$16),1,$C16))*(INDEX(_xlfn.ANCHORARRAY(Sintesi!$C$15),1,$C16)&lt;0)+($E16&gt;=$E15)*($E16&lt;=$E17)*($E16&gt;INDEX(_xlfn.ANCHORARRAY(Sintesi!$C$15),1,$C16))*($E16&lt;INDEX(_xlfn.ANCHORARRAY(Sintesi!$C$16),1,$C16))*(INDEX(_xlfn.ANCHORARRAY(Sintesi!$C$15),1,$C16)&gt;0),2,IF($E16=(INDEX(_xlfn.ANCHORARRAY(Sintesi!$C$16),1,$C16)),3,4)))),0),IF($C16&gt;0,IF(($E16=INDEX(_xlfn.ANCHORARRAY(Sintesi!$C$14),1,$C16))*(INDEX(_xlfn.ANCHORARRAY(Sintesi!$C$15),1,$C16)&gt;0),0,IF(($E16=INDEX(_xlfn.ANCHORARRAY(Sintesi!$C$14),1,$C16))*(INDEX(_xlfn.ANCHORARRAY(Sintesi!$C$15),1,$C16)&lt;0)+($E16&gt;=LOOKUP(2,1/($E:$E&lt;&gt;""),$E:$E))*($E16&lt;=$E17)*($E16&gt;INDEX(_xlfn.ANCHORARRAY(Sintesi!$C$14),1,$C16))*($E16&lt;=INDEX(_xlfn.ANCHORARRAY(Sintesi!$C$15),1,$C16))*(INDEX(_xlfn.ANCHORARRAY(Sintesi!$C$15),1,$C16)&gt;0),1,IF(($E16&gt;=LOOKUP(2,1/($E:$E&lt;&gt;""),$E:$E))*($E16&lt;=$E17)*($E16&gt;INDEX(_xlfn.ANCHORARRAY(Sintesi!$C$14),1,$C16))*($E16&lt;INDEX(_xlfn.ANCHORARRAY(Sintesi!$C$16),1,$C16))*(INDEX(_xlfn.ANCHORARRAY(Sintesi!$C$15),1,$C16)&lt;0)+($E16&gt;=LOOKUP(2,1/($E:$E&lt;&gt;""),$E:$E))*($E16&lt;=$E17)*($E16&gt;INDEX(_xlfn.ANCHORARRAY(Sintesi!$C$15),1,$C16))*($E16&lt;INDEX(_xlfn.ANCHORARRAY(Sintesi!$C$16),1,$C16))*(INDEX(_xlfn.ANCHORARRAY(Sintesi!$C$15),1,$C16)&gt;0),2,IF($E16=(INDEX(_xlfn.ANCHORARRAY(Sintesi!$C$16),1,$C16)),3,4)))),0)))</f>
        <v>0</v>
      </c>
      <c r="E16" s="1">
        <f>'Paste cell here'!F16</f>
        <v>0</v>
      </c>
      <c r="F16" s="1">
        <f>'Paste cell here'!C16</f>
        <v>6.7460746949999999</v>
      </c>
      <c r="G16" s="1">
        <f>'Paste cell here'!D16</f>
        <v>-2.1026797259999999</v>
      </c>
      <c r="H16" s="1">
        <f>'Paste cell here'!E16</f>
        <v>0.527062484</v>
      </c>
      <c r="I16" s="1">
        <f>'Paste cell here'!X16</f>
        <v>0</v>
      </c>
      <c r="J16" s="1">
        <f>'Paste cell here'!Y16+'Paste cell here'!S16</f>
        <v>0</v>
      </c>
      <c r="K16" s="1">
        <f t="shared" si="1"/>
        <v>0</v>
      </c>
      <c r="L16" s="1">
        <f t="shared" si="0"/>
        <v>3.5376930215557607</v>
      </c>
      <c r="M16" s="1" cm="1">
        <f t="array" ref="M16">IF(AND(A16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,A16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),IF(L16&lt;_xlfn.IFNA(INDEX(_xlfn.ANCHORARRAY(Sintesi!$C$17)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,1,IF(L16&gt;=_xlfn.IFNA(INDEX(_xlfn.ANCHORARRAY(Sintesi!$C$18)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,0,1-(L16-_xlfn.IFNA(INDEX(_xlfn.ANCHORARRAY(Sintesi!$C$17)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)/(_xlfn.IFNA(INDEX(_xlfn.ANCHORARRAY(Sintesi!$C$18)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-_xlfn.IFNA(INDEX(_xlfn.ANCHORARRAY(Sintesi!$C$17),1,MATCH(1,(_xlfn.ANCHORARRAY(Sintesi!$C$9)&gt;_xlfn.ANCHORARRAY(Sintesi!$C$10))*(A15&gt;=_xlfn.ANCHORARRAY(Sintesi!$C$9))+(_xlfn.ANCHORARRAY(Sintesi!$C$9)&gt;_xlfn.ANCHORARRAY(Sintesi!$C$10))*(A15&lt;=_xlfn.ANCHORARRAY(Sintesi!$C$10))+(_xlfn.ANCHORARRAY(Sintesi!$C$9)&lt;_xlfn.ANCHORARRAY(Sintesi!$C$10))*(A15&gt;=_xlfn.ANCHORARRAY(Sintesi!$C$9))*(A15&lt;=_xlfn.ANCHORARRAY(Sintesi!$C$10)),0)),0)))),0)</f>
        <v>0</v>
      </c>
    </row>
    <row r="17" spans="1:13">
      <c r="A17" s="1">
        <f>'Paste cell here'!A17</f>
        <v>16</v>
      </c>
      <c r="B17" s="2">
        <f>DATE(Sintesi!$C$4-1,12,31)+A17</f>
        <v>44212</v>
      </c>
      <c r="C17" s="34" cm="1">
        <f t="array" ref="C17">_xlfn.IFNA(MATCH(1,(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)*(_xlfn.ANCHORARRAY(Sintesi!$C$15)&gt;=0)+(_xlfn.ANCHORARRAY(Sintesi!$C$15)&lt;0),0),0)</f>
        <v>0</v>
      </c>
      <c r="D17" s="1" cm="1">
        <f t="array" ref="D17">IF(ISBLANK($E18),IF(ISNUMBER($E16),IF($C17&gt;0,IF(($E17=INDEX(_xlfn.ANCHORARRAY(Sintesi!$C$14),1,$C17))*(INDEX(_xlfn.ANCHORARRAY(Sintesi!$C$15),1,$C17)&gt;0),0,IF(($E17=INDEX(_xlfn.ANCHORARRAY(Sintesi!$C$14),1,$C17))*(INDEX(_xlfn.ANCHORARRAY(Sintesi!$C$15),1,$C17)&lt;0)+($E17&gt;=$E16)*($E17&lt;=INDEX($E:$E,MATCH(TRUE,INDEX((ISNUMBER($E:$E)),0),0)))*($E17&gt;INDEX(_xlfn.ANCHORARRAY(Sintesi!$C$14),1,$C17))*($E17&lt;=INDEX(_xlfn.ANCHORARRAY(Sintesi!$C$15),1,$C17))*(INDEX(_xlfn.ANCHORARRAY(Sintesi!$C$15),1,$C17)&gt;0),1,IF(($E17&gt;=$E16)*($E17&lt;=INDEX($E:$E,MATCH(TRUE,INDEX((ISNUMBER($E:$E)),0),0)))*($E17&gt;INDEX(_xlfn.ANCHORARRAY(Sintesi!$C$14),1,$C17))*($E17&lt;INDEX(_xlfn.ANCHORARRAY(Sintesi!$C$16),1,$C17))*(INDEX(_xlfn.ANCHORARRAY(Sintesi!$C$15),1,$C17)&lt;0)+($E17&gt;=$E16)*($E17&lt;=INDEX($E:$E,MATCH(TRUE,INDEX((ISNUMBER($E:$E)),0),0)))*($E17&gt;INDEX(_xlfn.ANCHORARRAY(Sintesi!$C$15),1,$C17))*($E17&lt;INDEX(_xlfn.ANCHORARRAY(Sintesi!$C$16),1,$C17))*(INDEX(_xlfn.ANCHORARRAY(Sintesi!$C$15),1,$C17)&gt;0),2,IF($E17=(INDEX(_xlfn.ANCHORARRAY(Sintesi!$C$16),1,$C17)),3,4)))),0),IF($C17&gt;0,IF(($E17=INDEX(_xlfn.ANCHORARRAY(Sintesi!$C$14),1,$C17))*(INDEX(_xlfn.ANCHORARRAY(Sintesi!$C$15),1,$C17)&gt;0),0,IF(($E17=INDEX(_xlfn.ANCHORARRAY(Sintesi!$C$14),1,$C17))*(INDEX(_xlfn.ANCHORARRAY(Sintesi!$C$15),1,$C17)&lt;0)+($E17&gt;=LOOKUP(2,1/($E:$E&lt;&gt;""),$E:$E))*($E17&lt;=INDEX($E:$E,MATCH(TRUE,INDEX((ISNUMBER($E:$E)),0),0)))*($E17&gt;INDEX(_xlfn.ANCHORARRAY(Sintesi!$C$14),1,$C17))*($E17&lt;=INDEX(_xlfn.ANCHORARRAY(Sintesi!$C$15),1,$C17))*(INDEX(_xlfn.ANCHORARRAY(Sintesi!$C$15),1,$C17)&gt;0),1,IF(($E17&gt;=LOOKUP(2,1/($E:$E&lt;&gt;""),$E:$E))*($E17&lt;=INDEX($E:$E,MATCH(TRUE,INDEX((ISNUMBER($E:$E)),0),0)))*($E17&gt;INDEX(_xlfn.ANCHORARRAY(Sintesi!$C$14),1,$C17))*($E17&lt;INDEX(_xlfn.ANCHORARRAY(Sintesi!$C$16),1,$C17))*(INDEX(_xlfn.ANCHORARRAY(Sintesi!$C$15),1,$C17)&lt;0)+($E17&gt;=LOOKUP(2,1/($E:$E&lt;&gt;""),$E:$E))*($E17&lt;=INDEX($E:$E,MATCH(TRUE,INDEX((ISNUMBER($E:$E)),0),0)))*($E17&gt;INDEX(_xlfn.ANCHORARRAY(Sintesi!$C$15),1,$C17))*($E17&lt;INDEX(_xlfn.ANCHORARRAY(Sintesi!$C$16),1,$C17))*(INDEX(_xlfn.ANCHORARRAY(Sintesi!$C$15),1,$C17)&gt;0),2,IF($E17=(INDEX(_xlfn.ANCHORARRAY(Sintesi!$C$16),1,$C17)),3,4)))),0)),IF(ISNUMBER($E16),IF($C17&gt;0,IF(($E17=INDEX(_xlfn.ANCHORARRAY(Sintesi!$C$14),1,$C17))*(INDEX(_xlfn.ANCHORARRAY(Sintesi!$C$15),1,$C17)&gt;0),0,IF(($E17=INDEX(_xlfn.ANCHORARRAY(Sintesi!$C$14),1,$C17))*(INDEX(_xlfn.ANCHORARRAY(Sintesi!$C$15),1,$C17)&lt;0)+($E17&gt;=$E16)*($E17&lt;=$E18)*($E17&gt;INDEX(_xlfn.ANCHORARRAY(Sintesi!$C$14),1,$C17))*($E17&lt;=INDEX(_xlfn.ANCHORARRAY(Sintesi!$C$15),1,$C17))*(INDEX(_xlfn.ANCHORARRAY(Sintesi!$C$15),1,$C17)&gt;0),1,IF(($E17&gt;=$E16)*($E17&lt;=$E18)*($E17&gt;INDEX(_xlfn.ANCHORARRAY(Sintesi!$C$14),1,$C17))*($E17&lt;INDEX(_xlfn.ANCHORARRAY(Sintesi!$C$16),1,$C17))*(INDEX(_xlfn.ANCHORARRAY(Sintesi!$C$15),1,$C17)&lt;0)+($E17&gt;=$E16)*($E17&lt;=$E18)*($E17&gt;INDEX(_xlfn.ANCHORARRAY(Sintesi!$C$15),1,$C17))*($E17&lt;INDEX(_xlfn.ANCHORARRAY(Sintesi!$C$16),1,$C17))*(INDEX(_xlfn.ANCHORARRAY(Sintesi!$C$15),1,$C17)&gt;0),2,IF($E17=(INDEX(_xlfn.ANCHORARRAY(Sintesi!$C$16),1,$C17)),3,4)))),0),IF($C17&gt;0,IF(($E17=INDEX(_xlfn.ANCHORARRAY(Sintesi!$C$14),1,$C17))*(INDEX(_xlfn.ANCHORARRAY(Sintesi!$C$15),1,$C17)&gt;0),0,IF(($E17=INDEX(_xlfn.ANCHORARRAY(Sintesi!$C$14),1,$C17))*(INDEX(_xlfn.ANCHORARRAY(Sintesi!$C$15),1,$C17)&lt;0)+($E17&gt;=LOOKUP(2,1/($E:$E&lt;&gt;""),$E:$E))*($E17&lt;=$E18)*($E17&gt;INDEX(_xlfn.ANCHORARRAY(Sintesi!$C$14),1,$C17))*($E17&lt;=INDEX(_xlfn.ANCHORARRAY(Sintesi!$C$15),1,$C17))*(INDEX(_xlfn.ANCHORARRAY(Sintesi!$C$15),1,$C17)&gt;0),1,IF(($E17&gt;=LOOKUP(2,1/($E:$E&lt;&gt;""),$E:$E))*($E17&lt;=$E18)*($E17&gt;INDEX(_xlfn.ANCHORARRAY(Sintesi!$C$14),1,$C17))*($E17&lt;INDEX(_xlfn.ANCHORARRAY(Sintesi!$C$16),1,$C17))*(INDEX(_xlfn.ANCHORARRAY(Sintesi!$C$15),1,$C17)&lt;0)+($E17&gt;=LOOKUP(2,1/($E:$E&lt;&gt;""),$E:$E))*($E17&lt;=$E18)*($E17&gt;INDEX(_xlfn.ANCHORARRAY(Sintesi!$C$15),1,$C17))*($E17&lt;INDEX(_xlfn.ANCHORARRAY(Sintesi!$C$16),1,$C17))*(INDEX(_xlfn.ANCHORARRAY(Sintesi!$C$15),1,$C17)&gt;0),2,IF($E17=(INDEX(_xlfn.ANCHORARRAY(Sintesi!$C$16),1,$C17)),3,4)))),0)))</f>
        <v>0</v>
      </c>
      <c r="E17" s="1">
        <f>'Paste cell here'!F17</f>
        <v>0</v>
      </c>
      <c r="F17" s="1">
        <f>'Paste cell here'!C17</f>
        <v>7.3279843329999999</v>
      </c>
      <c r="G17" s="1">
        <f>'Paste cell here'!D17</f>
        <v>-3.9952041</v>
      </c>
      <c r="H17" s="1">
        <f>'Paste cell here'!E17</f>
        <v>0.37883879799999998</v>
      </c>
      <c r="I17" s="1">
        <f>'Paste cell here'!X17</f>
        <v>0</v>
      </c>
      <c r="J17" s="1">
        <f>'Paste cell here'!Y17+'Paste cell here'!S17</f>
        <v>0</v>
      </c>
      <c r="K17" s="1">
        <f t="shared" si="1"/>
        <v>0</v>
      </c>
      <c r="L17" s="1">
        <f t="shared" si="0"/>
        <v>3.2224222928583748</v>
      </c>
      <c r="M17" s="1" cm="1">
        <f t="array" ref="M17">IF(AND(A17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,A17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),IF(L17&lt;_xlfn.IFNA(INDEX(_xlfn.ANCHORARRAY(Sintesi!$C$17)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,1,IF(L17&gt;=_xlfn.IFNA(INDEX(_xlfn.ANCHORARRAY(Sintesi!$C$18)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,0,1-(L17-_xlfn.IFNA(INDEX(_xlfn.ANCHORARRAY(Sintesi!$C$17)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)/(_xlfn.IFNA(INDEX(_xlfn.ANCHORARRAY(Sintesi!$C$18)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-_xlfn.IFNA(INDEX(_xlfn.ANCHORARRAY(Sintesi!$C$17),1,MATCH(1,(_xlfn.ANCHORARRAY(Sintesi!$C$9)&gt;_xlfn.ANCHORARRAY(Sintesi!$C$10))*(A16&gt;=_xlfn.ANCHORARRAY(Sintesi!$C$9))+(_xlfn.ANCHORARRAY(Sintesi!$C$9)&gt;_xlfn.ANCHORARRAY(Sintesi!$C$10))*(A16&lt;=_xlfn.ANCHORARRAY(Sintesi!$C$10))+(_xlfn.ANCHORARRAY(Sintesi!$C$9)&lt;_xlfn.ANCHORARRAY(Sintesi!$C$10))*(A16&gt;=_xlfn.ANCHORARRAY(Sintesi!$C$9))*(A16&lt;=_xlfn.ANCHORARRAY(Sintesi!$C$10)),0)),0)))),0)</f>
        <v>0</v>
      </c>
    </row>
    <row r="18" spans="1:13">
      <c r="A18" s="1">
        <f>'Paste cell here'!A18</f>
        <v>17</v>
      </c>
      <c r="B18" s="2">
        <f>DATE(Sintesi!$C$4-1,12,31)+A18</f>
        <v>44213</v>
      </c>
      <c r="C18" s="34" cm="1">
        <f t="array" ref="C18">_xlfn.IFNA(MATCH(1,(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)*(_xlfn.ANCHORARRAY(Sintesi!$C$15)&gt;=0)+(_xlfn.ANCHORARRAY(Sintesi!$C$15)&lt;0),0),0)</f>
        <v>0</v>
      </c>
      <c r="D18" s="1" cm="1">
        <f t="array" ref="D18">IF(ISBLANK($E19),IF(ISNUMBER($E17),IF($C18&gt;0,IF(($E18=INDEX(_xlfn.ANCHORARRAY(Sintesi!$C$14),1,$C18))*(INDEX(_xlfn.ANCHORARRAY(Sintesi!$C$15),1,$C18)&gt;0),0,IF(($E18=INDEX(_xlfn.ANCHORARRAY(Sintesi!$C$14),1,$C18))*(INDEX(_xlfn.ANCHORARRAY(Sintesi!$C$15),1,$C18)&lt;0)+($E18&gt;=$E17)*($E18&lt;=INDEX($E:$E,MATCH(TRUE,INDEX((ISNUMBER($E:$E)),0),0)))*($E18&gt;INDEX(_xlfn.ANCHORARRAY(Sintesi!$C$14),1,$C18))*($E18&lt;=INDEX(_xlfn.ANCHORARRAY(Sintesi!$C$15),1,$C18))*(INDEX(_xlfn.ANCHORARRAY(Sintesi!$C$15),1,$C18)&gt;0),1,IF(($E18&gt;=$E17)*($E18&lt;=INDEX($E:$E,MATCH(TRUE,INDEX((ISNUMBER($E:$E)),0),0)))*($E18&gt;INDEX(_xlfn.ANCHORARRAY(Sintesi!$C$14),1,$C18))*($E18&lt;INDEX(_xlfn.ANCHORARRAY(Sintesi!$C$16),1,$C18))*(INDEX(_xlfn.ANCHORARRAY(Sintesi!$C$15),1,$C18)&lt;0)+($E18&gt;=$E17)*($E18&lt;=INDEX($E:$E,MATCH(TRUE,INDEX((ISNUMBER($E:$E)),0),0)))*($E18&gt;INDEX(_xlfn.ANCHORARRAY(Sintesi!$C$15),1,$C18))*($E18&lt;INDEX(_xlfn.ANCHORARRAY(Sintesi!$C$16),1,$C18))*(INDEX(_xlfn.ANCHORARRAY(Sintesi!$C$15),1,$C18)&gt;0),2,IF($E18=(INDEX(_xlfn.ANCHORARRAY(Sintesi!$C$16),1,$C18)),3,4)))),0),IF($C18&gt;0,IF(($E18=INDEX(_xlfn.ANCHORARRAY(Sintesi!$C$14),1,$C18))*(INDEX(_xlfn.ANCHORARRAY(Sintesi!$C$15),1,$C18)&gt;0),0,IF(($E18=INDEX(_xlfn.ANCHORARRAY(Sintesi!$C$14),1,$C18))*(INDEX(_xlfn.ANCHORARRAY(Sintesi!$C$15),1,$C18)&lt;0)+($E18&gt;=LOOKUP(2,1/($E:$E&lt;&gt;""),$E:$E))*($E18&lt;=INDEX($E:$E,MATCH(TRUE,INDEX((ISNUMBER($E:$E)),0),0)))*($E18&gt;INDEX(_xlfn.ANCHORARRAY(Sintesi!$C$14),1,$C18))*($E18&lt;=INDEX(_xlfn.ANCHORARRAY(Sintesi!$C$15),1,$C18))*(INDEX(_xlfn.ANCHORARRAY(Sintesi!$C$15),1,$C18)&gt;0),1,IF(($E18&gt;=LOOKUP(2,1/($E:$E&lt;&gt;""),$E:$E))*($E18&lt;=INDEX($E:$E,MATCH(TRUE,INDEX((ISNUMBER($E:$E)),0),0)))*($E18&gt;INDEX(_xlfn.ANCHORARRAY(Sintesi!$C$14),1,$C18))*($E18&lt;INDEX(_xlfn.ANCHORARRAY(Sintesi!$C$16),1,$C18))*(INDEX(_xlfn.ANCHORARRAY(Sintesi!$C$15),1,$C18)&lt;0)+($E18&gt;=LOOKUP(2,1/($E:$E&lt;&gt;""),$E:$E))*($E18&lt;=INDEX($E:$E,MATCH(TRUE,INDEX((ISNUMBER($E:$E)),0),0)))*($E18&gt;INDEX(_xlfn.ANCHORARRAY(Sintesi!$C$15),1,$C18))*($E18&lt;INDEX(_xlfn.ANCHORARRAY(Sintesi!$C$16),1,$C18))*(INDEX(_xlfn.ANCHORARRAY(Sintesi!$C$15),1,$C18)&gt;0),2,IF($E18=(INDEX(_xlfn.ANCHORARRAY(Sintesi!$C$16),1,$C18)),3,4)))),0)),IF(ISNUMBER($E17),IF($C18&gt;0,IF(($E18=INDEX(_xlfn.ANCHORARRAY(Sintesi!$C$14),1,$C18))*(INDEX(_xlfn.ANCHORARRAY(Sintesi!$C$15),1,$C18)&gt;0),0,IF(($E18=INDEX(_xlfn.ANCHORARRAY(Sintesi!$C$14),1,$C18))*(INDEX(_xlfn.ANCHORARRAY(Sintesi!$C$15),1,$C18)&lt;0)+($E18&gt;=$E17)*($E18&lt;=$E19)*($E18&gt;INDEX(_xlfn.ANCHORARRAY(Sintesi!$C$14),1,$C18))*($E18&lt;=INDEX(_xlfn.ANCHORARRAY(Sintesi!$C$15),1,$C18))*(INDEX(_xlfn.ANCHORARRAY(Sintesi!$C$15),1,$C18)&gt;0),1,IF(($E18&gt;=$E17)*($E18&lt;=$E19)*($E18&gt;INDEX(_xlfn.ANCHORARRAY(Sintesi!$C$14),1,$C18))*($E18&lt;INDEX(_xlfn.ANCHORARRAY(Sintesi!$C$16),1,$C18))*(INDEX(_xlfn.ANCHORARRAY(Sintesi!$C$15),1,$C18)&lt;0)+($E18&gt;=$E17)*($E18&lt;=$E19)*($E18&gt;INDEX(_xlfn.ANCHORARRAY(Sintesi!$C$15),1,$C18))*($E18&lt;INDEX(_xlfn.ANCHORARRAY(Sintesi!$C$16),1,$C18))*(INDEX(_xlfn.ANCHORARRAY(Sintesi!$C$15),1,$C18)&gt;0),2,IF($E18=(INDEX(_xlfn.ANCHORARRAY(Sintesi!$C$16),1,$C18)),3,4)))),0),IF($C18&gt;0,IF(($E18=INDEX(_xlfn.ANCHORARRAY(Sintesi!$C$14),1,$C18))*(INDEX(_xlfn.ANCHORARRAY(Sintesi!$C$15),1,$C18)&gt;0),0,IF(($E18=INDEX(_xlfn.ANCHORARRAY(Sintesi!$C$14),1,$C18))*(INDEX(_xlfn.ANCHORARRAY(Sintesi!$C$15),1,$C18)&lt;0)+($E18&gt;=LOOKUP(2,1/($E:$E&lt;&gt;""),$E:$E))*($E18&lt;=$E19)*($E18&gt;INDEX(_xlfn.ANCHORARRAY(Sintesi!$C$14),1,$C18))*($E18&lt;=INDEX(_xlfn.ANCHORARRAY(Sintesi!$C$15),1,$C18))*(INDEX(_xlfn.ANCHORARRAY(Sintesi!$C$15),1,$C18)&gt;0),1,IF(($E18&gt;=LOOKUP(2,1/($E:$E&lt;&gt;""),$E:$E))*($E18&lt;=$E19)*($E18&gt;INDEX(_xlfn.ANCHORARRAY(Sintesi!$C$14),1,$C18))*($E18&lt;INDEX(_xlfn.ANCHORARRAY(Sintesi!$C$16),1,$C18))*(INDEX(_xlfn.ANCHORARRAY(Sintesi!$C$15),1,$C18)&lt;0)+($E18&gt;=LOOKUP(2,1/($E:$E&lt;&gt;""),$E:$E))*($E18&lt;=$E19)*($E18&gt;INDEX(_xlfn.ANCHORARRAY(Sintesi!$C$15),1,$C18))*($E18&lt;INDEX(_xlfn.ANCHORARRAY(Sintesi!$C$16),1,$C18))*(INDEX(_xlfn.ANCHORARRAY(Sintesi!$C$15),1,$C18)&gt;0),2,IF($E18=(INDEX(_xlfn.ANCHORARRAY(Sintesi!$C$16),1,$C18)),3,4)))),0)))</f>
        <v>0</v>
      </c>
      <c r="E18" s="1">
        <f>'Paste cell here'!F18</f>
        <v>0</v>
      </c>
      <c r="F18" s="1">
        <f>'Paste cell here'!C18</f>
        <v>4.1688511009999996</v>
      </c>
      <c r="G18" s="1">
        <f>'Paste cell here'!D18</f>
        <v>-2.5926758990000001</v>
      </c>
      <c r="H18" s="1">
        <f>'Paste cell here'!E18</f>
        <v>0.26868841199999999</v>
      </c>
      <c r="I18" s="1">
        <f>'Paste cell here'!X18</f>
        <v>0</v>
      </c>
      <c r="J18" s="1">
        <f>'Paste cell here'!Y18+'Paste cell here'!S18</f>
        <v>0</v>
      </c>
      <c r="K18" s="1">
        <f t="shared" si="1"/>
        <v>0</v>
      </c>
      <c r="L18" s="1">
        <f t="shared" si="0"/>
        <v>1.7172564155587455</v>
      </c>
      <c r="M18" s="1" cm="1">
        <f t="array" ref="M18">IF(AND(A18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,A18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),IF(L18&lt;_xlfn.IFNA(INDEX(_xlfn.ANCHORARRAY(Sintesi!$C$17)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,1,IF(L18&gt;=_xlfn.IFNA(INDEX(_xlfn.ANCHORARRAY(Sintesi!$C$18)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,0,1-(L18-_xlfn.IFNA(INDEX(_xlfn.ANCHORARRAY(Sintesi!$C$17)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)/(_xlfn.IFNA(INDEX(_xlfn.ANCHORARRAY(Sintesi!$C$18)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-_xlfn.IFNA(INDEX(_xlfn.ANCHORARRAY(Sintesi!$C$17),1,MATCH(1,(_xlfn.ANCHORARRAY(Sintesi!$C$9)&gt;_xlfn.ANCHORARRAY(Sintesi!$C$10))*(A17&gt;=_xlfn.ANCHORARRAY(Sintesi!$C$9))+(_xlfn.ANCHORARRAY(Sintesi!$C$9)&gt;_xlfn.ANCHORARRAY(Sintesi!$C$10))*(A17&lt;=_xlfn.ANCHORARRAY(Sintesi!$C$10))+(_xlfn.ANCHORARRAY(Sintesi!$C$9)&lt;_xlfn.ANCHORARRAY(Sintesi!$C$10))*(A17&gt;=_xlfn.ANCHORARRAY(Sintesi!$C$9))*(A17&lt;=_xlfn.ANCHORARRAY(Sintesi!$C$10)),0)),0)))),0)</f>
        <v>0</v>
      </c>
    </row>
    <row r="19" spans="1:13">
      <c r="A19" s="1">
        <f>'Paste cell here'!A19</f>
        <v>18</v>
      </c>
      <c r="B19" s="2">
        <f>DATE(Sintesi!$C$4-1,12,31)+A19</f>
        <v>44214</v>
      </c>
      <c r="C19" s="34" cm="1">
        <f t="array" ref="C19">_xlfn.IFNA(MATCH(1,(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)*(_xlfn.ANCHORARRAY(Sintesi!$C$15)&gt;=0)+(_xlfn.ANCHORARRAY(Sintesi!$C$15)&lt;0),0),0)</f>
        <v>0</v>
      </c>
      <c r="D19" s="1" cm="1">
        <f t="array" ref="D19">IF(ISBLANK($E20),IF(ISNUMBER($E18),IF($C19&gt;0,IF(($E19=INDEX(_xlfn.ANCHORARRAY(Sintesi!$C$14),1,$C19))*(INDEX(_xlfn.ANCHORARRAY(Sintesi!$C$15),1,$C19)&gt;0),0,IF(($E19=INDEX(_xlfn.ANCHORARRAY(Sintesi!$C$14),1,$C19))*(INDEX(_xlfn.ANCHORARRAY(Sintesi!$C$15),1,$C19)&lt;0)+($E19&gt;=$E18)*($E19&lt;=INDEX($E:$E,MATCH(TRUE,INDEX((ISNUMBER($E:$E)),0),0)))*($E19&gt;INDEX(_xlfn.ANCHORARRAY(Sintesi!$C$14),1,$C19))*($E19&lt;=INDEX(_xlfn.ANCHORARRAY(Sintesi!$C$15),1,$C19))*(INDEX(_xlfn.ANCHORARRAY(Sintesi!$C$15),1,$C19)&gt;0),1,IF(($E19&gt;=$E18)*($E19&lt;=INDEX($E:$E,MATCH(TRUE,INDEX((ISNUMBER($E:$E)),0),0)))*($E19&gt;INDEX(_xlfn.ANCHORARRAY(Sintesi!$C$14),1,$C19))*($E19&lt;INDEX(_xlfn.ANCHORARRAY(Sintesi!$C$16),1,$C19))*(INDEX(_xlfn.ANCHORARRAY(Sintesi!$C$15),1,$C19)&lt;0)+($E19&gt;=$E18)*($E19&lt;=INDEX($E:$E,MATCH(TRUE,INDEX((ISNUMBER($E:$E)),0),0)))*($E19&gt;INDEX(_xlfn.ANCHORARRAY(Sintesi!$C$15),1,$C19))*($E19&lt;INDEX(_xlfn.ANCHORARRAY(Sintesi!$C$16),1,$C19))*(INDEX(_xlfn.ANCHORARRAY(Sintesi!$C$15),1,$C19)&gt;0),2,IF($E19=(INDEX(_xlfn.ANCHORARRAY(Sintesi!$C$16),1,$C19)),3,4)))),0),IF($C19&gt;0,IF(($E19=INDEX(_xlfn.ANCHORARRAY(Sintesi!$C$14),1,$C19))*(INDEX(_xlfn.ANCHORARRAY(Sintesi!$C$15),1,$C19)&gt;0),0,IF(($E19=INDEX(_xlfn.ANCHORARRAY(Sintesi!$C$14),1,$C19))*(INDEX(_xlfn.ANCHORARRAY(Sintesi!$C$15),1,$C19)&lt;0)+($E19&gt;=LOOKUP(2,1/($E:$E&lt;&gt;""),$E:$E))*($E19&lt;=INDEX($E:$E,MATCH(TRUE,INDEX((ISNUMBER($E:$E)),0),0)))*($E19&gt;INDEX(_xlfn.ANCHORARRAY(Sintesi!$C$14),1,$C19))*($E19&lt;=INDEX(_xlfn.ANCHORARRAY(Sintesi!$C$15),1,$C19))*(INDEX(_xlfn.ANCHORARRAY(Sintesi!$C$15),1,$C19)&gt;0),1,IF(($E19&gt;=LOOKUP(2,1/($E:$E&lt;&gt;""),$E:$E))*($E19&lt;=INDEX($E:$E,MATCH(TRUE,INDEX((ISNUMBER($E:$E)),0),0)))*($E19&gt;INDEX(_xlfn.ANCHORARRAY(Sintesi!$C$14),1,$C19))*($E19&lt;INDEX(_xlfn.ANCHORARRAY(Sintesi!$C$16),1,$C19))*(INDEX(_xlfn.ANCHORARRAY(Sintesi!$C$15),1,$C19)&lt;0)+($E19&gt;=LOOKUP(2,1/($E:$E&lt;&gt;""),$E:$E))*($E19&lt;=INDEX($E:$E,MATCH(TRUE,INDEX((ISNUMBER($E:$E)),0),0)))*($E19&gt;INDEX(_xlfn.ANCHORARRAY(Sintesi!$C$15),1,$C19))*($E19&lt;INDEX(_xlfn.ANCHORARRAY(Sintesi!$C$16),1,$C19))*(INDEX(_xlfn.ANCHORARRAY(Sintesi!$C$15),1,$C19)&gt;0),2,IF($E19=(INDEX(_xlfn.ANCHORARRAY(Sintesi!$C$16),1,$C19)),3,4)))),0)),IF(ISNUMBER($E18),IF($C19&gt;0,IF(($E19=INDEX(_xlfn.ANCHORARRAY(Sintesi!$C$14),1,$C19))*(INDEX(_xlfn.ANCHORARRAY(Sintesi!$C$15),1,$C19)&gt;0),0,IF(($E19=INDEX(_xlfn.ANCHORARRAY(Sintesi!$C$14),1,$C19))*(INDEX(_xlfn.ANCHORARRAY(Sintesi!$C$15),1,$C19)&lt;0)+($E19&gt;=$E18)*($E19&lt;=$E20)*($E19&gt;INDEX(_xlfn.ANCHORARRAY(Sintesi!$C$14),1,$C19))*($E19&lt;=INDEX(_xlfn.ANCHORARRAY(Sintesi!$C$15),1,$C19))*(INDEX(_xlfn.ANCHORARRAY(Sintesi!$C$15),1,$C19)&gt;0),1,IF(($E19&gt;=$E18)*($E19&lt;=$E20)*($E19&gt;INDEX(_xlfn.ANCHORARRAY(Sintesi!$C$14),1,$C19))*($E19&lt;INDEX(_xlfn.ANCHORARRAY(Sintesi!$C$16),1,$C19))*(INDEX(_xlfn.ANCHORARRAY(Sintesi!$C$15),1,$C19)&lt;0)+($E19&gt;=$E18)*($E19&lt;=$E20)*($E19&gt;INDEX(_xlfn.ANCHORARRAY(Sintesi!$C$15),1,$C19))*($E19&lt;INDEX(_xlfn.ANCHORARRAY(Sintesi!$C$16),1,$C19))*(INDEX(_xlfn.ANCHORARRAY(Sintesi!$C$15),1,$C19)&gt;0),2,IF($E19=(INDEX(_xlfn.ANCHORARRAY(Sintesi!$C$16),1,$C19)),3,4)))),0),IF($C19&gt;0,IF(($E19=INDEX(_xlfn.ANCHORARRAY(Sintesi!$C$14),1,$C19))*(INDEX(_xlfn.ANCHORARRAY(Sintesi!$C$15),1,$C19)&gt;0),0,IF(($E19=INDEX(_xlfn.ANCHORARRAY(Sintesi!$C$14),1,$C19))*(INDEX(_xlfn.ANCHORARRAY(Sintesi!$C$15),1,$C19)&lt;0)+($E19&gt;=LOOKUP(2,1/($E:$E&lt;&gt;""),$E:$E))*($E19&lt;=$E20)*($E19&gt;INDEX(_xlfn.ANCHORARRAY(Sintesi!$C$14),1,$C19))*($E19&lt;=INDEX(_xlfn.ANCHORARRAY(Sintesi!$C$15),1,$C19))*(INDEX(_xlfn.ANCHORARRAY(Sintesi!$C$15),1,$C19)&gt;0),1,IF(($E19&gt;=LOOKUP(2,1/($E:$E&lt;&gt;""),$E:$E))*($E19&lt;=$E20)*($E19&gt;INDEX(_xlfn.ANCHORARRAY(Sintesi!$C$14),1,$C19))*($E19&lt;INDEX(_xlfn.ANCHORARRAY(Sintesi!$C$16),1,$C19))*(INDEX(_xlfn.ANCHORARRAY(Sintesi!$C$15),1,$C19)&lt;0)+($E19&gt;=LOOKUP(2,1/($E:$E&lt;&gt;""),$E:$E))*($E19&lt;=$E20)*($E19&gt;INDEX(_xlfn.ANCHORARRAY(Sintesi!$C$15),1,$C19))*($E19&lt;INDEX(_xlfn.ANCHORARRAY(Sintesi!$C$16),1,$C19))*(INDEX(_xlfn.ANCHORARRAY(Sintesi!$C$15),1,$C19)&gt;0),2,IF($E19=(INDEX(_xlfn.ANCHORARRAY(Sintesi!$C$16),1,$C19)),3,4)))),0)))</f>
        <v>0</v>
      </c>
      <c r="E19" s="1">
        <f>'Paste cell here'!F19</f>
        <v>0</v>
      </c>
      <c r="F19" s="1">
        <f>'Paste cell here'!C19</f>
        <v>0.80221412299999995</v>
      </c>
      <c r="G19" s="1">
        <f>'Paste cell here'!D19</f>
        <v>-4.8594108250000003</v>
      </c>
      <c r="H19" s="1">
        <f>'Paste cell here'!E19</f>
        <v>0.18521548900000001</v>
      </c>
      <c r="I19" s="1">
        <f>'Paste cell here'!X19</f>
        <v>0</v>
      </c>
      <c r="J19" s="1">
        <f>'Paste cell here'!Y19+'Paste cell here'!S19</f>
        <v>0</v>
      </c>
      <c r="K19" s="1">
        <f t="shared" si="1"/>
        <v>0</v>
      </c>
      <c r="L19" s="1">
        <f t="shared" si="0"/>
        <v>-1.2505780396991091</v>
      </c>
      <c r="M19" s="1" cm="1">
        <f t="array" ref="M19">IF(AND(A19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,A19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),IF(L19&lt;_xlfn.IFNA(INDEX(_xlfn.ANCHORARRAY(Sintesi!$C$17)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,1,IF(L19&gt;=_xlfn.IFNA(INDEX(_xlfn.ANCHORARRAY(Sintesi!$C$18)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,0,1-(L19-_xlfn.IFNA(INDEX(_xlfn.ANCHORARRAY(Sintesi!$C$17)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)/(_xlfn.IFNA(INDEX(_xlfn.ANCHORARRAY(Sintesi!$C$18)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-_xlfn.IFNA(INDEX(_xlfn.ANCHORARRAY(Sintesi!$C$17),1,MATCH(1,(_xlfn.ANCHORARRAY(Sintesi!$C$9)&gt;_xlfn.ANCHORARRAY(Sintesi!$C$10))*(A18&gt;=_xlfn.ANCHORARRAY(Sintesi!$C$9))+(_xlfn.ANCHORARRAY(Sintesi!$C$9)&gt;_xlfn.ANCHORARRAY(Sintesi!$C$10))*(A18&lt;=_xlfn.ANCHORARRAY(Sintesi!$C$10))+(_xlfn.ANCHORARRAY(Sintesi!$C$9)&lt;_xlfn.ANCHORARRAY(Sintesi!$C$10))*(A18&gt;=_xlfn.ANCHORARRAY(Sintesi!$C$9))*(A18&lt;=_xlfn.ANCHORARRAY(Sintesi!$C$10)),0)),0)))),0)</f>
        <v>0</v>
      </c>
    </row>
    <row r="20" spans="1:13">
      <c r="A20" s="1">
        <f>'Paste cell here'!A20</f>
        <v>19</v>
      </c>
      <c r="B20" s="2">
        <f>DATE(Sintesi!$C$4-1,12,31)+A20</f>
        <v>44215</v>
      </c>
      <c r="C20" s="34" cm="1">
        <f t="array" ref="C20">_xlfn.IFNA(MATCH(1,(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)*(_xlfn.ANCHORARRAY(Sintesi!$C$15)&gt;=0)+(_xlfn.ANCHORARRAY(Sintesi!$C$15)&lt;0),0),0)</f>
        <v>0</v>
      </c>
      <c r="D20" s="1" cm="1">
        <f t="array" ref="D20">IF(ISBLANK($E21),IF(ISNUMBER($E19),IF($C20&gt;0,IF(($E20=INDEX(_xlfn.ANCHORARRAY(Sintesi!$C$14),1,$C20))*(INDEX(_xlfn.ANCHORARRAY(Sintesi!$C$15),1,$C20)&gt;0),0,IF(($E20=INDEX(_xlfn.ANCHORARRAY(Sintesi!$C$14),1,$C20))*(INDEX(_xlfn.ANCHORARRAY(Sintesi!$C$15),1,$C20)&lt;0)+($E20&gt;=$E19)*($E20&lt;=INDEX($E:$E,MATCH(TRUE,INDEX((ISNUMBER($E:$E)),0),0)))*($E20&gt;INDEX(_xlfn.ANCHORARRAY(Sintesi!$C$14),1,$C20))*($E20&lt;=INDEX(_xlfn.ANCHORARRAY(Sintesi!$C$15),1,$C20))*(INDEX(_xlfn.ANCHORARRAY(Sintesi!$C$15),1,$C20)&gt;0),1,IF(($E20&gt;=$E19)*($E20&lt;=INDEX($E:$E,MATCH(TRUE,INDEX((ISNUMBER($E:$E)),0),0)))*($E20&gt;INDEX(_xlfn.ANCHORARRAY(Sintesi!$C$14),1,$C20))*($E20&lt;INDEX(_xlfn.ANCHORARRAY(Sintesi!$C$16),1,$C20))*(INDEX(_xlfn.ANCHORARRAY(Sintesi!$C$15),1,$C20)&lt;0)+($E20&gt;=$E19)*($E20&lt;=INDEX($E:$E,MATCH(TRUE,INDEX((ISNUMBER($E:$E)),0),0)))*($E20&gt;INDEX(_xlfn.ANCHORARRAY(Sintesi!$C$15),1,$C20))*($E20&lt;INDEX(_xlfn.ANCHORARRAY(Sintesi!$C$16),1,$C20))*(INDEX(_xlfn.ANCHORARRAY(Sintesi!$C$15),1,$C20)&gt;0),2,IF($E20=(INDEX(_xlfn.ANCHORARRAY(Sintesi!$C$16),1,$C20)),3,4)))),0),IF($C20&gt;0,IF(($E20=INDEX(_xlfn.ANCHORARRAY(Sintesi!$C$14),1,$C20))*(INDEX(_xlfn.ANCHORARRAY(Sintesi!$C$15),1,$C20)&gt;0),0,IF(($E20=INDEX(_xlfn.ANCHORARRAY(Sintesi!$C$14),1,$C20))*(INDEX(_xlfn.ANCHORARRAY(Sintesi!$C$15),1,$C20)&lt;0)+($E20&gt;=LOOKUP(2,1/($E:$E&lt;&gt;""),$E:$E))*($E20&lt;=INDEX($E:$E,MATCH(TRUE,INDEX((ISNUMBER($E:$E)),0),0)))*($E20&gt;INDEX(_xlfn.ANCHORARRAY(Sintesi!$C$14),1,$C20))*($E20&lt;=INDEX(_xlfn.ANCHORARRAY(Sintesi!$C$15),1,$C20))*(INDEX(_xlfn.ANCHORARRAY(Sintesi!$C$15),1,$C20)&gt;0),1,IF(($E20&gt;=LOOKUP(2,1/($E:$E&lt;&gt;""),$E:$E))*($E20&lt;=INDEX($E:$E,MATCH(TRUE,INDEX((ISNUMBER($E:$E)),0),0)))*($E20&gt;INDEX(_xlfn.ANCHORARRAY(Sintesi!$C$14),1,$C20))*($E20&lt;INDEX(_xlfn.ANCHORARRAY(Sintesi!$C$16),1,$C20))*(INDEX(_xlfn.ANCHORARRAY(Sintesi!$C$15),1,$C20)&lt;0)+($E20&gt;=LOOKUP(2,1/($E:$E&lt;&gt;""),$E:$E))*($E20&lt;=INDEX($E:$E,MATCH(TRUE,INDEX((ISNUMBER($E:$E)),0),0)))*($E20&gt;INDEX(_xlfn.ANCHORARRAY(Sintesi!$C$15),1,$C20))*($E20&lt;INDEX(_xlfn.ANCHORARRAY(Sintesi!$C$16),1,$C20))*(INDEX(_xlfn.ANCHORARRAY(Sintesi!$C$15),1,$C20)&gt;0),2,IF($E20=(INDEX(_xlfn.ANCHORARRAY(Sintesi!$C$16),1,$C20)),3,4)))),0)),IF(ISNUMBER($E19),IF($C20&gt;0,IF(($E20=INDEX(_xlfn.ANCHORARRAY(Sintesi!$C$14),1,$C20))*(INDEX(_xlfn.ANCHORARRAY(Sintesi!$C$15),1,$C20)&gt;0),0,IF(($E20=INDEX(_xlfn.ANCHORARRAY(Sintesi!$C$14),1,$C20))*(INDEX(_xlfn.ANCHORARRAY(Sintesi!$C$15),1,$C20)&lt;0)+($E20&gt;=$E19)*($E20&lt;=$E21)*($E20&gt;INDEX(_xlfn.ANCHORARRAY(Sintesi!$C$14),1,$C20))*($E20&lt;=INDEX(_xlfn.ANCHORARRAY(Sintesi!$C$15),1,$C20))*(INDEX(_xlfn.ANCHORARRAY(Sintesi!$C$15),1,$C20)&gt;0),1,IF(($E20&gt;=$E19)*($E20&lt;=$E21)*($E20&gt;INDEX(_xlfn.ANCHORARRAY(Sintesi!$C$14),1,$C20))*($E20&lt;INDEX(_xlfn.ANCHORARRAY(Sintesi!$C$16),1,$C20))*(INDEX(_xlfn.ANCHORARRAY(Sintesi!$C$15),1,$C20)&lt;0)+($E20&gt;=$E19)*($E20&lt;=$E21)*($E20&gt;INDEX(_xlfn.ANCHORARRAY(Sintesi!$C$15),1,$C20))*($E20&lt;INDEX(_xlfn.ANCHORARRAY(Sintesi!$C$16),1,$C20))*(INDEX(_xlfn.ANCHORARRAY(Sintesi!$C$15),1,$C20)&gt;0),2,IF($E20=(INDEX(_xlfn.ANCHORARRAY(Sintesi!$C$16),1,$C20)),3,4)))),0),IF($C20&gt;0,IF(($E20=INDEX(_xlfn.ANCHORARRAY(Sintesi!$C$14),1,$C20))*(INDEX(_xlfn.ANCHORARRAY(Sintesi!$C$15),1,$C20)&gt;0),0,IF(($E20=INDEX(_xlfn.ANCHORARRAY(Sintesi!$C$14),1,$C20))*(INDEX(_xlfn.ANCHORARRAY(Sintesi!$C$15),1,$C20)&lt;0)+($E20&gt;=LOOKUP(2,1/($E:$E&lt;&gt;""),$E:$E))*($E20&lt;=$E21)*($E20&gt;INDEX(_xlfn.ANCHORARRAY(Sintesi!$C$14),1,$C20))*($E20&lt;=INDEX(_xlfn.ANCHORARRAY(Sintesi!$C$15),1,$C20))*(INDEX(_xlfn.ANCHORARRAY(Sintesi!$C$15),1,$C20)&gt;0),1,IF(($E20&gt;=LOOKUP(2,1/($E:$E&lt;&gt;""),$E:$E))*($E20&lt;=$E21)*($E20&gt;INDEX(_xlfn.ANCHORARRAY(Sintesi!$C$14),1,$C20))*($E20&lt;INDEX(_xlfn.ANCHORARRAY(Sintesi!$C$16),1,$C20))*(INDEX(_xlfn.ANCHORARRAY(Sintesi!$C$15),1,$C20)&lt;0)+($E20&gt;=LOOKUP(2,1/($E:$E&lt;&gt;""),$E:$E))*($E20&lt;=$E21)*($E20&gt;INDEX(_xlfn.ANCHORARRAY(Sintesi!$C$15),1,$C20))*($E20&lt;INDEX(_xlfn.ANCHORARRAY(Sintesi!$C$16),1,$C20))*(INDEX(_xlfn.ANCHORARRAY(Sintesi!$C$15),1,$C20)&gt;0),2,IF($E20=(INDEX(_xlfn.ANCHORARRAY(Sintesi!$C$16),1,$C20)),3,4)))),0)))</f>
        <v>0</v>
      </c>
      <c r="E20" s="1">
        <f>'Paste cell here'!F20</f>
        <v>0</v>
      </c>
      <c r="F20" s="1">
        <f>'Paste cell here'!C20</f>
        <v>1.4332650730000001</v>
      </c>
      <c r="G20" s="1">
        <f>'Paste cell here'!D20</f>
        <v>-3.8</v>
      </c>
      <c r="H20" s="1">
        <f>'Paste cell here'!E20</f>
        <v>0.24060061399999999</v>
      </c>
      <c r="I20" s="1">
        <f>'Paste cell here'!X20</f>
        <v>0</v>
      </c>
      <c r="J20" s="1">
        <f>'Paste cell here'!Y20+'Paste cell here'!S20</f>
        <v>0</v>
      </c>
      <c r="K20" s="1">
        <f t="shared" si="1"/>
        <v>0</v>
      </c>
      <c r="L20" s="1">
        <f t="shared" si="0"/>
        <v>-0.46421235191779381</v>
      </c>
      <c r="M20" s="1" cm="1">
        <f t="array" ref="M20">IF(AND(A20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,A20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),IF(L20&lt;_xlfn.IFNA(INDEX(_xlfn.ANCHORARRAY(Sintesi!$C$17)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,1,IF(L20&gt;=_xlfn.IFNA(INDEX(_xlfn.ANCHORARRAY(Sintesi!$C$18)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,0,1-(L20-_xlfn.IFNA(INDEX(_xlfn.ANCHORARRAY(Sintesi!$C$17)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)/(_xlfn.IFNA(INDEX(_xlfn.ANCHORARRAY(Sintesi!$C$18)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-_xlfn.IFNA(INDEX(_xlfn.ANCHORARRAY(Sintesi!$C$17),1,MATCH(1,(_xlfn.ANCHORARRAY(Sintesi!$C$9)&gt;_xlfn.ANCHORARRAY(Sintesi!$C$10))*(A19&gt;=_xlfn.ANCHORARRAY(Sintesi!$C$9))+(_xlfn.ANCHORARRAY(Sintesi!$C$9)&gt;_xlfn.ANCHORARRAY(Sintesi!$C$10))*(A19&lt;=_xlfn.ANCHORARRAY(Sintesi!$C$10))+(_xlfn.ANCHORARRAY(Sintesi!$C$9)&lt;_xlfn.ANCHORARRAY(Sintesi!$C$10))*(A19&gt;=_xlfn.ANCHORARRAY(Sintesi!$C$9))*(A19&lt;=_xlfn.ANCHORARRAY(Sintesi!$C$10)),0)),0)))),0)</f>
        <v>0</v>
      </c>
    </row>
    <row r="21" spans="1:13">
      <c r="A21" s="1">
        <f>'Paste cell here'!A21</f>
        <v>20</v>
      </c>
      <c r="B21" s="2">
        <f>DATE(Sintesi!$C$4-1,12,31)+A21</f>
        <v>44216</v>
      </c>
      <c r="C21" s="34" cm="1">
        <f t="array" ref="C21">_xlfn.IFNA(MATCH(1,(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)*(_xlfn.ANCHORARRAY(Sintesi!$C$15)&gt;=0)+(_xlfn.ANCHORARRAY(Sintesi!$C$15)&lt;0),0),0)</f>
        <v>0</v>
      </c>
      <c r="D21" s="1" cm="1">
        <f t="array" ref="D21">IF(ISBLANK($E22),IF(ISNUMBER($E20),IF($C21&gt;0,IF(($E21=INDEX(_xlfn.ANCHORARRAY(Sintesi!$C$14),1,$C21))*(INDEX(_xlfn.ANCHORARRAY(Sintesi!$C$15),1,$C21)&gt;0),0,IF(($E21=INDEX(_xlfn.ANCHORARRAY(Sintesi!$C$14),1,$C21))*(INDEX(_xlfn.ANCHORARRAY(Sintesi!$C$15),1,$C21)&lt;0)+($E21&gt;=$E20)*($E21&lt;=INDEX($E:$E,MATCH(TRUE,INDEX((ISNUMBER($E:$E)),0),0)))*($E21&gt;INDEX(_xlfn.ANCHORARRAY(Sintesi!$C$14),1,$C21))*($E21&lt;=INDEX(_xlfn.ANCHORARRAY(Sintesi!$C$15),1,$C21))*(INDEX(_xlfn.ANCHORARRAY(Sintesi!$C$15),1,$C21)&gt;0),1,IF(($E21&gt;=$E20)*($E21&lt;=INDEX($E:$E,MATCH(TRUE,INDEX((ISNUMBER($E:$E)),0),0)))*($E21&gt;INDEX(_xlfn.ANCHORARRAY(Sintesi!$C$14),1,$C21))*($E21&lt;INDEX(_xlfn.ANCHORARRAY(Sintesi!$C$16),1,$C21))*(INDEX(_xlfn.ANCHORARRAY(Sintesi!$C$15),1,$C21)&lt;0)+($E21&gt;=$E20)*($E21&lt;=INDEX($E:$E,MATCH(TRUE,INDEX((ISNUMBER($E:$E)),0),0)))*($E21&gt;INDEX(_xlfn.ANCHORARRAY(Sintesi!$C$15),1,$C21))*($E21&lt;INDEX(_xlfn.ANCHORARRAY(Sintesi!$C$16),1,$C21))*(INDEX(_xlfn.ANCHORARRAY(Sintesi!$C$15),1,$C21)&gt;0),2,IF($E21=(INDEX(_xlfn.ANCHORARRAY(Sintesi!$C$16),1,$C21)),3,4)))),0),IF($C21&gt;0,IF(($E21=INDEX(_xlfn.ANCHORARRAY(Sintesi!$C$14),1,$C21))*(INDEX(_xlfn.ANCHORARRAY(Sintesi!$C$15),1,$C21)&gt;0),0,IF(($E21=INDEX(_xlfn.ANCHORARRAY(Sintesi!$C$14),1,$C21))*(INDEX(_xlfn.ANCHORARRAY(Sintesi!$C$15),1,$C21)&lt;0)+($E21&gt;=LOOKUP(2,1/($E:$E&lt;&gt;""),$E:$E))*($E21&lt;=INDEX($E:$E,MATCH(TRUE,INDEX((ISNUMBER($E:$E)),0),0)))*($E21&gt;INDEX(_xlfn.ANCHORARRAY(Sintesi!$C$14),1,$C21))*($E21&lt;=INDEX(_xlfn.ANCHORARRAY(Sintesi!$C$15),1,$C21))*(INDEX(_xlfn.ANCHORARRAY(Sintesi!$C$15),1,$C21)&gt;0),1,IF(($E21&gt;=LOOKUP(2,1/($E:$E&lt;&gt;""),$E:$E))*($E21&lt;=INDEX($E:$E,MATCH(TRUE,INDEX((ISNUMBER($E:$E)),0),0)))*($E21&gt;INDEX(_xlfn.ANCHORARRAY(Sintesi!$C$14),1,$C21))*($E21&lt;INDEX(_xlfn.ANCHORARRAY(Sintesi!$C$16),1,$C21))*(INDEX(_xlfn.ANCHORARRAY(Sintesi!$C$15),1,$C21)&lt;0)+($E21&gt;=LOOKUP(2,1/($E:$E&lt;&gt;""),$E:$E))*($E21&lt;=INDEX($E:$E,MATCH(TRUE,INDEX((ISNUMBER($E:$E)),0),0)))*($E21&gt;INDEX(_xlfn.ANCHORARRAY(Sintesi!$C$15),1,$C21))*($E21&lt;INDEX(_xlfn.ANCHORARRAY(Sintesi!$C$16),1,$C21))*(INDEX(_xlfn.ANCHORARRAY(Sintesi!$C$15),1,$C21)&gt;0),2,IF($E21=(INDEX(_xlfn.ANCHORARRAY(Sintesi!$C$16),1,$C21)),3,4)))),0)),IF(ISNUMBER($E20),IF($C21&gt;0,IF(($E21=INDEX(_xlfn.ANCHORARRAY(Sintesi!$C$14),1,$C21))*(INDEX(_xlfn.ANCHORARRAY(Sintesi!$C$15),1,$C21)&gt;0),0,IF(($E21=INDEX(_xlfn.ANCHORARRAY(Sintesi!$C$14),1,$C21))*(INDEX(_xlfn.ANCHORARRAY(Sintesi!$C$15),1,$C21)&lt;0)+($E21&gt;=$E20)*($E21&lt;=$E22)*($E21&gt;INDEX(_xlfn.ANCHORARRAY(Sintesi!$C$14),1,$C21))*($E21&lt;=INDEX(_xlfn.ANCHORARRAY(Sintesi!$C$15),1,$C21))*(INDEX(_xlfn.ANCHORARRAY(Sintesi!$C$15),1,$C21)&gt;0),1,IF(($E21&gt;=$E20)*($E21&lt;=$E22)*($E21&gt;INDEX(_xlfn.ANCHORARRAY(Sintesi!$C$14),1,$C21))*($E21&lt;INDEX(_xlfn.ANCHORARRAY(Sintesi!$C$16),1,$C21))*(INDEX(_xlfn.ANCHORARRAY(Sintesi!$C$15),1,$C21)&lt;0)+($E21&gt;=$E20)*($E21&lt;=$E22)*($E21&gt;INDEX(_xlfn.ANCHORARRAY(Sintesi!$C$15),1,$C21))*($E21&lt;INDEX(_xlfn.ANCHORARRAY(Sintesi!$C$16),1,$C21))*(INDEX(_xlfn.ANCHORARRAY(Sintesi!$C$15),1,$C21)&gt;0),2,IF($E21=(INDEX(_xlfn.ANCHORARRAY(Sintesi!$C$16),1,$C21)),3,4)))),0),IF($C21&gt;0,IF(($E21=INDEX(_xlfn.ANCHORARRAY(Sintesi!$C$14),1,$C21))*(INDEX(_xlfn.ANCHORARRAY(Sintesi!$C$15),1,$C21)&gt;0),0,IF(($E21=INDEX(_xlfn.ANCHORARRAY(Sintesi!$C$14),1,$C21))*(INDEX(_xlfn.ANCHORARRAY(Sintesi!$C$15),1,$C21)&lt;0)+($E21&gt;=LOOKUP(2,1/($E:$E&lt;&gt;""),$E:$E))*($E21&lt;=$E22)*($E21&gt;INDEX(_xlfn.ANCHORARRAY(Sintesi!$C$14),1,$C21))*($E21&lt;=INDEX(_xlfn.ANCHORARRAY(Sintesi!$C$15),1,$C21))*(INDEX(_xlfn.ANCHORARRAY(Sintesi!$C$15),1,$C21)&gt;0),1,IF(($E21&gt;=LOOKUP(2,1/($E:$E&lt;&gt;""),$E:$E))*($E21&lt;=$E22)*($E21&gt;INDEX(_xlfn.ANCHORARRAY(Sintesi!$C$14),1,$C21))*($E21&lt;INDEX(_xlfn.ANCHORARRAY(Sintesi!$C$16),1,$C21))*(INDEX(_xlfn.ANCHORARRAY(Sintesi!$C$15),1,$C21)&lt;0)+($E21&gt;=LOOKUP(2,1/($E:$E&lt;&gt;""),$E:$E))*($E21&lt;=$E22)*($E21&gt;INDEX(_xlfn.ANCHORARRAY(Sintesi!$C$15),1,$C21))*($E21&lt;INDEX(_xlfn.ANCHORARRAY(Sintesi!$C$16),1,$C21))*(INDEX(_xlfn.ANCHORARRAY(Sintesi!$C$15),1,$C21)&gt;0),2,IF($E21=(INDEX(_xlfn.ANCHORARRAY(Sintesi!$C$16),1,$C21)),3,4)))),0)))</f>
        <v>0</v>
      </c>
      <c r="E21" s="1">
        <f>'Paste cell here'!F21</f>
        <v>0</v>
      </c>
      <c r="F21" s="1">
        <f>'Paste cell here'!C21</f>
        <v>2.664055201</v>
      </c>
      <c r="G21" s="1">
        <f>'Paste cell here'!D21</f>
        <v>1.0539253049999999</v>
      </c>
      <c r="H21" s="1">
        <f>'Paste cell here'!E21</f>
        <v>0.29584818600000001</v>
      </c>
      <c r="I21" s="1">
        <f>'Paste cell here'!X21</f>
        <v>0</v>
      </c>
      <c r="J21" s="1">
        <f>'Paste cell here'!Y21+'Paste cell here'!S21</f>
        <v>0</v>
      </c>
      <c r="K21" s="1">
        <f t="shared" si="1"/>
        <v>0</v>
      </c>
      <c r="L21" s="1">
        <f t="shared" si="0"/>
        <v>2.0802542495427803</v>
      </c>
      <c r="M21" s="1" cm="1">
        <f t="array" ref="M21">IF(AND(A21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,A21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),IF(L21&lt;_xlfn.IFNA(INDEX(_xlfn.ANCHORARRAY(Sintesi!$C$17)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,1,IF(L21&gt;=_xlfn.IFNA(INDEX(_xlfn.ANCHORARRAY(Sintesi!$C$18)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,0,1-(L21-_xlfn.IFNA(INDEX(_xlfn.ANCHORARRAY(Sintesi!$C$17)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)/(_xlfn.IFNA(INDEX(_xlfn.ANCHORARRAY(Sintesi!$C$18)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-_xlfn.IFNA(INDEX(_xlfn.ANCHORARRAY(Sintesi!$C$17),1,MATCH(1,(_xlfn.ANCHORARRAY(Sintesi!$C$9)&gt;_xlfn.ANCHORARRAY(Sintesi!$C$10))*(A20&gt;=_xlfn.ANCHORARRAY(Sintesi!$C$9))+(_xlfn.ANCHORARRAY(Sintesi!$C$9)&gt;_xlfn.ANCHORARRAY(Sintesi!$C$10))*(A20&lt;=_xlfn.ANCHORARRAY(Sintesi!$C$10))+(_xlfn.ANCHORARRAY(Sintesi!$C$9)&lt;_xlfn.ANCHORARRAY(Sintesi!$C$10))*(A20&gt;=_xlfn.ANCHORARRAY(Sintesi!$C$9))*(A20&lt;=_xlfn.ANCHORARRAY(Sintesi!$C$10)),0)),0)))),0)</f>
        <v>0</v>
      </c>
    </row>
    <row r="22" spans="1:13">
      <c r="A22" s="1">
        <f>'Paste cell here'!A22</f>
        <v>21</v>
      </c>
      <c r="B22" s="2">
        <f>DATE(Sintesi!$C$4-1,12,31)+A22</f>
        <v>44217</v>
      </c>
      <c r="C22" s="34" cm="1">
        <f t="array" ref="C22">_xlfn.IFNA(MATCH(1,(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)*(_xlfn.ANCHORARRAY(Sintesi!$C$15)&gt;=0)+(_xlfn.ANCHORARRAY(Sintesi!$C$15)&lt;0),0),0)</f>
        <v>0</v>
      </c>
      <c r="D22" s="1" cm="1">
        <f t="array" ref="D22">IF(ISBLANK($E23),IF(ISNUMBER($E21),IF($C22&gt;0,IF(($E22=INDEX(_xlfn.ANCHORARRAY(Sintesi!$C$14),1,$C22))*(INDEX(_xlfn.ANCHORARRAY(Sintesi!$C$15),1,$C22)&gt;0),0,IF(($E22=INDEX(_xlfn.ANCHORARRAY(Sintesi!$C$14),1,$C22))*(INDEX(_xlfn.ANCHORARRAY(Sintesi!$C$15),1,$C22)&lt;0)+($E22&gt;=$E21)*($E22&lt;=INDEX($E:$E,MATCH(TRUE,INDEX((ISNUMBER($E:$E)),0),0)))*($E22&gt;INDEX(_xlfn.ANCHORARRAY(Sintesi!$C$14),1,$C22))*($E22&lt;=INDEX(_xlfn.ANCHORARRAY(Sintesi!$C$15),1,$C22))*(INDEX(_xlfn.ANCHORARRAY(Sintesi!$C$15),1,$C22)&gt;0),1,IF(($E22&gt;=$E21)*($E22&lt;=INDEX($E:$E,MATCH(TRUE,INDEX((ISNUMBER($E:$E)),0),0)))*($E22&gt;INDEX(_xlfn.ANCHORARRAY(Sintesi!$C$14),1,$C22))*($E22&lt;INDEX(_xlfn.ANCHORARRAY(Sintesi!$C$16),1,$C22))*(INDEX(_xlfn.ANCHORARRAY(Sintesi!$C$15),1,$C22)&lt;0)+($E22&gt;=$E21)*($E22&lt;=INDEX($E:$E,MATCH(TRUE,INDEX((ISNUMBER($E:$E)),0),0)))*($E22&gt;INDEX(_xlfn.ANCHORARRAY(Sintesi!$C$15),1,$C22))*($E22&lt;INDEX(_xlfn.ANCHORARRAY(Sintesi!$C$16),1,$C22))*(INDEX(_xlfn.ANCHORARRAY(Sintesi!$C$15),1,$C22)&gt;0),2,IF($E22=(INDEX(_xlfn.ANCHORARRAY(Sintesi!$C$16),1,$C22)),3,4)))),0),IF($C22&gt;0,IF(($E22=INDEX(_xlfn.ANCHORARRAY(Sintesi!$C$14),1,$C22))*(INDEX(_xlfn.ANCHORARRAY(Sintesi!$C$15),1,$C22)&gt;0),0,IF(($E22=INDEX(_xlfn.ANCHORARRAY(Sintesi!$C$14),1,$C22))*(INDEX(_xlfn.ANCHORARRAY(Sintesi!$C$15),1,$C22)&lt;0)+($E22&gt;=LOOKUP(2,1/($E:$E&lt;&gt;""),$E:$E))*($E22&lt;=INDEX($E:$E,MATCH(TRUE,INDEX((ISNUMBER($E:$E)),0),0)))*($E22&gt;INDEX(_xlfn.ANCHORARRAY(Sintesi!$C$14),1,$C22))*($E22&lt;=INDEX(_xlfn.ANCHORARRAY(Sintesi!$C$15),1,$C22))*(INDEX(_xlfn.ANCHORARRAY(Sintesi!$C$15),1,$C22)&gt;0),1,IF(($E22&gt;=LOOKUP(2,1/($E:$E&lt;&gt;""),$E:$E))*($E22&lt;=INDEX($E:$E,MATCH(TRUE,INDEX((ISNUMBER($E:$E)),0),0)))*($E22&gt;INDEX(_xlfn.ANCHORARRAY(Sintesi!$C$14),1,$C22))*($E22&lt;INDEX(_xlfn.ANCHORARRAY(Sintesi!$C$16),1,$C22))*(INDEX(_xlfn.ANCHORARRAY(Sintesi!$C$15),1,$C22)&lt;0)+($E22&gt;=LOOKUP(2,1/($E:$E&lt;&gt;""),$E:$E))*($E22&lt;=INDEX($E:$E,MATCH(TRUE,INDEX((ISNUMBER($E:$E)),0),0)))*($E22&gt;INDEX(_xlfn.ANCHORARRAY(Sintesi!$C$15),1,$C22))*($E22&lt;INDEX(_xlfn.ANCHORARRAY(Sintesi!$C$16),1,$C22))*(INDEX(_xlfn.ANCHORARRAY(Sintesi!$C$15),1,$C22)&gt;0),2,IF($E22=(INDEX(_xlfn.ANCHORARRAY(Sintesi!$C$16),1,$C22)),3,4)))),0)),IF(ISNUMBER($E21),IF($C22&gt;0,IF(($E22=INDEX(_xlfn.ANCHORARRAY(Sintesi!$C$14),1,$C22))*(INDEX(_xlfn.ANCHORARRAY(Sintesi!$C$15),1,$C22)&gt;0),0,IF(($E22=INDEX(_xlfn.ANCHORARRAY(Sintesi!$C$14),1,$C22))*(INDEX(_xlfn.ANCHORARRAY(Sintesi!$C$15),1,$C22)&lt;0)+($E22&gt;=$E21)*($E22&lt;=$E23)*($E22&gt;INDEX(_xlfn.ANCHORARRAY(Sintesi!$C$14),1,$C22))*($E22&lt;=INDEX(_xlfn.ANCHORARRAY(Sintesi!$C$15),1,$C22))*(INDEX(_xlfn.ANCHORARRAY(Sintesi!$C$15),1,$C22)&gt;0),1,IF(($E22&gt;=$E21)*($E22&lt;=$E23)*($E22&gt;INDEX(_xlfn.ANCHORARRAY(Sintesi!$C$14),1,$C22))*($E22&lt;INDEX(_xlfn.ANCHORARRAY(Sintesi!$C$16),1,$C22))*(INDEX(_xlfn.ANCHORARRAY(Sintesi!$C$15),1,$C22)&lt;0)+($E22&gt;=$E21)*($E22&lt;=$E23)*($E22&gt;INDEX(_xlfn.ANCHORARRAY(Sintesi!$C$15),1,$C22))*($E22&lt;INDEX(_xlfn.ANCHORARRAY(Sintesi!$C$16),1,$C22))*(INDEX(_xlfn.ANCHORARRAY(Sintesi!$C$15),1,$C22)&gt;0),2,IF($E22=(INDEX(_xlfn.ANCHORARRAY(Sintesi!$C$16),1,$C22)),3,4)))),0),IF($C22&gt;0,IF(($E22=INDEX(_xlfn.ANCHORARRAY(Sintesi!$C$14),1,$C22))*(INDEX(_xlfn.ANCHORARRAY(Sintesi!$C$15),1,$C22)&gt;0),0,IF(($E22=INDEX(_xlfn.ANCHORARRAY(Sintesi!$C$14),1,$C22))*(INDEX(_xlfn.ANCHORARRAY(Sintesi!$C$15),1,$C22)&lt;0)+($E22&gt;=LOOKUP(2,1/($E:$E&lt;&gt;""),$E:$E))*($E22&lt;=$E23)*($E22&gt;INDEX(_xlfn.ANCHORARRAY(Sintesi!$C$14),1,$C22))*($E22&lt;=INDEX(_xlfn.ANCHORARRAY(Sintesi!$C$15),1,$C22))*(INDEX(_xlfn.ANCHORARRAY(Sintesi!$C$15),1,$C22)&gt;0),1,IF(($E22&gt;=LOOKUP(2,1/($E:$E&lt;&gt;""),$E:$E))*($E22&lt;=$E23)*($E22&gt;INDEX(_xlfn.ANCHORARRAY(Sintesi!$C$14),1,$C22))*($E22&lt;INDEX(_xlfn.ANCHORARRAY(Sintesi!$C$16),1,$C22))*(INDEX(_xlfn.ANCHORARRAY(Sintesi!$C$15),1,$C22)&lt;0)+($E22&gt;=LOOKUP(2,1/($E:$E&lt;&gt;""),$E:$E))*($E22&lt;=$E23)*($E22&gt;INDEX(_xlfn.ANCHORARRAY(Sintesi!$C$15),1,$C22))*($E22&lt;INDEX(_xlfn.ANCHORARRAY(Sintesi!$C$16),1,$C22))*(INDEX(_xlfn.ANCHORARRAY(Sintesi!$C$15),1,$C22)&gt;0),2,IF($E22=(INDEX(_xlfn.ANCHORARRAY(Sintesi!$C$16),1,$C22)),3,4)))),0)))</f>
        <v>0</v>
      </c>
      <c r="E22" s="1">
        <f>'Paste cell here'!F22</f>
        <v>0</v>
      </c>
      <c r="F22" s="1">
        <f>'Paste cell here'!C22</f>
        <v>3.8820194940000001</v>
      </c>
      <c r="G22" s="1">
        <f>'Paste cell here'!D22</f>
        <v>2.4</v>
      </c>
      <c r="H22" s="1">
        <f>'Paste cell here'!E22</f>
        <v>0.34032040400000002</v>
      </c>
      <c r="I22" s="1">
        <f>'Paste cell here'!X22</f>
        <v>0</v>
      </c>
      <c r="J22" s="1">
        <f>'Paste cell here'!Y22+'Paste cell here'!S22</f>
        <v>0</v>
      </c>
      <c r="K22" s="1">
        <f t="shared" si="1"/>
        <v>0</v>
      </c>
      <c r="L22" s="1">
        <f t="shared" si="0"/>
        <v>3.3446688163778093</v>
      </c>
      <c r="M22" s="1" cm="1">
        <f t="array" ref="M22">IF(AND(A22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,A22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),IF(L22&lt;_xlfn.IFNA(INDEX(_xlfn.ANCHORARRAY(Sintesi!$C$17)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,1,IF(L22&gt;=_xlfn.IFNA(INDEX(_xlfn.ANCHORARRAY(Sintesi!$C$18)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,0,1-(L22-_xlfn.IFNA(INDEX(_xlfn.ANCHORARRAY(Sintesi!$C$17)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)/(_xlfn.IFNA(INDEX(_xlfn.ANCHORARRAY(Sintesi!$C$18)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-_xlfn.IFNA(INDEX(_xlfn.ANCHORARRAY(Sintesi!$C$17),1,MATCH(1,(_xlfn.ANCHORARRAY(Sintesi!$C$9)&gt;_xlfn.ANCHORARRAY(Sintesi!$C$10))*(A21&gt;=_xlfn.ANCHORARRAY(Sintesi!$C$9))+(_xlfn.ANCHORARRAY(Sintesi!$C$9)&gt;_xlfn.ANCHORARRAY(Sintesi!$C$10))*(A21&lt;=_xlfn.ANCHORARRAY(Sintesi!$C$10))+(_xlfn.ANCHORARRAY(Sintesi!$C$9)&lt;_xlfn.ANCHORARRAY(Sintesi!$C$10))*(A21&gt;=_xlfn.ANCHORARRAY(Sintesi!$C$9))*(A21&lt;=_xlfn.ANCHORARRAY(Sintesi!$C$10)),0)),0)))),0)</f>
        <v>0</v>
      </c>
    </row>
    <row r="23" spans="1:13">
      <c r="A23" s="1">
        <f>'Paste cell here'!A23</f>
        <v>22</v>
      </c>
      <c r="B23" s="2">
        <f>DATE(Sintesi!$C$4-1,12,31)+A23</f>
        <v>44218</v>
      </c>
      <c r="C23" s="34" cm="1">
        <f t="array" ref="C23">_xlfn.IFNA(MATCH(1,(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)*(_xlfn.ANCHORARRAY(Sintesi!$C$15)&gt;=0)+(_xlfn.ANCHORARRAY(Sintesi!$C$15)&lt;0),0),0)</f>
        <v>0</v>
      </c>
      <c r="D23" s="1" cm="1">
        <f t="array" ref="D23">IF(ISBLANK($E24),IF(ISNUMBER($E22),IF($C23&gt;0,IF(($E23=INDEX(_xlfn.ANCHORARRAY(Sintesi!$C$14),1,$C23))*(INDEX(_xlfn.ANCHORARRAY(Sintesi!$C$15),1,$C23)&gt;0),0,IF(($E23=INDEX(_xlfn.ANCHORARRAY(Sintesi!$C$14),1,$C23))*(INDEX(_xlfn.ANCHORARRAY(Sintesi!$C$15),1,$C23)&lt;0)+($E23&gt;=$E22)*($E23&lt;=INDEX($E:$E,MATCH(TRUE,INDEX((ISNUMBER($E:$E)),0),0)))*($E23&gt;INDEX(_xlfn.ANCHORARRAY(Sintesi!$C$14),1,$C23))*($E23&lt;=INDEX(_xlfn.ANCHORARRAY(Sintesi!$C$15),1,$C23))*(INDEX(_xlfn.ANCHORARRAY(Sintesi!$C$15),1,$C23)&gt;0),1,IF(($E23&gt;=$E22)*($E23&lt;=INDEX($E:$E,MATCH(TRUE,INDEX((ISNUMBER($E:$E)),0),0)))*($E23&gt;INDEX(_xlfn.ANCHORARRAY(Sintesi!$C$14),1,$C23))*($E23&lt;INDEX(_xlfn.ANCHORARRAY(Sintesi!$C$16),1,$C23))*(INDEX(_xlfn.ANCHORARRAY(Sintesi!$C$15),1,$C23)&lt;0)+($E23&gt;=$E22)*($E23&lt;=INDEX($E:$E,MATCH(TRUE,INDEX((ISNUMBER($E:$E)),0),0)))*($E23&gt;INDEX(_xlfn.ANCHORARRAY(Sintesi!$C$15),1,$C23))*($E23&lt;INDEX(_xlfn.ANCHORARRAY(Sintesi!$C$16),1,$C23))*(INDEX(_xlfn.ANCHORARRAY(Sintesi!$C$15),1,$C23)&gt;0),2,IF($E23=(INDEX(_xlfn.ANCHORARRAY(Sintesi!$C$16),1,$C23)),3,4)))),0),IF($C23&gt;0,IF(($E23=INDEX(_xlfn.ANCHORARRAY(Sintesi!$C$14),1,$C23))*(INDEX(_xlfn.ANCHORARRAY(Sintesi!$C$15),1,$C23)&gt;0),0,IF(($E23=INDEX(_xlfn.ANCHORARRAY(Sintesi!$C$14),1,$C23))*(INDEX(_xlfn.ANCHORARRAY(Sintesi!$C$15),1,$C23)&lt;0)+($E23&gt;=LOOKUP(2,1/($E:$E&lt;&gt;""),$E:$E))*($E23&lt;=INDEX($E:$E,MATCH(TRUE,INDEX((ISNUMBER($E:$E)),0),0)))*($E23&gt;INDEX(_xlfn.ANCHORARRAY(Sintesi!$C$14),1,$C23))*($E23&lt;=INDEX(_xlfn.ANCHORARRAY(Sintesi!$C$15),1,$C23))*(INDEX(_xlfn.ANCHORARRAY(Sintesi!$C$15),1,$C23)&gt;0),1,IF(($E23&gt;=LOOKUP(2,1/($E:$E&lt;&gt;""),$E:$E))*($E23&lt;=INDEX($E:$E,MATCH(TRUE,INDEX((ISNUMBER($E:$E)),0),0)))*($E23&gt;INDEX(_xlfn.ANCHORARRAY(Sintesi!$C$14),1,$C23))*($E23&lt;INDEX(_xlfn.ANCHORARRAY(Sintesi!$C$16),1,$C23))*(INDEX(_xlfn.ANCHORARRAY(Sintesi!$C$15),1,$C23)&lt;0)+($E23&gt;=LOOKUP(2,1/($E:$E&lt;&gt;""),$E:$E))*($E23&lt;=INDEX($E:$E,MATCH(TRUE,INDEX((ISNUMBER($E:$E)),0),0)))*($E23&gt;INDEX(_xlfn.ANCHORARRAY(Sintesi!$C$15),1,$C23))*($E23&lt;INDEX(_xlfn.ANCHORARRAY(Sintesi!$C$16),1,$C23))*(INDEX(_xlfn.ANCHORARRAY(Sintesi!$C$15),1,$C23)&gt;0),2,IF($E23=(INDEX(_xlfn.ANCHORARRAY(Sintesi!$C$16),1,$C23)),3,4)))),0)),IF(ISNUMBER($E22),IF($C23&gt;0,IF(($E23=INDEX(_xlfn.ANCHORARRAY(Sintesi!$C$14),1,$C23))*(INDEX(_xlfn.ANCHORARRAY(Sintesi!$C$15),1,$C23)&gt;0),0,IF(($E23=INDEX(_xlfn.ANCHORARRAY(Sintesi!$C$14),1,$C23))*(INDEX(_xlfn.ANCHORARRAY(Sintesi!$C$15),1,$C23)&lt;0)+($E23&gt;=$E22)*($E23&lt;=$E24)*($E23&gt;INDEX(_xlfn.ANCHORARRAY(Sintesi!$C$14),1,$C23))*($E23&lt;=INDEX(_xlfn.ANCHORARRAY(Sintesi!$C$15),1,$C23))*(INDEX(_xlfn.ANCHORARRAY(Sintesi!$C$15),1,$C23)&gt;0),1,IF(($E23&gt;=$E22)*($E23&lt;=$E24)*($E23&gt;INDEX(_xlfn.ANCHORARRAY(Sintesi!$C$14),1,$C23))*($E23&lt;INDEX(_xlfn.ANCHORARRAY(Sintesi!$C$16),1,$C23))*(INDEX(_xlfn.ANCHORARRAY(Sintesi!$C$15),1,$C23)&lt;0)+($E23&gt;=$E22)*($E23&lt;=$E24)*($E23&gt;INDEX(_xlfn.ANCHORARRAY(Sintesi!$C$15),1,$C23))*($E23&lt;INDEX(_xlfn.ANCHORARRAY(Sintesi!$C$16),1,$C23))*(INDEX(_xlfn.ANCHORARRAY(Sintesi!$C$15),1,$C23)&gt;0),2,IF($E23=(INDEX(_xlfn.ANCHORARRAY(Sintesi!$C$16),1,$C23)),3,4)))),0),IF($C23&gt;0,IF(($E23=INDEX(_xlfn.ANCHORARRAY(Sintesi!$C$14),1,$C23))*(INDEX(_xlfn.ANCHORARRAY(Sintesi!$C$15),1,$C23)&gt;0),0,IF(($E23=INDEX(_xlfn.ANCHORARRAY(Sintesi!$C$14),1,$C23))*(INDEX(_xlfn.ANCHORARRAY(Sintesi!$C$15),1,$C23)&lt;0)+($E23&gt;=LOOKUP(2,1/($E:$E&lt;&gt;""),$E:$E))*($E23&lt;=$E24)*($E23&gt;INDEX(_xlfn.ANCHORARRAY(Sintesi!$C$14),1,$C23))*($E23&lt;=INDEX(_xlfn.ANCHORARRAY(Sintesi!$C$15),1,$C23))*(INDEX(_xlfn.ANCHORARRAY(Sintesi!$C$15),1,$C23)&gt;0),1,IF(($E23&gt;=LOOKUP(2,1/($E:$E&lt;&gt;""),$E:$E))*($E23&lt;=$E24)*($E23&gt;INDEX(_xlfn.ANCHORARRAY(Sintesi!$C$14),1,$C23))*($E23&lt;INDEX(_xlfn.ANCHORARRAY(Sintesi!$C$16),1,$C23))*(INDEX(_xlfn.ANCHORARRAY(Sintesi!$C$15),1,$C23)&lt;0)+($E23&gt;=LOOKUP(2,1/($E:$E&lt;&gt;""),$E:$E))*($E23&lt;=$E24)*($E23&gt;INDEX(_xlfn.ANCHORARRAY(Sintesi!$C$15),1,$C23))*($E23&lt;INDEX(_xlfn.ANCHORARRAY(Sintesi!$C$16),1,$C23))*(INDEX(_xlfn.ANCHORARRAY(Sintesi!$C$15),1,$C23)&gt;0),2,IF($E23=(INDEX(_xlfn.ANCHORARRAY(Sintesi!$C$16),1,$C23)),3,4)))),0)))</f>
        <v>0</v>
      </c>
      <c r="E23" s="1">
        <f>'Paste cell here'!F23</f>
        <v>0</v>
      </c>
      <c r="F23" s="1">
        <f>'Paste cell here'!C23</f>
        <v>4.8820194939999997</v>
      </c>
      <c r="G23" s="1">
        <f>'Paste cell here'!D23</f>
        <v>3.164055201</v>
      </c>
      <c r="H23" s="1">
        <f>'Paste cell here'!E23</f>
        <v>0.33531148500000002</v>
      </c>
      <c r="I23" s="1">
        <f>'Paste cell here'!X23</f>
        <v>0</v>
      </c>
      <c r="J23" s="1">
        <f>'Paste cell here'!Y23+'Paste cell here'!S23</f>
        <v>0</v>
      </c>
      <c r="K23" s="1">
        <f t="shared" si="1"/>
        <v>0</v>
      </c>
      <c r="L23" s="1">
        <f t="shared" si="0"/>
        <v>4.2591199432777085</v>
      </c>
      <c r="M23" s="1" cm="1">
        <f t="array" ref="M23">IF(AND(A23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,A23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),IF(L23&lt;_xlfn.IFNA(INDEX(_xlfn.ANCHORARRAY(Sintesi!$C$17)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,1,IF(L23&gt;=_xlfn.IFNA(INDEX(_xlfn.ANCHORARRAY(Sintesi!$C$18)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,0,1-(L23-_xlfn.IFNA(INDEX(_xlfn.ANCHORARRAY(Sintesi!$C$17)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)/(_xlfn.IFNA(INDEX(_xlfn.ANCHORARRAY(Sintesi!$C$18)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-_xlfn.IFNA(INDEX(_xlfn.ANCHORARRAY(Sintesi!$C$17),1,MATCH(1,(_xlfn.ANCHORARRAY(Sintesi!$C$9)&gt;_xlfn.ANCHORARRAY(Sintesi!$C$10))*(A22&gt;=_xlfn.ANCHORARRAY(Sintesi!$C$9))+(_xlfn.ANCHORARRAY(Sintesi!$C$9)&gt;_xlfn.ANCHORARRAY(Sintesi!$C$10))*(A22&lt;=_xlfn.ANCHORARRAY(Sintesi!$C$10))+(_xlfn.ANCHORARRAY(Sintesi!$C$9)&lt;_xlfn.ANCHORARRAY(Sintesi!$C$10))*(A22&gt;=_xlfn.ANCHORARRAY(Sintesi!$C$9))*(A22&lt;=_xlfn.ANCHORARRAY(Sintesi!$C$10)),0)),0)))),0)</f>
        <v>0</v>
      </c>
    </row>
    <row r="24" spans="1:13">
      <c r="A24" s="1">
        <f>'Paste cell here'!A24</f>
        <v>23</v>
      </c>
      <c r="B24" s="2">
        <f>DATE(Sintesi!$C$4-1,12,31)+A24</f>
        <v>44219</v>
      </c>
      <c r="C24" s="34" cm="1">
        <f t="array" ref="C24">_xlfn.IFNA(MATCH(1,(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)*(_xlfn.ANCHORARRAY(Sintesi!$C$15)&gt;=0)+(_xlfn.ANCHORARRAY(Sintesi!$C$15)&lt;0),0),0)</f>
        <v>0</v>
      </c>
      <c r="D24" s="1" cm="1">
        <f t="array" ref="D24">IF(ISBLANK($E25),IF(ISNUMBER($E23),IF($C24&gt;0,IF(($E24=INDEX(_xlfn.ANCHORARRAY(Sintesi!$C$14),1,$C24))*(INDEX(_xlfn.ANCHORARRAY(Sintesi!$C$15),1,$C24)&gt;0),0,IF(($E24=INDEX(_xlfn.ANCHORARRAY(Sintesi!$C$14),1,$C24))*(INDEX(_xlfn.ANCHORARRAY(Sintesi!$C$15),1,$C24)&lt;0)+($E24&gt;=$E23)*($E24&lt;=INDEX($E:$E,MATCH(TRUE,INDEX((ISNUMBER($E:$E)),0),0)))*($E24&gt;INDEX(_xlfn.ANCHORARRAY(Sintesi!$C$14),1,$C24))*($E24&lt;=INDEX(_xlfn.ANCHORARRAY(Sintesi!$C$15),1,$C24))*(INDEX(_xlfn.ANCHORARRAY(Sintesi!$C$15),1,$C24)&gt;0),1,IF(($E24&gt;=$E23)*($E24&lt;=INDEX($E:$E,MATCH(TRUE,INDEX((ISNUMBER($E:$E)),0),0)))*($E24&gt;INDEX(_xlfn.ANCHORARRAY(Sintesi!$C$14),1,$C24))*($E24&lt;INDEX(_xlfn.ANCHORARRAY(Sintesi!$C$16),1,$C24))*(INDEX(_xlfn.ANCHORARRAY(Sintesi!$C$15),1,$C24)&lt;0)+($E24&gt;=$E23)*($E24&lt;=INDEX($E:$E,MATCH(TRUE,INDEX((ISNUMBER($E:$E)),0),0)))*($E24&gt;INDEX(_xlfn.ANCHORARRAY(Sintesi!$C$15),1,$C24))*($E24&lt;INDEX(_xlfn.ANCHORARRAY(Sintesi!$C$16),1,$C24))*(INDEX(_xlfn.ANCHORARRAY(Sintesi!$C$15),1,$C24)&gt;0),2,IF($E24=(INDEX(_xlfn.ANCHORARRAY(Sintesi!$C$16),1,$C24)),3,4)))),0),IF($C24&gt;0,IF(($E24=INDEX(_xlfn.ANCHORARRAY(Sintesi!$C$14),1,$C24))*(INDEX(_xlfn.ANCHORARRAY(Sintesi!$C$15),1,$C24)&gt;0),0,IF(($E24=INDEX(_xlfn.ANCHORARRAY(Sintesi!$C$14),1,$C24))*(INDEX(_xlfn.ANCHORARRAY(Sintesi!$C$15),1,$C24)&lt;0)+($E24&gt;=LOOKUP(2,1/($E:$E&lt;&gt;""),$E:$E))*($E24&lt;=INDEX($E:$E,MATCH(TRUE,INDEX((ISNUMBER($E:$E)),0),0)))*($E24&gt;INDEX(_xlfn.ANCHORARRAY(Sintesi!$C$14),1,$C24))*($E24&lt;=INDEX(_xlfn.ANCHORARRAY(Sintesi!$C$15),1,$C24))*(INDEX(_xlfn.ANCHORARRAY(Sintesi!$C$15),1,$C24)&gt;0),1,IF(($E24&gt;=LOOKUP(2,1/($E:$E&lt;&gt;""),$E:$E))*($E24&lt;=INDEX($E:$E,MATCH(TRUE,INDEX((ISNUMBER($E:$E)),0),0)))*($E24&gt;INDEX(_xlfn.ANCHORARRAY(Sintesi!$C$14),1,$C24))*($E24&lt;INDEX(_xlfn.ANCHORARRAY(Sintesi!$C$16),1,$C24))*(INDEX(_xlfn.ANCHORARRAY(Sintesi!$C$15),1,$C24)&lt;0)+($E24&gt;=LOOKUP(2,1/($E:$E&lt;&gt;""),$E:$E))*($E24&lt;=INDEX($E:$E,MATCH(TRUE,INDEX((ISNUMBER($E:$E)),0),0)))*($E24&gt;INDEX(_xlfn.ANCHORARRAY(Sintesi!$C$15),1,$C24))*($E24&lt;INDEX(_xlfn.ANCHORARRAY(Sintesi!$C$16),1,$C24))*(INDEX(_xlfn.ANCHORARRAY(Sintesi!$C$15),1,$C24)&gt;0),2,IF($E24=(INDEX(_xlfn.ANCHORARRAY(Sintesi!$C$16),1,$C24)),3,4)))),0)),IF(ISNUMBER($E23),IF($C24&gt;0,IF(($E24=INDEX(_xlfn.ANCHORARRAY(Sintesi!$C$14),1,$C24))*(INDEX(_xlfn.ANCHORARRAY(Sintesi!$C$15),1,$C24)&gt;0),0,IF(($E24=INDEX(_xlfn.ANCHORARRAY(Sintesi!$C$14),1,$C24))*(INDEX(_xlfn.ANCHORARRAY(Sintesi!$C$15),1,$C24)&lt;0)+($E24&gt;=$E23)*($E24&lt;=$E25)*($E24&gt;INDEX(_xlfn.ANCHORARRAY(Sintesi!$C$14),1,$C24))*($E24&lt;=INDEX(_xlfn.ANCHORARRAY(Sintesi!$C$15),1,$C24))*(INDEX(_xlfn.ANCHORARRAY(Sintesi!$C$15),1,$C24)&gt;0),1,IF(($E24&gt;=$E23)*($E24&lt;=$E25)*($E24&gt;INDEX(_xlfn.ANCHORARRAY(Sintesi!$C$14),1,$C24))*($E24&lt;INDEX(_xlfn.ANCHORARRAY(Sintesi!$C$16),1,$C24))*(INDEX(_xlfn.ANCHORARRAY(Sintesi!$C$15),1,$C24)&lt;0)+($E24&gt;=$E23)*($E24&lt;=$E25)*($E24&gt;INDEX(_xlfn.ANCHORARRAY(Sintesi!$C$15),1,$C24))*($E24&lt;INDEX(_xlfn.ANCHORARRAY(Sintesi!$C$16),1,$C24))*(INDEX(_xlfn.ANCHORARRAY(Sintesi!$C$15),1,$C24)&gt;0),2,IF($E24=(INDEX(_xlfn.ANCHORARRAY(Sintesi!$C$16),1,$C24)),3,4)))),0),IF($C24&gt;0,IF(($E24=INDEX(_xlfn.ANCHORARRAY(Sintesi!$C$14),1,$C24))*(INDEX(_xlfn.ANCHORARRAY(Sintesi!$C$15),1,$C24)&gt;0),0,IF(($E24=INDEX(_xlfn.ANCHORARRAY(Sintesi!$C$14),1,$C24))*(INDEX(_xlfn.ANCHORARRAY(Sintesi!$C$15),1,$C24)&lt;0)+($E24&gt;=LOOKUP(2,1/($E:$E&lt;&gt;""),$E:$E))*($E24&lt;=$E25)*($E24&gt;INDEX(_xlfn.ANCHORARRAY(Sintesi!$C$14),1,$C24))*($E24&lt;=INDEX(_xlfn.ANCHORARRAY(Sintesi!$C$15),1,$C24))*(INDEX(_xlfn.ANCHORARRAY(Sintesi!$C$15),1,$C24)&gt;0),1,IF(($E24&gt;=LOOKUP(2,1/($E:$E&lt;&gt;""),$E:$E))*($E24&lt;=$E25)*($E24&gt;INDEX(_xlfn.ANCHORARRAY(Sintesi!$C$14),1,$C24))*($E24&lt;INDEX(_xlfn.ANCHORARRAY(Sintesi!$C$16),1,$C24))*(INDEX(_xlfn.ANCHORARRAY(Sintesi!$C$15),1,$C24)&lt;0)+($E24&gt;=LOOKUP(2,1/($E:$E&lt;&gt;""),$E:$E))*($E24&lt;=$E25)*($E24&gt;INDEX(_xlfn.ANCHORARRAY(Sintesi!$C$15),1,$C24))*($E24&lt;INDEX(_xlfn.ANCHORARRAY(Sintesi!$C$16),1,$C24))*(INDEX(_xlfn.ANCHORARRAY(Sintesi!$C$15),1,$C24)&gt;0),2,IF($E24=(INDEX(_xlfn.ANCHORARRAY(Sintesi!$C$16),1,$C24)),3,4)))),0)))</f>
        <v>0</v>
      </c>
      <c r="E24" s="1">
        <f>'Paste cell here'!F24</f>
        <v>0</v>
      </c>
      <c r="F24" s="1">
        <f>'Paste cell here'!C24</f>
        <v>10.55071907</v>
      </c>
      <c r="G24" s="1">
        <f>'Paste cell here'!D24</f>
        <v>1.158679537</v>
      </c>
      <c r="H24" s="1">
        <f>'Paste cell here'!E24</f>
        <v>0.53127093599999997</v>
      </c>
      <c r="I24" s="1">
        <f>'Paste cell here'!X24</f>
        <v>0</v>
      </c>
      <c r="J24" s="1">
        <f>'Paste cell here'!Y24+'Paste cell here'!S24</f>
        <v>0</v>
      </c>
      <c r="K24" s="1">
        <f t="shared" si="1"/>
        <v>0</v>
      </c>
      <c r="L24" s="1">
        <f t="shared" si="0"/>
        <v>7.1453530625053974</v>
      </c>
      <c r="M24" s="1" cm="1">
        <f t="array" ref="M24">IF(AND(A24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,A24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),IF(L24&lt;_xlfn.IFNA(INDEX(_xlfn.ANCHORARRAY(Sintesi!$C$17)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,1,IF(L24&gt;=_xlfn.IFNA(INDEX(_xlfn.ANCHORARRAY(Sintesi!$C$18)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,0,1-(L24-_xlfn.IFNA(INDEX(_xlfn.ANCHORARRAY(Sintesi!$C$17)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)/(_xlfn.IFNA(INDEX(_xlfn.ANCHORARRAY(Sintesi!$C$18)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-_xlfn.IFNA(INDEX(_xlfn.ANCHORARRAY(Sintesi!$C$17),1,MATCH(1,(_xlfn.ANCHORARRAY(Sintesi!$C$9)&gt;_xlfn.ANCHORARRAY(Sintesi!$C$10))*(A23&gt;=_xlfn.ANCHORARRAY(Sintesi!$C$9))+(_xlfn.ANCHORARRAY(Sintesi!$C$9)&gt;_xlfn.ANCHORARRAY(Sintesi!$C$10))*(A23&lt;=_xlfn.ANCHORARRAY(Sintesi!$C$10))+(_xlfn.ANCHORARRAY(Sintesi!$C$9)&lt;_xlfn.ANCHORARRAY(Sintesi!$C$10))*(A23&gt;=_xlfn.ANCHORARRAY(Sintesi!$C$9))*(A23&lt;=_xlfn.ANCHORARRAY(Sintesi!$C$10)),0)),0)))),0)</f>
        <v>0</v>
      </c>
    </row>
    <row r="25" spans="1:13">
      <c r="A25" s="1">
        <f>'Paste cell here'!A25</f>
        <v>24</v>
      </c>
      <c r="B25" s="2">
        <f>DATE(Sintesi!$C$4-1,12,31)+A25</f>
        <v>44220</v>
      </c>
      <c r="C25" s="34" cm="1">
        <f t="array" ref="C25">_xlfn.IFNA(MATCH(1,(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)*(_xlfn.ANCHORARRAY(Sintesi!$C$15)&gt;=0)+(_xlfn.ANCHORARRAY(Sintesi!$C$15)&lt;0),0),0)</f>
        <v>0</v>
      </c>
      <c r="D25" s="1" cm="1">
        <f t="array" ref="D25">IF(ISBLANK($E26),IF(ISNUMBER($E24),IF($C25&gt;0,IF(($E25=INDEX(_xlfn.ANCHORARRAY(Sintesi!$C$14),1,$C25))*(INDEX(_xlfn.ANCHORARRAY(Sintesi!$C$15),1,$C25)&gt;0),0,IF(($E25=INDEX(_xlfn.ANCHORARRAY(Sintesi!$C$14),1,$C25))*(INDEX(_xlfn.ANCHORARRAY(Sintesi!$C$15),1,$C25)&lt;0)+($E25&gt;=$E24)*($E25&lt;=INDEX($E:$E,MATCH(TRUE,INDEX((ISNUMBER($E:$E)),0),0)))*($E25&gt;INDEX(_xlfn.ANCHORARRAY(Sintesi!$C$14),1,$C25))*($E25&lt;=INDEX(_xlfn.ANCHORARRAY(Sintesi!$C$15),1,$C25))*(INDEX(_xlfn.ANCHORARRAY(Sintesi!$C$15),1,$C25)&gt;0),1,IF(($E25&gt;=$E24)*($E25&lt;=INDEX($E:$E,MATCH(TRUE,INDEX((ISNUMBER($E:$E)),0),0)))*($E25&gt;INDEX(_xlfn.ANCHORARRAY(Sintesi!$C$14),1,$C25))*($E25&lt;INDEX(_xlfn.ANCHORARRAY(Sintesi!$C$16),1,$C25))*(INDEX(_xlfn.ANCHORARRAY(Sintesi!$C$15),1,$C25)&lt;0)+($E25&gt;=$E24)*($E25&lt;=INDEX($E:$E,MATCH(TRUE,INDEX((ISNUMBER($E:$E)),0),0)))*($E25&gt;INDEX(_xlfn.ANCHORARRAY(Sintesi!$C$15),1,$C25))*($E25&lt;INDEX(_xlfn.ANCHORARRAY(Sintesi!$C$16),1,$C25))*(INDEX(_xlfn.ANCHORARRAY(Sintesi!$C$15),1,$C25)&gt;0),2,IF($E25=(INDEX(_xlfn.ANCHORARRAY(Sintesi!$C$16),1,$C25)),3,4)))),0),IF($C25&gt;0,IF(($E25=INDEX(_xlfn.ANCHORARRAY(Sintesi!$C$14),1,$C25))*(INDEX(_xlfn.ANCHORARRAY(Sintesi!$C$15),1,$C25)&gt;0),0,IF(($E25=INDEX(_xlfn.ANCHORARRAY(Sintesi!$C$14),1,$C25))*(INDEX(_xlfn.ANCHORARRAY(Sintesi!$C$15),1,$C25)&lt;0)+($E25&gt;=LOOKUP(2,1/($E:$E&lt;&gt;""),$E:$E))*($E25&lt;=INDEX($E:$E,MATCH(TRUE,INDEX((ISNUMBER($E:$E)),0),0)))*($E25&gt;INDEX(_xlfn.ANCHORARRAY(Sintesi!$C$14),1,$C25))*($E25&lt;=INDEX(_xlfn.ANCHORARRAY(Sintesi!$C$15),1,$C25))*(INDEX(_xlfn.ANCHORARRAY(Sintesi!$C$15),1,$C25)&gt;0),1,IF(($E25&gt;=LOOKUP(2,1/($E:$E&lt;&gt;""),$E:$E))*($E25&lt;=INDEX($E:$E,MATCH(TRUE,INDEX((ISNUMBER($E:$E)),0),0)))*($E25&gt;INDEX(_xlfn.ANCHORARRAY(Sintesi!$C$14),1,$C25))*($E25&lt;INDEX(_xlfn.ANCHORARRAY(Sintesi!$C$16),1,$C25))*(INDEX(_xlfn.ANCHORARRAY(Sintesi!$C$15),1,$C25)&lt;0)+($E25&gt;=LOOKUP(2,1/($E:$E&lt;&gt;""),$E:$E))*($E25&lt;=INDEX($E:$E,MATCH(TRUE,INDEX((ISNUMBER($E:$E)),0),0)))*($E25&gt;INDEX(_xlfn.ANCHORARRAY(Sintesi!$C$15),1,$C25))*($E25&lt;INDEX(_xlfn.ANCHORARRAY(Sintesi!$C$16),1,$C25))*(INDEX(_xlfn.ANCHORARRAY(Sintesi!$C$15),1,$C25)&gt;0),2,IF($E25=(INDEX(_xlfn.ANCHORARRAY(Sintesi!$C$16),1,$C25)),3,4)))),0)),IF(ISNUMBER($E24),IF($C25&gt;0,IF(($E25=INDEX(_xlfn.ANCHORARRAY(Sintesi!$C$14),1,$C25))*(INDEX(_xlfn.ANCHORARRAY(Sintesi!$C$15),1,$C25)&gt;0),0,IF(($E25=INDEX(_xlfn.ANCHORARRAY(Sintesi!$C$14),1,$C25))*(INDEX(_xlfn.ANCHORARRAY(Sintesi!$C$15),1,$C25)&lt;0)+($E25&gt;=$E24)*($E25&lt;=$E26)*($E25&gt;INDEX(_xlfn.ANCHORARRAY(Sintesi!$C$14),1,$C25))*($E25&lt;=INDEX(_xlfn.ANCHORARRAY(Sintesi!$C$15),1,$C25))*(INDEX(_xlfn.ANCHORARRAY(Sintesi!$C$15),1,$C25)&gt;0),1,IF(($E25&gt;=$E24)*($E25&lt;=$E26)*($E25&gt;INDEX(_xlfn.ANCHORARRAY(Sintesi!$C$14),1,$C25))*($E25&lt;INDEX(_xlfn.ANCHORARRAY(Sintesi!$C$16),1,$C25))*(INDEX(_xlfn.ANCHORARRAY(Sintesi!$C$15),1,$C25)&lt;0)+($E25&gt;=$E24)*($E25&lt;=$E26)*($E25&gt;INDEX(_xlfn.ANCHORARRAY(Sintesi!$C$15),1,$C25))*($E25&lt;INDEX(_xlfn.ANCHORARRAY(Sintesi!$C$16),1,$C25))*(INDEX(_xlfn.ANCHORARRAY(Sintesi!$C$15),1,$C25)&gt;0),2,IF($E25=(INDEX(_xlfn.ANCHORARRAY(Sintesi!$C$16),1,$C25)),3,4)))),0),IF($C25&gt;0,IF(($E25=INDEX(_xlfn.ANCHORARRAY(Sintesi!$C$14),1,$C25))*(INDEX(_xlfn.ANCHORARRAY(Sintesi!$C$15),1,$C25)&gt;0),0,IF(($E25=INDEX(_xlfn.ANCHORARRAY(Sintesi!$C$14),1,$C25))*(INDEX(_xlfn.ANCHORARRAY(Sintesi!$C$15),1,$C25)&lt;0)+($E25&gt;=LOOKUP(2,1/($E:$E&lt;&gt;""),$E:$E))*($E25&lt;=$E26)*($E25&gt;INDEX(_xlfn.ANCHORARRAY(Sintesi!$C$14),1,$C25))*($E25&lt;=INDEX(_xlfn.ANCHORARRAY(Sintesi!$C$15),1,$C25))*(INDEX(_xlfn.ANCHORARRAY(Sintesi!$C$15),1,$C25)&gt;0),1,IF(($E25&gt;=LOOKUP(2,1/($E:$E&lt;&gt;""),$E:$E))*($E25&lt;=$E26)*($E25&gt;INDEX(_xlfn.ANCHORARRAY(Sintesi!$C$14),1,$C25))*($E25&lt;INDEX(_xlfn.ANCHORARRAY(Sintesi!$C$16),1,$C25))*(INDEX(_xlfn.ANCHORARRAY(Sintesi!$C$15),1,$C25)&lt;0)+($E25&gt;=LOOKUP(2,1/($E:$E&lt;&gt;""),$E:$E))*($E25&lt;=$E26)*($E25&gt;INDEX(_xlfn.ANCHORARRAY(Sintesi!$C$15),1,$C25))*($E25&lt;INDEX(_xlfn.ANCHORARRAY(Sintesi!$C$16),1,$C25))*(INDEX(_xlfn.ANCHORARRAY(Sintesi!$C$15),1,$C25)&gt;0),2,IF($E25=(INDEX(_xlfn.ANCHORARRAY(Sintesi!$C$16),1,$C25)),3,4)))),0)))</f>
        <v>0</v>
      </c>
      <c r="E25" s="1">
        <f>'Paste cell here'!F25</f>
        <v>0</v>
      </c>
      <c r="F25" s="1">
        <f>'Paste cell here'!C25</f>
        <v>10.250719070000001</v>
      </c>
      <c r="G25" s="1">
        <f>'Paste cell here'!D25</f>
        <v>-0.79267589900000002</v>
      </c>
      <c r="H25" s="1">
        <f>'Paste cell here'!E25</f>
        <v>0.88901645299999998</v>
      </c>
      <c r="I25" s="1">
        <f>'Paste cell here'!X25</f>
        <v>0</v>
      </c>
      <c r="J25" s="1">
        <f>'Paste cell here'!Y25+'Paste cell here'!S25</f>
        <v>0</v>
      </c>
      <c r="K25" s="1">
        <f t="shared" si="1"/>
        <v>0</v>
      </c>
      <c r="L25" s="1">
        <f t="shared" si="0"/>
        <v>6.2466045533783738</v>
      </c>
      <c r="M25" s="1" cm="1">
        <f t="array" ref="M25">IF(AND(A25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,A25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),IF(L25&lt;_xlfn.IFNA(INDEX(_xlfn.ANCHORARRAY(Sintesi!$C$17)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,1,IF(L25&gt;=_xlfn.IFNA(INDEX(_xlfn.ANCHORARRAY(Sintesi!$C$18)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,0,1-(L25-_xlfn.IFNA(INDEX(_xlfn.ANCHORARRAY(Sintesi!$C$17)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)/(_xlfn.IFNA(INDEX(_xlfn.ANCHORARRAY(Sintesi!$C$18)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-_xlfn.IFNA(INDEX(_xlfn.ANCHORARRAY(Sintesi!$C$17),1,MATCH(1,(_xlfn.ANCHORARRAY(Sintesi!$C$9)&gt;_xlfn.ANCHORARRAY(Sintesi!$C$10))*(A24&gt;=_xlfn.ANCHORARRAY(Sintesi!$C$9))+(_xlfn.ANCHORARRAY(Sintesi!$C$9)&gt;_xlfn.ANCHORARRAY(Sintesi!$C$10))*(A24&lt;=_xlfn.ANCHORARRAY(Sintesi!$C$10))+(_xlfn.ANCHORARRAY(Sintesi!$C$9)&lt;_xlfn.ANCHORARRAY(Sintesi!$C$10))*(A24&gt;=_xlfn.ANCHORARRAY(Sintesi!$C$9))*(A24&lt;=_xlfn.ANCHORARRAY(Sintesi!$C$10)),0)),0)))),0)</f>
        <v>0</v>
      </c>
    </row>
    <row r="26" spans="1:13">
      <c r="A26" s="1">
        <f>'Paste cell here'!A26</f>
        <v>25</v>
      </c>
      <c r="B26" s="2">
        <f>DATE(Sintesi!$C$4-1,12,31)+A26</f>
        <v>44221</v>
      </c>
      <c r="C26" s="34" cm="1">
        <f t="array" ref="C26">_xlfn.IFNA(MATCH(1,(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)*(_xlfn.ANCHORARRAY(Sintesi!$C$15)&gt;=0)+(_xlfn.ANCHORARRAY(Sintesi!$C$15)&lt;0),0),0)</f>
        <v>0</v>
      </c>
      <c r="D26" s="1" cm="1">
        <f t="array" ref="D26">IF(ISBLANK($E27),IF(ISNUMBER($E25),IF($C26&gt;0,IF(($E26=INDEX(_xlfn.ANCHORARRAY(Sintesi!$C$14),1,$C26))*(INDEX(_xlfn.ANCHORARRAY(Sintesi!$C$15),1,$C26)&gt;0),0,IF(($E26=INDEX(_xlfn.ANCHORARRAY(Sintesi!$C$14),1,$C26))*(INDEX(_xlfn.ANCHORARRAY(Sintesi!$C$15),1,$C26)&lt;0)+($E26&gt;=$E25)*($E26&lt;=INDEX($E:$E,MATCH(TRUE,INDEX((ISNUMBER($E:$E)),0),0)))*($E26&gt;INDEX(_xlfn.ANCHORARRAY(Sintesi!$C$14),1,$C26))*($E26&lt;=INDEX(_xlfn.ANCHORARRAY(Sintesi!$C$15),1,$C26))*(INDEX(_xlfn.ANCHORARRAY(Sintesi!$C$15),1,$C26)&gt;0),1,IF(($E26&gt;=$E25)*($E26&lt;=INDEX($E:$E,MATCH(TRUE,INDEX((ISNUMBER($E:$E)),0),0)))*($E26&gt;INDEX(_xlfn.ANCHORARRAY(Sintesi!$C$14),1,$C26))*($E26&lt;INDEX(_xlfn.ANCHORARRAY(Sintesi!$C$16),1,$C26))*(INDEX(_xlfn.ANCHORARRAY(Sintesi!$C$15),1,$C26)&lt;0)+($E26&gt;=$E25)*($E26&lt;=INDEX($E:$E,MATCH(TRUE,INDEX((ISNUMBER($E:$E)),0),0)))*($E26&gt;INDEX(_xlfn.ANCHORARRAY(Sintesi!$C$15),1,$C26))*($E26&lt;INDEX(_xlfn.ANCHORARRAY(Sintesi!$C$16),1,$C26))*(INDEX(_xlfn.ANCHORARRAY(Sintesi!$C$15),1,$C26)&gt;0),2,IF($E26=(INDEX(_xlfn.ANCHORARRAY(Sintesi!$C$16),1,$C26)),3,4)))),0),IF($C26&gt;0,IF(($E26=INDEX(_xlfn.ANCHORARRAY(Sintesi!$C$14),1,$C26))*(INDEX(_xlfn.ANCHORARRAY(Sintesi!$C$15),1,$C26)&gt;0),0,IF(($E26=INDEX(_xlfn.ANCHORARRAY(Sintesi!$C$14),1,$C26))*(INDEX(_xlfn.ANCHORARRAY(Sintesi!$C$15),1,$C26)&lt;0)+($E26&gt;=LOOKUP(2,1/($E:$E&lt;&gt;""),$E:$E))*($E26&lt;=INDEX($E:$E,MATCH(TRUE,INDEX((ISNUMBER($E:$E)),0),0)))*($E26&gt;INDEX(_xlfn.ANCHORARRAY(Sintesi!$C$14),1,$C26))*($E26&lt;=INDEX(_xlfn.ANCHORARRAY(Sintesi!$C$15),1,$C26))*(INDEX(_xlfn.ANCHORARRAY(Sintesi!$C$15),1,$C26)&gt;0),1,IF(($E26&gt;=LOOKUP(2,1/($E:$E&lt;&gt;""),$E:$E))*($E26&lt;=INDEX($E:$E,MATCH(TRUE,INDEX((ISNUMBER($E:$E)),0),0)))*($E26&gt;INDEX(_xlfn.ANCHORARRAY(Sintesi!$C$14),1,$C26))*($E26&lt;INDEX(_xlfn.ANCHORARRAY(Sintesi!$C$16),1,$C26))*(INDEX(_xlfn.ANCHORARRAY(Sintesi!$C$15),1,$C26)&lt;0)+($E26&gt;=LOOKUP(2,1/($E:$E&lt;&gt;""),$E:$E))*($E26&lt;=INDEX($E:$E,MATCH(TRUE,INDEX((ISNUMBER($E:$E)),0),0)))*($E26&gt;INDEX(_xlfn.ANCHORARRAY(Sintesi!$C$15),1,$C26))*($E26&lt;INDEX(_xlfn.ANCHORARRAY(Sintesi!$C$16),1,$C26))*(INDEX(_xlfn.ANCHORARRAY(Sintesi!$C$15),1,$C26)&gt;0),2,IF($E26=(INDEX(_xlfn.ANCHORARRAY(Sintesi!$C$16),1,$C26)),3,4)))),0)),IF(ISNUMBER($E25),IF($C26&gt;0,IF(($E26=INDEX(_xlfn.ANCHORARRAY(Sintesi!$C$14),1,$C26))*(INDEX(_xlfn.ANCHORARRAY(Sintesi!$C$15),1,$C26)&gt;0),0,IF(($E26=INDEX(_xlfn.ANCHORARRAY(Sintesi!$C$14),1,$C26))*(INDEX(_xlfn.ANCHORARRAY(Sintesi!$C$15),1,$C26)&lt;0)+($E26&gt;=$E25)*($E26&lt;=$E27)*($E26&gt;INDEX(_xlfn.ANCHORARRAY(Sintesi!$C$14),1,$C26))*($E26&lt;=INDEX(_xlfn.ANCHORARRAY(Sintesi!$C$15),1,$C26))*(INDEX(_xlfn.ANCHORARRAY(Sintesi!$C$15),1,$C26)&gt;0),1,IF(($E26&gt;=$E25)*($E26&lt;=$E27)*($E26&gt;INDEX(_xlfn.ANCHORARRAY(Sintesi!$C$14),1,$C26))*($E26&lt;INDEX(_xlfn.ANCHORARRAY(Sintesi!$C$16),1,$C26))*(INDEX(_xlfn.ANCHORARRAY(Sintesi!$C$15),1,$C26)&lt;0)+($E26&gt;=$E25)*($E26&lt;=$E27)*($E26&gt;INDEX(_xlfn.ANCHORARRAY(Sintesi!$C$15),1,$C26))*($E26&lt;INDEX(_xlfn.ANCHORARRAY(Sintesi!$C$16),1,$C26))*(INDEX(_xlfn.ANCHORARRAY(Sintesi!$C$15),1,$C26)&gt;0),2,IF($E26=(INDEX(_xlfn.ANCHORARRAY(Sintesi!$C$16),1,$C26)),3,4)))),0),IF($C26&gt;0,IF(($E26=INDEX(_xlfn.ANCHORARRAY(Sintesi!$C$14),1,$C26))*(INDEX(_xlfn.ANCHORARRAY(Sintesi!$C$15),1,$C26)&gt;0),0,IF(($E26=INDEX(_xlfn.ANCHORARRAY(Sintesi!$C$14),1,$C26))*(INDEX(_xlfn.ANCHORARRAY(Sintesi!$C$15),1,$C26)&lt;0)+($E26&gt;=LOOKUP(2,1/($E:$E&lt;&gt;""),$E:$E))*($E26&lt;=$E27)*($E26&gt;INDEX(_xlfn.ANCHORARRAY(Sintesi!$C$14),1,$C26))*($E26&lt;=INDEX(_xlfn.ANCHORARRAY(Sintesi!$C$15),1,$C26))*(INDEX(_xlfn.ANCHORARRAY(Sintesi!$C$15),1,$C26)&gt;0),1,IF(($E26&gt;=LOOKUP(2,1/($E:$E&lt;&gt;""),$E:$E))*($E26&lt;=$E27)*($E26&gt;INDEX(_xlfn.ANCHORARRAY(Sintesi!$C$14),1,$C26))*($E26&lt;INDEX(_xlfn.ANCHORARRAY(Sintesi!$C$16),1,$C26))*(INDEX(_xlfn.ANCHORARRAY(Sintesi!$C$15),1,$C26)&lt;0)+($E26&gt;=LOOKUP(2,1/($E:$E&lt;&gt;""),$E:$E))*($E26&lt;=$E27)*($E26&gt;INDEX(_xlfn.ANCHORARRAY(Sintesi!$C$15),1,$C26))*($E26&lt;INDEX(_xlfn.ANCHORARRAY(Sintesi!$C$16),1,$C26))*(INDEX(_xlfn.ANCHORARRAY(Sintesi!$C$15),1,$C26)&gt;0),2,IF($E26=(INDEX(_xlfn.ANCHORARRAY(Sintesi!$C$16),1,$C26)),3,4)))),0)))</f>
        <v>0</v>
      </c>
      <c r="E26" s="1">
        <f>'Paste cell here'!F26</f>
        <v>0</v>
      </c>
      <c r="F26" s="1">
        <f>'Paste cell here'!C26</f>
        <v>8.1332650730000005</v>
      </c>
      <c r="G26" s="1">
        <f>'Paste cell here'!D26</f>
        <v>-1.727984333</v>
      </c>
      <c r="H26" s="1">
        <f>'Paste cell here'!E26</f>
        <v>0.79554434399999996</v>
      </c>
      <c r="I26" s="1">
        <f>'Paste cell here'!X26</f>
        <v>0</v>
      </c>
      <c r="J26" s="1">
        <f>'Paste cell here'!Y26+'Paste cell here'!S26</f>
        <v>0</v>
      </c>
      <c r="K26" s="1">
        <f t="shared" si="1"/>
        <v>0</v>
      </c>
      <c r="L26" s="1">
        <f t="shared" si="0"/>
        <v>4.557772934085178</v>
      </c>
      <c r="M26" s="1" cm="1">
        <f t="array" ref="M26">IF(AND(A26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,A26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),IF(L26&lt;_xlfn.IFNA(INDEX(_xlfn.ANCHORARRAY(Sintesi!$C$17)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,1,IF(L26&gt;=_xlfn.IFNA(INDEX(_xlfn.ANCHORARRAY(Sintesi!$C$18)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,0,1-(L26-_xlfn.IFNA(INDEX(_xlfn.ANCHORARRAY(Sintesi!$C$17)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)/(_xlfn.IFNA(INDEX(_xlfn.ANCHORARRAY(Sintesi!$C$18)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-_xlfn.IFNA(INDEX(_xlfn.ANCHORARRAY(Sintesi!$C$17),1,MATCH(1,(_xlfn.ANCHORARRAY(Sintesi!$C$9)&gt;_xlfn.ANCHORARRAY(Sintesi!$C$10))*(A25&gt;=_xlfn.ANCHORARRAY(Sintesi!$C$9))+(_xlfn.ANCHORARRAY(Sintesi!$C$9)&gt;_xlfn.ANCHORARRAY(Sintesi!$C$10))*(A25&lt;=_xlfn.ANCHORARRAY(Sintesi!$C$10))+(_xlfn.ANCHORARRAY(Sintesi!$C$9)&lt;_xlfn.ANCHORARRAY(Sintesi!$C$10))*(A25&gt;=_xlfn.ANCHORARRAY(Sintesi!$C$9))*(A25&lt;=_xlfn.ANCHORARRAY(Sintesi!$C$10)),0)),0)))),0)</f>
        <v>0</v>
      </c>
    </row>
    <row r="27" spans="1:13">
      <c r="A27" s="1">
        <f>'Paste cell here'!A27</f>
        <v>26</v>
      </c>
      <c r="B27" s="2">
        <f>DATE(Sintesi!$C$4-1,12,31)+A27</f>
        <v>44222</v>
      </c>
      <c r="C27" s="34" cm="1">
        <f t="array" ref="C27">_xlfn.IFNA(MATCH(1,(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)*(_xlfn.ANCHORARRAY(Sintesi!$C$15)&gt;=0)+(_xlfn.ANCHORARRAY(Sintesi!$C$15)&lt;0),0),0)</f>
        <v>0</v>
      </c>
      <c r="D27" s="1" cm="1">
        <f t="array" ref="D27">IF(ISBLANK($E28),IF(ISNUMBER($E26),IF($C27&gt;0,IF(($E27=INDEX(_xlfn.ANCHORARRAY(Sintesi!$C$14),1,$C27))*(INDEX(_xlfn.ANCHORARRAY(Sintesi!$C$15),1,$C27)&gt;0),0,IF(($E27=INDEX(_xlfn.ANCHORARRAY(Sintesi!$C$14),1,$C27))*(INDEX(_xlfn.ANCHORARRAY(Sintesi!$C$15),1,$C27)&lt;0)+($E27&gt;=$E26)*($E27&lt;=INDEX($E:$E,MATCH(TRUE,INDEX((ISNUMBER($E:$E)),0),0)))*($E27&gt;INDEX(_xlfn.ANCHORARRAY(Sintesi!$C$14),1,$C27))*($E27&lt;=INDEX(_xlfn.ANCHORARRAY(Sintesi!$C$15),1,$C27))*(INDEX(_xlfn.ANCHORARRAY(Sintesi!$C$15),1,$C27)&gt;0),1,IF(($E27&gt;=$E26)*($E27&lt;=INDEX($E:$E,MATCH(TRUE,INDEX((ISNUMBER($E:$E)),0),0)))*($E27&gt;INDEX(_xlfn.ANCHORARRAY(Sintesi!$C$14),1,$C27))*($E27&lt;INDEX(_xlfn.ANCHORARRAY(Sintesi!$C$16),1,$C27))*(INDEX(_xlfn.ANCHORARRAY(Sintesi!$C$15),1,$C27)&lt;0)+($E27&gt;=$E26)*($E27&lt;=INDEX($E:$E,MATCH(TRUE,INDEX((ISNUMBER($E:$E)),0),0)))*($E27&gt;INDEX(_xlfn.ANCHORARRAY(Sintesi!$C$15),1,$C27))*($E27&lt;INDEX(_xlfn.ANCHORARRAY(Sintesi!$C$16),1,$C27))*(INDEX(_xlfn.ANCHORARRAY(Sintesi!$C$15),1,$C27)&gt;0),2,IF($E27=(INDEX(_xlfn.ANCHORARRAY(Sintesi!$C$16),1,$C27)),3,4)))),0),IF($C27&gt;0,IF(($E27=INDEX(_xlfn.ANCHORARRAY(Sintesi!$C$14),1,$C27))*(INDEX(_xlfn.ANCHORARRAY(Sintesi!$C$15),1,$C27)&gt;0),0,IF(($E27=INDEX(_xlfn.ANCHORARRAY(Sintesi!$C$14),1,$C27))*(INDEX(_xlfn.ANCHORARRAY(Sintesi!$C$15),1,$C27)&lt;0)+($E27&gt;=LOOKUP(2,1/($E:$E&lt;&gt;""),$E:$E))*($E27&lt;=INDEX($E:$E,MATCH(TRUE,INDEX((ISNUMBER($E:$E)),0),0)))*($E27&gt;INDEX(_xlfn.ANCHORARRAY(Sintesi!$C$14),1,$C27))*($E27&lt;=INDEX(_xlfn.ANCHORARRAY(Sintesi!$C$15),1,$C27))*(INDEX(_xlfn.ANCHORARRAY(Sintesi!$C$15),1,$C27)&gt;0),1,IF(($E27&gt;=LOOKUP(2,1/($E:$E&lt;&gt;""),$E:$E))*($E27&lt;=INDEX($E:$E,MATCH(TRUE,INDEX((ISNUMBER($E:$E)),0),0)))*($E27&gt;INDEX(_xlfn.ANCHORARRAY(Sintesi!$C$14),1,$C27))*($E27&lt;INDEX(_xlfn.ANCHORARRAY(Sintesi!$C$16),1,$C27))*(INDEX(_xlfn.ANCHORARRAY(Sintesi!$C$15),1,$C27)&lt;0)+($E27&gt;=LOOKUP(2,1/($E:$E&lt;&gt;""),$E:$E))*($E27&lt;=INDEX($E:$E,MATCH(TRUE,INDEX((ISNUMBER($E:$E)),0),0)))*($E27&gt;INDEX(_xlfn.ANCHORARRAY(Sintesi!$C$15),1,$C27))*($E27&lt;INDEX(_xlfn.ANCHORARRAY(Sintesi!$C$16),1,$C27))*(INDEX(_xlfn.ANCHORARRAY(Sintesi!$C$15),1,$C27)&gt;0),2,IF($E27=(INDEX(_xlfn.ANCHORARRAY(Sintesi!$C$16),1,$C27)),3,4)))),0)),IF(ISNUMBER($E26),IF($C27&gt;0,IF(($E27=INDEX(_xlfn.ANCHORARRAY(Sintesi!$C$14),1,$C27))*(INDEX(_xlfn.ANCHORARRAY(Sintesi!$C$15),1,$C27)&gt;0),0,IF(($E27=INDEX(_xlfn.ANCHORARRAY(Sintesi!$C$14),1,$C27))*(INDEX(_xlfn.ANCHORARRAY(Sintesi!$C$15),1,$C27)&lt;0)+($E27&gt;=$E26)*($E27&lt;=$E28)*($E27&gt;INDEX(_xlfn.ANCHORARRAY(Sintesi!$C$14),1,$C27))*($E27&lt;=INDEX(_xlfn.ANCHORARRAY(Sintesi!$C$15),1,$C27))*(INDEX(_xlfn.ANCHORARRAY(Sintesi!$C$15),1,$C27)&gt;0),1,IF(($E27&gt;=$E26)*($E27&lt;=$E28)*($E27&gt;INDEX(_xlfn.ANCHORARRAY(Sintesi!$C$14),1,$C27))*($E27&lt;INDEX(_xlfn.ANCHORARRAY(Sintesi!$C$16),1,$C27))*(INDEX(_xlfn.ANCHORARRAY(Sintesi!$C$15),1,$C27)&lt;0)+($E27&gt;=$E26)*($E27&lt;=$E28)*($E27&gt;INDEX(_xlfn.ANCHORARRAY(Sintesi!$C$15),1,$C27))*($E27&lt;INDEX(_xlfn.ANCHORARRAY(Sintesi!$C$16),1,$C27))*(INDEX(_xlfn.ANCHORARRAY(Sintesi!$C$15),1,$C27)&gt;0),2,IF($E27=(INDEX(_xlfn.ANCHORARRAY(Sintesi!$C$16),1,$C27)),3,4)))),0),IF($C27&gt;0,IF(($E27=INDEX(_xlfn.ANCHORARRAY(Sintesi!$C$14),1,$C27))*(INDEX(_xlfn.ANCHORARRAY(Sintesi!$C$15),1,$C27)&gt;0),0,IF(($E27=INDEX(_xlfn.ANCHORARRAY(Sintesi!$C$14),1,$C27))*(INDEX(_xlfn.ANCHORARRAY(Sintesi!$C$15),1,$C27)&lt;0)+($E27&gt;=LOOKUP(2,1/($E:$E&lt;&gt;""),$E:$E))*($E27&lt;=$E28)*($E27&gt;INDEX(_xlfn.ANCHORARRAY(Sintesi!$C$14),1,$C27))*($E27&lt;=INDEX(_xlfn.ANCHORARRAY(Sintesi!$C$15),1,$C27))*(INDEX(_xlfn.ANCHORARRAY(Sintesi!$C$15),1,$C27)&gt;0),1,IF(($E27&gt;=LOOKUP(2,1/($E:$E&lt;&gt;""),$E:$E))*($E27&lt;=$E28)*($E27&gt;INDEX(_xlfn.ANCHORARRAY(Sintesi!$C$14),1,$C27))*($E27&lt;INDEX(_xlfn.ANCHORARRAY(Sintesi!$C$16),1,$C27))*(INDEX(_xlfn.ANCHORARRAY(Sintesi!$C$15),1,$C27)&lt;0)+($E27&gt;=LOOKUP(2,1/($E:$E&lt;&gt;""),$E:$E))*($E27&lt;=$E28)*($E27&gt;INDEX(_xlfn.ANCHORARRAY(Sintesi!$C$15),1,$C27))*($E27&lt;INDEX(_xlfn.ANCHORARRAY(Sintesi!$C$16),1,$C27))*(INDEX(_xlfn.ANCHORARRAY(Sintesi!$C$15),1,$C27)&gt;0),2,IF($E27=(INDEX(_xlfn.ANCHORARRAY(Sintesi!$C$16),1,$C27)),3,4)))),0)))</f>
        <v>0</v>
      </c>
      <c r="E27" s="1">
        <f>'Paste cell here'!F27</f>
        <v>0</v>
      </c>
      <c r="F27" s="1">
        <f>'Paste cell here'!C27</f>
        <v>10.153925299999999</v>
      </c>
      <c r="G27" s="1">
        <f>'Paste cell here'!D27</f>
        <v>-0.48787999900000001</v>
      </c>
      <c r="H27" s="1">
        <f>'Paste cell here'!E27</f>
        <v>1.669522237</v>
      </c>
      <c r="I27" s="1">
        <f>'Paste cell here'!X27</f>
        <v>0</v>
      </c>
      <c r="J27" s="1">
        <f>'Paste cell here'!Y27+'Paste cell here'!S27</f>
        <v>0</v>
      </c>
      <c r="K27" s="1">
        <f t="shared" si="1"/>
        <v>0</v>
      </c>
      <c r="L27" s="1">
        <f t="shared" si="0"/>
        <v>6.2954191793368741</v>
      </c>
      <c r="M27" s="1" cm="1">
        <f t="array" ref="M27">IF(AND(A27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,A27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),IF(L27&lt;_xlfn.IFNA(INDEX(_xlfn.ANCHORARRAY(Sintesi!$C$17)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,1,IF(L27&gt;=_xlfn.IFNA(INDEX(_xlfn.ANCHORARRAY(Sintesi!$C$18)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,0,1-(L27-_xlfn.IFNA(INDEX(_xlfn.ANCHORARRAY(Sintesi!$C$17)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)/(_xlfn.IFNA(INDEX(_xlfn.ANCHORARRAY(Sintesi!$C$18)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-_xlfn.IFNA(INDEX(_xlfn.ANCHORARRAY(Sintesi!$C$17),1,MATCH(1,(_xlfn.ANCHORARRAY(Sintesi!$C$9)&gt;_xlfn.ANCHORARRAY(Sintesi!$C$10))*(A26&gt;=_xlfn.ANCHORARRAY(Sintesi!$C$9))+(_xlfn.ANCHORARRAY(Sintesi!$C$9)&gt;_xlfn.ANCHORARRAY(Sintesi!$C$10))*(A26&lt;=_xlfn.ANCHORARRAY(Sintesi!$C$10))+(_xlfn.ANCHORARRAY(Sintesi!$C$9)&lt;_xlfn.ANCHORARRAY(Sintesi!$C$10))*(A26&gt;=_xlfn.ANCHORARRAY(Sintesi!$C$9))*(A26&lt;=_xlfn.ANCHORARRAY(Sintesi!$C$10)),0)),0)))),0)</f>
        <v>0</v>
      </c>
    </row>
    <row r="28" spans="1:13">
      <c r="A28" s="1">
        <f>'Paste cell here'!A28</f>
        <v>27</v>
      </c>
      <c r="B28" s="2">
        <f>DATE(Sintesi!$C$4-1,12,31)+A28</f>
        <v>44223</v>
      </c>
      <c r="C28" s="34" cm="1">
        <f t="array" ref="C28">_xlfn.IFNA(MATCH(1,(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)*(_xlfn.ANCHORARRAY(Sintesi!$C$15)&gt;=0)+(_xlfn.ANCHORARRAY(Sintesi!$C$15)&lt;0),0),0)</f>
        <v>0</v>
      </c>
      <c r="D28" s="1" cm="1">
        <f t="array" ref="D28">IF(ISBLANK($E29),IF(ISNUMBER($E27),IF($C28&gt;0,IF(($E28=INDEX(_xlfn.ANCHORARRAY(Sintesi!$C$14),1,$C28))*(INDEX(_xlfn.ANCHORARRAY(Sintesi!$C$15),1,$C28)&gt;0),0,IF(($E28=INDEX(_xlfn.ANCHORARRAY(Sintesi!$C$14),1,$C28))*(INDEX(_xlfn.ANCHORARRAY(Sintesi!$C$15),1,$C28)&lt;0)+($E28&gt;=$E27)*($E28&lt;=INDEX($E:$E,MATCH(TRUE,INDEX((ISNUMBER($E:$E)),0),0)))*($E28&gt;INDEX(_xlfn.ANCHORARRAY(Sintesi!$C$14),1,$C28))*($E28&lt;=INDEX(_xlfn.ANCHORARRAY(Sintesi!$C$15),1,$C28))*(INDEX(_xlfn.ANCHORARRAY(Sintesi!$C$15),1,$C28)&gt;0),1,IF(($E28&gt;=$E27)*($E28&lt;=INDEX($E:$E,MATCH(TRUE,INDEX((ISNUMBER($E:$E)),0),0)))*($E28&gt;INDEX(_xlfn.ANCHORARRAY(Sintesi!$C$14),1,$C28))*($E28&lt;INDEX(_xlfn.ANCHORARRAY(Sintesi!$C$16),1,$C28))*(INDEX(_xlfn.ANCHORARRAY(Sintesi!$C$15),1,$C28)&lt;0)+($E28&gt;=$E27)*($E28&lt;=INDEX($E:$E,MATCH(TRUE,INDEX((ISNUMBER($E:$E)),0),0)))*($E28&gt;INDEX(_xlfn.ANCHORARRAY(Sintesi!$C$15),1,$C28))*($E28&lt;INDEX(_xlfn.ANCHORARRAY(Sintesi!$C$16),1,$C28))*(INDEX(_xlfn.ANCHORARRAY(Sintesi!$C$15),1,$C28)&gt;0),2,IF($E28=(INDEX(_xlfn.ANCHORARRAY(Sintesi!$C$16),1,$C28)),3,4)))),0),IF($C28&gt;0,IF(($E28=INDEX(_xlfn.ANCHORARRAY(Sintesi!$C$14),1,$C28))*(INDEX(_xlfn.ANCHORARRAY(Sintesi!$C$15),1,$C28)&gt;0),0,IF(($E28=INDEX(_xlfn.ANCHORARRAY(Sintesi!$C$14),1,$C28))*(INDEX(_xlfn.ANCHORARRAY(Sintesi!$C$15),1,$C28)&lt;0)+($E28&gt;=LOOKUP(2,1/($E:$E&lt;&gt;""),$E:$E))*($E28&lt;=INDEX($E:$E,MATCH(TRUE,INDEX((ISNUMBER($E:$E)),0),0)))*($E28&gt;INDEX(_xlfn.ANCHORARRAY(Sintesi!$C$14),1,$C28))*($E28&lt;=INDEX(_xlfn.ANCHORARRAY(Sintesi!$C$15),1,$C28))*(INDEX(_xlfn.ANCHORARRAY(Sintesi!$C$15),1,$C28)&gt;0),1,IF(($E28&gt;=LOOKUP(2,1/($E:$E&lt;&gt;""),$E:$E))*($E28&lt;=INDEX($E:$E,MATCH(TRUE,INDEX((ISNUMBER($E:$E)),0),0)))*($E28&gt;INDEX(_xlfn.ANCHORARRAY(Sintesi!$C$14),1,$C28))*($E28&lt;INDEX(_xlfn.ANCHORARRAY(Sintesi!$C$16),1,$C28))*(INDEX(_xlfn.ANCHORARRAY(Sintesi!$C$15),1,$C28)&lt;0)+($E28&gt;=LOOKUP(2,1/($E:$E&lt;&gt;""),$E:$E))*($E28&lt;=INDEX($E:$E,MATCH(TRUE,INDEX((ISNUMBER($E:$E)),0),0)))*($E28&gt;INDEX(_xlfn.ANCHORARRAY(Sintesi!$C$15),1,$C28))*($E28&lt;INDEX(_xlfn.ANCHORARRAY(Sintesi!$C$16),1,$C28))*(INDEX(_xlfn.ANCHORARRAY(Sintesi!$C$15),1,$C28)&gt;0),2,IF($E28=(INDEX(_xlfn.ANCHORARRAY(Sintesi!$C$16),1,$C28)),3,4)))),0)),IF(ISNUMBER($E27),IF($C28&gt;0,IF(($E28=INDEX(_xlfn.ANCHORARRAY(Sintesi!$C$14),1,$C28))*(INDEX(_xlfn.ANCHORARRAY(Sintesi!$C$15),1,$C28)&gt;0),0,IF(($E28=INDEX(_xlfn.ANCHORARRAY(Sintesi!$C$14),1,$C28))*(INDEX(_xlfn.ANCHORARRAY(Sintesi!$C$15),1,$C28)&lt;0)+($E28&gt;=$E27)*($E28&lt;=$E29)*($E28&gt;INDEX(_xlfn.ANCHORARRAY(Sintesi!$C$14),1,$C28))*($E28&lt;=INDEX(_xlfn.ANCHORARRAY(Sintesi!$C$15),1,$C28))*(INDEX(_xlfn.ANCHORARRAY(Sintesi!$C$15),1,$C28)&gt;0),1,IF(($E28&gt;=$E27)*($E28&lt;=$E29)*($E28&gt;INDEX(_xlfn.ANCHORARRAY(Sintesi!$C$14),1,$C28))*($E28&lt;INDEX(_xlfn.ANCHORARRAY(Sintesi!$C$16),1,$C28))*(INDEX(_xlfn.ANCHORARRAY(Sintesi!$C$15),1,$C28)&lt;0)+($E28&gt;=$E27)*($E28&lt;=$E29)*($E28&gt;INDEX(_xlfn.ANCHORARRAY(Sintesi!$C$15),1,$C28))*($E28&lt;INDEX(_xlfn.ANCHORARRAY(Sintesi!$C$16),1,$C28))*(INDEX(_xlfn.ANCHORARRAY(Sintesi!$C$15),1,$C28)&gt;0),2,IF($E28=(INDEX(_xlfn.ANCHORARRAY(Sintesi!$C$16),1,$C28)),3,4)))),0),IF($C28&gt;0,IF(($E28=INDEX(_xlfn.ANCHORARRAY(Sintesi!$C$14),1,$C28))*(INDEX(_xlfn.ANCHORARRAY(Sintesi!$C$15),1,$C28)&gt;0),0,IF(($E28=INDEX(_xlfn.ANCHORARRAY(Sintesi!$C$14),1,$C28))*(INDEX(_xlfn.ANCHORARRAY(Sintesi!$C$15),1,$C28)&lt;0)+($E28&gt;=LOOKUP(2,1/($E:$E&lt;&gt;""),$E:$E))*($E28&lt;=$E29)*($E28&gt;INDEX(_xlfn.ANCHORARRAY(Sintesi!$C$14),1,$C28))*($E28&lt;=INDEX(_xlfn.ANCHORARRAY(Sintesi!$C$15),1,$C28))*(INDEX(_xlfn.ANCHORARRAY(Sintesi!$C$15),1,$C28)&gt;0),1,IF(($E28&gt;=LOOKUP(2,1/($E:$E&lt;&gt;""),$E:$E))*($E28&lt;=$E29)*($E28&gt;INDEX(_xlfn.ANCHORARRAY(Sintesi!$C$14),1,$C28))*($E28&lt;INDEX(_xlfn.ANCHORARRAY(Sintesi!$C$16),1,$C28))*(INDEX(_xlfn.ANCHORARRAY(Sintesi!$C$15),1,$C28)&lt;0)+($E28&gt;=LOOKUP(2,1/($E:$E&lt;&gt;""),$E:$E))*($E28&lt;=$E29)*($E28&gt;INDEX(_xlfn.ANCHORARRAY(Sintesi!$C$15),1,$C28))*($E28&lt;INDEX(_xlfn.ANCHORARRAY(Sintesi!$C$16),1,$C28))*(INDEX(_xlfn.ANCHORARRAY(Sintesi!$C$15),1,$C28)&gt;0),2,IF($E28=(INDEX(_xlfn.ANCHORARRAY(Sintesi!$C$16),1,$C28)),3,4)))),0)))</f>
        <v>0</v>
      </c>
      <c r="E28" s="1">
        <f>'Paste cell here'!F28</f>
        <v>0</v>
      </c>
      <c r="F28" s="1">
        <f>'Paste cell here'!C28</f>
        <v>8.7720156669999998</v>
      </c>
      <c r="G28" s="1">
        <f>'Paste cell here'!D28</f>
        <v>-4.7339963620000001</v>
      </c>
      <c r="H28" s="1">
        <f>'Paste cell here'!E28</f>
        <v>0.698493645</v>
      </c>
      <c r="I28" s="1">
        <f>'Paste cell here'!X28</f>
        <v>0</v>
      </c>
      <c r="J28" s="1">
        <f>'Paste cell here'!Y28+'Paste cell here'!S28</f>
        <v>0</v>
      </c>
      <c r="K28" s="1">
        <f t="shared" si="1"/>
        <v>0</v>
      </c>
      <c r="L28" s="1">
        <f t="shared" si="0"/>
        <v>3.8750053745317379</v>
      </c>
      <c r="M28" s="1" cm="1">
        <f t="array" ref="M28">IF(AND(A28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,A28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),IF(L28&lt;_xlfn.IFNA(INDEX(_xlfn.ANCHORARRAY(Sintesi!$C$17)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,1,IF(L28&gt;=_xlfn.IFNA(INDEX(_xlfn.ANCHORARRAY(Sintesi!$C$18)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,0,1-(L28-_xlfn.IFNA(INDEX(_xlfn.ANCHORARRAY(Sintesi!$C$17)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)/(_xlfn.IFNA(INDEX(_xlfn.ANCHORARRAY(Sintesi!$C$18)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-_xlfn.IFNA(INDEX(_xlfn.ANCHORARRAY(Sintesi!$C$17),1,MATCH(1,(_xlfn.ANCHORARRAY(Sintesi!$C$9)&gt;_xlfn.ANCHORARRAY(Sintesi!$C$10))*(A27&gt;=_xlfn.ANCHORARRAY(Sintesi!$C$9))+(_xlfn.ANCHORARRAY(Sintesi!$C$9)&gt;_xlfn.ANCHORARRAY(Sintesi!$C$10))*(A27&lt;=_xlfn.ANCHORARRAY(Sintesi!$C$10))+(_xlfn.ANCHORARRAY(Sintesi!$C$9)&lt;_xlfn.ANCHORARRAY(Sintesi!$C$10))*(A27&gt;=_xlfn.ANCHORARRAY(Sintesi!$C$9))*(A27&lt;=_xlfn.ANCHORARRAY(Sintesi!$C$10)),0)),0)))),0)</f>
        <v>0</v>
      </c>
    </row>
    <row r="29" spans="1:13">
      <c r="A29" s="1">
        <f>'Paste cell here'!A29</f>
        <v>28</v>
      </c>
      <c r="B29" s="2">
        <f>DATE(Sintesi!$C$4-1,12,31)+A29</f>
        <v>44224</v>
      </c>
      <c r="C29" s="34" cm="1">
        <f t="array" ref="C29">_xlfn.IFNA(MATCH(1,(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)*(_xlfn.ANCHORARRAY(Sintesi!$C$15)&gt;=0)+(_xlfn.ANCHORARRAY(Sintesi!$C$15)&lt;0),0),0)</f>
        <v>0</v>
      </c>
      <c r="D29" s="1" cm="1">
        <f t="array" ref="D29">IF(ISBLANK($E30),IF(ISNUMBER($E28),IF($C29&gt;0,IF(($E29=INDEX(_xlfn.ANCHORARRAY(Sintesi!$C$14),1,$C29))*(INDEX(_xlfn.ANCHORARRAY(Sintesi!$C$15),1,$C29)&gt;0),0,IF(($E29=INDEX(_xlfn.ANCHORARRAY(Sintesi!$C$14),1,$C29))*(INDEX(_xlfn.ANCHORARRAY(Sintesi!$C$15),1,$C29)&lt;0)+($E29&gt;=$E28)*($E29&lt;=INDEX($E:$E,MATCH(TRUE,INDEX((ISNUMBER($E:$E)),0),0)))*($E29&gt;INDEX(_xlfn.ANCHORARRAY(Sintesi!$C$14),1,$C29))*($E29&lt;=INDEX(_xlfn.ANCHORARRAY(Sintesi!$C$15),1,$C29))*(INDEX(_xlfn.ANCHORARRAY(Sintesi!$C$15),1,$C29)&gt;0),1,IF(($E29&gt;=$E28)*($E29&lt;=INDEX($E:$E,MATCH(TRUE,INDEX((ISNUMBER($E:$E)),0),0)))*($E29&gt;INDEX(_xlfn.ANCHORARRAY(Sintesi!$C$14),1,$C29))*($E29&lt;INDEX(_xlfn.ANCHORARRAY(Sintesi!$C$16),1,$C29))*(INDEX(_xlfn.ANCHORARRAY(Sintesi!$C$15),1,$C29)&lt;0)+($E29&gt;=$E28)*($E29&lt;=INDEX($E:$E,MATCH(TRUE,INDEX((ISNUMBER($E:$E)),0),0)))*($E29&gt;INDEX(_xlfn.ANCHORARRAY(Sintesi!$C$15),1,$C29))*($E29&lt;INDEX(_xlfn.ANCHORARRAY(Sintesi!$C$16),1,$C29))*(INDEX(_xlfn.ANCHORARRAY(Sintesi!$C$15),1,$C29)&gt;0),2,IF($E29=(INDEX(_xlfn.ANCHORARRAY(Sintesi!$C$16),1,$C29)),3,4)))),0),IF($C29&gt;0,IF(($E29=INDEX(_xlfn.ANCHORARRAY(Sintesi!$C$14),1,$C29))*(INDEX(_xlfn.ANCHORARRAY(Sintesi!$C$15),1,$C29)&gt;0),0,IF(($E29=INDEX(_xlfn.ANCHORARRAY(Sintesi!$C$14),1,$C29))*(INDEX(_xlfn.ANCHORARRAY(Sintesi!$C$15),1,$C29)&lt;0)+($E29&gt;=LOOKUP(2,1/($E:$E&lt;&gt;""),$E:$E))*($E29&lt;=INDEX($E:$E,MATCH(TRUE,INDEX((ISNUMBER($E:$E)),0),0)))*($E29&gt;INDEX(_xlfn.ANCHORARRAY(Sintesi!$C$14),1,$C29))*($E29&lt;=INDEX(_xlfn.ANCHORARRAY(Sintesi!$C$15),1,$C29))*(INDEX(_xlfn.ANCHORARRAY(Sintesi!$C$15),1,$C29)&gt;0),1,IF(($E29&gt;=LOOKUP(2,1/($E:$E&lt;&gt;""),$E:$E))*($E29&lt;=INDEX($E:$E,MATCH(TRUE,INDEX((ISNUMBER($E:$E)),0),0)))*($E29&gt;INDEX(_xlfn.ANCHORARRAY(Sintesi!$C$14),1,$C29))*($E29&lt;INDEX(_xlfn.ANCHORARRAY(Sintesi!$C$16),1,$C29))*(INDEX(_xlfn.ANCHORARRAY(Sintesi!$C$15),1,$C29)&lt;0)+($E29&gt;=LOOKUP(2,1/($E:$E&lt;&gt;""),$E:$E))*($E29&lt;=INDEX($E:$E,MATCH(TRUE,INDEX((ISNUMBER($E:$E)),0),0)))*($E29&gt;INDEX(_xlfn.ANCHORARRAY(Sintesi!$C$15),1,$C29))*($E29&lt;INDEX(_xlfn.ANCHORARRAY(Sintesi!$C$16),1,$C29))*(INDEX(_xlfn.ANCHORARRAY(Sintesi!$C$15),1,$C29)&gt;0),2,IF($E29=(INDEX(_xlfn.ANCHORARRAY(Sintesi!$C$16),1,$C29)),3,4)))),0)),IF(ISNUMBER($E28),IF($C29&gt;0,IF(($E29=INDEX(_xlfn.ANCHORARRAY(Sintesi!$C$14),1,$C29))*(INDEX(_xlfn.ANCHORARRAY(Sintesi!$C$15),1,$C29)&gt;0),0,IF(($E29=INDEX(_xlfn.ANCHORARRAY(Sintesi!$C$14),1,$C29))*(INDEX(_xlfn.ANCHORARRAY(Sintesi!$C$15),1,$C29)&lt;0)+($E29&gt;=$E28)*($E29&lt;=$E30)*($E29&gt;INDEX(_xlfn.ANCHORARRAY(Sintesi!$C$14),1,$C29))*($E29&lt;=INDEX(_xlfn.ANCHORARRAY(Sintesi!$C$15),1,$C29))*(INDEX(_xlfn.ANCHORARRAY(Sintesi!$C$15),1,$C29)&gt;0),1,IF(($E29&gt;=$E28)*($E29&lt;=$E30)*($E29&gt;INDEX(_xlfn.ANCHORARRAY(Sintesi!$C$14),1,$C29))*($E29&lt;INDEX(_xlfn.ANCHORARRAY(Sintesi!$C$16),1,$C29))*(INDEX(_xlfn.ANCHORARRAY(Sintesi!$C$15),1,$C29)&lt;0)+($E29&gt;=$E28)*($E29&lt;=$E30)*($E29&gt;INDEX(_xlfn.ANCHORARRAY(Sintesi!$C$15),1,$C29))*($E29&lt;INDEX(_xlfn.ANCHORARRAY(Sintesi!$C$16),1,$C29))*(INDEX(_xlfn.ANCHORARRAY(Sintesi!$C$15),1,$C29)&gt;0),2,IF($E29=(INDEX(_xlfn.ANCHORARRAY(Sintesi!$C$16),1,$C29)),3,4)))),0),IF($C29&gt;0,IF(($E29=INDEX(_xlfn.ANCHORARRAY(Sintesi!$C$14),1,$C29))*(INDEX(_xlfn.ANCHORARRAY(Sintesi!$C$15),1,$C29)&gt;0),0,IF(($E29=INDEX(_xlfn.ANCHORARRAY(Sintesi!$C$14),1,$C29))*(INDEX(_xlfn.ANCHORARRAY(Sintesi!$C$15),1,$C29)&lt;0)+($E29&gt;=LOOKUP(2,1/($E:$E&lt;&gt;""),$E:$E))*($E29&lt;=$E30)*($E29&gt;INDEX(_xlfn.ANCHORARRAY(Sintesi!$C$14),1,$C29))*($E29&lt;=INDEX(_xlfn.ANCHORARRAY(Sintesi!$C$15),1,$C29))*(INDEX(_xlfn.ANCHORARRAY(Sintesi!$C$15),1,$C29)&gt;0),1,IF(($E29&gt;=LOOKUP(2,1/($E:$E&lt;&gt;""),$E:$E))*($E29&lt;=$E30)*($E29&gt;INDEX(_xlfn.ANCHORARRAY(Sintesi!$C$14),1,$C29))*($E29&lt;INDEX(_xlfn.ANCHORARRAY(Sintesi!$C$16),1,$C29))*(INDEX(_xlfn.ANCHORARRAY(Sintesi!$C$15),1,$C29)&lt;0)+($E29&gt;=LOOKUP(2,1/($E:$E&lt;&gt;""),$E:$E))*($E29&lt;=$E30)*($E29&gt;INDEX(_xlfn.ANCHORARRAY(Sintesi!$C$15),1,$C29))*($E29&lt;INDEX(_xlfn.ANCHORARRAY(Sintesi!$C$16),1,$C29))*(INDEX(_xlfn.ANCHORARRAY(Sintesi!$C$15),1,$C29)&gt;0),2,IF($E29=(INDEX(_xlfn.ANCHORARRAY(Sintesi!$C$16),1,$C29)),3,4)))),0)))</f>
        <v>0</v>
      </c>
      <c r="E29" s="1">
        <f>'Paste cell here'!F29</f>
        <v>0</v>
      </c>
      <c r="F29" s="1">
        <f>'Paste cell here'!C29</f>
        <v>8.4359447989999996</v>
      </c>
      <c r="G29" s="1">
        <f>'Paste cell here'!D29</f>
        <v>-1.2339963620000001</v>
      </c>
      <c r="H29" s="1">
        <f>'Paste cell here'!E29</f>
        <v>0.50687885700000002</v>
      </c>
      <c r="I29" s="1">
        <f>'Paste cell here'!X29</f>
        <v>0</v>
      </c>
      <c r="J29" s="1">
        <f>'Paste cell here'!Y29+'Paste cell here'!S29</f>
        <v>0</v>
      </c>
      <c r="K29" s="1">
        <f t="shared" si="1"/>
        <v>0</v>
      </c>
      <c r="L29" s="1">
        <f t="shared" si="0"/>
        <v>4.929817209945452</v>
      </c>
      <c r="M29" s="1" cm="1">
        <f t="array" ref="M29">IF(AND(A29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,A29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),IF(L29&lt;_xlfn.IFNA(INDEX(_xlfn.ANCHORARRAY(Sintesi!$C$17)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,1,IF(L29&gt;=_xlfn.IFNA(INDEX(_xlfn.ANCHORARRAY(Sintesi!$C$18)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,0,1-(L29-_xlfn.IFNA(INDEX(_xlfn.ANCHORARRAY(Sintesi!$C$17)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)/(_xlfn.IFNA(INDEX(_xlfn.ANCHORARRAY(Sintesi!$C$18)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-_xlfn.IFNA(INDEX(_xlfn.ANCHORARRAY(Sintesi!$C$17),1,MATCH(1,(_xlfn.ANCHORARRAY(Sintesi!$C$9)&gt;_xlfn.ANCHORARRAY(Sintesi!$C$10))*(A28&gt;=_xlfn.ANCHORARRAY(Sintesi!$C$9))+(_xlfn.ANCHORARRAY(Sintesi!$C$9)&gt;_xlfn.ANCHORARRAY(Sintesi!$C$10))*(A28&lt;=_xlfn.ANCHORARRAY(Sintesi!$C$10))+(_xlfn.ANCHORARRAY(Sintesi!$C$9)&lt;_xlfn.ANCHORARRAY(Sintesi!$C$10))*(A28&gt;=_xlfn.ANCHORARRAY(Sintesi!$C$9))*(A28&lt;=_xlfn.ANCHORARRAY(Sintesi!$C$10)),0)),0)))),0)</f>
        <v>0</v>
      </c>
    </row>
    <row r="30" spans="1:13">
      <c r="A30" s="1">
        <f>'Paste cell here'!A30</f>
        <v>29</v>
      </c>
      <c r="B30" s="2">
        <f>DATE(Sintesi!$C$4-1,12,31)+A30</f>
        <v>44225</v>
      </c>
      <c r="C30" s="34" cm="1">
        <f t="array" ref="C30">_xlfn.IFNA(MATCH(1,(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)*(_xlfn.ANCHORARRAY(Sintesi!$C$15)&gt;=0)+(_xlfn.ANCHORARRAY(Sintesi!$C$15)&lt;0),0),0)</f>
        <v>0</v>
      </c>
      <c r="D30" s="1" cm="1">
        <f t="array" ref="D30">IF(ISBLANK($E31),IF(ISNUMBER($E29),IF($C30&gt;0,IF(($E30=INDEX(_xlfn.ANCHORARRAY(Sintesi!$C$14),1,$C30))*(INDEX(_xlfn.ANCHORARRAY(Sintesi!$C$15),1,$C30)&gt;0),0,IF(($E30=INDEX(_xlfn.ANCHORARRAY(Sintesi!$C$14),1,$C30))*(INDEX(_xlfn.ANCHORARRAY(Sintesi!$C$15),1,$C30)&lt;0)+($E30&gt;=$E29)*($E30&lt;=INDEX($E:$E,MATCH(TRUE,INDEX((ISNUMBER($E:$E)),0),0)))*($E30&gt;INDEX(_xlfn.ANCHORARRAY(Sintesi!$C$14),1,$C30))*($E30&lt;=INDEX(_xlfn.ANCHORARRAY(Sintesi!$C$15),1,$C30))*(INDEX(_xlfn.ANCHORARRAY(Sintesi!$C$15),1,$C30)&gt;0),1,IF(($E30&gt;=$E29)*($E30&lt;=INDEX($E:$E,MATCH(TRUE,INDEX((ISNUMBER($E:$E)),0),0)))*($E30&gt;INDEX(_xlfn.ANCHORARRAY(Sintesi!$C$14),1,$C30))*($E30&lt;INDEX(_xlfn.ANCHORARRAY(Sintesi!$C$16),1,$C30))*(INDEX(_xlfn.ANCHORARRAY(Sintesi!$C$15),1,$C30)&lt;0)+($E30&gt;=$E29)*($E30&lt;=INDEX($E:$E,MATCH(TRUE,INDEX((ISNUMBER($E:$E)),0),0)))*($E30&gt;INDEX(_xlfn.ANCHORARRAY(Sintesi!$C$15),1,$C30))*($E30&lt;INDEX(_xlfn.ANCHORARRAY(Sintesi!$C$16),1,$C30))*(INDEX(_xlfn.ANCHORARRAY(Sintesi!$C$15),1,$C30)&gt;0),2,IF($E30=(INDEX(_xlfn.ANCHORARRAY(Sintesi!$C$16),1,$C30)),3,4)))),0),IF($C30&gt;0,IF(($E30=INDEX(_xlfn.ANCHORARRAY(Sintesi!$C$14),1,$C30))*(INDEX(_xlfn.ANCHORARRAY(Sintesi!$C$15),1,$C30)&gt;0),0,IF(($E30=INDEX(_xlfn.ANCHORARRAY(Sintesi!$C$14),1,$C30))*(INDEX(_xlfn.ANCHORARRAY(Sintesi!$C$15),1,$C30)&lt;0)+($E30&gt;=LOOKUP(2,1/($E:$E&lt;&gt;""),$E:$E))*($E30&lt;=INDEX($E:$E,MATCH(TRUE,INDEX((ISNUMBER($E:$E)),0),0)))*($E30&gt;INDEX(_xlfn.ANCHORARRAY(Sintesi!$C$14),1,$C30))*($E30&lt;=INDEX(_xlfn.ANCHORARRAY(Sintesi!$C$15),1,$C30))*(INDEX(_xlfn.ANCHORARRAY(Sintesi!$C$15),1,$C30)&gt;0),1,IF(($E30&gt;=LOOKUP(2,1/($E:$E&lt;&gt;""),$E:$E))*($E30&lt;=INDEX($E:$E,MATCH(TRUE,INDEX((ISNUMBER($E:$E)),0),0)))*($E30&gt;INDEX(_xlfn.ANCHORARRAY(Sintesi!$C$14),1,$C30))*($E30&lt;INDEX(_xlfn.ANCHORARRAY(Sintesi!$C$16),1,$C30))*(INDEX(_xlfn.ANCHORARRAY(Sintesi!$C$15),1,$C30)&lt;0)+($E30&gt;=LOOKUP(2,1/($E:$E&lt;&gt;""),$E:$E))*($E30&lt;=INDEX($E:$E,MATCH(TRUE,INDEX((ISNUMBER($E:$E)),0),0)))*($E30&gt;INDEX(_xlfn.ANCHORARRAY(Sintesi!$C$15),1,$C30))*($E30&lt;INDEX(_xlfn.ANCHORARRAY(Sintesi!$C$16),1,$C30))*(INDEX(_xlfn.ANCHORARRAY(Sintesi!$C$15),1,$C30)&gt;0),2,IF($E30=(INDEX(_xlfn.ANCHORARRAY(Sintesi!$C$16),1,$C30)),3,4)))),0)),IF(ISNUMBER($E29),IF($C30&gt;0,IF(($E30=INDEX(_xlfn.ANCHORARRAY(Sintesi!$C$14),1,$C30))*(INDEX(_xlfn.ANCHORARRAY(Sintesi!$C$15),1,$C30)&gt;0),0,IF(($E30=INDEX(_xlfn.ANCHORARRAY(Sintesi!$C$14),1,$C30))*(INDEX(_xlfn.ANCHORARRAY(Sintesi!$C$15),1,$C30)&lt;0)+($E30&gt;=$E29)*($E30&lt;=$E31)*($E30&gt;INDEX(_xlfn.ANCHORARRAY(Sintesi!$C$14),1,$C30))*($E30&lt;=INDEX(_xlfn.ANCHORARRAY(Sintesi!$C$15),1,$C30))*(INDEX(_xlfn.ANCHORARRAY(Sintesi!$C$15),1,$C30)&gt;0),1,IF(($E30&gt;=$E29)*($E30&lt;=$E31)*($E30&gt;INDEX(_xlfn.ANCHORARRAY(Sintesi!$C$14),1,$C30))*($E30&lt;INDEX(_xlfn.ANCHORARRAY(Sintesi!$C$16),1,$C30))*(INDEX(_xlfn.ANCHORARRAY(Sintesi!$C$15),1,$C30)&lt;0)+($E30&gt;=$E29)*($E30&lt;=$E31)*($E30&gt;INDEX(_xlfn.ANCHORARRAY(Sintesi!$C$15),1,$C30))*($E30&lt;INDEX(_xlfn.ANCHORARRAY(Sintesi!$C$16),1,$C30))*(INDEX(_xlfn.ANCHORARRAY(Sintesi!$C$15),1,$C30)&gt;0),2,IF($E30=(INDEX(_xlfn.ANCHORARRAY(Sintesi!$C$16),1,$C30)),3,4)))),0),IF($C30&gt;0,IF(($E30=INDEX(_xlfn.ANCHORARRAY(Sintesi!$C$14),1,$C30))*(INDEX(_xlfn.ANCHORARRAY(Sintesi!$C$15),1,$C30)&gt;0),0,IF(($E30=INDEX(_xlfn.ANCHORARRAY(Sintesi!$C$14),1,$C30))*(INDEX(_xlfn.ANCHORARRAY(Sintesi!$C$15),1,$C30)&lt;0)+($E30&gt;=LOOKUP(2,1/($E:$E&lt;&gt;""),$E:$E))*($E30&lt;=$E31)*($E30&gt;INDEX(_xlfn.ANCHORARRAY(Sintesi!$C$14),1,$C30))*($E30&lt;=INDEX(_xlfn.ANCHORARRAY(Sintesi!$C$15),1,$C30))*(INDEX(_xlfn.ANCHORARRAY(Sintesi!$C$15),1,$C30)&gt;0),1,IF(($E30&gt;=LOOKUP(2,1/($E:$E&lt;&gt;""),$E:$E))*($E30&lt;=$E31)*($E30&gt;INDEX(_xlfn.ANCHORARRAY(Sintesi!$C$14),1,$C30))*($E30&lt;INDEX(_xlfn.ANCHORARRAY(Sintesi!$C$16),1,$C30))*(INDEX(_xlfn.ANCHORARRAY(Sintesi!$C$15),1,$C30)&lt;0)+($E30&gt;=LOOKUP(2,1/($E:$E&lt;&gt;""),$E:$E))*($E30&lt;=$E31)*($E30&gt;INDEX(_xlfn.ANCHORARRAY(Sintesi!$C$15),1,$C30))*($E30&lt;INDEX(_xlfn.ANCHORARRAY(Sintesi!$C$16),1,$C30))*(INDEX(_xlfn.ANCHORARRAY(Sintesi!$C$15),1,$C30)&gt;0),2,IF($E30=(INDEX(_xlfn.ANCHORARRAY(Sintesi!$C$16),1,$C30)),3,4)))),0)))</f>
        <v>0</v>
      </c>
      <c r="E30" s="1">
        <f>'Paste cell here'!F30</f>
        <v>0</v>
      </c>
      <c r="F30" s="1">
        <f>'Paste cell here'!C30</f>
        <v>6.6866638700000003</v>
      </c>
      <c r="G30" s="1">
        <f>'Paste cell here'!D30</f>
        <v>-1.141320463</v>
      </c>
      <c r="H30" s="1">
        <f>'Paste cell here'!E30</f>
        <v>0.51743748099999998</v>
      </c>
      <c r="I30" s="1">
        <f>'Paste cell here'!X30</f>
        <v>0</v>
      </c>
      <c r="J30" s="1">
        <f>'Paste cell here'!Y30+'Paste cell here'!S30</f>
        <v>0</v>
      </c>
      <c r="K30" s="1">
        <f t="shared" si="1"/>
        <v>0</v>
      </c>
      <c r="L30" s="1">
        <f t="shared" si="0"/>
        <v>3.8483930491484086</v>
      </c>
      <c r="M30" s="1" cm="1">
        <f t="array" ref="M30">IF(AND(A30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,A30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),IF(L30&lt;_xlfn.IFNA(INDEX(_xlfn.ANCHORARRAY(Sintesi!$C$17)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,1,IF(L30&gt;=_xlfn.IFNA(INDEX(_xlfn.ANCHORARRAY(Sintesi!$C$18)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,0,1-(L30-_xlfn.IFNA(INDEX(_xlfn.ANCHORARRAY(Sintesi!$C$17)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)/(_xlfn.IFNA(INDEX(_xlfn.ANCHORARRAY(Sintesi!$C$18)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-_xlfn.IFNA(INDEX(_xlfn.ANCHORARRAY(Sintesi!$C$17),1,MATCH(1,(_xlfn.ANCHORARRAY(Sintesi!$C$9)&gt;_xlfn.ANCHORARRAY(Sintesi!$C$10))*(A29&gt;=_xlfn.ANCHORARRAY(Sintesi!$C$9))+(_xlfn.ANCHORARRAY(Sintesi!$C$9)&gt;_xlfn.ANCHORARRAY(Sintesi!$C$10))*(A29&lt;=_xlfn.ANCHORARRAY(Sintesi!$C$10))+(_xlfn.ANCHORARRAY(Sintesi!$C$9)&lt;_xlfn.ANCHORARRAY(Sintesi!$C$10))*(A29&gt;=_xlfn.ANCHORARRAY(Sintesi!$C$9))*(A29&lt;=_xlfn.ANCHORARRAY(Sintesi!$C$10)),0)),0)))),0)</f>
        <v>0</v>
      </c>
    </row>
    <row r="31" spans="1:13">
      <c r="A31" s="1">
        <f>'Paste cell here'!A31</f>
        <v>30</v>
      </c>
      <c r="B31" s="2">
        <f>DATE(Sintesi!$C$4-1,12,31)+A31</f>
        <v>44226</v>
      </c>
      <c r="C31" s="34" cm="1">
        <f t="array" ref="C31">_xlfn.IFNA(MATCH(1,(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)*(_xlfn.ANCHORARRAY(Sintesi!$C$15)&gt;=0)+(_xlfn.ANCHORARRAY(Sintesi!$C$15)&lt;0),0),0)</f>
        <v>0</v>
      </c>
      <c r="D31" s="1" cm="1">
        <f t="array" ref="D31">IF(ISBLANK($E32),IF(ISNUMBER($E30),IF($C31&gt;0,IF(($E31=INDEX(_xlfn.ANCHORARRAY(Sintesi!$C$14),1,$C31))*(INDEX(_xlfn.ANCHORARRAY(Sintesi!$C$15),1,$C31)&gt;0),0,IF(($E31=INDEX(_xlfn.ANCHORARRAY(Sintesi!$C$14),1,$C31))*(INDEX(_xlfn.ANCHORARRAY(Sintesi!$C$15),1,$C31)&lt;0)+($E31&gt;=$E30)*($E31&lt;=INDEX($E:$E,MATCH(TRUE,INDEX((ISNUMBER($E:$E)),0),0)))*($E31&gt;INDEX(_xlfn.ANCHORARRAY(Sintesi!$C$14),1,$C31))*($E31&lt;=INDEX(_xlfn.ANCHORARRAY(Sintesi!$C$15),1,$C31))*(INDEX(_xlfn.ANCHORARRAY(Sintesi!$C$15),1,$C31)&gt;0),1,IF(($E31&gt;=$E30)*($E31&lt;=INDEX($E:$E,MATCH(TRUE,INDEX((ISNUMBER($E:$E)),0),0)))*($E31&gt;INDEX(_xlfn.ANCHORARRAY(Sintesi!$C$14),1,$C31))*($E31&lt;INDEX(_xlfn.ANCHORARRAY(Sintesi!$C$16),1,$C31))*(INDEX(_xlfn.ANCHORARRAY(Sintesi!$C$15),1,$C31)&lt;0)+($E31&gt;=$E30)*($E31&lt;=INDEX($E:$E,MATCH(TRUE,INDEX((ISNUMBER($E:$E)),0),0)))*($E31&gt;INDEX(_xlfn.ANCHORARRAY(Sintesi!$C$15),1,$C31))*($E31&lt;INDEX(_xlfn.ANCHORARRAY(Sintesi!$C$16),1,$C31))*(INDEX(_xlfn.ANCHORARRAY(Sintesi!$C$15),1,$C31)&gt;0),2,IF($E31=(INDEX(_xlfn.ANCHORARRAY(Sintesi!$C$16),1,$C31)),3,4)))),0),IF($C31&gt;0,IF(($E31=INDEX(_xlfn.ANCHORARRAY(Sintesi!$C$14),1,$C31))*(INDEX(_xlfn.ANCHORARRAY(Sintesi!$C$15),1,$C31)&gt;0),0,IF(($E31=INDEX(_xlfn.ANCHORARRAY(Sintesi!$C$14),1,$C31))*(INDEX(_xlfn.ANCHORARRAY(Sintesi!$C$15),1,$C31)&lt;0)+($E31&gt;=LOOKUP(2,1/($E:$E&lt;&gt;""),$E:$E))*($E31&lt;=INDEX($E:$E,MATCH(TRUE,INDEX((ISNUMBER($E:$E)),0),0)))*($E31&gt;INDEX(_xlfn.ANCHORARRAY(Sintesi!$C$14),1,$C31))*($E31&lt;=INDEX(_xlfn.ANCHORARRAY(Sintesi!$C$15),1,$C31))*(INDEX(_xlfn.ANCHORARRAY(Sintesi!$C$15),1,$C31)&gt;0),1,IF(($E31&gt;=LOOKUP(2,1/($E:$E&lt;&gt;""),$E:$E))*($E31&lt;=INDEX($E:$E,MATCH(TRUE,INDEX((ISNUMBER($E:$E)),0),0)))*($E31&gt;INDEX(_xlfn.ANCHORARRAY(Sintesi!$C$14),1,$C31))*($E31&lt;INDEX(_xlfn.ANCHORARRAY(Sintesi!$C$16),1,$C31))*(INDEX(_xlfn.ANCHORARRAY(Sintesi!$C$15),1,$C31)&lt;0)+($E31&gt;=LOOKUP(2,1/($E:$E&lt;&gt;""),$E:$E))*($E31&lt;=INDEX($E:$E,MATCH(TRUE,INDEX((ISNUMBER($E:$E)),0),0)))*($E31&gt;INDEX(_xlfn.ANCHORARRAY(Sintesi!$C$15),1,$C31))*($E31&lt;INDEX(_xlfn.ANCHORARRAY(Sintesi!$C$16),1,$C31))*(INDEX(_xlfn.ANCHORARRAY(Sintesi!$C$15),1,$C31)&gt;0),2,IF($E31=(INDEX(_xlfn.ANCHORARRAY(Sintesi!$C$16),1,$C31)),3,4)))),0)),IF(ISNUMBER($E30),IF($C31&gt;0,IF(($E31=INDEX(_xlfn.ANCHORARRAY(Sintesi!$C$14),1,$C31))*(INDEX(_xlfn.ANCHORARRAY(Sintesi!$C$15),1,$C31)&gt;0),0,IF(($E31=INDEX(_xlfn.ANCHORARRAY(Sintesi!$C$14),1,$C31))*(INDEX(_xlfn.ANCHORARRAY(Sintesi!$C$15),1,$C31)&lt;0)+($E31&gt;=$E30)*($E31&lt;=$E32)*($E31&gt;INDEX(_xlfn.ANCHORARRAY(Sintesi!$C$14),1,$C31))*($E31&lt;=INDEX(_xlfn.ANCHORARRAY(Sintesi!$C$15),1,$C31))*(INDEX(_xlfn.ANCHORARRAY(Sintesi!$C$15),1,$C31)&gt;0),1,IF(($E31&gt;=$E30)*($E31&lt;=$E32)*($E31&gt;INDEX(_xlfn.ANCHORARRAY(Sintesi!$C$14),1,$C31))*($E31&lt;INDEX(_xlfn.ANCHORARRAY(Sintesi!$C$16),1,$C31))*(INDEX(_xlfn.ANCHORARRAY(Sintesi!$C$15),1,$C31)&lt;0)+($E31&gt;=$E30)*($E31&lt;=$E32)*($E31&gt;INDEX(_xlfn.ANCHORARRAY(Sintesi!$C$15),1,$C31))*($E31&lt;INDEX(_xlfn.ANCHORARRAY(Sintesi!$C$16),1,$C31))*(INDEX(_xlfn.ANCHORARRAY(Sintesi!$C$15),1,$C31)&gt;0),2,IF($E31=(INDEX(_xlfn.ANCHORARRAY(Sintesi!$C$16),1,$C31)),3,4)))),0),IF($C31&gt;0,IF(($E31=INDEX(_xlfn.ANCHORARRAY(Sintesi!$C$14),1,$C31))*(INDEX(_xlfn.ANCHORARRAY(Sintesi!$C$15),1,$C31)&gt;0),0,IF(($E31=INDEX(_xlfn.ANCHORARRAY(Sintesi!$C$14),1,$C31))*(INDEX(_xlfn.ANCHORARRAY(Sintesi!$C$15),1,$C31)&lt;0)+($E31&gt;=LOOKUP(2,1/($E:$E&lt;&gt;""),$E:$E))*($E31&lt;=$E32)*($E31&gt;INDEX(_xlfn.ANCHORARRAY(Sintesi!$C$14),1,$C31))*($E31&lt;=INDEX(_xlfn.ANCHORARRAY(Sintesi!$C$15),1,$C31))*(INDEX(_xlfn.ANCHORARRAY(Sintesi!$C$15),1,$C31)&gt;0),1,IF(($E31&gt;=LOOKUP(2,1/($E:$E&lt;&gt;""),$E:$E))*($E31&lt;=$E32)*($E31&gt;INDEX(_xlfn.ANCHORARRAY(Sintesi!$C$14),1,$C31))*($E31&lt;INDEX(_xlfn.ANCHORARRAY(Sintesi!$C$16),1,$C31))*(INDEX(_xlfn.ANCHORARRAY(Sintesi!$C$15),1,$C31)&lt;0)+($E31&gt;=LOOKUP(2,1/($E:$E&lt;&gt;""),$E:$E))*($E31&lt;=$E32)*($E31&gt;INDEX(_xlfn.ANCHORARRAY(Sintesi!$C$15),1,$C31))*($E31&lt;INDEX(_xlfn.ANCHORARRAY(Sintesi!$C$16),1,$C31))*(INDEX(_xlfn.ANCHORARRAY(Sintesi!$C$15),1,$C31)&gt;0),2,IF($E31=(INDEX(_xlfn.ANCHORARRAY(Sintesi!$C$16),1,$C31)),3,4)))),0)))</f>
        <v>0</v>
      </c>
      <c r="E31" s="1">
        <f>'Paste cell here'!F31</f>
        <v>0</v>
      </c>
      <c r="F31" s="1">
        <f>'Paste cell here'!C31</f>
        <v>10.13005884</v>
      </c>
      <c r="G31" s="1">
        <f>'Paste cell here'!D31</f>
        <v>2.1720156670000001</v>
      </c>
      <c r="H31" s="1">
        <f>'Paste cell here'!E31</f>
        <v>0.736460173</v>
      </c>
      <c r="I31" s="1">
        <f>'Paste cell here'!X31</f>
        <v>0</v>
      </c>
      <c r="J31" s="1">
        <f>'Paste cell here'!Y31+'Paste cell here'!S31</f>
        <v>0</v>
      </c>
      <c r="K31" s="1">
        <f t="shared" si="1"/>
        <v>0</v>
      </c>
      <c r="L31" s="1">
        <f t="shared" si="0"/>
        <v>7.244631280598278</v>
      </c>
      <c r="M31" s="1" cm="1">
        <f t="array" ref="M31">IF(AND(A31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,A31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),IF(L31&lt;_xlfn.IFNA(INDEX(_xlfn.ANCHORARRAY(Sintesi!$C$17)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,1,IF(L31&gt;=_xlfn.IFNA(INDEX(_xlfn.ANCHORARRAY(Sintesi!$C$18)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,0,1-(L31-_xlfn.IFNA(INDEX(_xlfn.ANCHORARRAY(Sintesi!$C$17)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)/(_xlfn.IFNA(INDEX(_xlfn.ANCHORARRAY(Sintesi!$C$18)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-_xlfn.IFNA(INDEX(_xlfn.ANCHORARRAY(Sintesi!$C$17),1,MATCH(1,(_xlfn.ANCHORARRAY(Sintesi!$C$9)&gt;_xlfn.ANCHORARRAY(Sintesi!$C$10))*(A30&gt;=_xlfn.ANCHORARRAY(Sintesi!$C$9))+(_xlfn.ANCHORARRAY(Sintesi!$C$9)&gt;_xlfn.ANCHORARRAY(Sintesi!$C$10))*(A30&lt;=_xlfn.ANCHORARRAY(Sintesi!$C$10))+(_xlfn.ANCHORARRAY(Sintesi!$C$9)&lt;_xlfn.ANCHORARRAY(Sintesi!$C$10))*(A30&gt;=_xlfn.ANCHORARRAY(Sintesi!$C$9))*(A30&lt;=_xlfn.ANCHORARRAY(Sintesi!$C$10)),0)),0)))),0)</f>
        <v>0</v>
      </c>
    </row>
    <row r="32" spans="1:13">
      <c r="A32" s="1">
        <f>'Paste cell here'!A32</f>
        <v>31</v>
      </c>
      <c r="B32" s="2">
        <f>DATE(Sintesi!$C$4-1,12,31)+A32</f>
        <v>44227</v>
      </c>
      <c r="C32" s="34" cm="1">
        <f t="array" ref="C32">_xlfn.IFNA(MATCH(1,(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)*(_xlfn.ANCHORARRAY(Sintesi!$C$15)&gt;=0)+(_xlfn.ANCHORARRAY(Sintesi!$C$15)&lt;0),0),0)</f>
        <v>0</v>
      </c>
      <c r="D32" s="1" cm="1">
        <f t="array" ref="D32">IF(ISBLANK($E33),IF(ISNUMBER($E31),IF($C32&gt;0,IF(($E32=INDEX(_xlfn.ANCHORARRAY(Sintesi!$C$14),1,$C32))*(INDEX(_xlfn.ANCHORARRAY(Sintesi!$C$15),1,$C32)&gt;0),0,IF(($E32=INDEX(_xlfn.ANCHORARRAY(Sintesi!$C$14),1,$C32))*(INDEX(_xlfn.ANCHORARRAY(Sintesi!$C$15),1,$C32)&lt;0)+($E32&gt;=$E31)*($E32&lt;=INDEX($E:$E,MATCH(TRUE,INDEX((ISNUMBER($E:$E)),0),0)))*($E32&gt;INDEX(_xlfn.ANCHORARRAY(Sintesi!$C$14),1,$C32))*($E32&lt;=INDEX(_xlfn.ANCHORARRAY(Sintesi!$C$15),1,$C32))*(INDEX(_xlfn.ANCHORARRAY(Sintesi!$C$15),1,$C32)&gt;0),1,IF(($E32&gt;=$E31)*($E32&lt;=INDEX($E:$E,MATCH(TRUE,INDEX((ISNUMBER($E:$E)),0),0)))*($E32&gt;INDEX(_xlfn.ANCHORARRAY(Sintesi!$C$14),1,$C32))*($E32&lt;INDEX(_xlfn.ANCHORARRAY(Sintesi!$C$16),1,$C32))*(INDEX(_xlfn.ANCHORARRAY(Sintesi!$C$15),1,$C32)&lt;0)+($E32&gt;=$E31)*($E32&lt;=INDEX($E:$E,MATCH(TRUE,INDEX((ISNUMBER($E:$E)),0),0)))*($E32&gt;INDEX(_xlfn.ANCHORARRAY(Sintesi!$C$15),1,$C32))*($E32&lt;INDEX(_xlfn.ANCHORARRAY(Sintesi!$C$16),1,$C32))*(INDEX(_xlfn.ANCHORARRAY(Sintesi!$C$15),1,$C32)&gt;0),2,IF($E32=(INDEX(_xlfn.ANCHORARRAY(Sintesi!$C$16),1,$C32)),3,4)))),0),IF($C32&gt;0,IF(($E32=INDEX(_xlfn.ANCHORARRAY(Sintesi!$C$14),1,$C32))*(INDEX(_xlfn.ANCHORARRAY(Sintesi!$C$15),1,$C32)&gt;0),0,IF(($E32=INDEX(_xlfn.ANCHORARRAY(Sintesi!$C$14),1,$C32))*(INDEX(_xlfn.ANCHORARRAY(Sintesi!$C$15),1,$C32)&lt;0)+($E32&gt;=LOOKUP(2,1/($E:$E&lt;&gt;""),$E:$E))*($E32&lt;=INDEX($E:$E,MATCH(TRUE,INDEX((ISNUMBER($E:$E)),0),0)))*($E32&gt;INDEX(_xlfn.ANCHORARRAY(Sintesi!$C$14),1,$C32))*($E32&lt;=INDEX(_xlfn.ANCHORARRAY(Sintesi!$C$15),1,$C32))*(INDEX(_xlfn.ANCHORARRAY(Sintesi!$C$15),1,$C32)&gt;0),1,IF(($E32&gt;=LOOKUP(2,1/($E:$E&lt;&gt;""),$E:$E))*($E32&lt;=INDEX($E:$E,MATCH(TRUE,INDEX((ISNUMBER($E:$E)),0),0)))*($E32&gt;INDEX(_xlfn.ANCHORARRAY(Sintesi!$C$14),1,$C32))*($E32&lt;INDEX(_xlfn.ANCHORARRAY(Sintesi!$C$16),1,$C32))*(INDEX(_xlfn.ANCHORARRAY(Sintesi!$C$15),1,$C32)&lt;0)+($E32&gt;=LOOKUP(2,1/($E:$E&lt;&gt;""),$E:$E))*($E32&lt;=INDEX($E:$E,MATCH(TRUE,INDEX((ISNUMBER($E:$E)),0),0)))*($E32&gt;INDEX(_xlfn.ANCHORARRAY(Sintesi!$C$15),1,$C32))*($E32&lt;INDEX(_xlfn.ANCHORARRAY(Sintesi!$C$16),1,$C32))*(INDEX(_xlfn.ANCHORARRAY(Sintesi!$C$15),1,$C32)&gt;0),2,IF($E32=(INDEX(_xlfn.ANCHORARRAY(Sintesi!$C$16),1,$C32)),3,4)))),0)),IF(ISNUMBER($E31),IF($C32&gt;0,IF(($E32=INDEX(_xlfn.ANCHORARRAY(Sintesi!$C$14),1,$C32))*(INDEX(_xlfn.ANCHORARRAY(Sintesi!$C$15),1,$C32)&gt;0),0,IF(($E32=INDEX(_xlfn.ANCHORARRAY(Sintesi!$C$14),1,$C32))*(INDEX(_xlfn.ANCHORARRAY(Sintesi!$C$15),1,$C32)&lt;0)+($E32&gt;=$E31)*($E32&lt;=$E33)*($E32&gt;INDEX(_xlfn.ANCHORARRAY(Sintesi!$C$14),1,$C32))*($E32&lt;=INDEX(_xlfn.ANCHORARRAY(Sintesi!$C$15),1,$C32))*(INDEX(_xlfn.ANCHORARRAY(Sintesi!$C$15),1,$C32)&gt;0),1,IF(($E32&gt;=$E31)*($E32&lt;=$E33)*($E32&gt;INDEX(_xlfn.ANCHORARRAY(Sintesi!$C$14),1,$C32))*($E32&lt;INDEX(_xlfn.ANCHORARRAY(Sintesi!$C$16),1,$C32))*(INDEX(_xlfn.ANCHORARRAY(Sintesi!$C$15),1,$C32)&lt;0)+($E32&gt;=$E31)*($E32&lt;=$E33)*($E32&gt;INDEX(_xlfn.ANCHORARRAY(Sintesi!$C$15),1,$C32))*($E32&lt;INDEX(_xlfn.ANCHORARRAY(Sintesi!$C$16),1,$C32))*(INDEX(_xlfn.ANCHORARRAY(Sintesi!$C$15),1,$C32)&gt;0),2,IF($E32=(INDEX(_xlfn.ANCHORARRAY(Sintesi!$C$16),1,$C32)),3,4)))),0),IF($C32&gt;0,IF(($E32=INDEX(_xlfn.ANCHORARRAY(Sintesi!$C$14),1,$C32))*(INDEX(_xlfn.ANCHORARRAY(Sintesi!$C$15),1,$C32)&gt;0),0,IF(($E32=INDEX(_xlfn.ANCHORARRAY(Sintesi!$C$14),1,$C32))*(INDEX(_xlfn.ANCHORARRAY(Sintesi!$C$15),1,$C32)&lt;0)+($E32&gt;=LOOKUP(2,1/($E:$E&lt;&gt;""),$E:$E))*($E32&lt;=$E33)*($E32&gt;INDEX(_xlfn.ANCHORARRAY(Sintesi!$C$14),1,$C32))*($E32&lt;=INDEX(_xlfn.ANCHORARRAY(Sintesi!$C$15),1,$C32))*(INDEX(_xlfn.ANCHORARRAY(Sintesi!$C$15),1,$C32)&gt;0),1,IF(($E32&gt;=LOOKUP(2,1/($E:$E&lt;&gt;""),$E:$E))*($E32&lt;=$E33)*($E32&gt;INDEX(_xlfn.ANCHORARRAY(Sintesi!$C$14),1,$C32))*($E32&lt;INDEX(_xlfn.ANCHORARRAY(Sintesi!$C$16),1,$C32))*(INDEX(_xlfn.ANCHORARRAY(Sintesi!$C$15),1,$C32)&lt;0)+($E32&gt;=LOOKUP(2,1/($E:$E&lt;&gt;""),$E:$E))*($E32&lt;=$E33)*($E32&gt;INDEX(_xlfn.ANCHORARRAY(Sintesi!$C$15),1,$C32))*($E32&lt;INDEX(_xlfn.ANCHORARRAY(Sintesi!$C$16),1,$C32))*(INDEX(_xlfn.ANCHORARRAY(Sintesi!$C$15),1,$C32)&gt;0),2,IF($E32=(INDEX(_xlfn.ANCHORARRAY(Sintesi!$C$16),1,$C32)),3,4)))),0)))</f>
        <v>0</v>
      </c>
      <c r="E32" s="1">
        <f>'Paste cell here'!F32</f>
        <v>0</v>
      </c>
      <c r="F32" s="1">
        <f>'Paste cell here'!C32</f>
        <v>12.9460747</v>
      </c>
      <c r="G32" s="1">
        <f>'Paste cell here'!D32</f>
        <v>3.168851101</v>
      </c>
      <c r="H32" s="1">
        <f>'Paste cell here'!E32</f>
        <v>0.70321959999999994</v>
      </c>
      <c r="I32" s="1">
        <f>'Paste cell here'!X32</f>
        <v>0</v>
      </c>
      <c r="J32" s="1">
        <f>'Paste cell here'!Y32+'Paste cell here'!S32</f>
        <v>0</v>
      </c>
      <c r="K32" s="1">
        <f t="shared" si="1"/>
        <v>0</v>
      </c>
      <c r="L32" s="1">
        <f t="shared" si="0"/>
        <v>9.4010486409930305</v>
      </c>
      <c r="M32" s="1" cm="1">
        <f t="array" ref="M32">IF(AND(A32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,A32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),IF(L32&lt;_xlfn.IFNA(INDEX(_xlfn.ANCHORARRAY(Sintesi!$C$17)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,1,IF(L32&gt;=_xlfn.IFNA(INDEX(_xlfn.ANCHORARRAY(Sintesi!$C$18)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,0,1-(L32-_xlfn.IFNA(INDEX(_xlfn.ANCHORARRAY(Sintesi!$C$17)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)/(_xlfn.IFNA(INDEX(_xlfn.ANCHORARRAY(Sintesi!$C$18)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-_xlfn.IFNA(INDEX(_xlfn.ANCHORARRAY(Sintesi!$C$17),1,MATCH(1,(_xlfn.ANCHORARRAY(Sintesi!$C$9)&gt;_xlfn.ANCHORARRAY(Sintesi!$C$10))*(A31&gt;=_xlfn.ANCHORARRAY(Sintesi!$C$9))+(_xlfn.ANCHORARRAY(Sintesi!$C$9)&gt;_xlfn.ANCHORARRAY(Sintesi!$C$10))*(A31&lt;=_xlfn.ANCHORARRAY(Sintesi!$C$10))+(_xlfn.ANCHORARRAY(Sintesi!$C$9)&lt;_xlfn.ANCHORARRAY(Sintesi!$C$10))*(A31&gt;=_xlfn.ANCHORARRAY(Sintesi!$C$9))*(A31&lt;=_xlfn.ANCHORARRAY(Sintesi!$C$10)),0)),0)))),0)</f>
        <v>0</v>
      </c>
    </row>
    <row r="33" spans="1:13">
      <c r="A33" s="1">
        <f>'Paste cell here'!A33</f>
        <v>32</v>
      </c>
      <c r="B33" s="2">
        <f>DATE(Sintesi!$C$4-1,12,31)+A33</f>
        <v>44228</v>
      </c>
      <c r="C33" s="34" cm="1">
        <f t="array" ref="C33">_xlfn.IFNA(MATCH(1,(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)*(_xlfn.ANCHORARRAY(Sintesi!$C$15)&gt;=0)+(_xlfn.ANCHORARRAY(Sintesi!$C$15)&lt;0),0),0)</f>
        <v>0</v>
      </c>
      <c r="D33" s="1" cm="1">
        <f t="array" ref="D33">IF(ISBLANK($E34),IF(ISNUMBER($E32),IF($C33&gt;0,IF(($E33=INDEX(_xlfn.ANCHORARRAY(Sintesi!$C$14),1,$C33))*(INDEX(_xlfn.ANCHORARRAY(Sintesi!$C$15),1,$C33)&gt;0),0,IF(($E33=INDEX(_xlfn.ANCHORARRAY(Sintesi!$C$14),1,$C33))*(INDEX(_xlfn.ANCHORARRAY(Sintesi!$C$15),1,$C33)&lt;0)+($E33&gt;=$E32)*($E33&lt;=INDEX($E:$E,MATCH(TRUE,INDEX((ISNUMBER($E:$E)),0),0)))*($E33&gt;INDEX(_xlfn.ANCHORARRAY(Sintesi!$C$14),1,$C33))*($E33&lt;=INDEX(_xlfn.ANCHORARRAY(Sintesi!$C$15),1,$C33))*(INDEX(_xlfn.ANCHORARRAY(Sintesi!$C$15),1,$C33)&gt;0),1,IF(($E33&gt;=$E32)*($E33&lt;=INDEX($E:$E,MATCH(TRUE,INDEX((ISNUMBER($E:$E)),0),0)))*($E33&gt;INDEX(_xlfn.ANCHORARRAY(Sintesi!$C$14),1,$C33))*($E33&lt;INDEX(_xlfn.ANCHORARRAY(Sintesi!$C$16),1,$C33))*(INDEX(_xlfn.ANCHORARRAY(Sintesi!$C$15),1,$C33)&lt;0)+($E33&gt;=$E32)*($E33&lt;=INDEX($E:$E,MATCH(TRUE,INDEX((ISNUMBER($E:$E)),0),0)))*($E33&gt;INDEX(_xlfn.ANCHORARRAY(Sintesi!$C$15),1,$C33))*($E33&lt;INDEX(_xlfn.ANCHORARRAY(Sintesi!$C$16),1,$C33))*(INDEX(_xlfn.ANCHORARRAY(Sintesi!$C$15),1,$C33)&gt;0),2,IF($E33=(INDEX(_xlfn.ANCHORARRAY(Sintesi!$C$16),1,$C33)),3,4)))),0),IF($C33&gt;0,IF(($E33=INDEX(_xlfn.ANCHORARRAY(Sintesi!$C$14),1,$C33))*(INDEX(_xlfn.ANCHORARRAY(Sintesi!$C$15),1,$C33)&gt;0),0,IF(($E33=INDEX(_xlfn.ANCHORARRAY(Sintesi!$C$14),1,$C33))*(INDEX(_xlfn.ANCHORARRAY(Sintesi!$C$15),1,$C33)&lt;0)+($E33&gt;=LOOKUP(2,1/($E:$E&lt;&gt;""),$E:$E))*($E33&lt;=INDEX($E:$E,MATCH(TRUE,INDEX((ISNUMBER($E:$E)),0),0)))*($E33&gt;INDEX(_xlfn.ANCHORARRAY(Sintesi!$C$14),1,$C33))*($E33&lt;=INDEX(_xlfn.ANCHORARRAY(Sintesi!$C$15),1,$C33))*(INDEX(_xlfn.ANCHORARRAY(Sintesi!$C$15),1,$C33)&gt;0),1,IF(($E33&gt;=LOOKUP(2,1/($E:$E&lt;&gt;""),$E:$E))*($E33&lt;=INDEX($E:$E,MATCH(TRUE,INDEX((ISNUMBER($E:$E)),0),0)))*($E33&gt;INDEX(_xlfn.ANCHORARRAY(Sintesi!$C$14),1,$C33))*($E33&lt;INDEX(_xlfn.ANCHORARRAY(Sintesi!$C$16),1,$C33))*(INDEX(_xlfn.ANCHORARRAY(Sintesi!$C$15),1,$C33)&lt;0)+($E33&gt;=LOOKUP(2,1/($E:$E&lt;&gt;""),$E:$E))*($E33&lt;=INDEX($E:$E,MATCH(TRUE,INDEX((ISNUMBER($E:$E)),0),0)))*($E33&gt;INDEX(_xlfn.ANCHORARRAY(Sintesi!$C$15),1,$C33))*($E33&lt;INDEX(_xlfn.ANCHORARRAY(Sintesi!$C$16),1,$C33))*(INDEX(_xlfn.ANCHORARRAY(Sintesi!$C$15),1,$C33)&gt;0),2,IF($E33=(INDEX(_xlfn.ANCHORARRAY(Sintesi!$C$16),1,$C33)),3,4)))),0)),IF(ISNUMBER($E32),IF($C33&gt;0,IF(($E33=INDEX(_xlfn.ANCHORARRAY(Sintesi!$C$14),1,$C33))*(INDEX(_xlfn.ANCHORARRAY(Sintesi!$C$15),1,$C33)&gt;0),0,IF(($E33=INDEX(_xlfn.ANCHORARRAY(Sintesi!$C$14),1,$C33))*(INDEX(_xlfn.ANCHORARRAY(Sintesi!$C$15),1,$C33)&lt;0)+($E33&gt;=$E32)*($E33&lt;=$E34)*($E33&gt;INDEX(_xlfn.ANCHORARRAY(Sintesi!$C$14),1,$C33))*($E33&lt;=INDEX(_xlfn.ANCHORARRAY(Sintesi!$C$15),1,$C33))*(INDEX(_xlfn.ANCHORARRAY(Sintesi!$C$15),1,$C33)&gt;0),1,IF(($E33&gt;=$E32)*($E33&lt;=$E34)*($E33&gt;INDEX(_xlfn.ANCHORARRAY(Sintesi!$C$14),1,$C33))*($E33&lt;INDEX(_xlfn.ANCHORARRAY(Sintesi!$C$16),1,$C33))*(INDEX(_xlfn.ANCHORARRAY(Sintesi!$C$15),1,$C33)&lt;0)+($E33&gt;=$E32)*($E33&lt;=$E34)*($E33&gt;INDEX(_xlfn.ANCHORARRAY(Sintesi!$C$15),1,$C33))*($E33&lt;INDEX(_xlfn.ANCHORARRAY(Sintesi!$C$16),1,$C33))*(INDEX(_xlfn.ANCHORARRAY(Sintesi!$C$15),1,$C33)&gt;0),2,IF($E33=(INDEX(_xlfn.ANCHORARRAY(Sintesi!$C$16),1,$C33)),3,4)))),0),IF($C33&gt;0,IF(($E33=INDEX(_xlfn.ANCHORARRAY(Sintesi!$C$14),1,$C33))*(INDEX(_xlfn.ANCHORARRAY(Sintesi!$C$15),1,$C33)&gt;0),0,IF(($E33=INDEX(_xlfn.ANCHORARRAY(Sintesi!$C$14),1,$C33))*(INDEX(_xlfn.ANCHORARRAY(Sintesi!$C$15),1,$C33)&lt;0)+($E33&gt;=LOOKUP(2,1/($E:$E&lt;&gt;""),$E:$E))*($E33&lt;=$E34)*($E33&gt;INDEX(_xlfn.ANCHORARRAY(Sintesi!$C$14),1,$C33))*($E33&lt;=INDEX(_xlfn.ANCHORARRAY(Sintesi!$C$15),1,$C33))*(INDEX(_xlfn.ANCHORARRAY(Sintesi!$C$15),1,$C33)&gt;0),1,IF(($E33&gt;=LOOKUP(2,1/($E:$E&lt;&gt;""),$E:$E))*($E33&lt;=$E34)*($E33&gt;INDEX(_xlfn.ANCHORARRAY(Sintesi!$C$14),1,$C33))*($E33&lt;INDEX(_xlfn.ANCHORARRAY(Sintesi!$C$16),1,$C33))*(INDEX(_xlfn.ANCHORARRAY(Sintesi!$C$15),1,$C33)&lt;0)+($E33&gt;=LOOKUP(2,1/($E:$E&lt;&gt;""),$E:$E))*($E33&lt;=$E34)*($E33&gt;INDEX(_xlfn.ANCHORARRAY(Sintesi!$C$15),1,$C33))*($E33&lt;INDEX(_xlfn.ANCHORARRAY(Sintesi!$C$16),1,$C33))*(INDEX(_xlfn.ANCHORARRAY(Sintesi!$C$15),1,$C33)&gt;0),2,IF($E33=(INDEX(_xlfn.ANCHORARRAY(Sintesi!$C$16),1,$C33)),3,4)))),0)))</f>
        <v>0</v>
      </c>
      <c r="E33" s="1">
        <f>'Paste cell here'!F33</f>
        <v>0</v>
      </c>
      <c r="F33" s="1">
        <f>'Paste cell here'!C33</f>
        <v>9</v>
      </c>
      <c r="G33" s="1">
        <f>'Paste cell here'!D33</f>
        <v>1.997320274</v>
      </c>
      <c r="H33" s="1">
        <f>'Paste cell here'!E33</f>
        <v>0.57992602400000004</v>
      </c>
      <c r="I33" s="1">
        <f>'Paste cell here'!X33</f>
        <v>0</v>
      </c>
      <c r="J33" s="1">
        <f>'Paste cell here'!Y33+'Paste cell here'!S33</f>
        <v>0</v>
      </c>
      <c r="K33" s="1">
        <f t="shared" si="1"/>
        <v>0</v>
      </c>
      <c r="L33" s="1">
        <f t="shared" si="0"/>
        <v>6.4609681511130805</v>
      </c>
      <c r="M33" s="1" cm="1">
        <f t="array" ref="M33">IF(AND(A33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,A33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),IF(L33&lt;_xlfn.IFNA(INDEX(_xlfn.ANCHORARRAY(Sintesi!$C$17)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,1,IF(L33&gt;=_xlfn.IFNA(INDEX(_xlfn.ANCHORARRAY(Sintesi!$C$18)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,0,1-(L33-_xlfn.IFNA(INDEX(_xlfn.ANCHORARRAY(Sintesi!$C$17)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)/(_xlfn.IFNA(INDEX(_xlfn.ANCHORARRAY(Sintesi!$C$18)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-_xlfn.IFNA(INDEX(_xlfn.ANCHORARRAY(Sintesi!$C$17),1,MATCH(1,(_xlfn.ANCHORARRAY(Sintesi!$C$9)&gt;_xlfn.ANCHORARRAY(Sintesi!$C$10))*(A32&gt;=_xlfn.ANCHORARRAY(Sintesi!$C$9))+(_xlfn.ANCHORARRAY(Sintesi!$C$9)&gt;_xlfn.ANCHORARRAY(Sintesi!$C$10))*(A32&lt;=_xlfn.ANCHORARRAY(Sintesi!$C$10))+(_xlfn.ANCHORARRAY(Sintesi!$C$9)&lt;_xlfn.ANCHORARRAY(Sintesi!$C$10))*(A32&gt;=_xlfn.ANCHORARRAY(Sintesi!$C$9))*(A32&lt;=_xlfn.ANCHORARRAY(Sintesi!$C$10)),0)),0)))),0)</f>
        <v>0</v>
      </c>
    </row>
    <row r="34" spans="1:13">
      <c r="A34" s="1">
        <f>'Paste cell here'!A34</f>
        <v>33</v>
      </c>
      <c r="B34" s="2">
        <f>DATE(Sintesi!$C$4-1,12,31)+A34</f>
        <v>44229</v>
      </c>
      <c r="C34" s="34" cm="1">
        <f t="array" ref="C34">_xlfn.IFNA(MATCH(1,(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)*(_xlfn.ANCHORARRAY(Sintesi!$C$15)&gt;=0)+(_xlfn.ANCHORARRAY(Sintesi!$C$15)&lt;0),0),0)</f>
        <v>0</v>
      </c>
      <c r="D34" s="1" cm="1">
        <f t="array" ref="D34">IF(ISBLANK($E35),IF(ISNUMBER($E33),IF($C34&gt;0,IF(($E34=INDEX(_xlfn.ANCHORARRAY(Sintesi!$C$14),1,$C34))*(INDEX(_xlfn.ANCHORARRAY(Sintesi!$C$15),1,$C34)&gt;0),0,IF(($E34=INDEX(_xlfn.ANCHORARRAY(Sintesi!$C$14),1,$C34))*(INDEX(_xlfn.ANCHORARRAY(Sintesi!$C$15),1,$C34)&lt;0)+($E34&gt;=$E33)*($E34&lt;=INDEX($E:$E,MATCH(TRUE,INDEX((ISNUMBER($E:$E)),0),0)))*($E34&gt;INDEX(_xlfn.ANCHORARRAY(Sintesi!$C$14),1,$C34))*($E34&lt;=INDEX(_xlfn.ANCHORARRAY(Sintesi!$C$15),1,$C34))*(INDEX(_xlfn.ANCHORARRAY(Sintesi!$C$15),1,$C34)&gt;0),1,IF(($E34&gt;=$E33)*($E34&lt;=INDEX($E:$E,MATCH(TRUE,INDEX((ISNUMBER($E:$E)),0),0)))*($E34&gt;INDEX(_xlfn.ANCHORARRAY(Sintesi!$C$14),1,$C34))*($E34&lt;INDEX(_xlfn.ANCHORARRAY(Sintesi!$C$16),1,$C34))*(INDEX(_xlfn.ANCHORARRAY(Sintesi!$C$15),1,$C34)&lt;0)+($E34&gt;=$E33)*($E34&lt;=INDEX($E:$E,MATCH(TRUE,INDEX((ISNUMBER($E:$E)),0),0)))*($E34&gt;INDEX(_xlfn.ANCHORARRAY(Sintesi!$C$15),1,$C34))*($E34&lt;INDEX(_xlfn.ANCHORARRAY(Sintesi!$C$16),1,$C34))*(INDEX(_xlfn.ANCHORARRAY(Sintesi!$C$15),1,$C34)&gt;0),2,IF($E34=(INDEX(_xlfn.ANCHORARRAY(Sintesi!$C$16),1,$C34)),3,4)))),0),IF($C34&gt;0,IF(($E34=INDEX(_xlfn.ANCHORARRAY(Sintesi!$C$14),1,$C34))*(INDEX(_xlfn.ANCHORARRAY(Sintesi!$C$15),1,$C34)&gt;0),0,IF(($E34=INDEX(_xlfn.ANCHORARRAY(Sintesi!$C$14),1,$C34))*(INDEX(_xlfn.ANCHORARRAY(Sintesi!$C$15),1,$C34)&lt;0)+($E34&gt;=LOOKUP(2,1/($E:$E&lt;&gt;""),$E:$E))*($E34&lt;=INDEX($E:$E,MATCH(TRUE,INDEX((ISNUMBER($E:$E)),0),0)))*($E34&gt;INDEX(_xlfn.ANCHORARRAY(Sintesi!$C$14),1,$C34))*($E34&lt;=INDEX(_xlfn.ANCHORARRAY(Sintesi!$C$15),1,$C34))*(INDEX(_xlfn.ANCHORARRAY(Sintesi!$C$15),1,$C34)&gt;0),1,IF(($E34&gt;=LOOKUP(2,1/($E:$E&lt;&gt;""),$E:$E))*($E34&lt;=INDEX($E:$E,MATCH(TRUE,INDEX((ISNUMBER($E:$E)),0),0)))*($E34&gt;INDEX(_xlfn.ANCHORARRAY(Sintesi!$C$14),1,$C34))*($E34&lt;INDEX(_xlfn.ANCHORARRAY(Sintesi!$C$16),1,$C34))*(INDEX(_xlfn.ANCHORARRAY(Sintesi!$C$15),1,$C34)&lt;0)+($E34&gt;=LOOKUP(2,1/($E:$E&lt;&gt;""),$E:$E))*($E34&lt;=INDEX($E:$E,MATCH(TRUE,INDEX((ISNUMBER($E:$E)),0),0)))*($E34&gt;INDEX(_xlfn.ANCHORARRAY(Sintesi!$C$15),1,$C34))*($E34&lt;INDEX(_xlfn.ANCHORARRAY(Sintesi!$C$16),1,$C34))*(INDEX(_xlfn.ANCHORARRAY(Sintesi!$C$15),1,$C34)&gt;0),2,IF($E34=(INDEX(_xlfn.ANCHORARRAY(Sintesi!$C$16),1,$C34)),3,4)))),0)),IF(ISNUMBER($E33),IF($C34&gt;0,IF(($E34=INDEX(_xlfn.ANCHORARRAY(Sintesi!$C$14),1,$C34))*(INDEX(_xlfn.ANCHORARRAY(Sintesi!$C$15),1,$C34)&gt;0),0,IF(($E34=INDEX(_xlfn.ANCHORARRAY(Sintesi!$C$14),1,$C34))*(INDEX(_xlfn.ANCHORARRAY(Sintesi!$C$15),1,$C34)&lt;0)+($E34&gt;=$E33)*($E34&lt;=$E35)*($E34&gt;INDEX(_xlfn.ANCHORARRAY(Sintesi!$C$14),1,$C34))*($E34&lt;=INDEX(_xlfn.ANCHORARRAY(Sintesi!$C$15),1,$C34))*(INDEX(_xlfn.ANCHORARRAY(Sintesi!$C$15),1,$C34)&gt;0),1,IF(($E34&gt;=$E33)*($E34&lt;=$E35)*($E34&gt;INDEX(_xlfn.ANCHORARRAY(Sintesi!$C$14),1,$C34))*($E34&lt;INDEX(_xlfn.ANCHORARRAY(Sintesi!$C$16),1,$C34))*(INDEX(_xlfn.ANCHORARRAY(Sintesi!$C$15),1,$C34)&lt;0)+($E34&gt;=$E33)*($E34&lt;=$E35)*($E34&gt;INDEX(_xlfn.ANCHORARRAY(Sintesi!$C$15),1,$C34))*($E34&lt;INDEX(_xlfn.ANCHORARRAY(Sintesi!$C$16),1,$C34))*(INDEX(_xlfn.ANCHORARRAY(Sintesi!$C$15),1,$C34)&gt;0),2,IF($E34=(INDEX(_xlfn.ANCHORARRAY(Sintesi!$C$16),1,$C34)),3,4)))),0),IF($C34&gt;0,IF(($E34=INDEX(_xlfn.ANCHORARRAY(Sintesi!$C$14),1,$C34))*(INDEX(_xlfn.ANCHORARRAY(Sintesi!$C$15),1,$C34)&gt;0),0,IF(($E34=INDEX(_xlfn.ANCHORARRAY(Sintesi!$C$14),1,$C34))*(INDEX(_xlfn.ANCHORARRAY(Sintesi!$C$15),1,$C34)&lt;0)+($E34&gt;=LOOKUP(2,1/($E:$E&lt;&gt;""),$E:$E))*($E34&lt;=$E35)*($E34&gt;INDEX(_xlfn.ANCHORARRAY(Sintesi!$C$14),1,$C34))*($E34&lt;=INDEX(_xlfn.ANCHORARRAY(Sintesi!$C$15),1,$C34))*(INDEX(_xlfn.ANCHORARRAY(Sintesi!$C$15),1,$C34)&gt;0),1,IF(($E34&gt;=LOOKUP(2,1/($E:$E&lt;&gt;""),$E:$E))*($E34&lt;=$E35)*($E34&gt;INDEX(_xlfn.ANCHORARRAY(Sintesi!$C$14),1,$C34))*($E34&lt;INDEX(_xlfn.ANCHORARRAY(Sintesi!$C$16),1,$C34))*(INDEX(_xlfn.ANCHORARRAY(Sintesi!$C$15),1,$C34)&lt;0)+($E34&gt;=LOOKUP(2,1/($E:$E&lt;&gt;""),$E:$E))*($E34&lt;=$E35)*($E34&gt;INDEX(_xlfn.ANCHORARRAY(Sintesi!$C$15),1,$C34))*($E34&lt;INDEX(_xlfn.ANCHORARRAY(Sintesi!$C$16),1,$C34))*(INDEX(_xlfn.ANCHORARRAY(Sintesi!$C$15),1,$C34)&gt;0),2,IF($E34=(INDEX(_xlfn.ANCHORARRAY(Sintesi!$C$16),1,$C34)),3,4)))),0)))</f>
        <v>0</v>
      </c>
      <c r="E34" s="1">
        <f>'Paste cell here'!F34</f>
        <v>0</v>
      </c>
      <c r="F34" s="1">
        <f>'Paste cell here'!C34</f>
        <v>6.4660036380000001</v>
      </c>
      <c r="G34" s="1">
        <f>'Paste cell here'!D34</f>
        <v>-0.24928093000000001</v>
      </c>
      <c r="H34" s="1">
        <f>'Paste cell here'!E34</f>
        <v>0.37384107599999999</v>
      </c>
      <c r="I34" s="1">
        <f>'Paste cell here'!X34</f>
        <v>0</v>
      </c>
      <c r="J34" s="1">
        <f>'Paste cell here'!Y34+'Paste cell here'!S34</f>
        <v>0</v>
      </c>
      <c r="K34" s="1">
        <f t="shared" si="1"/>
        <v>0</v>
      </c>
      <c r="L34" s="1">
        <f t="shared" si="0"/>
        <v>4.031175535097435</v>
      </c>
      <c r="M34" s="1" cm="1">
        <f t="array" ref="M34">IF(AND(A34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,A34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),IF(L34&lt;_xlfn.IFNA(INDEX(_xlfn.ANCHORARRAY(Sintesi!$C$17)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,1,IF(L34&gt;=_xlfn.IFNA(INDEX(_xlfn.ANCHORARRAY(Sintesi!$C$18)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,0,1-(L34-_xlfn.IFNA(INDEX(_xlfn.ANCHORARRAY(Sintesi!$C$17)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)/(_xlfn.IFNA(INDEX(_xlfn.ANCHORARRAY(Sintesi!$C$18)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-_xlfn.IFNA(INDEX(_xlfn.ANCHORARRAY(Sintesi!$C$17),1,MATCH(1,(_xlfn.ANCHORARRAY(Sintesi!$C$9)&gt;_xlfn.ANCHORARRAY(Sintesi!$C$10))*(A33&gt;=_xlfn.ANCHORARRAY(Sintesi!$C$9))+(_xlfn.ANCHORARRAY(Sintesi!$C$9)&gt;_xlfn.ANCHORARRAY(Sintesi!$C$10))*(A33&lt;=_xlfn.ANCHORARRAY(Sintesi!$C$10))+(_xlfn.ANCHORARRAY(Sintesi!$C$9)&lt;_xlfn.ANCHORARRAY(Sintesi!$C$10))*(A33&gt;=_xlfn.ANCHORARRAY(Sintesi!$C$9))*(A33&lt;=_xlfn.ANCHORARRAY(Sintesi!$C$10)),0)),0)))),0)</f>
        <v>0</v>
      </c>
    </row>
    <row r="35" spans="1:13">
      <c r="A35" s="1">
        <f>'Paste cell here'!A35</f>
        <v>34</v>
      </c>
      <c r="B35" s="2">
        <f>DATE(Sintesi!$C$4-1,12,31)+A35</f>
        <v>44230</v>
      </c>
      <c r="C35" s="34" cm="1">
        <f t="array" ref="C35">_xlfn.IFNA(MATCH(1,(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)*(_xlfn.ANCHORARRAY(Sintesi!$C$15)&gt;=0)+(_xlfn.ANCHORARRAY(Sintesi!$C$15)&lt;0),0),0)</f>
        <v>0</v>
      </c>
      <c r="D35" s="1" cm="1">
        <f t="array" ref="D35">IF(ISBLANK($E36),IF(ISNUMBER($E34),IF($C35&gt;0,IF(($E35=INDEX(_xlfn.ANCHORARRAY(Sintesi!$C$14),1,$C35))*(INDEX(_xlfn.ANCHORARRAY(Sintesi!$C$15),1,$C35)&gt;0),0,IF(($E35=INDEX(_xlfn.ANCHORARRAY(Sintesi!$C$14),1,$C35))*(INDEX(_xlfn.ANCHORARRAY(Sintesi!$C$15),1,$C35)&lt;0)+($E35&gt;=$E34)*($E35&lt;=INDEX($E:$E,MATCH(TRUE,INDEX((ISNUMBER($E:$E)),0),0)))*($E35&gt;INDEX(_xlfn.ANCHORARRAY(Sintesi!$C$14),1,$C35))*($E35&lt;=INDEX(_xlfn.ANCHORARRAY(Sintesi!$C$15),1,$C35))*(INDEX(_xlfn.ANCHORARRAY(Sintesi!$C$15),1,$C35)&gt;0),1,IF(($E35&gt;=$E34)*($E35&lt;=INDEX($E:$E,MATCH(TRUE,INDEX((ISNUMBER($E:$E)),0),0)))*($E35&gt;INDEX(_xlfn.ANCHORARRAY(Sintesi!$C$14),1,$C35))*($E35&lt;INDEX(_xlfn.ANCHORARRAY(Sintesi!$C$16),1,$C35))*(INDEX(_xlfn.ANCHORARRAY(Sintesi!$C$15),1,$C35)&lt;0)+($E35&gt;=$E34)*($E35&lt;=INDEX($E:$E,MATCH(TRUE,INDEX((ISNUMBER($E:$E)),0),0)))*($E35&gt;INDEX(_xlfn.ANCHORARRAY(Sintesi!$C$15),1,$C35))*($E35&lt;INDEX(_xlfn.ANCHORARRAY(Sintesi!$C$16),1,$C35))*(INDEX(_xlfn.ANCHORARRAY(Sintesi!$C$15),1,$C35)&gt;0),2,IF($E35=(INDEX(_xlfn.ANCHORARRAY(Sintesi!$C$16),1,$C35)),3,4)))),0),IF($C35&gt;0,IF(($E35=INDEX(_xlfn.ANCHORARRAY(Sintesi!$C$14),1,$C35))*(INDEX(_xlfn.ANCHORARRAY(Sintesi!$C$15),1,$C35)&gt;0),0,IF(($E35=INDEX(_xlfn.ANCHORARRAY(Sintesi!$C$14),1,$C35))*(INDEX(_xlfn.ANCHORARRAY(Sintesi!$C$15),1,$C35)&lt;0)+($E35&gt;=LOOKUP(2,1/($E:$E&lt;&gt;""),$E:$E))*($E35&lt;=INDEX($E:$E,MATCH(TRUE,INDEX((ISNUMBER($E:$E)),0),0)))*($E35&gt;INDEX(_xlfn.ANCHORARRAY(Sintesi!$C$14),1,$C35))*($E35&lt;=INDEX(_xlfn.ANCHORARRAY(Sintesi!$C$15),1,$C35))*(INDEX(_xlfn.ANCHORARRAY(Sintesi!$C$15),1,$C35)&gt;0),1,IF(($E35&gt;=LOOKUP(2,1/($E:$E&lt;&gt;""),$E:$E))*($E35&lt;=INDEX($E:$E,MATCH(TRUE,INDEX((ISNUMBER($E:$E)),0),0)))*($E35&gt;INDEX(_xlfn.ANCHORARRAY(Sintesi!$C$14),1,$C35))*($E35&lt;INDEX(_xlfn.ANCHORARRAY(Sintesi!$C$16),1,$C35))*(INDEX(_xlfn.ANCHORARRAY(Sintesi!$C$15),1,$C35)&lt;0)+($E35&gt;=LOOKUP(2,1/($E:$E&lt;&gt;""),$E:$E))*($E35&lt;=INDEX($E:$E,MATCH(TRUE,INDEX((ISNUMBER($E:$E)),0),0)))*($E35&gt;INDEX(_xlfn.ANCHORARRAY(Sintesi!$C$15),1,$C35))*($E35&lt;INDEX(_xlfn.ANCHORARRAY(Sintesi!$C$16),1,$C35))*(INDEX(_xlfn.ANCHORARRAY(Sintesi!$C$15),1,$C35)&gt;0),2,IF($E35=(INDEX(_xlfn.ANCHORARRAY(Sintesi!$C$16),1,$C35)),3,4)))),0)),IF(ISNUMBER($E34),IF($C35&gt;0,IF(($E35=INDEX(_xlfn.ANCHORARRAY(Sintesi!$C$14),1,$C35))*(INDEX(_xlfn.ANCHORARRAY(Sintesi!$C$15),1,$C35)&gt;0),0,IF(($E35=INDEX(_xlfn.ANCHORARRAY(Sintesi!$C$14),1,$C35))*(INDEX(_xlfn.ANCHORARRAY(Sintesi!$C$15),1,$C35)&lt;0)+($E35&gt;=$E34)*($E35&lt;=$E36)*($E35&gt;INDEX(_xlfn.ANCHORARRAY(Sintesi!$C$14),1,$C35))*($E35&lt;=INDEX(_xlfn.ANCHORARRAY(Sintesi!$C$15),1,$C35))*(INDEX(_xlfn.ANCHORARRAY(Sintesi!$C$15),1,$C35)&gt;0),1,IF(($E35&gt;=$E34)*($E35&lt;=$E36)*($E35&gt;INDEX(_xlfn.ANCHORARRAY(Sintesi!$C$14),1,$C35))*($E35&lt;INDEX(_xlfn.ANCHORARRAY(Sintesi!$C$16),1,$C35))*(INDEX(_xlfn.ANCHORARRAY(Sintesi!$C$15),1,$C35)&lt;0)+($E35&gt;=$E34)*($E35&lt;=$E36)*($E35&gt;INDEX(_xlfn.ANCHORARRAY(Sintesi!$C$15),1,$C35))*($E35&lt;INDEX(_xlfn.ANCHORARRAY(Sintesi!$C$16),1,$C35))*(INDEX(_xlfn.ANCHORARRAY(Sintesi!$C$15),1,$C35)&gt;0),2,IF($E35=(INDEX(_xlfn.ANCHORARRAY(Sintesi!$C$16),1,$C35)),3,4)))),0),IF($C35&gt;0,IF(($E35=INDEX(_xlfn.ANCHORARRAY(Sintesi!$C$14),1,$C35))*(INDEX(_xlfn.ANCHORARRAY(Sintesi!$C$15),1,$C35)&gt;0),0,IF(($E35=INDEX(_xlfn.ANCHORARRAY(Sintesi!$C$14),1,$C35))*(INDEX(_xlfn.ANCHORARRAY(Sintesi!$C$15),1,$C35)&lt;0)+($E35&gt;=LOOKUP(2,1/($E:$E&lt;&gt;""),$E:$E))*($E35&lt;=$E36)*($E35&gt;INDEX(_xlfn.ANCHORARRAY(Sintesi!$C$14),1,$C35))*($E35&lt;=INDEX(_xlfn.ANCHORARRAY(Sintesi!$C$15),1,$C35))*(INDEX(_xlfn.ANCHORARRAY(Sintesi!$C$15),1,$C35)&gt;0),1,IF(($E35&gt;=LOOKUP(2,1/($E:$E&lt;&gt;""),$E:$E))*($E35&lt;=$E36)*($E35&gt;INDEX(_xlfn.ANCHORARRAY(Sintesi!$C$14),1,$C35))*($E35&lt;INDEX(_xlfn.ANCHORARRAY(Sintesi!$C$16),1,$C35))*(INDEX(_xlfn.ANCHORARRAY(Sintesi!$C$15),1,$C35)&lt;0)+($E35&gt;=LOOKUP(2,1/($E:$E&lt;&gt;""),$E:$E))*($E35&lt;=$E36)*($E35&gt;INDEX(_xlfn.ANCHORARRAY(Sintesi!$C$15),1,$C35))*($E35&lt;INDEX(_xlfn.ANCHORARRAY(Sintesi!$C$16),1,$C35))*(INDEX(_xlfn.ANCHORARRAY(Sintesi!$C$15),1,$C35)&gt;0),2,IF($E35=(INDEX(_xlfn.ANCHORARRAY(Sintesi!$C$16),1,$C35)),3,4)))),0)))</f>
        <v>0</v>
      </c>
      <c r="E35" s="1">
        <f>'Paste cell here'!F35</f>
        <v>0</v>
      </c>
      <c r="F35" s="1">
        <f>'Paste cell here'!C35</f>
        <v>6.5820194939999999</v>
      </c>
      <c r="G35" s="1">
        <f>'Paste cell here'!D35</f>
        <v>4.6359447989999998</v>
      </c>
      <c r="H35" s="1">
        <f>'Paste cell here'!E35</f>
        <v>0.39501180899999999</v>
      </c>
      <c r="I35" s="1">
        <f>'Paste cell here'!X35</f>
        <v>0</v>
      </c>
      <c r="J35" s="1">
        <f>'Paste cell here'!Y35+'Paste cell here'!S35</f>
        <v>0</v>
      </c>
      <c r="K35" s="1">
        <f t="shared" si="1"/>
        <v>0</v>
      </c>
      <c r="L35" s="1">
        <f t="shared" si="0"/>
        <v>5.8764116661034747</v>
      </c>
      <c r="M35" s="1" cm="1">
        <f t="array" ref="M35">IF(AND(A35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,A35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),IF(L35&lt;_xlfn.IFNA(INDEX(_xlfn.ANCHORARRAY(Sintesi!$C$17)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,1,IF(L35&gt;=_xlfn.IFNA(INDEX(_xlfn.ANCHORARRAY(Sintesi!$C$18)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,0,1-(L35-_xlfn.IFNA(INDEX(_xlfn.ANCHORARRAY(Sintesi!$C$17)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)/(_xlfn.IFNA(INDEX(_xlfn.ANCHORARRAY(Sintesi!$C$18)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-_xlfn.IFNA(INDEX(_xlfn.ANCHORARRAY(Sintesi!$C$17),1,MATCH(1,(_xlfn.ANCHORARRAY(Sintesi!$C$9)&gt;_xlfn.ANCHORARRAY(Sintesi!$C$10))*(A34&gt;=_xlfn.ANCHORARRAY(Sintesi!$C$9))+(_xlfn.ANCHORARRAY(Sintesi!$C$9)&gt;_xlfn.ANCHORARRAY(Sintesi!$C$10))*(A34&lt;=_xlfn.ANCHORARRAY(Sintesi!$C$10))+(_xlfn.ANCHORARRAY(Sintesi!$C$9)&lt;_xlfn.ANCHORARRAY(Sintesi!$C$10))*(A34&gt;=_xlfn.ANCHORARRAY(Sintesi!$C$9))*(A34&lt;=_xlfn.ANCHORARRAY(Sintesi!$C$10)),0)),0)))),0)</f>
        <v>0</v>
      </c>
    </row>
    <row r="36" spans="1:13">
      <c r="A36" s="1">
        <f>'Paste cell here'!A36</f>
        <v>35</v>
      </c>
      <c r="B36" s="2">
        <f>DATE(Sintesi!$C$4-1,12,31)+A36</f>
        <v>44231</v>
      </c>
      <c r="C36" s="34" cm="1">
        <f t="array" ref="C36">_xlfn.IFNA(MATCH(1,(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)*(_xlfn.ANCHORARRAY(Sintesi!$C$15)&gt;=0)+(_xlfn.ANCHORARRAY(Sintesi!$C$15)&lt;0),0),0)</f>
        <v>0</v>
      </c>
      <c r="D36" s="1" cm="1">
        <f t="array" ref="D36">IF(ISBLANK($E37),IF(ISNUMBER($E35),IF($C36&gt;0,IF(($E36=INDEX(_xlfn.ANCHORARRAY(Sintesi!$C$14),1,$C36))*(INDEX(_xlfn.ANCHORARRAY(Sintesi!$C$15),1,$C36)&gt;0),0,IF(($E36=INDEX(_xlfn.ANCHORARRAY(Sintesi!$C$14),1,$C36))*(INDEX(_xlfn.ANCHORARRAY(Sintesi!$C$15),1,$C36)&lt;0)+($E36&gt;=$E35)*($E36&lt;=INDEX($E:$E,MATCH(TRUE,INDEX((ISNUMBER($E:$E)),0),0)))*($E36&gt;INDEX(_xlfn.ANCHORARRAY(Sintesi!$C$14),1,$C36))*($E36&lt;=INDEX(_xlfn.ANCHORARRAY(Sintesi!$C$15),1,$C36))*(INDEX(_xlfn.ANCHORARRAY(Sintesi!$C$15),1,$C36)&gt;0),1,IF(($E36&gt;=$E35)*($E36&lt;=INDEX($E:$E,MATCH(TRUE,INDEX((ISNUMBER($E:$E)),0),0)))*($E36&gt;INDEX(_xlfn.ANCHORARRAY(Sintesi!$C$14),1,$C36))*($E36&lt;INDEX(_xlfn.ANCHORARRAY(Sintesi!$C$16),1,$C36))*(INDEX(_xlfn.ANCHORARRAY(Sintesi!$C$15),1,$C36)&lt;0)+($E36&gt;=$E35)*($E36&lt;=INDEX($E:$E,MATCH(TRUE,INDEX((ISNUMBER($E:$E)),0),0)))*($E36&gt;INDEX(_xlfn.ANCHORARRAY(Sintesi!$C$15),1,$C36))*($E36&lt;INDEX(_xlfn.ANCHORARRAY(Sintesi!$C$16),1,$C36))*(INDEX(_xlfn.ANCHORARRAY(Sintesi!$C$15),1,$C36)&gt;0),2,IF($E36=(INDEX(_xlfn.ANCHORARRAY(Sintesi!$C$16),1,$C36)),3,4)))),0),IF($C36&gt;0,IF(($E36=INDEX(_xlfn.ANCHORARRAY(Sintesi!$C$14),1,$C36))*(INDEX(_xlfn.ANCHORARRAY(Sintesi!$C$15),1,$C36)&gt;0),0,IF(($E36=INDEX(_xlfn.ANCHORARRAY(Sintesi!$C$14),1,$C36))*(INDEX(_xlfn.ANCHORARRAY(Sintesi!$C$15),1,$C36)&lt;0)+($E36&gt;=LOOKUP(2,1/($E:$E&lt;&gt;""),$E:$E))*($E36&lt;=INDEX($E:$E,MATCH(TRUE,INDEX((ISNUMBER($E:$E)),0),0)))*($E36&gt;INDEX(_xlfn.ANCHORARRAY(Sintesi!$C$14),1,$C36))*($E36&lt;=INDEX(_xlfn.ANCHORARRAY(Sintesi!$C$15),1,$C36))*(INDEX(_xlfn.ANCHORARRAY(Sintesi!$C$15),1,$C36)&gt;0),1,IF(($E36&gt;=LOOKUP(2,1/($E:$E&lt;&gt;""),$E:$E))*($E36&lt;=INDEX($E:$E,MATCH(TRUE,INDEX((ISNUMBER($E:$E)),0),0)))*($E36&gt;INDEX(_xlfn.ANCHORARRAY(Sintesi!$C$14),1,$C36))*($E36&lt;INDEX(_xlfn.ANCHORARRAY(Sintesi!$C$16),1,$C36))*(INDEX(_xlfn.ANCHORARRAY(Sintesi!$C$15),1,$C36)&lt;0)+($E36&gt;=LOOKUP(2,1/($E:$E&lt;&gt;""),$E:$E))*($E36&lt;=INDEX($E:$E,MATCH(TRUE,INDEX((ISNUMBER($E:$E)),0),0)))*($E36&gt;INDEX(_xlfn.ANCHORARRAY(Sintesi!$C$15),1,$C36))*($E36&lt;INDEX(_xlfn.ANCHORARRAY(Sintesi!$C$16),1,$C36))*(INDEX(_xlfn.ANCHORARRAY(Sintesi!$C$15),1,$C36)&gt;0),2,IF($E36=(INDEX(_xlfn.ANCHORARRAY(Sintesi!$C$16),1,$C36)),3,4)))),0)),IF(ISNUMBER($E35),IF($C36&gt;0,IF(($E36=INDEX(_xlfn.ANCHORARRAY(Sintesi!$C$14),1,$C36))*(INDEX(_xlfn.ANCHORARRAY(Sintesi!$C$15),1,$C36)&gt;0),0,IF(($E36=INDEX(_xlfn.ANCHORARRAY(Sintesi!$C$14),1,$C36))*(INDEX(_xlfn.ANCHORARRAY(Sintesi!$C$15),1,$C36)&lt;0)+($E36&gt;=$E35)*($E36&lt;=$E37)*($E36&gt;INDEX(_xlfn.ANCHORARRAY(Sintesi!$C$14),1,$C36))*($E36&lt;=INDEX(_xlfn.ANCHORARRAY(Sintesi!$C$15),1,$C36))*(INDEX(_xlfn.ANCHORARRAY(Sintesi!$C$15),1,$C36)&gt;0),1,IF(($E36&gt;=$E35)*($E36&lt;=$E37)*($E36&gt;INDEX(_xlfn.ANCHORARRAY(Sintesi!$C$14),1,$C36))*($E36&lt;INDEX(_xlfn.ANCHORARRAY(Sintesi!$C$16),1,$C36))*(INDEX(_xlfn.ANCHORARRAY(Sintesi!$C$15),1,$C36)&lt;0)+($E36&gt;=$E35)*($E36&lt;=$E37)*($E36&gt;INDEX(_xlfn.ANCHORARRAY(Sintesi!$C$15),1,$C36))*($E36&lt;INDEX(_xlfn.ANCHORARRAY(Sintesi!$C$16),1,$C36))*(INDEX(_xlfn.ANCHORARRAY(Sintesi!$C$15),1,$C36)&gt;0),2,IF($E36=(INDEX(_xlfn.ANCHORARRAY(Sintesi!$C$16),1,$C36)),3,4)))),0),IF($C36&gt;0,IF(($E36=INDEX(_xlfn.ANCHORARRAY(Sintesi!$C$14),1,$C36))*(INDEX(_xlfn.ANCHORARRAY(Sintesi!$C$15),1,$C36)&gt;0),0,IF(($E36=INDEX(_xlfn.ANCHORARRAY(Sintesi!$C$14),1,$C36))*(INDEX(_xlfn.ANCHORARRAY(Sintesi!$C$15),1,$C36)&lt;0)+($E36&gt;=LOOKUP(2,1/($E:$E&lt;&gt;""),$E:$E))*($E36&lt;=$E37)*($E36&gt;INDEX(_xlfn.ANCHORARRAY(Sintesi!$C$14),1,$C36))*($E36&lt;=INDEX(_xlfn.ANCHORARRAY(Sintesi!$C$15),1,$C36))*(INDEX(_xlfn.ANCHORARRAY(Sintesi!$C$15),1,$C36)&gt;0),1,IF(($E36&gt;=LOOKUP(2,1/($E:$E&lt;&gt;""),$E:$E))*($E36&lt;=$E37)*($E36&gt;INDEX(_xlfn.ANCHORARRAY(Sintesi!$C$14),1,$C36))*($E36&lt;INDEX(_xlfn.ANCHORARRAY(Sintesi!$C$16),1,$C36))*(INDEX(_xlfn.ANCHORARRAY(Sintesi!$C$15),1,$C36)&lt;0)+($E36&gt;=LOOKUP(2,1/($E:$E&lt;&gt;""),$E:$E))*($E36&lt;=$E37)*($E36&gt;INDEX(_xlfn.ANCHORARRAY(Sintesi!$C$15),1,$C36))*($E36&lt;INDEX(_xlfn.ANCHORARRAY(Sintesi!$C$16),1,$C36))*(INDEX(_xlfn.ANCHORARRAY(Sintesi!$C$15),1,$C36)&gt;0),2,IF($E36=(INDEX(_xlfn.ANCHORARRAY(Sintesi!$C$16),1,$C36)),3,4)))),0)))</f>
        <v>0</v>
      </c>
      <c r="E36" s="1">
        <f>'Paste cell here'!F36</f>
        <v>0</v>
      </c>
      <c r="F36" s="1">
        <f>'Paste cell here'!C36</f>
        <v>10.16124941</v>
      </c>
      <c r="G36" s="1">
        <f>'Paste cell here'!D36</f>
        <v>6.007324101</v>
      </c>
      <c r="H36" s="1">
        <f>'Paste cell here'!E36</f>
        <v>0.47656157700000001</v>
      </c>
      <c r="I36" s="1">
        <f>'Paste cell here'!X36</f>
        <v>0</v>
      </c>
      <c r="J36" s="1">
        <f>'Paste cell here'!Y36+'Paste cell here'!S36</f>
        <v>0</v>
      </c>
      <c r="K36" s="1">
        <f t="shared" si="1"/>
        <v>0</v>
      </c>
      <c r="L36" s="1">
        <f t="shared" si="0"/>
        <v>8.6551190327546941</v>
      </c>
      <c r="M36" s="1" cm="1">
        <f t="array" ref="M36">IF(AND(A36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,A36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),IF(L36&lt;_xlfn.IFNA(INDEX(_xlfn.ANCHORARRAY(Sintesi!$C$17)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,1,IF(L36&gt;=_xlfn.IFNA(INDEX(_xlfn.ANCHORARRAY(Sintesi!$C$18)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,0,1-(L36-_xlfn.IFNA(INDEX(_xlfn.ANCHORARRAY(Sintesi!$C$17)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)/(_xlfn.IFNA(INDEX(_xlfn.ANCHORARRAY(Sintesi!$C$18)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-_xlfn.IFNA(INDEX(_xlfn.ANCHORARRAY(Sintesi!$C$17),1,MATCH(1,(_xlfn.ANCHORARRAY(Sintesi!$C$9)&gt;_xlfn.ANCHORARRAY(Sintesi!$C$10))*(A35&gt;=_xlfn.ANCHORARRAY(Sintesi!$C$9))+(_xlfn.ANCHORARRAY(Sintesi!$C$9)&gt;_xlfn.ANCHORARRAY(Sintesi!$C$10))*(A35&lt;=_xlfn.ANCHORARRAY(Sintesi!$C$10))+(_xlfn.ANCHORARRAY(Sintesi!$C$9)&lt;_xlfn.ANCHORARRAY(Sintesi!$C$10))*(A35&gt;=_xlfn.ANCHORARRAY(Sintesi!$C$9))*(A35&lt;=_xlfn.ANCHORARRAY(Sintesi!$C$10)),0)),0)))),0)</f>
        <v>0</v>
      </c>
    </row>
    <row r="37" spans="1:13">
      <c r="A37" s="1">
        <f>'Paste cell here'!A37</f>
        <v>36</v>
      </c>
      <c r="B37" s="2">
        <f>DATE(Sintesi!$C$4-1,12,31)+A37</f>
        <v>44232</v>
      </c>
      <c r="C37" s="34" cm="1">
        <f t="array" ref="C37">_xlfn.IFNA(MATCH(1,(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)*(_xlfn.ANCHORARRAY(Sintesi!$C$15)&gt;=0)+(_xlfn.ANCHORARRAY(Sintesi!$C$15)&lt;0),0),0)</f>
        <v>0</v>
      </c>
      <c r="D37" s="1" cm="1">
        <f t="array" ref="D37">IF(ISBLANK($E38),IF(ISNUMBER($E36),IF($C37&gt;0,IF(($E37=INDEX(_xlfn.ANCHORARRAY(Sintesi!$C$14),1,$C37))*(INDEX(_xlfn.ANCHORARRAY(Sintesi!$C$15),1,$C37)&gt;0),0,IF(($E37=INDEX(_xlfn.ANCHORARRAY(Sintesi!$C$14),1,$C37))*(INDEX(_xlfn.ANCHORARRAY(Sintesi!$C$15),1,$C37)&lt;0)+($E37&gt;=$E36)*($E37&lt;=INDEX($E:$E,MATCH(TRUE,INDEX((ISNUMBER($E:$E)),0),0)))*($E37&gt;INDEX(_xlfn.ANCHORARRAY(Sintesi!$C$14),1,$C37))*($E37&lt;=INDEX(_xlfn.ANCHORARRAY(Sintesi!$C$15),1,$C37))*(INDEX(_xlfn.ANCHORARRAY(Sintesi!$C$15),1,$C37)&gt;0),1,IF(($E37&gt;=$E36)*($E37&lt;=INDEX($E:$E,MATCH(TRUE,INDEX((ISNUMBER($E:$E)),0),0)))*($E37&gt;INDEX(_xlfn.ANCHORARRAY(Sintesi!$C$14),1,$C37))*($E37&lt;INDEX(_xlfn.ANCHORARRAY(Sintesi!$C$16),1,$C37))*(INDEX(_xlfn.ANCHORARRAY(Sintesi!$C$15),1,$C37)&lt;0)+($E37&gt;=$E36)*($E37&lt;=INDEX($E:$E,MATCH(TRUE,INDEX((ISNUMBER($E:$E)),0),0)))*($E37&gt;INDEX(_xlfn.ANCHORARRAY(Sintesi!$C$15),1,$C37))*($E37&lt;INDEX(_xlfn.ANCHORARRAY(Sintesi!$C$16),1,$C37))*(INDEX(_xlfn.ANCHORARRAY(Sintesi!$C$15),1,$C37)&gt;0),2,IF($E37=(INDEX(_xlfn.ANCHORARRAY(Sintesi!$C$16),1,$C37)),3,4)))),0),IF($C37&gt;0,IF(($E37=INDEX(_xlfn.ANCHORARRAY(Sintesi!$C$14),1,$C37))*(INDEX(_xlfn.ANCHORARRAY(Sintesi!$C$15),1,$C37)&gt;0),0,IF(($E37=INDEX(_xlfn.ANCHORARRAY(Sintesi!$C$14),1,$C37))*(INDEX(_xlfn.ANCHORARRAY(Sintesi!$C$15),1,$C37)&lt;0)+($E37&gt;=LOOKUP(2,1/($E:$E&lt;&gt;""),$E:$E))*($E37&lt;=INDEX($E:$E,MATCH(TRUE,INDEX((ISNUMBER($E:$E)),0),0)))*($E37&gt;INDEX(_xlfn.ANCHORARRAY(Sintesi!$C$14),1,$C37))*($E37&lt;=INDEX(_xlfn.ANCHORARRAY(Sintesi!$C$15),1,$C37))*(INDEX(_xlfn.ANCHORARRAY(Sintesi!$C$15),1,$C37)&gt;0),1,IF(($E37&gt;=LOOKUP(2,1/($E:$E&lt;&gt;""),$E:$E))*($E37&lt;=INDEX($E:$E,MATCH(TRUE,INDEX((ISNUMBER($E:$E)),0),0)))*($E37&gt;INDEX(_xlfn.ANCHORARRAY(Sintesi!$C$14),1,$C37))*($E37&lt;INDEX(_xlfn.ANCHORARRAY(Sintesi!$C$16),1,$C37))*(INDEX(_xlfn.ANCHORARRAY(Sintesi!$C$15),1,$C37)&lt;0)+($E37&gt;=LOOKUP(2,1/($E:$E&lt;&gt;""),$E:$E))*($E37&lt;=INDEX($E:$E,MATCH(TRUE,INDEX((ISNUMBER($E:$E)),0),0)))*($E37&gt;INDEX(_xlfn.ANCHORARRAY(Sintesi!$C$15),1,$C37))*($E37&lt;INDEX(_xlfn.ANCHORARRAY(Sintesi!$C$16),1,$C37))*(INDEX(_xlfn.ANCHORARRAY(Sintesi!$C$15),1,$C37)&gt;0),2,IF($E37=(INDEX(_xlfn.ANCHORARRAY(Sintesi!$C$16),1,$C37)),3,4)))),0)),IF(ISNUMBER($E36),IF($C37&gt;0,IF(($E37=INDEX(_xlfn.ANCHORARRAY(Sintesi!$C$14),1,$C37))*(INDEX(_xlfn.ANCHORARRAY(Sintesi!$C$15),1,$C37)&gt;0),0,IF(($E37=INDEX(_xlfn.ANCHORARRAY(Sintesi!$C$14),1,$C37))*(INDEX(_xlfn.ANCHORARRAY(Sintesi!$C$15),1,$C37)&lt;0)+($E37&gt;=$E36)*($E37&lt;=$E38)*($E37&gt;INDEX(_xlfn.ANCHORARRAY(Sintesi!$C$14),1,$C37))*($E37&lt;=INDEX(_xlfn.ANCHORARRAY(Sintesi!$C$15),1,$C37))*(INDEX(_xlfn.ANCHORARRAY(Sintesi!$C$15),1,$C37)&gt;0),1,IF(($E37&gt;=$E36)*($E37&lt;=$E38)*($E37&gt;INDEX(_xlfn.ANCHORARRAY(Sintesi!$C$14),1,$C37))*($E37&lt;INDEX(_xlfn.ANCHORARRAY(Sintesi!$C$16),1,$C37))*(INDEX(_xlfn.ANCHORARRAY(Sintesi!$C$15),1,$C37)&lt;0)+($E37&gt;=$E36)*($E37&lt;=$E38)*($E37&gt;INDEX(_xlfn.ANCHORARRAY(Sintesi!$C$15),1,$C37))*($E37&lt;INDEX(_xlfn.ANCHORARRAY(Sintesi!$C$16),1,$C37))*(INDEX(_xlfn.ANCHORARRAY(Sintesi!$C$15),1,$C37)&gt;0),2,IF($E37=(INDEX(_xlfn.ANCHORARRAY(Sintesi!$C$16),1,$C37)),3,4)))),0),IF($C37&gt;0,IF(($E37=INDEX(_xlfn.ANCHORARRAY(Sintesi!$C$14),1,$C37))*(INDEX(_xlfn.ANCHORARRAY(Sintesi!$C$15),1,$C37)&gt;0),0,IF(($E37=INDEX(_xlfn.ANCHORARRAY(Sintesi!$C$14),1,$C37))*(INDEX(_xlfn.ANCHORARRAY(Sintesi!$C$15),1,$C37)&lt;0)+($E37&gt;=LOOKUP(2,1/($E:$E&lt;&gt;""),$E:$E))*($E37&lt;=$E38)*($E37&gt;INDEX(_xlfn.ANCHORARRAY(Sintesi!$C$14),1,$C37))*($E37&lt;=INDEX(_xlfn.ANCHORARRAY(Sintesi!$C$15),1,$C37))*(INDEX(_xlfn.ANCHORARRAY(Sintesi!$C$15),1,$C37)&gt;0),1,IF(($E37&gt;=LOOKUP(2,1/($E:$E&lt;&gt;""),$E:$E))*($E37&lt;=$E38)*($E37&gt;INDEX(_xlfn.ANCHORARRAY(Sintesi!$C$14),1,$C37))*($E37&lt;INDEX(_xlfn.ANCHORARRAY(Sintesi!$C$16),1,$C37))*(INDEX(_xlfn.ANCHORARRAY(Sintesi!$C$15),1,$C37)&lt;0)+($E37&gt;=LOOKUP(2,1/($E:$E&lt;&gt;""),$E:$E))*($E37&lt;=$E38)*($E37&gt;INDEX(_xlfn.ANCHORARRAY(Sintesi!$C$15),1,$C37))*($E37&lt;INDEX(_xlfn.ANCHORARRAY(Sintesi!$C$16),1,$C37))*(INDEX(_xlfn.ANCHORARRAY(Sintesi!$C$15),1,$C37)&gt;0),2,IF($E37=(INDEX(_xlfn.ANCHORARRAY(Sintesi!$C$16),1,$C37)),3,4)))),0)))</f>
        <v>0</v>
      </c>
      <c r="E37" s="1">
        <f>'Paste cell here'!F37</f>
        <v>0</v>
      </c>
      <c r="F37" s="1">
        <f>'Paste cell here'!C37</f>
        <v>10.81048867</v>
      </c>
      <c r="G37" s="1">
        <f>'Paste cell here'!D37</f>
        <v>7.3820194939999997</v>
      </c>
      <c r="H37" s="1">
        <f>'Paste cell here'!E37</f>
        <v>0.48826864399999997</v>
      </c>
      <c r="I37" s="1">
        <f>'Paste cell here'!X37</f>
        <v>0</v>
      </c>
      <c r="J37" s="1">
        <f>'Paste cell here'!Y37+'Paste cell here'!S37</f>
        <v>0</v>
      </c>
      <c r="K37" s="1">
        <f t="shared" si="1"/>
        <v>0</v>
      </c>
      <c r="L37" s="1">
        <f t="shared" si="0"/>
        <v>9.5673942016823013</v>
      </c>
      <c r="M37" s="1" cm="1">
        <f t="array" ref="M37">IF(AND(A37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,A37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),IF(L37&lt;_xlfn.IFNA(INDEX(_xlfn.ANCHORARRAY(Sintesi!$C$17)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,1,IF(L37&gt;=_xlfn.IFNA(INDEX(_xlfn.ANCHORARRAY(Sintesi!$C$18)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,0,1-(L37-_xlfn.IFNA(INDEX(_xlfn.ANCHORARRAY(Sintesi!$C$17)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)/(_xlfn.IFNA(INDEX(_xlfn.ANCHORARRAY(Sintesi!$C$18)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-_xlfn.IFNA(INDEX(_xlfn.ANCHORARRAY(Sintesi!$C$17),1,MATCH(1,(_xlfn.ANCHORARRAY(Sintesi!$C$9)&gt;_xlfn.ANCHORARRAY(Sintesi!$C$10))*(A36&gt;=_xlfn.ANCHORARRAY(Sintesi!$C$9))+(_xlfn.ANCHORARRAY(Sintesi!$C$9)&gt;_xlfn.ANCHORARRAY(Sintesi!$C$10))*(A36&lt;=_xlfn.ANCHORARRAY(Sintesi!$C$10))+(_xlfn.ANCHORARRAY(Sintesi!$C$9)&lt;_xlfn.ANCHORARRAY(Sintesi!$C$10))*(A36&gt;=_xlfn.ANCHORARRAY(Sintesi!$C$9))*(A36&lt;=_xlfn.ANCHORARRAY(Sintesi!$C$10)),0)),0)))),0)</f>
        <v>0</v>
      </c>
    </row>
    <row r="38" spans="1:13">
      <c r="A38" s="1">
        <f>'Paste cell here'!A38</f>
        <v>37</v>
      </c>
      <c r="B38" s="2">
        <f>DATE(Sintesi!$C$4-1,12,31)+A38</f>
        <v>44233</v>
      </c>
      <c r="C38" s="34" cm="1">
        <f t="array" ref="C38">_xlfn.IFNA(MATCH(1,(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)*(_xlfn.ANCHORARRAY(Sintesi!$C$15)&gt;=0)+(_xlfn.ANCHORARRAY(Sintesi!$C$15)&lt;0),0),0)</f>
        <v>0</v>
      </c>
      <c r="D38" s="1" cm="1">
        <f t="array" ref="D38">IF(ISBLANK($E39),IF(ISNUMBER($E37),IF($C38&gt;0,IF(($E38=INDEX(_xlfn.ANCHORARRAY(Sintesi!$C$14),1,$C38))*(INDEX(_xlfn.ANCHORARRAY(Sintesi!$C$15),1,$C38)&gt;0),0,IF(($E38=INDEX(_xlfn.ANCHORARRAY(Sintesi!$C$14),1,$C38))*(INDEX(_xlfn.ANCHORARRAY(Sintesi!$C$15),1,$C38)&lt;0)+($E38&gt;=$E37)*($E38&lt;=INDEX($E:$E,MATCH(TRUE,INDEX((ISNUMBER($E:$E)),0),0)))*($E38&gt;INDEX(_xlfn.ANCHORARRAY(Sintesi!$C$14),1,$C38))*($E38&lt;=INDEX(_xlfn.ANCHORARRAY(Sintesi!$C$15),1,$C38))*(INDEX(_xlfn.ANCHORARRAY(Sintesi!$C$15),1,$C38)&gt;0),1,IF(($E38&gt;=$E37)*($E38&lt;=INDEX($E:$E,MATCH(TRUE,INDEX((ISNUMBER($E:$E)),0),0)))*($E38&gt;INDEX(_xlfn.ANCHORARRAY(Sintesi!$C$14),1,$C38))*($E38&lt;INDEX(_xlfn.ANCHORARRAY(Sintesi!$C$16),1,$C38))*(INDEX(_xlfn.ANCHORARRAY(Sintesi!$C$15),1,$C38)&lt;0)+($E38&gt;=$E37)*($E38&lt;=INDEX($E:$E,MATCH(TRUE,INDEX((ISNUMBER($E:$E)),0),0)))*($E38&gt;INDEX(_xlfn.ANCHORARRAY(Sintesi!$C$15),1,$C38))*($E38&lt;INDEX(_xlfn.ANCHORARRAY(Sintesi!$C$16),1,$C38))*(INDEX(_xlfn.ANCHORARRAY(Sintesi!$C$15),1,$C38)&gt;0),2,IF($E38=(INDEX(_xlfn.ANCHORARRAY(Sintesi!$C$16),1,$C38)),3,4)))),0),IF($C38&gt;0,IF(($E38=INDEX(_xlfn.ANCHORARRAY(Sintesi!$C$14),1,$C38))*(INDEX(_xlfn.ANCHORARRAY(Sintesi!$C$15),1,$C38)&gt;0),0,IF(($E38=INDEX(_xlfn.ANCHORARRAY(Sintesi!$C$14),1,$C38))*(INDEX(_xlfn.ANCHORARRAY(Sintesi!$C$15),1,$C38)&lt;0)+($E38&gt;=LOOKUP(2,1/($E:$E&lt;&gt;""),$E:$E))*($E38&lt;=INDEX($E:$E,MATCH(TRUE,INDEX((ISNUMBER($E:$E)),0),0)))*($E38&gt;INDEX(_xlfn.ANCHORARRAY(Sintesi!$C$14),1,$C38))*($E38&lt;=INDEX(_xlfn.ANCHORARRAY(Sintesi!$C$15),1,$C38))*(INDEX(_xlfn.ANCHORARRAY(Sintesi!$C$15),1,$C38)&gt;0),1,IF(($E38&gt;=LOOKUP(2,1/($E:$E&lt;&gt;""),$E:$E))*($E38&lt;=INDEX($E:$E,MATCH(TRUE,INDEX((ISNUMBER($E:$E)),0),0)))*($E38&gt;INDEX(_xlfn.ANCHORARRAY(Sintesi!$C$14),1,$C38))*($E38&lt;INDEX(_xlfn.ANCHORARRAY(Sintesi!$C$16),1,$C38))*(INDEX(_xlfn.ANCHORARRAY(Sintesi!$C$15),1,$C38)&lt;0)+($E38&gt;=LOOKUP(2,1/($E:$E&lt;&gt;""),$E:$E))*($E38&lt;=INDEX($E:$E,MATCH(TRUE,INDEX((ISNUMBER($E:$E)),0),0)))*($E38&gt;INDEX(_xlfn.ANCHORARRAY(Sintesi!$C$15),1,$C38))*($E38&lt;INDEX(_xlfn.ANCHORARRAY(Sintesi!$C$16),1,$C38))*(INDEX(_xlfn.ANCHORARRAY(Sintesi!$C$15),1,$C38)&gt;0),2,IF($E38=(INDEX(_xlfn.ANCHORARRAY(Sintesi!$C$16),1,$C38)),3,4)))),0)),IF(ISNUMBER($E37),IF($C38&gt;0,IF(($E38=INDEX(_xlfn.ANCHORARRAY(Sintesi!$C$14),1,$C38))*(INDEX(_xlfn.ANCHORARRAY(Sintesi!$C$15),1,$C38)&gt;0),0,IF(($E38=INDEX(_xlfn.ANCHORARRAY(Sintesi!$C$14),1,$C38))*(INDEX(_xlfn.ANCHORARRAY(Sintesi!$C$15),1,$C38)&lt;0)+($E38&gt;=$E37)*($E38&lt;=$E39)*($E38&gt;INDEX(_xlfn.ANCHORARRAY(Sintesi!$C$14),1,$C38))*($E38&lt;=INDEX(_xlfn.ANCHORARRAY(Sintesi!$C$15),1,$C38))*(INDEX(_xlfn.ANCHORARRAY(Sintesi!$C$15),1,$C38)&gt;0),1,IF(($E38&gt;=$E37)*($E38&lt;=$E39)*($E38&gt;INDEX(_xlfn.ANCHORARRAY(Sintesi!$C$14),1,$C38))*($E38&lt;INDEX(_xlfn.ANCHORARRAY(Sintesi!$C$16),1,$C38))*(INDEX(_xlfn.ANCHORARRAY(Sintesi!$C$15),1,$C38)&lt;0)+($E38&gt;=$E37)*($E38&lt;=$E39)*($E38&gt;INDEX(_xlfn.ANCHORARRAY(Sintesi!$C$15),1,$C38))*($E38&lt;INDEX(_xlfn.ANCHORARRAY(Sintesi!$C$16),1,$C38))*(INDEX(_xlfn.ANCHORARRAY(Sintesi!$C$15),1,$C38)&gt;0),2,IF($E38=(INDEX(_xlfn.ANCHORARRAY(Sintesi!$C$16),1,$C38)),3,4)))),0),IF($C38&gt;0,IF(($E38=INDEX(_xlfn.ANCHORARRAY(Sintesi!$C$14),1,$C38))*(INDEX(_xlfn.ANCHORARRAY(Sintesi!$C$15),1,$C38)&gt;0),0,IF(($E38=INDEX(_xlfn.ANCHORARRAY(Sintesi!$C$14),1,$C38))*(INDEX(_xlfn.ANCHORARRAY(Sintesi!$C$15),1,$C38)&lt;0)+($E38&gt;=LOOKUP(2,1/($E:$E&lt;&gt;""),$E:$E))*($E38&lt;=$E39)*($E38&gt;INDEX(_xlfn.ANCHORARRAY(Sintesi!$C$14),1,$C38))*($E38&lt;=INDEX(_xlfn.ANCHORARRAY(Sintesi!$C$15),1,$C38))*(INDEX(_xlfn.ANCHORARRAY(Sintesi!$C$15),1,$C38)&gt;0),1,IF(($E38&gt;=LOOKUP(2,1/($E:$E&lt;&gt;""),$E:$E))*($E38&lt;=$E39)*($E38&gt;INDEX(_xlfn.ANCHORARRAY(Sintesi!$C$14),1,$C38))*($E38&lt;INDEX(_xlfn.ANCHORARRAY(Sintesi!$C$16),1,$C38))*(INDEX(_xlfn.ANCHORARRAY(Sintesi!$C$15),1,$C38)&lt;0)+($E38&gt;=LOOKUP(2,1/($E:$E&lt;&gt;""),$E:$E))*($E38&lt;=$E39)*($E38&gt;INDEX(_xlfn.ANCHORARRAY(Sintesi!$C$15),1,$C38))*($E38&lt;INDEX(_xlfn.ANCHORARRAY(Sintesi!$C$16),1,$C38))*(INDEX(_xlfn.ANCHORARRAY(Sintesi!$C$15),1,$C38)&gt;0),2,IF($E38=(INDEX(_xlfn.ANCHORARRAY(Sintesi!$C$16),1,$C38)),3,4)))),0)))</f>
        <v>0</v>
      </c>
      <c r="E38" s="1">
        <f>'Paste cell here'!F38</f>
        <v>0</v>
      </c>
      <c r="F38" s="1">
        <f>'Paste cell here'!C38</f>
        <v>10.8926759</v>
      </c>
      <c r="G38" s="1">
        <f>'Paste cell here'!D38</f>
        <v>8.1179805060000003</v>
      </c>
      <c r="H38" s="1">
        <f>'Paste cell here'!E38</f>
        <v>0.48510034499999999</v>
      </c>
      <c r="I38" s="1">
        <f>'Paste cell here'!X38</f>
        <v>0</v>
      </c>
      <c r="J38" s="1">
        <f>'Paste cell here'!Y38+'Paste cell here'!S38</f>
        <v>0</v>
      </c>
      <c r="K38" s="1">
        <f t="shared" si="1"/>
        <v>0</v>
      </c>
      <c r="L38" s="1">
        <f t="shared" si="0"/>
        <v>9.8866267513907111</v>
      </c>
      <c r="M38" s="1" cm="1">
        <f t="array" ref="M38">IF(AND(A38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,A38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),IF(L38&lt;_xlfn.IFNA(INDEX(_xlfn.ANCHORARRAY(Sintesi!$C$17)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,1,IF(L38&gt;=_xlfn.IFNA(INDEX(_xlfn.ANCHORARRAY(Sintesi!$C$18)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,0,1-(L38-_xlfn.IFNA(INDEX(_xlfn.ANCHORARRAY(Sintesi!$C$17)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)/(_xlfn.IFNA(INDEX(_xlfn.ANCHORARRAY(Sintesi!$C$18)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-_xlfn.IFNA(INDEX(_xlfn.ANCHORARRAY(Sintesi!$C$17),1,MATCH(1,(_xlfn.ANCHORARRAY(Sintesi!$C$9)&gt;_xlfn.ANCHORARRAY(Sintesi!$C$10))*(A37&gt;=_xlfn.ANCHORARRAY(Sintesi!$C$9))+(_xlfn.ANCHORARRAY(Sintesi!$C$9)&gt;_xlfn.ANCHORARRAY(Sintesi!$C$10))*(A37&lt;=_xlfn.ANCHORARRAY(Sintesi!$C$10))+(_xlfn.ANCHORARRAY(Sintesi!$C$9)&lt;_xlfn.ANCHORARRAY(Sintesi!$C$10))*(A37&gt;=_xlfn.ANCHORARRAY(Sintesi!$C$9))*(A37&lt;=_xlfn.ANCHORARRAY(Sintesi!$C$10)),0)),0)))),0)</f>
        <v>0</v>
      </c>
    </row>
    <row r="39" spans="1:13">
      <c r="A39" s="1">
        <f>'Paste cell here'!A39</f>
        <v>38</v>
      </c>
      <c r="B39" s="2">
        <f>DATE(Sintesi!$C$4-1,12,31)+A39</f>
        <v>44234</v>
      </c>
      <c r="C39" s="34" cm="1">
        <f t="array" ref="C39">_xlfn.IFNA(MATCH(1,(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)*(_xlfn.ANCHORARRAY(Sintesi!$C$15)&gt;=0)+(_xlfn.ANCHORARRAY(Sintesi!$C$15)&lt;0),0),0)</f>
        <v>0</v>
      </c>
      <c r="D39" s="1" cm="1">
        <f t="array" ref="D39">IF(ISBLANK($E40),IF(ISNUMBER($E38),IF($C39&gt;0,IF(($E39=INDEX(_xlfn.ANCHORARRAY(Sintesi!$C$14),1,$C39))*(INDEX(_xlfn.ANCHORARRAY(Sintesi!$C$15),1,$C39)&gt;0),0,IF(($E39=INDEX(_xlfn.ANCHORARRAY(Sintesi!$C$14),1,$C39))*(INDEX(_xlfn.ANCHORARRAY(Sintesi!$C$15),1,$C39)&lt;0)+($E39&gt;=$E38)*($E39&lt;=INDEX($E:$E,MATCH(TRUE,INDEX((ISNUMBER($E:$E)),0),0)))*($E39&gt;INDEX(_xlfn.ANCHORARRAY(Sintesi!$C$14),1,$C39))*($E39&lt;=INDEX(_xlfn.ANCHORARRAY(Sintesi!$C$15),1,$C39))*(INDEX(_xlfn.ANCHORARRAY(Sintesi!$C$15),1,$C39)&gt;0),1,IF(($E39&gt;=$E38)*($E39&lt;=INDEX($E:$E,MATCH(TRUE,INDEX((ISNUMBER($E:$E)),0),0)))*($E39&gt;INDEX(_xlfn.ANCHORARRAY(Sintesi!$C$14),1,$C39))*($E39&lt;INDEX(_xlfn.ANCHORARRAY(Sintesi!$C$16),1,$C39))*(INDEX(_xlfn.ANCHORARRAY(Sintesi!$C$15),1,$C39)&lt;0)+($E39&gt;=$E38)*($E39&lt;=INDEX($E:$E,MATCH(TRUE,INDEX((ISNUMBER($E:$E)),0),0)))*($E39&gt;INDEX(_xlfn.ANCHORARRAY(Sintesi!$C$15),1,$C39))*($E39&lt;INDEX(_xlfn.ANCHORARRAY(Sintesi!$C$16),1,$C39))*(INDEX(_xlfn.ANCHORARRAY(Sintesi!$C$15),1,$C39)&gt;0),2,IF($E39=(INDEX(_xlfn.ANCHORARRAY(Sintesi!$C$16),1,$C39)),3,4)))),0),IF($C39&gt;0,IF(($E39=INDEX(_xlfn.ANCHORARRAY(Sintesi!$C$14),1,$C39))*(INDEX(_xlfn.ANCHORARRAY(Sintesi!$C$15),1,$C39)&gt;0),0,IF(($E39=INDEX(_xlfn.ANCHORARRAY(Sintesi!$C$14),1,$C39))*(INDEX(_xlfn.ANCHORARRAY(Sintesi!$C$15),1,$C39)&lt;0)+($E39&gt;=LOOKUP(2,1/($E:$E&lt;&gt;""),$E:$E))*($E39&lt;=INDEX($E:$E,MATCH(TRUE,INDEX((ISNUMBER($E:$E)),0),0)))*($E39&gt;INDEX(_xlfn.ANCHORARRAY(Sintesi!$C$14),1,$C39))*($E39&lt;=INDEX(_xlfn.ANCHORARRAY(Sintesi!$C$15),1,$C39))*(INDEX(_xlfn.ANCHORARRAY(Sintesi!$C$15),1,$C39)&gt;0),1,IF(($E39&gt;=LOOKUP(2,1/($E:$E&lt;&gt;""),$E:$E))*($E39&lt;=INDEX($E:$E,MATCH(TRUE,INDEX((ISNUMBER($E:$E)),0),0)))*($E39&gt;INDEX(_xlfn.ANCHORARRAY(Sintesi!$C$14),1,$C39))*($E39&lt;INDEX(_xlfn.ANCHORARRAY(Sintesi!$C$16),1,$C39))*(INDEX(_xlfn.ANCHORARRAY(Sintesi!$C$15),1,$C39)&lt;0)+($E39&gt;=LOOKUP(2,1/($E:$E&lt;&gt;""),$E:$E))*($E39&lt;=INDEX($E:$E,MATCH(TRUE,INDEX((ISNUMBER($E:$E)),0),0)))*($E39&gt;INDEX(_xlfn.ANCHORARRAY(Sintesi!$C$15),1,$C39))*($E39&lt;INDEX(_xlfn.ANCHORARRAY(Sintesi!$C$16),1,$C39))*(INDEX(_xlfn.ANCHORARRAY(Sintesi!$C$15),1,$C39)&gt;0),2,IF($E39=(INDEX(_xlfn.ANCHORARRAY(Sintesi!$C$16),1,$C39)),3,4)))),0)),IF(ISNUMBER($E38),IF($C39&gt;0,IF(($E39=INDEX(_xlfn.ANCHORARRAY(Sintesi!$C$14),1,$C39))*(INDEX(_xlfn.ANCHORARRAY(Sintesi!$C$15),1,$C39)&gt;0),0,IF(($E39=INDEX(_xlfn.ANCHORARRAY(Sintesi!$C$14),1,$C39))*(INDEX(_xlfn.ANCHORARRAY(Sintesi!$C$15),1,$C39)&lt;0)+($E39&gt;=$E38)*($E39&lt;=$E40)*($E39&gt;INDEX(_xlfn.ANCHORARRAY(Sintesi!$C$14),1,$C39))*($E39&lt;=INDEX(_xlfn.ANCHORARRAY(Sintesi!$C$15),1,$C39))*(INDEX(_xlfn.ANCHORARRAY(Sintesi!$C$15),1,$C39)&gt;0),1,IF(($E39&gt;=$E38)*($E39&lt;=$E40)*($E39&gt;INDEX(_xlfn.ANCHORARRAY(Sintesi!$C$14),1,$C39))*($E39&lt;INDEX(_xlfn.ANCHORARRAY(Sintesi!$C$16),1,$C39))*(INDEX(_xlfn.ANCHORARRAY(Sintesi!$C$15),1,$C39)&lt;0)+($E39&gt;=$E38)*($E39&lt;=$E40)*($E39&gt;INDEX(_xlfn.ANCHORARRAY(Sintesi!$C$15),1,$C39))*($E39&lt;INDEX(_xlfn.ANCHORARRAY(Sintesi!$C$16),1,$C39))*(INDEX(_xlfn.ANCHORARRAY(Sintesi!$C$15),1,$C39)&gt;0),2,IF($E39=(INDEX(_xlfn.ANCHORARRAY(Sintesi!$C$16),1,$C39)),3,4)))),0),IF($C39&gt;0,IF(($E39=INDEX(_xlfn.ANCHORARRAY(Sintesi!$C$14),1,$C39))*(INDEX(_xlfn.ANCHORARRAY(Sintesi!$C$15),1,$C39)&gt;0),0,IF(($E39=INDEX(_xlfn.ANCHORARRAY(Sintesi!$C$14),1,$C39))*(INDEX(_xlfn.ANCHORARRAY(Sintesi!$C$15),1,$C39)&lt;0)+($E39&gt;=LOOKUP(2,1/($E:$E&lt;&gt;""),$E:$E))*($E39&lt;=$E40)*($E39&gt;INDEX(_xlfn.ANCHORARRAY(Sintesi!$C$14),1,$C39))*($E39&lt;=INDEX(_xlfn.ANCHORARRAY(Sintesi!$C$15),1,$C39))*(INDEX(_xlfn.ANCHORARRAY(Sintesi!$C$15),1,$C39)&gt;0),1,IF(($E39&gt;=LOOKUP(2,1/($E:$E&lt;&gt;""),$E:$E))*($E39&lt;=$E40)*($E39&gt;INDEX(_xlfn.ANCHORARRAY(Sintesi!$C$14),1,$C39))*($E39&lt;INDEX(_xlfn.ANCHORARRAY(Sintesi!$C$16),1,$C39))*(INDEX(_xlfn.ANCHORARRAY(Sintesi!$C$15),1,$C39)&lt;0)+($E39&gt;=LOOKUP(2,1/($E:$E&lt;&gt;""),$E:$E))*($E39&lt;=$E40)*($E39&gt;INDEX(_xlfn.ANCHORARRAY(Sintesi!$C$15),1,$C39))*($E39&lt;INDEX(_xlfn.ANCHORARRAY(Sintesi!$C$16),1,$C39))*(INDEX(_xlfn.ANCHORARRAY(Sintesi!$C$15),1,$C39)&gt;0),2,IF($E39=(INDEX(_xlfn.ANCHORARRAY(Sintesi!$C$16),1,$C39)),3,4)))),0)))</f>
        <v>0</v>
      </c>
      <c r="E39" s="1">
        <f>'Paste cell here'!F39</f>
        <v>0</v>
      </c>
      <c r="F39" s="1">
        <f>'Paste cell here'!C39</f>
        <v>9.0640552010000004</v>
      </c>
      <c r="G39" s="1">
        <f>'Paste cell here'!D39</f>
        <v>7.2640552009999997</v>
      </c>
      <c r="H39" s="1">
        <f>'Paste cell here'!E39</f>
        <v>0.42044084199999998</v>
      </c>
      <c r="I39" s="1">
        <f>'Paste cell here'!X39</f>
        <v>0</v>
      </c>
      <c r="J39" s="1">
        <f>'Paste cell here'!Y39+'Paste cell here'!S39</f>
        <v>0</v>
      </c>
      <c r="K39" s="1">
        <f t="shared" si="1"/>
        <v>0</v>
      </c>
      <c r="L39" s="1">
        <f t="shared" si="0"/>
        <v>8.4114111408943071</v>
      </c>
      <c r="M39" s="1" cm="1">
        <f t="array" ref="M39">IF(AND(A39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,A39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),IF(L39&lt;_xlfn.IFNA(INDEX(_xlfn.ANCHORARRAY(Sintesi!$C$17)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,1,IF(L39&gt;=_xlfn.IFNA(INDEX(_xlfn.ANCHORARRAY(Sintesi!$C$18)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,0,1-(L39-_xlfn.IFNA(INDEX(_xlfn.ANCHORARRAY(Sintesi!$C$17)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)/(_xlfn.IFNA(INDEX(_xlfn.ANCHORARRAY(Sintesi!$C$18)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-_xlfn.IFNA(INDEX(_xlfn.ANCHORARRAY(Sintesi!$C$17),1,MATCH(1,(_xlfn.ANCHORARRAY(Sintesi!$C$9)&gt;_xlfn.ANCHORARRAY(Sintesi!$C$10))*(A38&gt;=_xlfn.ANCHORARRAY(Sintesi!$C$9))+(_xlfn.ANCHORARRAY(Sintesi!$C$9)&gt;_xlfn.ANCHORARRAY(Sintesi!$C$10))*(A38&lt;=_xlfn.ANCHORARRAY(Sintesi!$C$10))+(_xlfn.ANCHORARRAY(Sintesi!$C$9)&lt;_xlfn.ANCHORARRAY(Sintesi!$C$10))*(A38&gt;=_xlfn.ANCHORARRAY(Sintesi!$C$9))*(A38&lt;=_xlfn.ANCHORARRAY(Sintesi!$C$10)),0)),0)))),0)</f>
        <v>0</v>
      </c>
    </row>
    <row r="40" spans="1:13">
      <c r="A40" s="1">
        <f>'Paste cell here'!A40</f>
        <v>39</v>
      </c>
      <c r="B40" s="2">
        <f>DATE(Sintesi!$C$4-1,12,31)+A40</f>
        <v>44235</v>
      </c>
      <c r="C40" s="34" cm="1">
        <f t="array" ref="C40">_xlfn.IFNA(MATCH(1,(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)*(_xlfn.ANCHORARRAY(Sintesi!$C$15)&gt;=0)+(_xlfn.ANCHORARRAY(Sintesi!$C$15)&lt;0),0),0)</f>
        <v>0</v>
      </c>
      <c r="D40" s="1" cm="1">
        <f t="array" ref="D40">IF(ISBLANK($E41),IF(ISNUMBER($E39),IF($C40&gt;0,IF(($E40=INDEX(_xlfn.ANCHORARRAY(Sintesi!$C$14),1,$C40))*(INDEX(_xlfn.ANCHORARRAY(Sintesi!$C$15),1,$C40)&gt;0),0,IF(($E40=INDEX(_xlfn.ANCHORARRAY(Sintesi!$C$14),1,$C40))*(INDEX(_xlfn.ANCHORARRAY(Sintesi!$C$15),1,$C40)&lt;0)+($E40&gt;=$E39)*($E40&lt;=INDEX($E:$E,MATCH(TRUE,INDEX((ISNUMBER($E:$E)),0),0)))*($E40&gt;INDEX(_xlfn.ANCHORARRAY(Sintesi!$C$14),1,$C40))*($E40&lt;=INDEX(_xlfn.ANCHORARRAY(Sintesi!$C$15),1,$C40))*(INDEX(_xlfn.ANCHORARRAY(Sintesi!$C$15),1,$C40)&gt;0),1,IF(($E40&gt;=$E39)*($E40&lt;=INDEX($E:$E,MATCH(TRUE,INDEX((ISNUMBER($E:$E)),0),0)))*($E40&gt;INDEX(_xlfn.ANCHORARRAY(Sintesi!$C$14),1,$C40))*($E40&lt;INDEX(_xlfn.ANCHORARRAY(Sintesi!$C$16),1,$C40))*(INDEX(_xlfn.ANCHORARRAY(Sintesi!$C$15),1,$C40)&lt;0)+($E40&gt;=$E39)*($E40&lt;=INDEX($E:$E,MATCH(TRUE,INDEX((ISNUMBER($E:$E)),0),0)))*($E40&gt;INDEX(_xlfn.ANCHORARRAY(Sintesi!$C$15),1,$C40))*($E40&lt;INDEX(_xlfn.ANCHORARRAY(Sintesi!$C$16),1,$C40))*(INDEX(_xlfn.ANCHORARRAY(Sintesi!$C$15),1,$C40)&gt;0),2,IF($E40=(INDEX(_xlfn.ANCHORARRAY(Sintesi!$C$16),1,$C40)),3,4)))),0),IF($C40&gt;0,IF(($E40=INDEX(_xlfn.ANCHORARRAY(Sintesi!$C$14),1,$C40))*(INDEX(_xlfn.ANCHORARRAY(Sintesi!$C$15),1,$C40)&gt;0),0,IF(($E40=INDEX(_xlfn.ANCHORARRAY(Sintesi!$C$14),1,$C40))*(INDEX(_xlfn.ANCHORARRAY(Sintesi!$C$15),1,$C40)&lt;0)+($E40&gt;=LOOKUP(2,1/($E:$E&lt;&gt;""),$E:$E))*($E40&lt;=INDEX($E:$E,MATCH(TRUE,INDEX((ISNUMBER($E:$E)),0),0)))*($E40&gt;INDEX(_xlfn.ANCHORARRAY(Sintesi!$C$14),1,$C40))*($E40&lt;=INDEX(_xlfn.ANCHORARRAY(Sintesi!$C$15),1,$C40))*(INDEX(_xlfn.ANCHORARRAY(Sintesi!$C$15),1,$C40)&gt;0),1,IF(($E40&gt;=LOOKUP(2,1/($E:$E&lt;&gt;""),$E:$E))*($E40&lt;=INDEX($E:$E,MATCH(TRUE,INDEX((ISNUMBER($E:$E)),0),0)))*($E40&gt;INDEX(_xlfn.ANCHORARRAY(Sintesi!$C$14),1,$C40))*($E40&lt;INDEX(_xlfn.ANCHORARRAY(Sintesi!$C$16),1,$C40))*(INDEX(_xlfn.ANCHORARRAY(Sintesi!$C$15),1,$C40)&lt;0)+($E40&gt;=LOOKUP(2,1/($E:$E&lt;&gt;""),$E:$E))*($E40&lt;=INDEX($E:$E,MATCH(TRUE,INDEX((ISNUMBER($E:$E)),0),0)))*($E40&gt;INDEX(_xlfn.ANCHORARRAY(Sintesi!$C$15),1,$C40))*($E40&lt;INDEX(_xlfn.ANCHORARRAY(Sintesi!$C$16),1,$C40))*(INDEX(_xlfn.ANCHORARRAY(Sintesi!$C$15),1,$C40)&gt;0),2,IF($E40=(INDEX(_xlfn.ANCHORARRAY(Sintesi!$C$16),1,$C40)),3,4)))),0)),IF(ISNUMBER($E39),IF($C40&gt;0,IF(($E40=INDEX(_xlfn.ANCHORARRAY(Sintesi!$C$14),1,$C40))*(INDEX(_xlfn.ANCHORARRAY(Sintesi!$C$15),1,$C40)&gt;0),0,IF(($E40=INDEX(_xlfn.ANCHORARRAY(Sintesi!$C$14),1,$C40))*(INDEX(_xlfn.ANCHORARRAY(Sintesi!$C$15),1,$C40)&lt;0)+($E40&gt;=$E39)*($E40&lt;=$E41)*($E40&gt;INDEX(_xlfn.ANCHORARRAY(Sintesi!$C$14),1,$C40))*($E40&lt;=INDEX(_xlfn.ANCHORARRAY(Sintesi!$C$15),1,$C40))*(INDEX(_xlfn.ANCHORARRAY(Sintesi!$C$15),1,$C40)&gt;0),1,IF(($E40&gt;=$E39)*($E40&lt;=$E41)*($E40&gt;INDEX(_xlfn.ANCHORARRAY(Sintesi!$C$14),1,$C40))*($E40&lt;INDEX(_xlfn.ANCHORARRAY(Sintesi!$C$16),1,$C40))*(INDEX(_xlfn.ANCHORARRAY(Sintesi!$C$15),1,$C40)&lt;0)+($E40&gt;=$E39)*($E40&lt;=$E41)*($E40&gt;INDEX(_xlfn.ANCHORARRAY(Sintesi!$C$15),1,$C40))*($E40&lt;INDEX(_xlfn.ANCHORARRAY(Sintesi!$C$16),1,$C40))*(INDEX(_xlfn.ANCHORARRAY(Sintesi!$C$15),1,$C40)&gt;0),2,IF($E40=(INDEX(_xlfn.ANCHORARRAY(Sintesi!$C$16),1,$C40)),3,4)))),0),IF($C40&gt;0,IF(($E40=INDEX(_xlfn.ANCHORARRAY(Sintesi!$C$14),1,$C40))*(INDEX(_xlfn.ANCHORARRAY(Sintesi!$C$15),1,$C40)&gt;0),0,IF(($E40=INDEX(_xlfn.ANCHORARRAY(Sintesi!$C$14),1,$C40))*(INDEX(_xlfn.ANCHORARRAY(Sintesi!$C$15),1,$C40)&lt;0)+($E40&gt;=LOOKUP(2,1/($E:$E&lt;&gt;""),$E:$E))*($E40&lt;=$E41)*($E40&gt;INDEX(_xlfn.ANCHORARRAY(Sintesi!$C$14),1,$C40))*($E40&lt;=INDEX(_xlfn.ANCHORARRAY(Sintesi!$C$15),1,$C40))*(INDEX(_xlfn.ANCHORARRAY(Sintesi!$C$15),1,$C40)&gt;0),1,IF(($E40&gt;=LOOKUP(2,1/($E:$E&lt;&gt;""),$E:$E))*($E40&lt;=$E41)*($E40&gt;INDEX(_xlfn.ANCHORARRAY(Sintesi!$C$14),1,$C40))*($E40&lt;INDEX(_xlfn.ANCHORARRAY(Sintesi!$C$16),1,$C40))*(INDEX(_xlfn.ANCHORARRAY(Sintesi!$C$15),1,$C40)&lt;0)+($E40&gt;=LOOKUP(2,1/($E:$E&lt;&gt;""),$E:$E))*($E40&lt;=$E41)*($E40&gt;INDEX(_xlfn.ANCHORARRAY(Sintesi!$C$15),1,$C40))*($E40&lt;INDEX(_xlfn.ANCHORARRAY(Sintesi!$C$16),1,$C40))*(INDEX(_xlfn.ANCHORARRAY(Sintesi!$C$15),1,$C40)&gt;0),2,IF($E40=(INDEX(_xlfn.ANCHORARRAY(Sintesi!$C$16),1,$C40)),3,4)))),0)))</f>
        <v>0</v>
      </c>
      <c r="E40" s="1">
        <f>'Paste cell here'!F40</f>
        <v>0</v>
      </c>
      <c r="F40" s="1">
        <f>'Paste cell here'!C40</f>
        <v>13.71048867</v>
      </c>
      <c r="G40" s="1">
        <f>'Paste cell here'!D40</f>
        <v>4.0895113319999998</v>
      </c>
      <c r="H40" s="1">
        <f>'Paste cell here'!E40</f>
        <v>1.225197308</v>
      </c>
      <c r="I40" s="1">
        <f>'Paste cell here'!X40</f>
        <v>0</v>
      </c>
      <c r="J40" s="1">
        <f>'Paste cell here'!Y40+'Paste cell here'!S40</f>
        <v>0</v>
      </c>
      <c r="K40" s="1">
        <f t="shared" si="1"/>
        <v>0</v>
      </c>
      <c r="L40" s="1">
        <f t="shared" si="0"/>
        <v>10.222114385523795</v>
      </c>
      <c r="M40" s="1" cm="1">
        <f t="array" ref="M40">IF(AND(A40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,A40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),IF(L40&lt;_xlfn.IFNA(INDEX(_xlfn.ANCHORARRAY(Sintesi!$C$17)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,1,IF(L40&gt;=_xlfn.IFNA(INDEX(_xlfn.ANCHORARRAY(Sintesi!$C$18)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,0,1-(L40-_xlfn.IFNA(INDEX(_xlfn.ANCHORARRAY(Sintesi!$C$17)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)/(_xlfn.IFNA(INDEX(_xlfn.ANCHORARRAY(Sintesi!$C$18)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-_xlfn.IFNA(INDEX(_xlfn.ANCHORARRAY(Sintesi!$C$17),1,MATCH(1,(_xlfn.ANCHORARRAY(Sintesi!$C$9)&gt;_xlfn.ANCHORARRAY(Sintesi!$C$10))*(A39&gt;=_xlfn.ANCHORARRAY(Sintesi!$C$9))+(_xlfn.ANCHORARRAY(Sintesi!$C$9)&gt;_xlfn.ANCHORARRAY(Sintesi!$C$10))*(A39&lt;=_xlfn.ANCHORARRAY(Sintesi!$C$10))+(_xlfn.ANCHORARRAY(Sintesi!$C$9)&lt;_xlfn.ANCHORARRAY(Sintesi!$C$10))*(A39&gt;=_xlfn.ANCHORARRAY(Sintesi!$C$9))*(A39&lt;=_xlfn.ANCHORARRAY(Sintesi!$C$10)),0)),0)))),0)</f>
        <v>0</v>
      </c>
    </row>
    <row r="41" spans="1:13">
      <c r="A41" s="1">
        <f>'Paste cell here'!A41</f>
        <v>40</v>
      </c>
      <c r="B41" s="2">
        <f>DATE(Sintesi!$C$4-1,12,31)+A41</f>
        <v>44236</v>
      </c>
      <c r="C41" s="34" cm="1">
        <f t="array" ref="C41">_xlfn.IFNA(MATCH(1,(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)*(_xlfn.ANCHORARRAY(Sintesi!$C$15)&gt;=0)+(_xlfn.ANCHORARRAY(Sintesi!$C$15)&lt;0),0),0)</f>
        <v>0</v>
      </c>
      <c r="D41" s="1" cm="1">
        <f t="array" ref="D41">IF(ISBLANK($E42),IF(ISNUMBER($E40),IF($C41&gt;0,IF(($E41=INDEX(_xlfn.ANCHORARRAY(Sintesi!$C$14),1,$C41))*(INDEX(_xlfn.ANCHORARRAY(Sintesi!$C$15),1,$C41)&gt;0),0,IF(($E41=INDEX(_xlfn.ANCHORARRAY(Sintesi!$C$14),1,$C41))*(INDEX(_xlfn.ANCHORARRAY(Sintesi!$C$15),1,$C41)&lt;0)+($E41&gt;=$E40)*($E41&lt;=INDEX($E:$E,MATCH(TRUE,INDEX((ISNUMBER($E:$E)),0),0)))*($E41&gt;INDEX(_xlfn.ANCHORARRAY(Sintesi!$C$14),1,$C41))*($E41&lt;=INDEX(_xlfn.ANCHORARRAY(Sintesi!$C$15),1,$C41))*(INDEX(_xlfn.ANCHORARRAY(Sintesi!$C$15),1,$C41)&gt;0),1,IF(($E41&gt;=$E40)*($E41&lt;=INDEX($E:$E,MATCH(TRUE,INDEX((ISNUMBER($E:$E)),0),0)))*($E41&gt;INDEX(_xlfn.ANCHORARRAY(Sintesi!$C$14),1,$C41))*($E41&lt;INDEX(_xlfn.ANCHORARRAY(Sintesi!$C$16),1,$C41))*(INDEX(_xlfn.ANCHORARRAY(Sintesi!$C$15),1,$C41)&lt;0)+($E41&gt;=$E40)*($E41&lt;=INDEX($E:$E,MATCH(TRUE,INDEX((ISNUMBER($E:$E)),0),0)))*($E41&gt;INDEX(_xlfn.ANCHORARRAY(Sintesi!$C$15),1,$C41))*($E41&lt;INDEX(_xlfn.ANCHORARRAY(Sintesi!$C$16),1,$C41))*(INDEX(_xlfn.ANCHORARRAY(Sintesi!$C$15),1,$C41)&gt;0),2,IF($E41=(INDEX(_xlfn.ANCHORARRAY(Sintesi!$C$16),1,$C41)),3,4)))),0),IF($C41&gt;0,IF(($E41=INDEX(_xlfn.ANCHORARRAY(Sintesi!$C$14),1,$C41))*(INDEX(_xlfn.ANCHORARRAY(Sintesi!$C$15),1,$C41)&gt;0),0,IF(($E41=INDEX(_xlfn.ANCHORARRAY(Sintesi!$C$14),1,$C41))*(INDEX(_xlfn.ANCHORARRAY(Sintesi!$C$15),1,$C41)&lt;0)+($E41&gt;=LOOKUP(2,1/($E:$E&lt;&gt;""),$E:$E))*($E41&lt;=INDEX($E:$E,MATCH(TRUE,INDEX((ISNUMBER($E:$E)),0),0)))*($E41&gt;INDEX(_xlfn.ANCHORARRAY(Sintesi!$C$14),1,$C41))*($E41&lt;=INDEX(_xlfn.ANCHORARRAY(Sintesi!$C$15),1,$C41))*(INDEX(_xlfn.ANCHORARRAY(Sintesi!$C$15),1,$C41)&gt;0),1,IF(($E41&gt;=LOOKUP(2,1/($E:$E&lt;&gt;""),$E:$E))*($E41&lt;=INDEX($E:$E,MATCH(TRUE,INDEX((ISNUMBER($E:$E)),0),0)))*($E41&gt;INDEX(_xlfn.ANCHORARRAY(Sintesi!$C$14),1,$C41))*($E41&lt;INDEX(_xlfn.ANCHORARRAY(Sintesi!$C$16),1,$C41))*(INDEX(_xlfn.ANCHORARRAY(Sintesi!$C$15),1,$C41)&lt;0)+($E41&gt;=LOOKUP(2,1/($E:$E&lt;&gt;""),$E:$E))*($E41&lt;=INDEX($E:$E,MATCH(TRUE,INDEX((ISNUMBER($E:$E)),0),0)))*($E41&gt;INDEX(_xlfn.ANCHORARRAY(Sintesi!$C$15),1,$C41))*($E41&lt;INDEX(_xlfn.ANCHORARRAY(Sintesi!$C$16),1,$C41))*(INDEX(_xlfn.ANCHORARRAY(Sintesi!$C$15),1,$C41)&gt;0),2,IF($E41=(INDEX(_xlfn.ANCHORARRAY(Sintesi!$C$16),1,$C41)),3,4)))),0)),IF(ISNUMBER($E40),IF($C41&gt;0,IF(($E41=INDEX(_xlfn.ANCHORARRAY(Sintesi!$C$14),1,$C41))*(INDEX(_xlfn.ANCHORARRAY(Sintesi!$C$15),1,$C41)&gt;0),0,IF(($E41=INDEX(_xlfn.ANCHORARRAY(Sintesi!$C$14),1,$C41))*(INDEX(_xlfn.ANCHORARRAY(Sintesi!$C$15),1,$C41)&lt;0)+($E41&gt;=$E40)*($E41&lt;=$E42)*($E41&gt;INDEX(_xlfn.ANCHORARRAY(Sintesi!$C$14),1,$C41))*($E41&lt;=INDEX(_xlfn.ANCHORARRAY(Sintesi!$C$15),1,$C41))*(INDEX(_xlfn.ANCHORARRAY(Sintesi!$C$15),1,$C41)&gt;0),1,IF(($E41&gt;=$E40)*($E41&lt;=$E42)*($E41&gt;INDEX(_xlfn.ANCHORARRAY(Sintesi!$C$14),1,$C41))*($E41&lt;INDEX(_xlfn.ANCHORARRAY(Sintesi!$C$16),1,$C41))*(INDEX(_xlfn.ANCHORARRAY(Sintesi!$C$15),1,$C41)&lt;0)+($E41&gt;=$E40)*($E41&lt;=$E42)*($E41&gt;INDEX(_xlfn.ANCHORARRAY(Sintesi!$C$15),1,$C41))*($E41&lt;INDEX(_xlfn.ANCHORARRAY(Sintesi!$C$16),1,$C41))*(INDEX(_xlfn.ANCHORARRAY(Sintesi!$C$15),1,$C41)&gt;0),2,IF($E41=(INDEX(_xlfn.ANCHORARRAY(Sintesi!$C$16),1,$C41)),3,4)))),0),IF($C41&gt;0,IF(($E41=INDEX(_xlfn.ANCHORARRAY(Sintesi!$C$14),1,$C41))*(INDEX(_xlfn.ANCHORARRAY(Sintesi!$C$15),1,$C41)&gt;0),0,IF(($E41=INDEX(_xlfn.ANCHORARRAY(Sintesi!$C$14),1,$C41))*(INDEX(_xlfn.ANCHORARRAY(Sintesi!$C$15),1,$C41)&lt;0)+($E41&gt;=LOOKUP(2,1/($E:$E&lt;&gt;""),$E:$E))*($E41&lt;=$E42)*($E41&gt;INDEX(_xlfn.ANCHORARRAY(Sintesi!$C$14),1,$C41))*($E41&lt;=INDEX(_xlfn.ANCHORARRAY(Sintesi!$C$15),1,$C41))*(INDEX(_xlfn.ANCHORARRAY(Sintesi!$C$15),1,$C41)&gt;0),1,IF(($E41&gt;=LOOKUP(2,1/($E:$E&lt;&gt;""),$E:$E))*($E41&lt;=$E42)*($E41&gt;INDEX(_xlfn.ANCHORARRAY(Sintesi!$C$14),1,$C41))*($E41&lt;INDEX(_xlfn.ANCHORARRAY(Sintesi!$C$16),1,$C41))*(INDEX(_xlfn.ANCHORARRAY(Sintesi!$C$15),1,$C41)&lt;0)+($E41&gt;=LOOKUP(2,1/($E:$E&lt;&gt;""),$E:$E))*($E41&lt;=$E42)*($E41&gt;INDEX(_xlfn.ANCHORARRAY(Sintesi!$C$15),1,$C41))*($E41&lt;INDEX(_xlfn.ANCHORARRAY(Sintesi!$C$16),1,$C41))*(INDEX(_xlfn.ANCHORARRAY(Sintesi!$C$15),1,$C41)&gt;0),2,IF($E41=(INDEX(_xlfn.ANCHORARRAY(Sintesi!$C$16),1,$C41)),3,4)))),0)))</f>
        <v>0</v>
      </c>
      <c r="E41" s="1">
        <f>'Paste cell here'!F41</f>
        <v>0</v>
      </c>
      <c r="F41" s="1">
        <f>'Paste cell here'!C41</f>
        <v>11.68201949</v>
      </c>
      <c r="G41" s="1">
        <f>'Paste cell here'!D41</f>
        <v>7</v>
      </c>
      <c r="H41" s="1">
        <f>'Paste cell here'!E41</f>
        <v>0.66356243599999998</v>
      </c>
      <c r="I41" s="1">
        <f>'Paste cell here'!X41</f>
        <v>0</v>
      </c>
      <c r="J41" s="1">
        <f>'Paste cell here'!Y41+'Paste cell here'!S41</f>
        <v>0</v>
      </c>
      <c r="K41" s="1">
        <f t="shared" si="1"/>
        <v>0</v>
      </c>
      <c r="L41" s="1">
        <f t="shared" si="0"/>
        <v>9.9844127069735684</v>
      </c>
      <c r="M41" s="1" cm="1">
        <f t="array" ref="M41">IF(AND(A41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,A41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),IF(L41&lt;_xlfn.IFNA(INDEX(_xlfn.ANCHORARRAY(Sintesi!$C$17)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,1,IF(L41&gt;=_xlfn.IFNA(INDEX(_xlfn.ANCHORARRAY(Sintesi!$C$18)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,0,1-(L41-_xlfn.IFNA(INDEX(_xlfn.ANCHORARRAY(Sintesi!$C$17)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)/(_xlfn.IFNA(INDEX(_xlfn.ANCHORARRAY(Sintesi!$C$18)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-_xlfn.IFNA(INDEX(_xlfn.ANCHORARRAY(Sintesi!$C$17),1,MATCH(1,(_xlfn.ANCHORARRAY(Sintesi!$C$9)&gt;_xlfn.ANCHORARRAY(Sintesi!$C$10))*(A40&gt;=_xlfn.ANCHORARRAY(Sintesi!$C$9))+(_xlfn.ANCHORARRAY(Sintesi!$C$9)&gt;_xlfn.ANCHORARRAY(Sintesi!$C$10))*(A40&lt;=_xlfn.ANCHORARRAY(Sintesi!$C$10))+(_xlfn.ANCHORARRAY(Sintesi!$C$9)&lt;_xlfn.ANCHORARRAY(Sintesi!$C$10))*(A40&gt;=_xlfn.ANCHORARRAY(Sintesi!$C$9))*(A40&lt;=_xlfn.ANCHORARRAY(Sintesi!$C$10)),0)),0)))),0)</f>
        <v>0</v>
      </c>
    </row>
    <row r="42" spans="1:13">
      <c r="A42" s="1">
        <f>'Paste cell here'!A42</f>
        <v>41</v>
      </c>
      <c r="B42" s="2">
        <f>DATE(Sintesi!$C$4-1,12,31)+A42</f>
        <v>44237</v>
      </c>
      <c r="C42" s="34" cm="1">
        <f t="array" ref="C42">_xlfn.IFNA(MATCH(1,(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)*(_xlfn.ANCHORARRAY(Sintesi!$C$15)&gt;=0)+(_xlfn.ANCHORARRAY(Sintesi!$C$15)&lt;0),0),0)</f>
        <v>0</v>
      </c>
      <c r="D42" s="1" cm="1">
        <f t="array" ref="D42">IF(ISBLANK($E43),IF(ISNUMBER($E41),IF($C42&gt;0,IF(($E42=INDEX(_xlfn.ANCHORARRAY(Sintesi!$C$14),1,$C42))*(INDEX(_xlfn.ANCHORARRAY(Sintesi!$C$15),1,$C42)&gt;0),0,IF(($E42=INDEX(_xlfn.ANCHORARRAY(Sintesi!$C$14),1,$C42))*(INDEX(_xlfn.ANCHORARRAY(Sintesi!$C$15),1,$C42)&lt;0)+($E42&gt;=$E41)*($E42&lt;=INDEX($E:$E,MATCH(TRUE,INDEX((ISNUMBER($E:$E)),0),0)))*($E42&gt;INDEX(_xlfn.ANCHORARRAY(Sintesi!$C$14),1,$C42))*($E42&lt;=INDEX(_xlfn.ANCHORARRAY(Sintesi!$C$15),1,$C42))*(INDEX(_xlfn.ANCHORARRAY(Sintesi!$C$15),1,$C42)&gt;0),1,IF(($E42&gt;=$E41)*($E42&lt;=INDEX($E:$E,MATCH(TRUE,INDEX((ISNUMBER($E:$E)),0),0)))*($E42&gt;INDEX(_xlfn.ANCHORARRAY(Sintesi!$C$14),1,$C42))*($E42&lt;INDEX(_xlfn.ANCHORARRAY(Sintesi!$C$16),1,$C42))*(INDEX(_xlfn.ANCHORARRAY(Sintesi!$C$15),1,$C42)&lt;0)+($E42&gt;=$E41)*($E42&lt;=INDEX($E:$E,MATCH(TRUE,INDEX((ISNUMBER($E:$E)),0),0)))*($E42&gt;INDEX(_xlfn.ANCHORARRAY(Sintesi!$C$15),1,$C42))*($E42&lt;INDEX(_xlfn.ANCHORARRAY(Sintesi!$C$16),1,$C42))*(INDEX(_xlfn.ANCHORARRAY(Sintesi!$C$15),1,$C42)&gt;0),2,IF($E42=(INDEX(_xlfn.ANCHORARRAY(Sintesi!$C$16),1,$C42)),3,4)))),0),IF($C42&gt;0,IF(($E42=INDEX(_xlfn.ANCHORARRAY(Sintesi!$C$14),1,$C42))*(INDEX(_xlfn.ANCHORARRAY(Sintesi!$C$15),1,$C42)&gt;0),0,IF(($E42=INDEX(_xlfn.ANCHORARRAY(Sintesi!$C$14),1,$C42))*(INDEX(_xlfn.ANCHORARRAY(Sintesi!$C$15),1,$C42)&lt;0)+($E42&gt;=LOOKUP(2,1/($E:$E&lt;&gt;""),$E:$E))*($E42&lt;=INDEX($E:$E,MATCH(TRUE,INDEX((ISNUMBER($E:$E)),0),0)))*($E42&gt;INDEX(_xlfn.ANCHORARRAY(Sintesi!$C$14),1,$C42))*($E42&lt;=INDEX(_xlfn.ANCHORARRAY(Sintesi!$C$15),1,$C42))*(INDEX(_xlfn.ANCHORARRAY(Sintesi!$C$15),1,$C42)&gt;0),1,IF(($E42&gt;=LOOKUP(2,1/($E:$E&lt;&gt;""),$E:$E))*($E42&lt;=INDEX($E:$E,MATCH(TRUE,INDEX((ISNUMBER($E:$E)),0),0)))*($E42&gt;INDEX(_xlfn.ANCHORARRAY(Sintesi!$C$14),1,$C42))*($E42&lt;INDEX(_xlfn.ANCHORARRAY(Sintesi!$C$16),1,$C42))*(INDEX(_xlfn.ANCHORARRAY(Sintesi!$C$15),1,$C42)&lt;0)+($E42&gt;=LOOKUP(2,1/($E:$E&lt;&gt;""),$E:$E))*($E42&lt;=INDEX($E:$E,MATCH(TRUE,INDEX((ISNUMBER($E:$E)),0),0)))*($E42&gt;INDEX(_xlfn.ANCHORARRAY(Sintesi!$C$15),1,$C42))*($E42&lt;INDEX(_xlfn.ANCHORARRAY(Sintesi!$C$16),1,$C42))*(INDEX(_xlfn.ANCHORARRAY(Sintesi!$C$15),1,$C42)&gt;0),2,IF($E42=(INDEX(_xlfn.ANCHORARRAY(Sintesi!$C$16),1,$C42)),3,4)))),0)),IF(ISNUMBER($E41),IF($C42&gt;0,IF(($E42=INDEX(_xlfn.ANCHORARRAY(Sintesi!$C$14),1,$C42))*(INDEX(_xlfn.ANCHORARRAY(Sintesi!$C$15),1,$C42)&gt;0),0,IF(($E42=INDEX(_xlfn.ANCHORARRAY(Sintesi!$C$14),1,$C42))*(INDEX(_xlfn.ANCHORARRAY(Sintesi!$C$15),1,$C42)&lt;0)+($E42&gt;=$E41)*($E42&lt;=$E43)*($E42&gt;INDEX(_xlfn.ANCHORARRAY(Sintesi!$C$14),1,$C42))*($E42&lt;=INDEX(_xlfn.ANCHORARRAY(Sintesi!$C$15),1,$C42))*(INDEX(_xlfn.ANCHORARRAY(Sintesi!$C$15),1,$C42)&gt;0),1,IF(($E42&gt;=$E41)*($E42&lt;=$E43)*($E42&gt;INDEX(_xlfn.ANCHORARRAY(Sintesi!$C$14),1,$C42))*($E42&lt;INDEX(_xlfn.ANCHORARRAY(Sintesi!$C$16),1,$C42))*(INDEX(_xlfn.ANCHORARRAY(Sintesi!$C$15),1,$C42)&lt;0)+($E42&gt;=$E41)*($E42&lt;=$E43)*($E42&gt;INDEX(_xlfn.ANCHORARRAY(Sintesi!$C$15),1,$C42))*($E42&lt;INDEX(_xlfn.ANCHORARRAY(Sintesi!$C$16),1,$C42))*(INDEX(_xlfn.ANCHORARRAY(Sintesi!$C$15),1,$C42)&gt;0),2,IF($E42=(INDEX(_xlfn.ANCHORARRAY(Sintesi!$C$16),1,$C42)),3,4)))),0),IF($C42&gt;0,IF(($E42=INDEX(_xlfn.ANCHORARRAY(Sintesi!$C$14),1,$C42))*(INDEX(_xlfn.ANCHORARRAY(Sintesi!$C$15),1,$C42)&gt;0),0,IF(($E42=INDEX(_xlfn.ANCHORARRAY(Sintesi!$C$14),1,$C42))*(INDEX(_xlfn.ANCHORARRAY(Sintesi!$C$15),1,$C42)&lt;0)+($E42&gt;=LOOKUP(2,1/($E:$E&lt;&gt;""),$E:$E))*($E42&lt;=$E43)*($E42&gt;INDEX(_xlfn.ANCHORARRAY(Sintesi!$C$14),1,$C42))*($E42&lt;=INDEX(_xlfn.ANCHORARRAY(Sintesi!$C$15),1,$C42))*(INDEX(_xlfn.ANCHORARRAY(Sintesi!$C$15),1,$C42)&gt;0),1,IF(($E42&gt;=LOOKUP(2,1/($E:$E&lt;&gt;""),$E:$E))*($E42&lt;=$E43)*($E42&gt;INDEX(_xlfn.ANCHORARRAY(Sintesi!$C$14),1,$C42))*($E42&lt;INDEX(_xlfn.ANCHORARRAY(Sintesi!$C$16),1,$C42))*(INDEX(_xlfn.ANCHORARRAY(Sintesi!$C$15),1,$C42)&lt;0)+($E42&gt;=LOOKUP(2,1/($E:$E&lt;&gt;""),$E:$E))*($E42&lt;=$E43)*($E42&gt;INDEX(_xlfn.ANCHORARRAY(Sintesi!$C$15),1,$C42))*($E42&lt;INDEX(_xlfn.ANCHORARRAY(Sintesi!$C$16),1,$C42))*(INDEX(_xlfn.ANCHORARRAY(Sintesi!$C$15),1,$C42)&gt;0),2,IF($E42=(INDEX(_xlfn.ANCHORARRAY(Sintesi!$C$16),1,$C42)),3,4)))),0)))</f>
        <v>0</v>
      </c>
      <c r="E42" s="1">
        <f>'Paste cell here'!F42</f>
        <v>0</v>
      </c>
      <c r="F42" s="1">
        <f>'Paste cell here'!C42</f>
        <v>8.6539253049999996</v>
      </c>
      <c r="G42" s="1">
        <f>'Paste cell here'!D42</f>
        <v>4.0227347379999996</v>
      </c>
      <c r="H42" s="1">
        <f>'Paste cell here'!E42</f>
        <v>0.43162021099999998</v>
      </c>
      <c r="I42" s="1">
        <f>'Paste cell here'!X42</f>
        <v>0</v>
      </c>
      <c r="J42" s="1">
        <f>'Paste cell here'!Y42+'Paste cell here'!S42</f>
        <v>0</v>
      </c>
      <c r="K42" s="1">
        <f t="shared" si="1"/>
        <v>0</v>
      </c>
      <c r="L42" s="1">
        <f t="shared" si="0"/>
        <v>6.9747480745721884</v>
      </c>
      <c r="M42" s="1" cm="1">
        <f t="array" ref="M42">IF(AND(A42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,A42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),IF(L42&lt;_xlfn.IFNA(INDEX(_xlfn.ANCHORARRAY(Sintesi!$C$17)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,1,IF(L42&gt;=_xlfn.IFNA(INDEX(_xlfn.ANCHORARRAY(Sintesi!$C$18)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,0,1-(L42-_xlfn.IFNA(INDEX(_xlfn.ANCHORARRAY(Sintesi!$C$17)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)/(_xlfn.IFNA(INDEX(_xlfn.ANCHORARRAY(Sintesi!$C$18)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-_xlfn.IFNA(INDEX(_xlfn.ANCHORARRAY(Sintesi!$C$17),1,MATCH(1,(_xlfn.ANCHORARRAY(Sintesi!$C$9)&gt;_xlfn.ANCHORARRAY(Sintesi!$C$10))*(A41&gt;=_xlfn.ANCHORARRAY(Sintesi!$C$9))+(_xlfn.ANCHORARRAY(Sintesi!$C$9)&gt;_xlfn.ANCHORARRAY(Sintesi!$C$10))*(A41&lt;=_xlfn.ANCHORARRAY(Sintesi!$C$10))+(_xlfn.ANCHORARRAY(Sintesi!$C$9)&lt;_xlfn.ANCHORARRAY(Sintesi!$C$10))*(A41&gt;=_xlfn.ANCHORARRAY(Sintesi!$C$9))*(A41&lt;=_xlfn.ANCHORARRAY(Sintesi!$C$10)),0)),0)))),0)</f>
        <v>0</v>
      </c>
    </row>
    <row r="43" spans="1:13">
      <c r="A43" s="1">
        <f>'Paste cell here'!A43</f>
        <v>42</v>
      </c>
      <c r="B43" s="2">
        <f>DATE(Sintesi!$C$4-1,12,31)+A43</f>
        <v>44238</v>
      </c>
      <c r="C43" s="34" cm="1">
        <f t="array" ref="C43">_xlfn.IFNA(MATCH(1,(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)*(_xlfn.ANCHORARRAY(Sintesi!$C$15)&gt;=0)+(_xlfn.ANCHORARRAY(Sintesi!$C$15)&lt;0),0),0)</f>
        <v>0</v>
      </c>
      <c r="D43" s="1" cm="1">
        <f t="array" ref="D43">IF(ISBLANK($E44),IF(ISNUMBER($E42),IF($C43&gt;0,IF(($E43=INDEX(_xlfn.ANCHORARRAY(Sintesi!$C$14),1,$C43))*(INDEX(_xlfn.ANCHORARRAY(Sintesi!$C$15),1,$C43)&gt;0),0,IF(($E43=INDEX(_xlfn.ANCHORARRAY(Sintesi!$C$14),1,$C43))*(INDEX(_xlfn.ANCHORARRAY(Sintesi!$C$15),1,$C43)&lt;0)+($E43&gt;=$E42)*($E43&lt;=INDEX($E:$E,MATCH(TRUE,INDEX((ISNUMBER($E:$E)),0),0)))*($E43&gt;INDEX(_xlfn.ANCHORARRAY(Sintesi!$C$14),1,$C43))*($E43&lt;=INDEX(_xlfn.ANCHORARRAY(Sintesi!$C$15),1,$C43))*(INDEX(_xlfn.ANCHORARRAY(Sintesi!$C$15),1,$C43)&gt;0),1,IF(($E43&gt;=$E42)*($E43&lt;=INDEX($E:$E,MATCH(TRUE,INDEX((ISNUMBER($E:$E)),0),0)))*($E43&gt;INDEX(_xlfn.ANCHORARRAY(Sintesi!$C$14),1,$C43))*($E43&lt;INDEX(_xlfn.ANCHORARRAY(Sintesi!$C$16),1,$C43))*(INDEX(_xlfn.ANCHORARRAY(Sintesi!$C$15),1,$C43)&lt;0)+($E43&gt;=$E42)*($E43&lt;=INDEX($E:$E,MATCH(TRUE,INDEX((ISNUMBER($E:$E)),0),0)))*($E43&gt;INDEX(_xlfn.ANCHORARRAY(Sintesi!$C$15),1,$C43))*($E43&lt;INDEX(_xlfn.ANCHORARRAY(Sintesi!$C$16),1,$C43))*(INDEX(_xlfn.ANCHORARRAY(Sintesi!$C$15),1,$C43)&gt;0),2,IF($E43=(INDEX(_xlfn.ANCHORARRAY(Sintesi!$C$16),1,$C43)),3,4)))),0),IF($C43&gt;0,IF(($E43=INDEX(_xlfn.ANCHORARRAY(Sintesi!$C$14),1,$C43))*(INDEX(_xlfn.ANCHORARRAY(Sintesi!$C$15),1,$C43)&gt;0),0,IF(($E43=INDEX(_xlfn.ANCHORARRAY(Sintesi!$C$14),1,$C43))*(INDEX(_xlfn.ANCHORARRAY(Sintesi!$C$15),1,$C43)&lt;0)+($E43&gt;=LOOKUP(2,1/($E:$E&lt;&gt;""),$E:$E))*($E43&lt;=INDEX($E:$E,MATCH(TRUE,INDEX((ISNUMBER($E:$E)),0),0)))*($E43&gt;INDEX(_xlfn.ANCHORARRAY(Sintesi!$C$14),1,$C43))*($E43&lt;=INDEX(_xlfn.ANCHORARRAY(Sintesi!$C$15),1,$C43))*(INDEX(_xlfn.ANCHORARRAY(Sintesi!$C$15),1,$C43)&gt;0),1,IF(($E43&gt;=LOOKUP(2,1/($E:$E&lt;&gt;""),$E:$E))*($E43&lt;=INDEX($E:$E,MATCH(TRUE,INDEX((ISNUMBER($E:$E)),0),0)))*($E43&gt;INDEX(_xlfn.ANCHORARRAY(Sintesi!$C$14),1,$C43))*($E43&lt;INDEX(_xlfn.ANCHORARRAY(Sintesi!$C$16),1,$C43))*(INDEX(_xlfn.ANCHORARRAY(Sintesi!$C$15),1,$C43)&lt;0)+($E43&gt;=LOOKUP(2,1/($E:$E&lt;&gt;""),$E:$E))*($E43&lt;=INDEX($E:$E,MATCH(TRUE,INDEX((ISNUMBER($E:$E)),0),0)))*($E43&gt;INDEX(_xlfn.ANCHORARRAY(Sintesi!$C$15),1,$C43))*($E43&lt;INDEX(_xlfn.ANCHORARRAY(Sintesi!$C$16),1,$C43))*(INDEX(_xlfn.ANCHORARRAY(Sintesi!$C$15),1,$C43)&gt;0),2,IF($E43=(INDEX(_xlfn.ANCHORARRAY(Sintesi!$C$16),1,$C43)),3,4)))),0)),IF(ISNUMBER($E42),IF($C43&gt;0,IF(($E43=INDEX(_xlfn.ANCHORARRAY(Sintesi!$C$14),1,$C43))*(INDEX(_xlfn.ANCHORARRAY(Sintesi!$C$15),1,$C43)&gt;0),0,IF(($E43=INDEX(_xlfn.ANCHORARRAY(Sintesi!$C$14),1,$C43))*(INDEX(_xlfn.ANCHORARRAY(Sintesi!$C$15),1,$C43)&lt;0)+($E43&gt;=$E42)*($E43&lt;=$E44)*($E43&gt;INDEX(_xlfn.ANCHORARRAY(Sintesi!$C$14),1,$C43))*($E43&lt;=INDEX(_xlfn.ANCHORARRAY(Sintesi!$C$15),1,$C43))*(INDEX(_xlfn.ANCHORARRAY(Sintesi!$C$15),1,$C43)&gt;0),1,IF(($E43&gt;=$E42)*($E43&lt;=$E44)*($E43&gt;INDEX(_xlfn.ANCHORARRAY(Sintesi!$C$14),1,$C43))*($E43&lt;INDEX(_xlfn.ANCHORARRAY(Sintesi!$C$16),1,$C43))*(INDEX(_xlfn.ANCHORARRAY(Sintesi!$C$15),1,$C43)&lt;0)+($E43&gt;=$E42)*($E43&lt;=$E44)*($E43&gt;INDEX(_xlfn.ANCHORARRAY(Sintesi!$C$15),1,$C43))*($E43&lt;INDEX(_xlfn.ANCHORARRAY(Sintesi!$C$16),1,$C43))*(INDEX(_xlfn.ANCHORARRAY(Sintesi!$C$15),1,$C43)&gt;0),2,IF($E43=(INDEX(_xlfn.ANCHORARRAY(Sintesi!$C$16),1,$C43)),3,4)))),0),IF($C43&gt;0,IF(($E43=INDEX(_xlfn.ANCHORARRAY(Sintesi!$C$14),1,$C43))*(INDEX(_xlfn.ANCHORARRAY(Sintesi!$C$15),1,$C43)&gt;0),0,IF(($E43=INDEX(_xlfn.ANCHORARRAY(Sintesi!$C$14),1,$C43))*(INDEX(_xlfn.ANCHORARRAY(Sintesi!$C$15),1,$C43)&lt;0)+($E43&gt;=LOOKUP(2,1/($E:$E&lt;&gt;""),$E:$E))*($E43&lt;=$E44)*($E43&gt;INDEX(_xlfn.ANCHORARRAY(Sintesi!$C$14),1,$C43))*($E43&lt;=INDEX(_xlfn.ANCHORARRAY(Sintesi!$C$15),1,$C43))*(INDEX(_xlfn.ANCHORARRAY(Sintesi!$C$15),1,$C43)&gt;0),1,IF(($E43&gt;=LOOKUP(2,1/($E:$E&lt;&gt;""),$E:$E))*($E43&lt;=$E44)*($E43&gt;INDEX(_xlfn.ANCHORARRAY(Sintesi!$C$14),1,$C43))*($E43&lt;INDEX(_xlfn.ANCHORARRAY(Sintesi!$C$16),1,$C43))*(INDEX(_xlfn.ANCHORARRAY(Sintesi!$C$15),1,$C43)&lt;0)+($E43&gt;=LOOKUP(2,1/($E:$E&lt;&gt;""),$E:$E))*($E43&lt;=$E44)*($E43&gt;INDEX(_xlfn.ANCHORARRAY(Sintesi!$C$15),1,$C43))*($E43&lt;INDEX(_xlfn.ANCHORARRAY(Sintesi!$C$16),1,$C43))*(INDEX(_xlfn.ANCHORARRAY(Sintesi!$C$15),1,$C43)&gt;0),2,IF($E43=(INDEX(_xlfn.ANCHORARRAY(Sintesi!$C$16),1,$C43)),3,4)))),0)))</f>
        <v>0</v>
      </c>
      <c r="E43" s="1">
        <f>'Paste cell here'!F43</f>
        <v>0</v>
      </c>
      <c r="F43" s="1">
        <f>'Paste cell here'!C43</f>
        <v>14.20267973</v>
      </c>
      <c r="G43" s="1">
        <f>'Paste cell here'!D43</f>
        <v>0.422734738</v>
      </c>
      <c r="H43" s="1">
        <f>'Paste cell here'!E43</f>
        <v>1.042731836</v>
      </c>
      <c r="I43" s="1">
        <f>'Paste cell here'!X43</f>
        <v>0</v>
      </c>
      <c r="J43" s="1">
        <f>'Paste cell here'!Y43+'Paste cell here'!S43</f>
        <v>0</v>
      </c>
      <c r="K43" s="1">
        <f t="shared" si="1"/>
        <v>0</v>
      </c>
      <c r="L43" s="1">
        <f t="shared" si="0"/>
        <v>9.206346814660014</v>
      </c>
      <c r="M43" s="1" cm="1">
        <f t="array" ref="M43">IF(AND(A43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,A43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),IF(L43&lt;_xlfn.IFNA(INDEX(_xlfn.ANCHORARRAY(Sintesi!$C$17)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,1,IF(L43&gt;=_xlfn.IFNA(INDEX(_xlfn.ANCHORARRAY(Sintesi!$C$18)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,0,1-(L43-_xlfn.IFNA(INDEX(_xlfn.ANCHORARRAY(Sintesi!$C$17)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)/(_xlfn.IFNA(INDEX(_xlfn.ANCHORARRAY(Sintesi!$C$18)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-_xlfn.IFNA(INDEX(_xlfn.ANCHORARRAY(Sintesi!$C$17),1,MATCH(1,(_xlfn.ANCHORARRAY(Sintesi!$C$9)&gt;_xlfn.ANCHORARRAY(Sintesi!$C$10))*(A42&gt;=_xlfn.ANCHORARRAY(Sintesi!$C$9))+(_xlfn.ANCHORARRAY(Sintesi!$C$9)&gt;_xlfn.ANCHORARRAY(Sintesi!$C$10))*(A42&lt;=_xlfn.ANCHORARRAY(Sintesi!$C$10))+(_xlfn.ANCHORARRAY(Sintesi!$C$9)&lt;_xlfn.ANCHORARRAY(Sintesi!$C$10))*(A42&gt;=_xlfn.ANCHORARRAY(Sintesi!$C$9))*(A42&lt;=_xlfn.ANCHORARRAY(Sintesi!$C$10)),0)),0)))),0)</f>
        <v>0</v>
      </c>
    </row>
    <row r="44" spans="1:13">
      <c r="A44" s="1">
        <f>'Paste cell here'!A44</f>
        <v>43</v>
      </c>
      <c r="B44" s="2">
        <f>DATE(Sintesi!$C$4-1,12,31)+A44</f>
        <v>44239</v>
      </c>
      <c r="C44" s="34" cm="1">
        <f t="array" ref="C44">_xlfn.IFNA(MATCH(1,(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)*(_xlfn.ANCHORARRAY(Sintesi!$C$15)&gt;=0)+(_xlfn.ANCHORARRAY(Sintesi!$C$15)&lt;0),0),0)</f>
        <v>0</v>
      </c>
      <c r="D44" s="1" cm="1">
        <f t="array" ref="D44">IF(ISBLANK($E45),IF(ISNUMBER($E43),IF($C44&gt;0,IF(($E44=INDEX(_xlfn.ANCHORARRAY(Sintesi!$C$14),1,$C44))*(INDEX(_xlfn.ANCHORARRAY(Sintesi!$C$15),1,$C44)&gt;0),0,IF(($E44=INDEX(_xlfn.ANCHORARRAY(Sintesi!$C$14),1,$C44))*(INDEX(_xlfn.ANCHORARRAY(Sintesi!$C$15),1,$C44)&lt;0)+($E44&gt;=$E43)*($E44&lt;=INDEX($E:$E,MATCH(TRUE,INDEX((ISNUMBER($E:$E)),0),0)))*($E44&gt;INDEX(_xlfn.ANCHORARRAY(Sintesi!$C$14),1,$C44))*($E44&lt;=INDEX(_xlfn.ANCHORARRAY(Sintesi!$C$15),1,$C44))*(INDEX(_xlfn.ANCHORARRAY(Sintesi!$C$15),1,$C44)&gt;0),1,IF(($E44&gt;=$E43)*($E44&lt;=INDEX($E:$E,MATCH(TRUE,INDEX((ISNUMBER($E:$E)),0),0)))*($E44&gt;INDEX(_xlfn.ANCHORARRAY(Sintesi!$C$14),1,$C44))*($E44&lt;INDEX(_xlfn.ANCHORARRAY(Sintesi!$C$16),1,$C44))*(INDEX(_xlfn.ANCHORARRAY(Sintesi!$C$15),1,$C44)&lt;0)+($E44&gt;=$E43)*($E44&lt;=INDEX($E:$E,MATCH(TRUE,INDEX((ISNUMBER($E:$E)),0),0)))*($E44&gt;INDEX(_xlfn.ANCHORARRAY(Sintesi!$C$15),1,$C44))*($E44&lt;INDEX(_xlfn.ANCHORARRAY(Sintesi!$C$16),1,$C44))*(INDEX(_xlfn.ANCHORARRAY(Sintesi!$C$15),1,$C44)&gt;0),2,IF($E44=(INDEX(_xlfn.ANCHORARRAY(Sintesi!$C$16),1,$C44)),3,4)))),0),IF($C44&gt;0,IF(($E44=INDEX(_xlfn.ANCHORARRAY(Sintesi!$C$14),1,$C44))*(INDEX(_xlfn.ANCHORARRAY(Sintesi!$C$15),1,$C44)&gt;0),0,IF(($E44=INDEX(_xlfn.ANCHORARRAY(Sintesi!$C$14),1,$C44))*(INDEX(_xlfn.ANCHORARRAY(Sintesi!$C$15),1,$C44)&lt;0)+($E44&gt;=LOOKUP(2,1/($E:$E&lt;&gt;""),$E:$E))*($E44&lt;=INDEX($E:$E,MATCH(TRUE,INDEX((ISNUMBER($E:$E)),0),0)))*($E44&gt;INDEX(_xlfn.ANCHORARRAY(Sintesi!$C$14),1,$C44))*($E44&lt;=INDEX(_xlfn.ANCHORARRAY(Sintesi!$C$15),1,$C44))*(INDEX(_xlfn.ANCHORARRAY(Sintesi!$C$15),1,$C44)&gt;0),1,IF(($E44&gt;=LOOKUP(2,1/($E:$E&lt;&gt;""),$E:$E))*($E44&lt;=INDEX($E:$E,MATCH(TRUE,INDEX((ISNUMBER($E:$E)),0),0)))*($E44&gt;INDEX(_xlfn.ANCHORARRAY(Sintesi!$C$14),1,$C44))*($E44&lt;INDEX(_xlfn.ANCHORARRAY(Sintesi!$C$16),1,$C44))*(INDEX(_xlfn.ANCHORARRAY(Sintesi!$C$15),1,$C44)&lt;0)+($E44&gt;=LOOKUP(2,1/($E:$E&lt;&gt;""),$E:$E))*($E44&lt;=INDEX($E:$E,MATCH(TRUE,INDEX((ISNUMBER($E:$E)),0),0)))*($E44&gt;INDEX(_xlfn.ANCHORARRAY(Sintesi!$C$15),1,$C44))*($E44&lt;INDEX(_xlfn.ANCHORARRAY(Sintesi!$C$16),1,$C44))*(INDEX(_xlfn.ANCHORARRAY(Sintesi!$C$15),1,$C44)&gt;0),2,IF($E44=(INDEX(_xlfn.ANCHORARRAY(Sintesi!$C$16),1,$C44)),3,4)))),0)),IF(ISNUMBER($E43),IF($C44&gt;0,IF(($E44=INDEX(_xlfn.ANCHORARRAY(Sintesi!$C$14),1,$C44))*(INDEX(_xlfn.ANCHORARRAY(Sintesi!$C$15),1,$C44)&gt;0),0,IF(($E44=INDEX(_xlfn.ANCHORARRAY(Sintesi!$C$14),1,$C44))*(INDEX(_xlfn.ANCHORARRAY(Sintesi!$C$15),1,$C44)&lt;0)+($E44&gt;=$E43)*($E44&lt;=$E45)*($E44&gt;INDEX(_xlfn.ANCHORARRAY(Sintesi!$C$14),1,$C44))*($E44&lt;=INDEX(_xlfn.ANCHORARRAY(Sintesi!$C$15),1,$C44))*(INDEX(_xlfn.ANCHORARRAY(Sintesi!$C$15),1,$C44)&gt;0),1,IF(($E44&gt;=$E43)*($E44&lt;=$E45)*($E44&gt;INDEX(_xlfn.ANCHORARRAY(Sintesi!$C$14),1,$C44))*($E44&lt;INDEX(_xlfn.ANCHORARRAY(Sintesi!$C$16),1,$C44))*(INDEX(_xlfn.ANCHORARRAY(Sintesi!$C$15),1,$C44)&lt;0)+($E44&gt;=$E43)*($E44&lt;=$E45)*($E44&gt;INDEX(_xlfn.ANCHORARRAY(Sintesi!$C$15),1,$C44))*($E44&lt;INDEX(_xlfn.ANCHORARRAY(Sintesi!$C$16),1,$C44))*(INDEX(_xlfn.ANCHORARRAY(Sintesi!$C$15),1,$C44)&gt;0),2,IF($E44=(INDEX(_xlfn.ANCHORARRAY(Sintesi!$C$16),1,$C44)),3,4)))),0),IF($C44&gt;0,IF(($E44=INDEX(_xlfn.ANCHORARRAY(Sintesi!$C$14),1,$C44))*(INDEX(_xlfn.ANCHORARRAY(Sintesi!$C$15),1,$C44)&gt;0),0,IF(($E44=INDEX(_xlfn.ANCHORARRAY(Sintesi!$C$14),1,$C44))*(INDEX(_xlfn.ANCHORARRAY(Sintesi!$C$15),1,$C44)&lt;0)+($E44&gt;=LOOKUP(2,1/($E:$E&lt;&gt;""),$E:$E))*($E44&lt;=$E45)*($E44&gt;INDEX(_xlfn.ANCHORARRAY(Sintesi!$C$14),1,$C44))*($E44&lt;=INDEX(_xlfn.ANCHORARRAY(Sintesi!$C$15),1,$C44))*(INDEX(_xlfn.ANCHORARRAY(Sintesi!$C$15),1,$C44)&gt;0),1,IF(($E44&gt;=LOOKUP(2,1/($E:$E&lt;&gt;""),$E:$E))*($E44&lt;=$E45)*($E44&gt;INDEX(_xlfn.ANCHORARRAY(Sintesi!$C$14),1,$C44))*($E44&lt;INDEX(_xlfn.ANCHORARRAY(Sintesi!$C$16),1,$C44))*(INDEX(_xlfn.ANCHORARRAY(Sintesi!$C$15),1,$C44)&lt;0)+($E44&gt;=LOOKUP(2,1/($E:$E&lt;&gt;""),$E:$E))*($E44&lt;=$E45)*($E44&gt;INDEX(_xlfn.ANCHORARRAY(Sintesi!$C$15),1,$C44))*($E44&lt;INDEX(_xlfn.ANCHORARRAY(Sintesi!$C$16),1,$C44))*(INDEX(_xlfn.ANCHORARRAY(Sintesi!$C$15),1,$C44)&gt;0),2,IF($E44=(INDEX(_xlfn.ANCHORARRAY(Sintesi!$C$16),1,$C44)),3,4)))),0)))</f>
        <v>0</v>
      </c>
      <c r="E44" s="1">
        <f>'Paste cell here'!F44</f>
        <v>0</v>
      </c>
      <c r="F44" s="1">
        <f>'Paste cell here'!C44</f>
        <v>5.664055201</v>
      </c>
      <c r="G44" s="1">
        <f>'Paste cell here'!D44</f>
        <v>-0.17933976800000001</v>
      </c>
      <c r="H44" s="1">
        <f>'Paste cell here'!E44</f>
        <v>1.0764690669999999</v>
      </c>
      <c r="I44" s="1">
        <f>'Paste cell here'!X44</f>
        <v>0</v>
      </c>
      <c r="J44" s="1">
        <f>'Paste cell here'!Y44+'Paste cell here'!S44</f>
        <v>0</v>
      </c>
      <c r="K44" s="1">
        <f t="shared" si="1"/>
        <v>0</v>
      </c>
      <c r="L44" s="1">
        <f t="shared" si="0"/>
        <v>3.5453568580170374</v>
      </c>
      <c r="M44" s="1" cm="1">
        <f t="array" ref="M44">IF(AND(A44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,A44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),IF(L44&lt;_xlfn.IFNA(INDEX(_xlfn.ANCHORARRAY(Sintesi!$C$17)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,1,IF(L44&gt;=_xlfn.IFNA(INDEX(_xlfn.ANCHORARRAY(Sintesi!$C$18)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,0,1-(L44-_xlfn.IFNA(INDEX(_xlfn.ANCHORARRAY(Sintesi!$C$17)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)/(_xlfn.IFNA(INDEX(_xlfn.ANCHORARRAY(Sintesi!$C$18)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-_xlfn.IFNA(INDEX(_xlfn.ANCHORARRAY(Sintesi!$C$17),1,MATCH(1,(_xlfn.ANCHORARRAY(Sintesi!$C$9)&gt;_xlfn.ANCHORARRAY(Sintesi!$C$10))*(A43&gt;=_xlfn.ANCHORARRAY(Sintesi!$C$9))+(_xlfn.ANCHORARRAY(Sintesi!$C$9)&gt;_xlfn.ANCHORARRAY(Sintesi!$C$10))*(A43&lt;=_xlfn.ANCHORARRAY(Sintesi!$C$10))+(_xlfn.ANCHORARRAY(Sintesi!$C$9)&lt;_xlfn.ANCHORARRAY(Sintesi!$C$10))*(A43&gt;=_xlfn.ANCHORARRAY(Sintesi!$C$9))*(A43&lt;=_xlfn.ANCHORARRAY(Sintesi!$C$10)),0)),0)))),0)</f>
        <v>0</v>
      </c>
    </row>
    <row r="45" spans="1:13">
      <c r="A45" s="1">
        <f>'Paste cell here'!A45</f>
        <v>44</v>
      </c>
      <c r="B45" s="2">
        <f>DATE(Sintesi!$C$4-1,12,31)+A45</f>
        <v>44240</v>
      </c>
      <c r="C45" s="34" cm="1">
        <f t="array" ref="C45">_xlfn.IFNA(MATCH(1,(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)*(_xlfn.ANCHORARRAY(Sintesi!$C$15)&gt;=0)+(_xlfn.ANCHORARRAY(Sintesi!$C$15)&lt;0),0),0)</f>
        <v>0</v>
      </c>
      <c r="D45" s="1" cm="1">
        <f t="array" ref="D45">IF(ISBLANK($E46),IF(ISNUMBER($E44),IF($C45&gt;0,IF(($E45=INDEX(_xlfn.ANCHORARRAY(Sintesi!$C$14),1,$C45))*(INDEX(_xlfn.ANCHORARRAY(Sintesi!$C$15),1,$C45)&gt;0),0,IF(($E45=INDEX(_xlfn.ANCHORARRAY(Sintesi!$C$14),1,$C45))*(INDEX(_xlfn.ANCHORARRAY(Sintesi!$C$15),1,$C45)&lt;0)+($E45&gt;=$E44)*($E45&lt;=INDEX($E:$E,MATCH(TRUE,INDEX((ISNUMBER($E:$E)),0),0)))*($E45&gt;INDEX(_xlfn.ANCHORARRAY(Sintesi!$C$14),1,$C45))*($E45&lt;=INDEX(_xlfn.ANCHORARRAY(Sintesi!$C$15),1,$C45))*(INDEX(_xlfn.ANCHORARRAY(Sintesi!$C$15),1,$C45)&gt;0),1,IF(($E45&gt;=$E44)*($E45&lt;=INDEX($E:$E,MATCH(TRUE,INDEX((ISNUMBER($E:$E)),0),0)))*($E45&gt;INDEX(_xlfn.ANCHORARRAY(Sintesi!$C$14),1,$C45))*($E45&lt;INDEX(_xlfn.ANCHORARRAY(Sintesi!$C$16),1,$C45))*(INDEX(_xlfn.ANCHORARRAY(Sintesi!$C$15),1,$C45)&lt;0)+($E45&gt;=$E44)*($E45&lt;=INDEX($E:$E,MATCH(TRUE,INDEX((ISNUMBER($E:$E)),0),0)))*($E45&gt;INDEX(_xlfn.ANCHORARRAY(Sintesi!$C$15),1,$C45))*($E45&lt;INDEX(_xlfn.ANCHORARRAY(Sintesi!$C$16),1,$C45))*(INDEX(_xlfn.ANCHORARRAY(Sintesi!$C$15),1,$C45)&gt;0),2,IF($E45=(INDEX(_xlfn.ANCHORARRAY(Sintesi!$C$16),1,$C45)),3,4)))),0),IF($C45&gt;0,IF(($E45=INDEX(_xlfn.ANCHORARRAY(Sintesi!$C$14),1,$C45))*(INDEX(_xlfn.ANCHORARRAY(Sintesi!$C$15),1,$C45)&gt;0),0,IF(($E45=INDEX(_xlfn.ANCHORARRAY(Sintesi!$C$14),1,$C45))*(INDEX(_xlfn.ANCHORARRAY(Sintesi!$C$15),1,$C45)&lt;0)+($E45&gt;=LOOKUP(2,1/($E:$E&lt;&gt;""),$E:$E))*($E45&lt;=INDEX($E:$E,MATCH(TRUE,INDEX((ISNUMBER($E:$E)),0),0)))*($E45&gt;INDEX(_xlfn.ANCHORARRAY(Sintesi!$C$14),1,$C45))*($E45&lt;=INDEX(_xlfn.ANCHORARRAY(Sintesi!$C$15),1,$C45))*(INDEX(_xlfn.ANCHORARRAY(Sintesi!$C$15),1,$C45)&gt;0),1,IF(($E45&gt;=LOOKUP(2,1/($E:$E&lt;&gt;""),$E:$E))*($E45&lt;=INDEX($E:$E,MATCH(TRUE,INDEX((ISNUMBER($E:$E)),0),0)))*($E45&gt;INDEX(_xlfn.ANCHORARRAY(Sintesi!$C$14),1,$C45))*($E45&lt;INDEX(_xlfn.ANCHORARRAY(Sintesi!$C$16),1,$C45))*(INDEX(_xlfn.ANCHORARRAY(Sintesi!$C$15),1,$C45)&lt;0)+($E45&gt;=LOOKUP(2,1/($E:$E&lt;&gt;""),$E:$E))*($E45&lt;=INDEX($E:$E,MATCH(TRUE,INDEX((ISNUMBER($E:$E)),0),0)))*($E45&gt;INDEX(_xlfn.ANCHORARRAY(Sintesi!$C$15),1,$C45))*($E45&lt;INDEX(_xlfn.ANCHORARRAY(Sintesi!$C$16),1,$C45))*(INDEX(_xlfn.ANCHORARRAY(Sintesi!$C$15),1,$C45)&gt;0),2,IF($E45=(INDEX(_xlfn.ANCHORARRAY(Sintesi!$C$16),1,$C45)),3,4)))),0)),IF(ISNUMBER($E44),IF($C45&gt;0,IF(($E45=INDEX(_xlfn.ANCHORARRAY(Sintesi!$C$14),1,$C45))*(INDEX(_xlfn.ANCHORARRAY(Sintesi!$C$15),1,$C45)&gt;0),0,IF(($E45=INDEX(_xlfn.ANCHORARRAY(Sintesi!$C$14),1,$C45))*(INDEX(_xlfn.ANCHORARRAY(Sintesi!$C$15),1,$C45)&lt;0)+($E45&gt;=$E44)*($E45&lt;=$E46)*($E45&gt;INDEX(_xlfn.ANCHORARRAY(Sintesi!$C$14),1,$C45))*($E45&lt;=INDEX(_xlfn.ANCHORARRAY(Sintesi!$C$15),1,$C45))*(INDEX(_xlfn.ANCHORARRAY(Sintesi!$C$15),1,$C45)&gt;0),1,IF(($E45&gt;=$E44)*($E45&lt;=$E46)*($E45&gt;INDEX(_xlfn.ANCHORARRAY(Sintesi!$C$14),1,$C45))*($E45&lt;INDEX(_xlfn.ANCHORARRAY(Sintesi!$C$16),1,$C45))*(INDEX(_xlfn.ANCHORARRAY(Sintesi!$C$15),1,$C45)&lt;0)+($E45&gt;=$E44)*($E45&lt;=$E46)*($E45&gt;INDEX(_xlfn.ANCHORARRAY(Sintesi!$C$15),1,$C45))*($E45&lt;INDEX(_xlfn.ANCHORARRAY(Sintesi!$C$16),1,$C45))*(INDEX(_xlfn.ANCHORARRAY(Sintesi!$C$15),1,$C45)&gt;0),2,IF($E45=(INDEX(_xlfn.ANCHORARRAY(Sintesi!$C$16),1,$C45)),3,4)))),0),IF($C45&gt;0,IF(($E45=INDEX(_xlfn.ANCHORARRAY(Sintesi!$C$14),1,$C45))*(INDEX(_xlfn.ANCHORARRAY(Sintesi!$C$15),1,$C45)&gt;0),0,IF(($E45=INDEX(_xlfn.ANCHORARRAY(Sintesi!$C$14),1,$C45))*(INDEX(_xlfn.ANCHORARRAY(Sintesi!$C$15),1,$C45)&lt;0)+($E45&gt;=LOOKUP(2,1/($E:$E&lt;&gt;""),$E:$E))*($E45&lt;=$E46)*($E45&gt;INDEX(_xlfn.ANCHORARRAY(Sintesi!$C$14),1,$C45))*($E45&lt;=INDEX(_xlfn.ANCHORARRAY(Sintesi!$C$15),1,$C45))*(INDEX(_xlfn.ANCHORARRAY(Sintesi!$C$15),1,$C45)&gt;0),1,IF(($E45&gt;=LOOKUP(2,1/($E:$E&lt;&gt;""),$E:$E))*($E45&lt;=$E46)*($E45&gt;INDEX(_xlfn.ANCHORARRAY(Sintesi!$C$14),1,$C45))*($E45&lt;INDEX(_xlfn.ANCHORARRAY(Sintesi!$C$16),1,$C45))*(INDEX(_xlfn.ANCHORARRAY(Sintesi!$C$15),1,$C45)&lt;0)+($E45&gt;=LOOKUP(2,1/($E:$E&lt;&gt;""),$E:$E))*($E45&lt;=$E46)*($E45&gt;INDEX(_xlfn.ANCHORARRAY(Sintesi!$C$15),1,$C45))*($E45&lt;INDEX(_xlfn.ANCHORARRAY(Sintesi!$C$16),1,$C45))*(INDEX(_xlfn.ANCHORARRAY(Sintesi!$C$15),1,$C45)&gt;0),2,IF($E45=(INDEX(_xlfn.ANCHORARRAY(Sintesi!$C$16),1,$C45)),3,4)))),0)))</f>
        <v>0</v>
      </c>
      <c r="E45" s="1">
        <f>'Paste cell here'!F45</f>
        <v>0</v>
      </c>
      <c r="F45" s="1">
        <f>'Paste cell here'!C45</f>
        <v>2.5745438690000002</v>
      </c>
      <c r="G45" s="1">
        <f>'Paste cell here'!D45</f>
        <v>-2.9640552009999999</v>
      </c>
      <c r="H45" s="1">
        <f>'Paste cell here'!E45</f>
        <v>0.88945498300000003</v>
      </c>
      <c r="I45" s="1">
        <f>'Paste cell here'!X45</f>
        <v>0</v>
      </c>
      <c r="J45" s="1">
        <f>'Paste cell here'!Y45+'Paste cell here'!S45</f>
        <v>0</v>
      </c>
      <c r="K45" s="1">
        <f t="shared" si="1"/>
        <v>0</v>
      </c>
      <c r="L45" s="1">
        <f t="shared" si="0"/>
        <v>0.56635843325421775</v>
      </c>
      <c r="M45" s="1" cm="1">
        <f t="array" ref="M45">IF(AND(A45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,A45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),IF(L45&lt;_xlfn.IFNA(INDEX(_xlfn.ANCHORARRAY(Sintesi!$C$17)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,1,IF(L45&gt;=_xlfn.IFNA(INDEX(_xlfn.ANCHORARRAY(Sintesi!$C$18)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,0,1-(L45-_xlfn.IFNA(INDEX(_xlfn.ANCHORARRAY(Sintesi!$C$17)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)/(_xlfn.IFNA(INDEX(_xlfn.ANCHORARRAY(Sintesi!$C$18)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-_xlfn.IFNA(INDEX(_xlfn.ANCHORARRAY(Sintesi!$C$17),1,MATCH(1,(_xlfn.ANCHORARRAY(Sintesi!$C$9)&gt;_xlfn.ANCHORARRAY(Sintesi!$C$10))*(A44&gt;=_xlfn.ANCHORARRAY(Sintesi!$C$9))+(_xlfn.ANCHORARRAY(Sintesi!$C$9)&gt;_xlfn.ANCHORARRAY(Sintesi!$C$10))*(A44&lt;=_xlfn.ANCHORARRAY(Sintesi!$C$10))+(_xlfn.ANCHORARRAY(Sintesi!$C$9)&lt;_xlfn.ANCHORARRAY(Sintesi!$C$10))*(A44&gt;=_xlfn.ANCHORARRAY(Sintesi!$C$9))*(A44&lt;=_xlfn.ANCHORARRAY(Sintesi!$C$10)),0)),0)))),0)</f>
        <v>0</v>
      </c>
    </row>
    <row r="46" spans="1:13">
      <c r="A46" s="1">
        <f>'Paste cell here'!A46</f>
        <v>45</v>
      </c>
      <c r="B46" s="2">
        <f>DATE(Sintesi!$C$4-1,12,31)+A46</f>
        <v>44241</v>
      </c>
      <c r="C46" s="34" cm="1">
        <f t="array" ref="C46">_xlfn.IFNA(MATCH(1,(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)*(_xlfn.ANCHORARRAY(Sintesi!$C$15)&gt;=0)+(_xlfn.ANCHORARRAY(Sintesi!$C$15)&lt;0),0),0)</f>
        <v>0</v>
      </c>
      <c r="D46" s="1" cm="1">
        <f t="array" ref="D46">IF(ISBLANK($E47),IF(ISNUMBER($E45),IF($C46&gt;0,IF(($E46=INDEX(_xlfn.ANCHORARRAY(Sintesi!$C$14),1,$C46))*(INDEX(_xlfn.ANCHORARRAY(Sintesi!$C$15),1,$C46)&gt;0),0,IF(($E46=INDEX(_xlfn.ANCHORARRAY(Sintesi!$C$14),1,$C46))*(INDEX(_xlfn.ANCHORARRAY(Sintesi!$C$15),1,$C46)&lt;0)+($E46&gt;=$E45)*($E46&lt;=INDEX($E:$E,MATCH(TRUE,INDEX((ISNUMBER($E:$E)),0),0)))*($E46&gt;INDEX(_xlfn.ANCHORARRAY(Sintesi!$C$14),1,$C46))*($E46&lt;=INDEX(_xlfn.ANCHORARRAY(Sintesi!$C$15),1,$C46))*(INDEX(_xlfn.ANCHORARRAY(Sintesi!$C$15),1,$C46)&gt;0),1,IF(($E46&gt;=$E45)*($E46&lt;=INDEX($E:$E,MATCH(TRUE,INDEX((ISNUMBER($E:$E)),0),0)))*($E46&gt;INDEX(_xlfn.ANCHORARRAY(Sintesi!$C$14),1,$C46))*($E46&lt;INDEX(_xlfn.ANCHORARRAY(Sintesi!$C$16),1,$C46))*(INDEX(_xlfn.ANCHORARRAY(Sintesi!$C$15),1,$C46)&lt;0)+($E46&gt;=$E45)*($E46&lt;=INDEX($E:$E,MATCH(TRUE,INDEX((ISNUMBER($E:$E)),0),0)))*($E46&gt;INDEX(_xlfn.ANCHORARRAY(Sintesi!$C$15),1,$C46))*($E46&lt;INDEX(_xlfn.ANCHORARRAY(Sintesi!$C$16),1,$C46))*(INDEX(_xlfn.ANCHORARRAY(Sintesi!$C$15),1,$C46)&gt;0),2,IF($E46=(INDEX(_xlfn.ANCHORARRAY(Sintesi!$C$16),1,$C46)),3,4)))),0),IF($C46&gt;0,IF(($E46=INDEX(_xlfn.ANCHORARRAY(Sintesi!$C$14),1,$C46))*(INDEX(_xlfn.ANCHORARRAY(Sintesi!$C$15),1,$C46)&gt;0),0,IF(($E46=INDEX(_xlfn.ANCHORARRAY(Sintesi!$C$14),1,$C46))*(INDEX(_xlfn.ANCHORARRAY(Sintesi!$C$15),1,$C46)&lt;0)+($E46&gt;=LOOKUP(2,1/($E:$E&lt;&gt;""),$E:$E))*($E46&lt;=INDEX($E:$E,MATCH(TRUE,INDEX((ISNUMBER($E:$E)),0),0)))*($E46&gt;INDEX(_xlfn.ANCHORARRAY(Sintesi!$C$14),1,$C46))*($E46&lt;=INDEX(_xlfn.ANCHORARRAY(Sintesi!$C$15),1,$C46))*(INDEX(_xlfn.ANCHORARRAY(Sintesi!$C$15),1,$C46)&gt;0),1,IF(($E46&gt;=LOOKUP(2,1/($E:$E&lt;&gt;""),$E:$E))*($E46&lt;=INDEX($E:$E,MATCH(TRUE,INDEX((ISNUMBER($E:$E)),0),0)))*($E46&gt;INDEX(_xlfn.ANCHORARRAY(Sintesi!$C$14),1,$C46))*($E46&lt;INDEX(_xlfn.ANCHORARRAY(Sintesi!$C$16),1,$C46))*(INDEX(_xlfn.ANCHORARRAY(Sintesi!$C$15),1,$C46)&lt;0)+($E46&gt;=LOOKUP(2,1/($E:$E&lt;&gt;""),$E:$E))*($E46&lt;=INDEX($E:$E,MATCH(TRUE,INDEX((ISNUMBER($E:$E)),0),0)))*($E46&gt;INDEX(_xlfn.ANCHORARRAY(Sintesi!$C$15),1,$C46))*($E46&lt;INDEX(_xlfn.ANCHORARRAY(Sintesi!$C$16),1,$C46))*(INDEX(_xlfn.ANCHORARRAY(Sintesi!$C$15),1,$C46)&gt;0),2,IF($E46=(INDEX(_xlfn.ANCHORARRAY(Sintesi!$C$16),1,$C46)),3,4)))),0)),IF(ISNUMBER($E45),IF($C46&gt;0,IF(($E46=INDEX(_xlfn.ANCHORARRAY(Sintesi!$C$14),1,$C46))*(INDEX(_xlfn.ANCHORARRAY(Sintesi!$C$15),1,$C46)&gt;0),0,IF(($E46=INDEX(_xlfn.ANCHORARRAY(Sintesi!$C$14),1,$C46))*(INDEX(_xlfn.ANCHORARRAY(Sintesi!$C$15),1,$C46)&lt;0)+($E46&gt;=$E45)*($E46&lt;=$E47)*($E46&gt;INDEX(_xlfn.ANCHORARRAY(Sintesi!$C$14),1,$C46))*($E46&lt;=INDEX(_xlfn.ANCHORARRAY(Sintesi!$C$15),1,$C46))*(INDEX(_xlfn.ANCHORARRAY(Sintesi!$C$15),1,$C46)&gt;0),1,IF(($E46&gt;=$E45)*($E46&lt;=$E47)*($E46&gt;INDEX(_xlfn.ANCHORARRAY(Sintesi!$C$14),1,$C46))*($E46&lt;INDEX(_xlfn.ANCHORARRAY(Sintesi!$C$16),1,$C46))*(INDEX(_xlfn.ANCHORARRAY(Sintesi!$C$15),1,$C46)&lt;0)+($E46&gt;=$E45)*($E46&lt;=$E47)*($E46&gt;INDEX(_xlfn.ANCHORARRAY(Sintesi!$C$15),1,$C46))*($E46&lt;INDEX(_xlfn.ANCHORARRAY(Sintesi!$C$16),1,$C46))*(INDEX(_xlfn.ANCHORARRAY(Sintesi!$C$15),1,$C46)&gt;0),2,IF($E46=(INDEX(_xlfn.ANCHORARRAY(Sintesi!$C$16),1,$C46)),3,4)))),0),IF($C46&gt;0,IF(($E46=INDEX(_xlfn.ANCHORARRAY(Sintesi!$C$14),1,$C46))*(INDEX(_xlfn.ANCHORARRAY(Sintesi!$C$15),1,$C46)&gt;0),0,IF(($E46=INDEX(_xlfn.ANCHORARRAY(Sintesi!$C$14),1,$C46))*(INDEX(_xlfn.ANCHORARRAY(Sintesi!$C$15),1,$C46)&lt;0)+($E46&gt;=LOOKUP(2,1/($E:$E&lt;&gt;""),$E:$E))*($E46&lt;=$E47)*($E46&gt;INDEX(_xlfn.ANCHORARRAY(Sintesi!$C$14),1,$C46))*($E46&lt;=INDEX(_xlfn.ANCHORARRAY(Sintesi!$C$15),1,$C46))*(INDEX(_xlfn.ANCHORARRAY(Sintesi!$C$15),1,$C46)&gt;0),1,IF(($E46&gt;=LOOKUP(2,1/($E:$E&lt;&gt;""),$E:$E))*($E46&lt;=$E47)*($E46&gt;INDEX(_xlfn.ANCHORARRAY(Sintesi!$C$14),1,$C46))*($E46&lt;INDEX(_xlfn.ANCHORARRAY(Sintesi!$C$16),1,$C46))*(INDEX(_xlfn.ANCHORARRAY(Sintesi!$C$15),1,$C46)&lt;0)+($E46&gt;=LOOKUP(2,1/($E:$E&lt;&gt;""),$E:$E))*($E46&lt;=$E47)*($E46&gt;INDEX(_xlfn.ANCHORARRAY(Sintesi!$C$15),1,$C46))*($E46&lt;INDEX(_xlfn.ANCHORARRAY(Sintesi!$C$16),1,$C46))*(INDEX(_xlfn.ANCHORARRAY(Sintesi!$C$15),1,$C46)&gt;0),2,IF($E46=(INDEX(_xlfn.ANCHORARRAY(Sintesi!$C$16),1,$C46)),3,4)))),0)))</f>
        <v>0</v>
      </c>
      <c r="E46" s="1">
        <f>'Paste cell here'!F46</f>
        <v>0</v>
      </c>
      <c r="F46" s="1">
        <f>'Paste cell here'!C46</f>
        <v>6.789511332</v>
      </c>
      <c r="G46" s="1">
        <f>'Paste cell here'!D46</f>
        <v>-5.7206602320000002</v>
      </c>
      <c r="H46" s="1">
        <f>'Paste cell here'!E46</f>
        <v>1.003287029</v>
      </c>
      <c r="I46" s="1">
        <f>'Paste cell here'!X46</f>
        <v>0</v>
      </c>
      <c r="J46" s="1">
        <f>'Paste cell here'!Y46+'Paste cell here'!S46</f>
        <v>0</v>
      </c>
      <c r="K46" s="1">
        <f t="shared" si="1"/>
        <v>0</v>
      </c>
      <c r="L46" s="1">
        <f t="shared" si="0"/>
        <v>2.2535729085845935</v>
      </c>
      <c r="M46" s="1" cm="1">
        <f t="array" ref="M46">IF(AND(A46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,A46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),IF(L46&lt;_xlfn.IFNA(INDEX(_xlfn.ANCHORARRAY(Sintesi!$C$17)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,1,IF(L46&gt;=_xlfn.IFNA(INDEX(_xlfn.ANCHORARRAY(Sintesi!$C$18)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,0,1-(L46-_xlfn.IFNA(INDEX(_xlfn.ANCHORARRAY(Sintesi!$C$17)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)/(_xlfn.IFNA(INDEX(_xlfn.ANCHORARRAY(Sintesi!$C$18)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-_xlfn.IFNA(INDEX(_xlfn.ANCHORARRAY(Sintesi!$C$17),1,MATCH(1,(_xlfn.ANCHORARRAY(Sintesi!$C$9)&gt;_xlfn.ANCHORARRAY(Sintesi!$C$10))*(A45&gt;=_xlfn.ANCHORARRAY(Sintesi!$C$9))+(_xlfn.ANCHORARRAY(Sintesi!$C$9)&gt;_xlfn.ANCHORARRAY(Sintesi!$C$10))*(A45&lt;=_xlfn.ANCHORARRAY(Sintesi!$C$10))+(_xlfn.ANCHORARRAY(Sintesi!$C$9)&lt;_xlfn.ANCHORARRAY(Sintesi!$C$10))*(A45&gt;=_xlfn.ANCHORARRAY(Sintesi!$C$9))*(A45&lt;=_xlfn.ANCHORARRAY(Sintesi!$C$10)),0)),0)))),0)</f>
        <v>0</v>
      </c>
    </row>
    <row r="47" spans="1:13">
      <c r="A47" s="1">
        <f>'Paste cell here'!A47</f>
        <v>46</v>
      </c>
      <c r="B47" s="2">
        <f>DATE(Sintesi!$C$4-1,12,31)+A47</f>
        <v>44242</v>
      </c>
      <c r="C47" s="34" cm="1">
        <f t="array" ref="C47">_xlfn.IFNA(MATCH(1,(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)*(_xlfn.ANCHORARRAY(Sintesi!$C$15)&gt;=0)+(_xlfn.ANCHORARRAY(Sintesi!$C$15)&lt;0),0),0)</f>
        <v>0</v>
      </c>
      <c r="D47" s="1" cm="1">
        <f t="array" ref="D47">IF(ISBLANK($E48),IF(ISNUMBER($E46),IF($C47&gt;0,IF(($E47=INDEX(_xlfn.ANCHORARRAY(Sintesi!$C$14),1,$C47))*(INDEX(_xlfn.ANCHORARRAY(Sintesi!$C$15),1,$C47)&gt;0),0,IF(($E47=INDEX(_xlfn.ANCHORARRAY(Sintesi!$C$14),1,$C47))*(INDEX(_xlfn.ANCHORARRAY(Sintesi!$C$15),1,$C47)&lt;0)+($E47&gt;=$E46)*($E47&lt;=INDEX($E:$E,MATCH(TRUE,INDEX((ISNUMBER($E:$E)),0),0)))*($E47&gt;INDEX(_xlfn.ANCHORARRAY(Sintesi!$C$14),1,$C47))*($E47&lt;=INDEX(_xlfn.ANCHORARRAY(Sintesi!$C$15),1,$C47))*(INDEX(_xlfn.ANCHORARRAY(Sintesi!$C$15),1,$C47)&gt;0),1,IF(($E47&gt;=$E46)*($E47&lt;=INDEX($E:$E,MATCH(TRUE,INDEX((ISNUMBER($E:$E)),0),0)))*($E47&gt;INDEX(_xlfn.ANCHORARRAY(Sintesi!$C$14),1,$C47))*($E47&lt;INDEX(_xlfn.ANCHORARRAY(Sintesi!$C$16),1,$C47))*(INDEX(_xlfn.ANCHORARRAY(Sintesi!$C$15),1,$C47)&lt;0)+($E47&gt;=$E46)*($E47&lt;=INDEX($E:$E,MATCH(TRUE,INDEX((ISNUMBER($E:$E)),0),0)))*($E47&gt;INDEX(_xlfn.ANCHORARRAY(Sintesi!$C$15),1,$C47))*($E47&lt;INDEX(_xlfn.ANCHORARRAY(Sintesi!$C$16),1,$C47))*(INDEX(_xlfn.ANCHORARRAY(Sintesi!$C$15),1,$C47)&gt;0),2,IF($E47=(INDEX(_xlfn.ANCHORARRAY(Sintesi!$C$16),1,$C47)),3,4)))),0),IF($C47&gt;0,IF(($E47=INDEX(_xlfn.ANCHORARRAY(Sintesi!$C$14),1,$C47))*(INDEX(_xlfn.ANCHORARRAY(Sintesi!$C$15),1,$C47)&gt;0),0,IF(($E47=INDEX(_xlfn.ANCHORARRAY(Sintesi!$C$14),1,$C47))*(INDEX(_xlfn.ANCHORARRAY(Sintesi!$C$15),1,$C47)&lt;0)+($E47&gt;=LOOKUP(2,1/($E:$E&lt;&gt;""),$E:$E))*($E47&lt;=INDEX($E:$E,MATCH(TRUE,INDEX((ISNUMBER($E:$E)),0),0)))*($E47&gt;INDEX(_xlfn.ANCHORARRAY(Sintesi!$C$14),1,$C47))*($E47&lt;=INDEX(_xlfn.ANCHORARRAY(Sintesi!$C$15),1,$C47))*(INDEX(_xlfn.ANCHORARRAY(Sintesi!$C$15),1,$C47)&gt;0),1,IF(($E47&gt;=LOOKUP(2,1/($E:$E&lt;&gt;""),$E:$E))*($E47&lt;=INDEX($E:$E,MATCH(TRUE,INDEX((ISNUMBER($E:$E)),0),0)))*($E47&gt;INDEX(_xlfn.ANCHORARRAY(Sintesi!$C$14),1,$C47))*($E47&lt;INDEX(_xlfn.ANCHORARRAY(Sintesi!$C$16),1,$C47))*(INDEX(_xlfn.ANCHORARRAY(Sintesi!$C$15),1,$C47)&lt;0)+($E47&gt;=LOOKUP(2,1/($E:$E&lt;&gt;""),$E:$E))*($E47&lt;=INDEX($E:$E,MATCH(TRUE,INDEX((ISNUMBER($E:$E)),0),0)))*($E47&gt;INDEX(_xlfn.ANCHORARRAY(Sintesi!$C$15),1,$C47))*($E47&lt;INDEX(_xlfn.ANCHORARRAY(Sintesi!$C$16),1,$C47))*(INDEX(_xlfn.ANCHORARRAY(Sintesi!$C$15),1,$C47)&gt;0),2,IF($E47=(INDEX(_xlfn.ANCHORARRAY(Sintesi!$C$16),1,$C47)),3,4)))),0)),IF(ISNUMBER($E46),IF($C47&gt;0,IF(($E47=INDEX(_xlfn.ANCHORARRAY(Sintesi!$C$14),1,$C47))*(INDEX(_xlfn.ANCHORARRAY(Sintesi!$C$15),1,$C47)&gt;0),0,IF(($E47=INDEX(_xlfn.ANCHORARRAY(Sintesi!$C$14),1,$C47))*(INDEX(_xlfn.ANCHORARRAY(Sintesi!$C$15),1,$C47)&lt;0)+($E47&gt;=$E46)*($E47&lt;=$E48)*($E47&gt;INDEX(_xlfn.ANCHORARRAY(Sintesi!$C$14),1,$C47))*($E47&lt;=INDEX(_xlfn.ANCHORARRAY(Sintesi!$C$15),1,$C47))*(INDEX(_xlfn.ANCHORARRAY(Sintesi!$C$15),1,$C47)&gt;0),1,IF(($E47&gt;=$E46)*($E47&lt;=$E48)*($E47&gt;INDEX(_xlfn.ANCHORARRAY(Sintesi!$C$14),1,$C47))*($E47&lt;INDEX(_xlfn.ANCHORARRAY(Sintesi!$C$16),1,$C47))*(INDEX(_xlfn.ANCHORARRAY(Sintesi!$C$15),1,$C47)&lt;0)+($E47&gt;=$E46)*($E47&lt;=$E48)*($E47&gt;INDEX(_xlfn.ANCHORARRAY(Sintesi!$C$15),1,$C47))*($E47&lt;INDEX(_xlfn.ANCHORARRAY(Sintesi!$C$16),1,$C47))*(INDEX(_xlfn.ANCHORARRAY(Sintesi!$C$15),1,$C47)&gt;0),2,IF($E47=(INDEX(_xlfn.ANCHORARRAY(Sintesi!$C$16),1,$C47)),3,4)))),0),IF($C47&gt;0,IF(($E47=INDEX(_xlfn.ANCHORARRAY(Sintesi!$C$14),1,$C47))*(INDEX(_xlfn.ANCHORARRAY(Sintesi!$C$15),1,$C47)&gt;0),0,IF(($E47=INDEX(_xlfn.ANCHORARRAY(Sintesi!$C$14),1,$C47))*(INDEX(_xlfn.ANCHORARRAY(Sintesi!$C$15),1,$C47)&lt;0)+($E47&gt;=LOOKUP(2,1/($E:$E&lt;&gt;""),$E:$E))*($E47&lt;=$E48)*($E47&gt;INDEX(_xlfn.ANCHORARRAY(Sintesi!$C$14),1,$C47))*($E47&lt;=INDEX(_xlfn.ANCHORARRAY(Sintesi!$C$15),1,$C47))*(INDEX(_xlfn.ANCHORARRAY(Sintesi!$C$15),1,$C47)&gt;0),1,IF(($E47&gt;=LOOKUP(2,1/($E:$E&lt;&gt;""),$E:$E))*($E47&lt;=$E48)*($E47&gt;INDEX(_xlfn.ANCHORARRAY(Sintesi!$C$14),1,$C47))*($E47&lt;INDEX(_xlfn.ANCHORARRAY(Sintesi!$C$16),1,$C47))*(INDEX(_xlfn.ANCHORARRAY(Sintesi!$C$15),1,$C47)&lt;0)+($E47&gt;=LOOKUP(2,1/($E:$E&lt;&gt;""),$E:$E))*($E47&lt;=$E48)*($E47&gt;INDEX(_xlfn.ANCHORARRAY(Sintesi!$C$15),1,$C47))*($E47&lt;INDEX(_xlfn.ANCHORARRAY(Sintesi!$C$16),1,$C47))*(INDEX(_xlfn.ANCHORARRAY(Sintesi!$C$15),1,$C47)&gt;0),2,IF($E47=(INDEX(_xlfn.ANCHORARRAY(Sintesi!$C$16),1,$C47)),3,4)))),0)))</f>
        <v>0</v>
      </c>
      <c r="E47" s="1">
        <f>'Paste cell here'!F47</f>
        <v>0</v>
      </c>
      <c r="F47" s="1">
        <f>'Paste cell here'!C47</f>
        <v>8.664055201</v>
      </c>
      <c r="G47" s="1">
        <f>'Paste cell here'!D47</f>
        <v>-5.5311488989999997</v>
      </c>
      <c r="H47" s="1">
        <f>'Paste cell here'!E47</f>
        <v>0.94063107300000004</v>
      </c>
      <c r="I47" s="1">
        <f>'Paste cell here'!X47</f>
        <v>0</v>
      </c>
      <c r="J47" s="1">
        <f>'Paste cell here'!Y47+'Paste cell here'!S47</f>
        <v>0</v>
      </c>
      <c r="K47" s="1">
        <f t="shared" si="1"/>
        <v>0</v>
      </c>
      <c r="L47" s="1">
        <f t="shared" si="0"/>
        <v>3.5171576244150211</v>
      </c>
      <c r="M47" s="1" cm="1">
        <f t="array" ref="M47">IF(AND(A47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,A47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),IF(L47&lt;_xlfn.IFNA(INDEX(_xlfn.ANCHORARRAY(Sintesi!$C$17)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,1,IF(L47&gt;=_xlfn.IFNA(INDEX(_xlfn.ANCHORARRAY(Sintesi!$C$18)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,0,1-(L47-_xlfn.IFNA(INDEX(_xlfn.ANCHORARRAY(Sintesi!$C$17)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)/(_xlfn.IFNA(INDEX(_xlfn.ANCHORARRAY(Sintesi!$C$18)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-_xlfn.IFNA(INDEX(_xlfn.ANCHORARRAY(Sintesi!$C$17),1,MATCH(1,(_xlfn.ANCHORARRAY(Sintesi!$C$9)&gt;_xlfn.ANCHORARRAY(Sintesi!$C$10))*(A46&gt;=_xlfn.ANCHORARRAY(Sintesi!$C$9))+(_xlfn.ANCHORARRAY(Sintesi!$C$9)&gt;_xlfn.ANCHORARRAY(Sintesi!$C$10))*(A46&lt;=_xlfn.ANCHORARRAY(Sintesi!$C$10))+(_xlfn.ANCHORARRAY(Sintesi!$C$9)&lt;_xlfn.ANCHORARRAY(Sintesi!$C$10))*(A46&gt;=_xlfn.ANCHORARRAY(Sintesi!$C$9))*(A46&lt;=_xlfn.ANCHORARRAY(Sintesi!$C$10)),0)),0)))),0)</f>
        <v>0</v>
      </c>
    </row>
    <row r="48" spans="1:13">
      <c r="A48" s="1">
        <f>'Paste cell here'!A48</f>
        <v>47</v>
      </c>
      <c r="B48" s="2">
        <f>DATE(Sintesi!$C$4-1,12,31)+A48</f>
        <v>44243</v>
      </c>
      <c r="C48" s="34" cm="1">
        <f t="array" ref="C48">_xlfn.IFNA(MATCH(1,(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)*(_xlfn.ANCHORARRAY(Sintesi!$C$15)&gt;=0)+(_xlfn.ANCHORARRAY(Sintesi!$C$15)&lt;0),0),0)</f>
        <v>0</v>
      </c>
      <c r="D48" s="1" cm="1">
        <f t="array" ref="D48">IF(ISBLANK($E49),IF(ISNUMBER($E47),IF($C48&gt;0,IF(($E48=INDEX(_xlfn.ANCHORARRAY(Sintesi!$C$14),1,$C48))*(INDEX(_xlfn.ANCHORARRAY(Sintesi!$C$15),1,$C48)&gt;0),0,IF(($E48=INDEX(_xlfn.ANCHORARRAY(Sintesi!$C$14),1,$C48))*(INDEX(_xlfn.ANCHORARRAY(Sintesi!$C$15),1,$C48)&lt;0)+($E48&gt;=$E47)*($E48&lt;=INDEX($E:$E,MATCH(TRUE,INDEX((ISNUMBER($E:$E)),0),0)))*($E48&gt;INDEX(_xlfn.ANCHORARRAY(Sintesi!$C$14),1,$C48))*($E48&lt;=INDEX(_xlfn.ANCHORARRAY(Sintesi!$C$15),1,$C48))*(INDEX(_xlfn.ANCHORARRAY(Sintesi!$C$15),1,$C48)&gt;0),1,IF(($E48&gt;=$E47)*($E48&lt;=INDEX($E:$E,MATCH(TRUE,INDEX((ISNUMBER($E:$E)),0),0)))*($E48&gt;INDEX(_xlfn.ANCHORARRAY(Sintesi!$C$14),1,$C48))*($E48&lt;INDEX(_xlfn.ANCHORARRAY(Sintesi!$C$16),1,$C48))*(INDEX(_xlfn.ANCHORARRAY(Sintesi!$C$15),1,$C48)&lt;0)+($E48&gt;=$E47)*($E48&lt;=INDEX($E:$E,MATCH(TRUE,INDEX((ISNUMBER($E:$E)),0),0)))*($E48&gt;INDEX(_xlfn.ANCHORARRAY(Sintesi!$C$15),1,$C48))*($E48&lt;INDEX(_xlfn.ANCHORARRAY(Sintesi!$C$16),1,$C48))*(INDEX(_xlfn.ANCHORARRAY(Sintesi!$C$15),1,$C48)&gt;0),2,IF($E48=(INDEX(_xlfn.ANCHORARRAY(Sintesi!$C$16),1,$C48)),3,4)))),0),IF($C48&gt;0,IF(($E48=INDEX(_xlfn.ANCHORARRAY(Sintesi!$C$14),1,$C48))*(INDEX(_xlfn.ANCHORARRAY(Sintesi!$C$15),1,$C48)&gt;0),0,IF(($E48=INDEX(_xlfn.ANCHORARRAY(Sintesi!$C$14),1,$C48))*(INDEX(_xlfn.ANCHORARRAY(Sintesi!$C$15),1,$C48)&lt;0)+($E48&gt;=LOOKUP(2,1/($E:$E&lt;&gt;""),$E:$E))*($E48&lt;=INDEX($E:$E,MATCH(TRUE,INDEX((ISNUMBER($E:$E)),0),0)))*($E48&gt;INDEX(_xlfn.ANCHORARRAY(Sintesi!$C$14),1,$C48))*($E48&lt;=INDEX(_xlfn.ANCHORARRAY(Sintesi!$C$15),1,$C48))*(INDEX(_xlfn.ANCHORARRAY(Sintesi!$C$15),1,$C48)&gt;0),1,IF(($E48&gt;=LOOKUP(2,1/($E:$E&lt;&gt;""),$E:$E))*($E48&lt;=INDEX($E:$E,MATCH(TRUE,INDEX((ISNUMBER($E:$E)),0),0)))*($E48&gt;INDEX(_xlfn.ANCHORARRAY(Sintesi!$C$14),1,$C48))*($E48&lt;INDEX(_xlfn.ANCHORARRAY(Sintesi!$C$16),1,$C48))*(INDEX(_xlfn.ANCHORARRAY(Sintesi!$C$15),1,$C48)&lt;0)+($E48&gt;=LOOKUP(2,1/($E:$E&lt;&gt;""),$E:$E))*($E48&lt;=INDEX($E:$E,MATCH(TRUE,INDEX((ISNUMBER($E:$E)),0),0)))*($E48&gt;INDEX(_xlfn.ANCHORARRAY(Sintesi!$C$15),1,$C48))*($E48&lt;INDEX(_xlfn.ANCHORARRAY(Sintesi!$C$16),1,$C48))*(INDEX(_xlfn.ANCHORARRAY(Sintesi!$C$15),1,$C48)&gt;0),2,IF($E48=(INDEX(_xlfn.ANCHORARRAY(Sintesi!$C$16),1,$C48)),3,4)))),0)),IF(ISNUMBER($E47),IF($C48&gt;0,IF(($E48=INDEX(_xlfn.ANCHORARRAY(Sintesi!$C$14),1,$C48))*(INDEX(_xlfn.ANCHORARRAY(Sintesi!$C$15),1,$C48)&gt;0),0,IF(($E48=INDEX(_xlfn.ANCHORARRAY(Sintesi!$C$14),1,$C48))*(INDEX(_xlfn.ANCHORARRAY(Sintesi!$C$15),1,$C48)&lt;0)+($E48&gt;=$E47)*($E48&lt;=$E49)*($E48&gt;INDEX(_xlfn.ANCHORARRAY(Sintesi!$C$14),1,$C48))*($E48&lt;=INDEX(_xlfn.ANCHORARRAY(Sintesi!$C$15),1,$C48))*(INDEX(_xlfn.ANCHORARRAY(Sintesi!$C$15),1,$C48)&gt;0),1,IF(($E48&gt;=$E47)*($E48&lt;=$E49)*($E48&gt;INDEX(_xlfn.ANCHORARRAY(Sintesi!$C$14),1,$C48))*($E48&lt;INDEX(_xlfn.ANCHORARRAY(Sintesi!$C$16),1,$C48))*(INDEX(_xlfn.ANCHORARRAY(Sintesi!$C$15),1,$C48)&lt;0)+($E48&gt;=$E47)*($E48&lt;=$E49)*($E48&gt;INDEX(_xlfn.ANCHORARRAY(Sintesi!$C$15),1,$C48))*($E48&lt;INDEX(_xlfn.ANCHORARRAY(Sintesi!$C$16),1,$C48))*(INDEX(_xlfn.ANCHORARRAY(Sintesi!$C$15),1,$C48)&gt;0),2,IF($E48=(INDEX(_xlfn.ANCHORARRAY(Sintesi!$C$16),1,$C48)),3,4)))),0),IF($C48&gt;0,IF(($E48=INDEX(_xlfn.ANCHORARRAY(Sintesi!$C$14),1,$C48))*(INDEX(_xlfn.ANCHORARRAY(Sintesi!$C$15),1,$C48)&gt;0),0,IF(($E48=INDEX(_xlfn.ANCHORARRAY(Sintesi!$C$14),1,$C48))*(INDEX(_xlfn.ANCHORARRAY(Sintesi!$C$15),1,$C48)&lt;0)+($E48&gt;=LOOKUP(2,1/($E:$E&lt;&gt;""),$E:$E))*($E48&lt;=$E49)*($E48&gt;INDEX(_xlfn.ANCHORARRAY(Sintesi!$C$14),1,$C48))*($E48&lt;=INDEX(_xlfn.ANCHORARRAY(Sintesi!$C$15),1,$C48))*(INDEX(_xlfn.ANCHORARRAY(Sintesi!$C$15),1,$C48)&gt;0),1,IF(($E48&gt;=LOOKUP(2,1/($E:$E&lt;&gt;""),$E:$E))*($E48&lt;=$E49)*($E48&gt;INDEX(_xlfn.ANCHORARRAY(Sintesi!$C$14),1,$C48))*($E48&lt;INDEX(_xlfn.ANCHORARRAY(Sintesi!$C$16),1,$C48))*(INDEX(_xlfn.ANCHORARRAY(Sintesi!$C$15),1,$C48)&lt;0)+($E48&gt;=LOOKUP(2,1/($E:$E&lt;&gt;""),$E:$E))*($E48&lt;=$E49)*($E48&gt;INDEX(_xlfn.ANCHORARRAY(Sintesi!$C$15),1,$C48))*($E48&lt;INDEX(_xlfn.ANCHORARRAY(Sintesi!$C$16),1,$C48))*(INDEX(_xlfn.ANCHORARRAY(Sintesi!$C$15),1,$C48)&gt;0),2,IF($E48=(INDEX(_xlfn.ANCHORARRAY(Sintesi!$C$16),1,$C48)),3,4)))),0)))</f>
        <v>0</v>
      </c>
      <c r="E48" s="1">
        <f>'Paste cell here'!F48</f>
        <v>0</v>
      </c>
      <c r="F48" s="1">
        <f>'Paste cell here'!C48</f>
        <v>11.60267973</v>
      </c>
      <c r="G48" s="1">
        <f>'Paste cell here'!D48</f>
        <v>-2.7952040999999999</v>
      </c>
      <c r="H48" s="1">
        <f>'Paste cell here'!E48</f>
        <v>0.97977373099999998</v>
      </c>
      <c r="I48" s="1">
        <f>'Paste cell here'!X48</f>
        <v>0</v>
      </c>
      <c r="J48" s="1">
        <f>'Paste cell here'!Y48+'Paste cell here'!S48</f>
        <v>0</v>
      </c>
      <c r="K48" s="1">
        <f t="shared" si="1"/>
        <v>0</v>
      </c>
      <c r="L48" s="1">
        <f t="shared" si="0"/>
        <v>6.3822945301437297</v>
      </c>
      <c r="M48" s="1" cm="1">
        <f t="array" ref="M48">IF(AND(A48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,A48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),IF(L48&lt;_xlfn.IFNA(INDEX(_xlfn.ANCHORARRAY(Sintesi!$C$17)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,1,IF(L48&gt;=_xlfn.IFNA(INDEX(_xlfn.ANCHORARRAY(Sintesi!$C$18)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,0,1-(L48-_xlfn.IFNA(INDEX(_xlfn.ANCHORARRAY(Sintesi!$C$17)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)/(_xlfn.IFNA(INDEX(_xlfn.ANCHORARRAY(Sintesi!$C$18)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-_xlfn.IFNA(INDEX(_xlfn.ANCHORARRAY(Sintesi!$C$17),1,MATCH(1,(_xlfn.ANCHORARRAY(Sintesi!$C$9)&gt;_xlfn.ANCHORARRAY(Sintesi!$C$10))*(A47&gt;=_xlfn.ANCHORARRAY(Sintesi!$C$9))+(_xlfn.ANCHORARRAY(Sintesi!$C$9)&gt;_xlfn.ANCHORARRAY(Sintesi!$C$10))*(A47&lt;=_xlfn.ANCHORARRAY(Sintesi!$C$10))+(_xlfn.ANCHORARRAY(Sintesi!$C$9)&lt;_xlfn.ANCHORARRAY(Sintesi!$C$10))*(A47&gt;=_xlfn.ANCHORARRAY(Sintesi!$C$9))*(A47&lt;=_xlfn.ANCHORARRAY(Sintesi!$C$10)),0)),0)))),0)</f>
        <v>0</v>
      </c>
    </row>
    <row r="49" spans="1:13">
      <c r="A49" s="1">
        <f>'Paste cell here'!A49</f>
        <v>48</v>
      </c>
      <c r="B49" s="2">
        <f>DATE(Sintesi!$C$4-1,12,31)+A49</f>
        <v>44244</v>
      </c>
      <c r="C49" s="34" cm="1">
        <f t="array" ref="C49">_xlfn.IFNA(MATCH(1,(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)*(_xlfn.ANCHORARRAY(Sintesi!$C$15)&gt;=0)+(_xlfn.ANCHORARRAY(Sintesi!$C$15)&lt;0),0),0)</f>
        <v>0</v>
      </c>
      <c r="D49" s="1" cm="1">
        <f t="array" ref="D49">IF(ISBLANK($E50),IF(ISNUMBER($E48),IF($C49&gt;0,IF(($E49=INDEX(_xlfn.ANCHORARRAY(Sintesi!$C$14),1,$C49))*(INDEX(_xlfn.ANCHORARRAY(Sintesi!$C$15),1,$C49)&gt;0),0,IF(($E49=INDEX(_xlfn.ANCHORARRAY(Sintesi!$C$14),1,$C49))*(INDEX(_xlfn.ANCHORARRAY(Sintesi!$C$15),1,$C49)&lt;0)+($E49&gt;=$E48)*($E49&lt;=INDEX($E:$E,MATCH(TRUE,INDEX((ISNUMBER($E:$E)),0),0)))*($E49&gt;INDEX(_xlfn.ANCHORARRAY(Sintesi!$C$14),1,$C49))*($E49&lt;=INDEX(_xlfn.ANCHORARRAY(Sintesi!$C$15),1,$C49))*(INDEX(_xlfn.ANCHORARRAY(Sintesi!$C$15),1,$C49)&gt;0),1,IF(($E49&gt;=$E48)*($E49&lt;=INDEX($E:$E,MATCH(TRUE,INDEX((ISNUMBER($E:$E)),0),0)))*($E49&gt;INDEX(_xlfn.ANCHORARRAY(Sintesi!$C$14),1,$C49))*($E49&lt;INDEX(_xlfn.ANCHORARRAY(Sintesi!$C$16),1,$C49))*(INDEX(_xlfn.ANCHORARRAY(Sintesi!$C$15),1,$C49)&lt;0)+($E49&gt;=$E48)*($E49&lt;=INDEX($E:$E,MATCH(TRUE,INDEX((ISNUMBER($E:$E)),0),0)))*($E49&gt;INDEX(_xlfn.ANCHORARRAY(Sintesi!$C$15),1,$C49))*($E49&lt;INDEX(_xlfn.ANCHORARRAY(Sintesi!$C$16),1,$C49))*(INDEX(_xlfn.ANCHORARRAY(Sintesi!$C$15),1,$C49)&gt;0),2,IF($E49=(INDEX(_xlfn.ANCHORARRAY(Sintesi!$C$16),1,$C49)),3,4)))),0),IF($C49&gt;0,IF(($E49=INDEX(_xlfn.ANCHORARRAY(Sintesi!$C$14),1,$C49))*(INDEX(_xlfn.ANCHORARRAY(Sintesi!$C$15),1,$C49)&gt;0),0,IF(($E49=INDEX(_xlfn.ANCHORARRAY(Sintesi!$C$14),1,$C49))*(INDEX(_xlfn.ANCHORARRAY(Sintesi!$C$15),1,$C49)&lt;0)+($E49&gt;=LOOKUP(2,1/($E:$E&lt;&gt;""),$E:$E))*($E49&lt;=INDEX($E:$E,MATCH(TRUE,INDEX((ISNUMBER($E:$E)),0),0)))*($E49&gt;INDEX(_xlfn.ANCHORARRAY(Sintesi!$C$14),1,$C49))*($E49&lt;=INDEX(_xlfn.ANCHORARRAY(Sintesi!$C$15),1,$C49))*(INDEX(_xlfn.ANCHORARRAY(Sintesi!$C$15),1,$C49)&gt;0),1,IF(($E49&gt;=LOOKUP(2,1/($E:$E&lt;&gt;""),$E:$E))*($E49&lt;=INDEX($E:$E,MATCH(TRUE,INDEX((ISNUMBER($E:$E)),0),0)))*($E49&gt;INDEX(_xlfn.ANCHORARRAY(Sintesi!$C$14),1,$C49))*($E49&lt;INDEX(_xlfn.ANCHORARRAY(Sintesi!$C$16),1,$C49))*(INDEX(_xlfn.ANCHORARRAY(Sintesi!$C$15),1,$C49)&lt;0)+($E49&gt;=LOOKUP(2,1/($E:$E&lt;&gt;""),$E:$E))*($E49&lt;=INDEX($E:$E,MATCH(TRUE,INDEX((ISNUMBER($E:$E)),0),0)))*($E49&gt;INDEX(_xlfn.ANCHORARRAY(Sintesi!$C$15),1,$C49))*($E49&lt;INDEX(_xlfn.ANCHORARRAY(Sintesi!$C$16),1,$C49))*(INDEX(_xlfn.ANCHORARRAY(Sintesi!$C$15),1,$C49)&gt;0),2,IF($E49=(INDEX(_xlfn.ANCHORARRAY(Sintesi!$C$16),1,$C49)),3,4)))),0)),IF(ISNUMBER($E48),IF($C49&gt;0,IF(($E49=INDEX(_xlfn.ANCHORARRAY(Sintesi!$C$14),1,$C49))*(INDEX(_xlfn.ANCHORARRAY(Sintesi!$C$15),1,$C49)&gt;0),0,IF(($E49=INDEX(_xlfn.ANCHORARRAY(Sintesi!$C$14),1,$C49))*(INDEX(_xlfn.ANCHORARRAY(Sintesi!$C$15),1,$C49)&lt;0)+($E49&gt;=$E48)*($E49&lt;=$E50)*($E49&gt;INDEX(_xlfn.ANCHORARRAY(Sintesi!$C$14),1,$C49))*($E49&lt;=INDEX(_xlfn.ANCHORARRAY(Sintesi!$C$15),1,$C49))*(INDEX(_xlfn.ANCHORARRAY(Sintesi!$C$15),1,$C49)&gt;0),1,IF(($E49&gt;=$E48)*($E49&lt;=$E50)*($E49&gt;INDEX(_xlfn.ANCHORARRAY(Sintesi!$C$14),1,$C49))*($E49&lt;INDEX(_xlfn.ANCHORARRAY(Sintesi!$C$16),1,$C49))*(INDEX(_xlfn.ANCHORARRAY(Sintesi!$C$15),1,$C49)&lt;0)+($E49&gt;=$E48)*($E49&lt;=$E50)*($E49&gt;INDEX(_xlfn.ANCHORARRAY(Sintesi!$C$15),1,$C49))*($E49&lt;INDEX(_xlfn.ANCHORARRAY(Sintesi!$C$16),1,$C49))*(INDEX(_xlfn.ANCHORARRAY(Sintesi!$C$15),1,$C49)&gt;0),2,IF($E49=(INDEX(_xlfn.ANCHORARRAY(Sintesi!$C$16),1,$C49)),3,4)))),0),IF($C49&gt;0,IF(($E49=INDEX(_xlfn.ANCHORARRAY(Sintesi!$C$14),1,$C49))*(INDEX(_xlfn.ANCHORARRAY(Sintesi!$C$15),1,$C49)&gt;0),0,IF(($E49=INDEX(_xlfn.ANCHORARRAY(Sintesi!$C$14),1,$C49))*(INDEX(_xlfn.ANCHORARRAY(Sintesi!$C$15),1,$C49)&lt;0)+($E49&gt;=LOOKUP(2,1/($E:$E&lt;&gt;""),$E:$E))*($E49&lt;=$E50)*($E49&gt;INDEX(_xlfn.ANCHORARRAY(Sintesi!$C$14),1,$C49))*($E49&lt;=INDEX(_xlfn.ANCHORARRAY(Sintesi!$C$15),1,$C49))*(INDEX(_xlfn.ANCHORARRAY(Sintesi!$C$15),1,$C49)&gt;0),1,IF(($E49&gt;=LOOKUP(2,1/($E:$E&lt;&gt;""),$E:$E))*($E49&lt;=$E50)*($E49&gt;INDEX(_xlfn.ANCHORARRAY(Sintesi!$C$14),1,$C49))*($E49&lt;INDEX(_xlfn.ANCHORARRAY(Sintesi!$C$16),1,$C49))*(INDEX(_xlfn.ANCHORARRAY(Sintesi!$C$15),1,$C49)&lt;0)+($E49&gt;=LOOKUP(2,1/($E:$E&lt;&gt;""),$E:$E))*($E49&lt;=$E50)*($E49&gt;INDEX(_xlfn.ANCHORARRAY(Sintesi!$C$15),1,$C49))*($E49&lt;INDEX(_xlfn.ANCHORARRAY(Sintesi!$C$16),1,$C49))*(INDEX(_xlfn.ANCHORARRAY(Sintesi!$C$15),1,$C49)&gt;0),2,IF($E49=(INDEX(_xlfn.ANCHORARRAY(Sintesi!$C$16),1,$C49)),3,4)))),0)))</f>
        <v>0</v>
      </c>
      <c r="E49" s="1">
        <f>'Paste cell here'!F49</f>
        <v>0</v>
      </c>
      <c r="F49" s="1">
        <f>'Paste cell here'!C49</f>
        <v>14.12545613</v>
      </c>
      <c r="G49" s="1">
        <f>'Paste cell here'!D49</f>
        <v>4.0973202740000003</v>
      </c>
      <c r="H49" s="1">
        <f>'Paste cell here'!E49</f>
        <v>1.0695322570000001</v>
      </c>
      <c r="I49" s="1">
        <f>'Paste cell here'!X49</f>
        <v>0</v>
      </c>
      <c r="J49" s="1">
        <f>'Paste cell here'!Y49+'Paste cell here'!S49</f>
        <v>0</v>
      </c>
      <c r="K49" s="1">
        <f t="shared" si="1"/>
        <v>0</v>
      </c>
      <c r="L49" s="1">
        <f t="shared" si="0"/>
        <v>10.489454296471497</v>
      </c>
      <c r="M49" s="1" cm="1">
        <f t="array" ref="M49">IF(AND(A49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,A49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),IF(L49&lt;_xlfn.IFNA(INDEX(_xlfn.ANCHORARRAY(Sintesi!$C$17)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,1,IF(L49&gt;=_xlfn.IFNA(INDEX(_xlfn.ANCHORARRAY(Sintesi!$C$18)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,0,1-(L49-_xlfn.IFNA(INDEX(_xlfn.ANCHORARRAY(Sintesi!$C$17)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)/(_xlfn.IFNA(INDEX(_xlfn.ANCHORARRAY(Sintesi!$C$18)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-_xlfn.IFNA(INDEX(_xlfn.ANCHORARRAY(Sintesi!$C$17),1,MATCH(1,(_xlfn.ANCHORARRAY(Sintesi!$C$9)&gt;_xlfn.ANCHORARRAY(Sintesi!$C$10))*(A48&gt;=_xlfn.ANCHORARRAY(Sintesi!$C$9))+(_xlfn.ANCHORARRAY(Sintesi!$C$9)&gt;_xlfn.ANCHORARRAY(Sintesi!$C$10))*(A48&lt;=_xlfn.ANCHORARRAY(Sintesi!$C$10))+(_xlfn.ANCHORARRAY(Sintesi!$C$9)&lt;_xlfn.ANCHORARRAY(Sintesi!$C$10))*(A48&gt;=_xlfn.ANCHORARRAY(Sintesi!$C$9))*(A48&lt;=_xlfn.ANCHORARRAY(Sintesi!$C$10)),0)),0)))),0)</f>
        <v>0</v>
      </c>
    </row>
    <row r="50" spans="1:13">
      <c r="A50" s="1">
        <f>'Paste cell here'!A50</f>
        <v>49</v>
      </c>
      <c r="B50" s="2">
        <f>DATE(Sintesi!$C$4-1,12,31)+A50</f>
        <v>44245</v>
      </c>
      <c r="C50" s="34" cm="1">
        <f t="array" ref="C50">_xlfn.IFNA(MATCH(1,(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)*(_xlfn.ANCHORARRAY(Sintesi!$C$15)&gt;=0)+(_xlfn.ANCHORARRAY(Sintesi!$C$15)&lt;0),0),0)</f>
        <v>0</v>
      </c>
      <c r="D50" s="1" cm="1">
        <f t="array" ref="D50">IF(ISBLANK($E51),IF(ISNUMBER($E49),IF($C50&gt;0,IF(($E50=INDEX(_xlfn.ANCHORARRAY(Sintesi!$C$14),1,$C50))*(INDEX(_xlfn.ANCHORARRAY(Sintesi!$C$15),1,$C50)&gt;0),0,IF(($E50=INDEX(_xlfn.ANCHORARRAY(Sintesi!$C$14),1,$C50))*(INDEX(_xlfn.ANCHORARRAY(Sintesi!$C$15),1,$C50)&lt;0)+($E50&gt;=$E49)*($E50&lt;=INDEX($E:$E,MATCH(TRUE,INDEX((ISNUMBER($E:$E)),0),0)))*($E50&gt;INDEX(_xlfn.ANCHORARRAY(Sintesi!$C$14),1,$C50))*($E50&lt;=INDEX(_xlfn.ANCHORARRAY(Sintesi!$C$15),1,$C50))*(INDEX(_xlfn.ANCHORARRAY(Sintesi!$C$15),1,$C50)&gt;0),1,IF(($E50&gt;=$E49)*($E50&lt;=INDEX($E:$E,MATCH(TRUE,INDEX((ISNUMBER($E:$E)),0),0)))*($E50&gt;INDEX(_xlfn.ANCHORARRAY(Sintesi!$C$14),1,$C50))*($E50&lt;INDEX(_xlfn.ANCHORARRAY(Sintesi!$C$16),1,$C50))*(INDEX(_xlfn.ANCHORARRAY(Sintesi!$C$15),1,$C50)&lt;0)+($E50&gt;=$E49)*($E50&lt;=INDEX($E:$E,MATCH(TRUE,INDEX((ISNUMBER($E:$E)),0),0)))*($E50&gt;INDEX(_xlfn.ANCHORARRAY(Sintesi!$C$15),1,$C50))*($E50&lt;INDEX(_xlfn.ANCHORARRAY(Sintesi!$C$16),1,$C50))*(INDEX(_xlfn.ANCHORARRAY(Sintesi!$C$15),1,$C50)&gt;0),2,IF($E50=(INDEX(_xlfn.ANCHORARRAY(Sintesi!$C$16),1,$C50)),3,4)))),0),IF($C50&gt;0,IF(($E50=INDEX(_xlfn.ANCHORARRAY(Sintesi!$C$14),1,$C50))*(INDEX(_xlfn.ANCHORARRAY(Sintesi!$C$15),1,$C50)&gt;0),0,IF(($E50=INDEX(_xlfn.ANCHORARRAY(Sintesi!$C$14),1,$C50))*(INDEX(_xlfn.ANCHORARRAY(Sintesi!$C$15),1,$C50)&lt;0)+($E50&gt;=LOOKUP(2,1/($E:$E&lt;&gt;""),$E:$E))*($E50&lt;=INDEX($E:$E,MATCH(TRUE,INDEX((ISNUMBER($E:$E)),0),0)))*($E50&gt;INDEX(_xlfn.ANCHORARRAY(Sintesi!$C$14),1,$C50))*($E50&lt;=INDEX(_xlfn.ANCHORARRAY(Sintesi!$C$15),1,$C50))*(INDEX(_xlfn.ANCHORARRAY(Sintesi!$C$15),1,$C50)&gt;0),1,IF(($E50&gt;=LOOKUP(2,1/($E:$E&lt;&gt;""),$E:$E))*($E50&lt;=INDEX($E:$E,MATCH(TRUE,INDEX((ISNUMBER($E:$E)),0),0)))*($E50&gt;INDEX(_xlfn.ANCHORARRAY(Sintesi!$C$14),1,$C50))*($E50&lt;INDEX(_xlfn.ANCHORARRAY(Sintesi!$C$16),1,$C50))*(INDEX(_xlfn.ANCHORARRAY(Sintesi!$C$15),1,$C50)&lt;0)+($E50&gt;=LOOKUP(2,1/($E:$E&lt;&gt;""),$E:$E))*($E50&lt;=INDEX($E:$E,MATCH(TRUE,INDEX((ISNUMBER($E:$E)),0),0)))*($E50&gt;INDEX(_xlfn.ANCHORARRAY(Sintesi!$C$15),1,$C50))*($E50&lt;INDEX(_xlfn.ANCHORARRAY(Sintesi!$C$16),1,$C50))*(INDEX(_xlfn.ANCHORARRAY(Sintesi!$C$15),1,$C50)&gt;0),2,IF($E50=(INDEX(_xlfn.ANCHORARRAY(Sintesi!$C$16),1,$C50)),3,4)))),0)),IF(ISNUMBER($E49),IF($C50&gt;0,IF(($E50=INDEX(_xlfn.ANCHORARRAY(Sintesi!$C$14),1,$C50))*(INDEX(_xlfn.ANCHORARRAY(Sintesi!$C$15),1,$C50)&gt;0),0,IF(($E50=INDEX(_xlfn.ANCHORARRAY(Sintesi!$C$14),1,$C50))*(INDEX(_xlfn.ANCHORARRAY(Sintesi!$C$15),1,$C50)&lt;0)+($E50&gt;=$E49)*($E50&lt;=$E51)*($E50&gt;INDEX(_xlfn.ANCHORARRAY(Sintesi!$C$14),1,$C50))*($E50&lt;=INDEX(_xlfn.ANCHORARRAY(Sintesi!$C$15),1,$C50))*(INDEX(_xlfn.ANCHORARRAY(Sintesi!$C$15),1,$C50)&gt;0),1,IF(($E50&gt;=$E49)*($E50&lt;=$E51)*($E50&gt;INDEX(_xlfn.ANCHORARRAY(Sintesi!$C$14),1,$C50))*($E50&lt;INDEX(_xlfn.ANCHORARRAY(Sintesi!$C$16),1,$C50))*(INDEX(_xlfn.ANCHORARRAY(Sintesi!$C$15),1,$C50)&lt;0)+($E50&gt;=$E49)*($E50&lt;=$E51)*($E50&gt;INDEX(_xlfn.ANCHORARRAY(Sintesi!$C$15),1,$C50))*($E50&lt;INDEX(_xlfn.ANCHORARRAY(Sintesi!$C$16),1,$C50))*(INDEX(_xlfn.ANCHORARRAY(Sintesi!$C$15),1,$C50)&gt;0),2,IF($E50=(INDEX(_xlfn.ANCHORARRAY(Sintesi!$C$16),1,$C50)),3,4)))),0),IF($C50&gt;0,IF(($E50=INDEX(_xlfn.ANCHORARRAY(Sintesi!$C$14),1,$C50))*(INDEX(_xlfn.ANCHORARRAY(Sintesi!$C$15),1,$C50)&gt;0),0,IF(($E50=INDEX(_xlfn.ANCHORARRAY(Sintesi!$C$14),1,$C50))*(INDEX(_xlfn.ANCHORARRAY(Sintesi!$C$15),1,$C50)&lt;0)+($E50&gt;=LOOKUP(2,1/($E:$E&lt;&gt;""),$E:$E))*($E50&lt;=$E51)*($E50&gt;INDEX(_xlfn.ANCHORARRAY(Sintesi!$C$14),1,$C50))*($E50&lt;=INDEX(_xlfn.ANCHORARRAY(Sintesi!$C$15),1,$C50))*(INDEX(_xlfn.ANCHORARRAY(Sintesi!$C$15),1,$C50)&gt;0),1,IF(($E50&gt;=LOOKUP(2,1/($E:$E&lt;&gt;""),$E:$E))*($E50&lt;=$E51)*($E50&gt;INDEX(_xlfn.ANCHORARRAY(Sintesi!$C$14),1,$C50))*($E50&lt;INDEX(_xlfn.ANCHORARRAY(Sintesi!$C$16),1,$C50))*(INDEX(_xlfn.ANCHORARRAY(Sintesi!$C$15),1,$C50)&lt;0)+($E50&gt;=LOOKUP(2,1/($E:$E&lt;&gt;""),$E:$E))*($E50&lt;=$E51)*($E50&gt;INDEX(_xlfn.ANCHORARRAY(Sintesi!$C$15),1,$C50))*($E50&lt;INDEX(_xlfn.ANCHORARRAY(Sintesi!$C$16),1,$C50))*(INDEX(_xlfn.ANCHORARRAY(Sintesi!$C$15),1,$C50)&gt;0),2,IF($E50=(INDEX(_xlfn.ANCHORARRAY(Sintesi!$C$16),1,$C50)),3,4)))),0)))</f>
        <v>0</v>
      </c>
      <c r="E50" s="1">
        <f>'Paste cell here'!F50</f>
        <v>0</v>
      </c>
      <c r="F50" s="1">
        <f>'Paste cell here'!C50</f>
        <v>11.246074699999999</v>
      </c>
      <c r="G50" s="1">
        <f>'Paste cell here'!D50</f>
        <v>5.3047959000000002</v>
      </c>
      <c r="H50" s="1">
        <f>'Paste cell here'!E50</f>
        <v>0.93217662800000001</v>
      </c>
      <c r="I50" s="1">
        <f>'Paste cell here'!X50</f>
        <v>0</v>
      </c>
      <c r="J50" s="1">
        <f>'Paste cell here'!Y50+'Paste cell here'!S50</f>
        <v>0</v>
      </c>
      <c r="K50" s="1">
        <f t="shared" si="1"/>
        <v>0</v>
      </c>
      <c r="L50" s="1">
        <f t="shared" si="0"/>
        <v>9.0918856343045142</v>
      </c>
      <c r="M50" s="1" cm="1">
        <f t="array" ref="M50">IF(AND(A50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,A50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),IF(L50&lt;_xlfn.IFNA(INDEX(_xlfn.ANCHORARRAY(Sintesi!$C$17)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,1,IF(L50&gt;=_xlfn.IFNA(INDEX(_xlfn.ANCHORARRAY(Sintesi!$C$18)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,0,1-(L50-_xlfn.IFNA(INDEX(_xlfn.ANCHORARRAY(Sintesi!$C$17)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)/(_xlfn.IFNA(INDEX(_xlfn.ANCHORARRAY(Sintesi!$C$18)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-_xlfn.IFNA(INDEX(_xlfn.ANCHORARRAY(Sintesi!$C$17),1,MATCH(1,(_xlfn.ANCHORARRAY(Sintesi!$C$9)&gt;_xlfn.ANCHORARRAY(Sintesi!$C$10))*(A49&gt;=_xlfn.ANCHORARRAY(Sintesi!$C$9))+(_xlfn.ANCHORARRAY(Sintesi!$C$9)&gt;_xlfn.ANCHORARRAY(Sintesi!$C$10))*(A49&lt;=_xlfn.ANCHORARRAY(Sintesi!$C$10))+(_xlfn.ANCHORARRAY(Sintesi!$C$9)&lt;_xlfn.ANCHORARRAY(Sintesi!$C$10))*(A49&gt;=_xlfn.ANCHORARRAY(Sintesi!$C$9))*(A49&lt;=_xlfn.ANCHORARRAY(Sintesi!$C$10)),0)),0)))),0)</f>
        <v>0</v>
      </c>
    </row>
    <row r="51" spans="1:13">
      <c r="A51" s="1">
        <f>'Paste cell here'!A51</f>
        <v>50</v>
      </c>
      <c r="B51" s="2">
        <f>DATE(Sintesi!$C$4-1,12,31)+A51</f>
        <v>44246</v>
      </c>
      <c r="C51" s="34" cm="1">
        <f t="array" ref="C51">_xlfn.IFNA(MATCH(1,(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)*(_xlfn.ANCHORARRAY(Sintesi!$C$15)&gt;=0)+(_xlfn.ANCHORARRAY(Sintesi!$C$15)&lt;0),0),0)</f>
        <v>0</v>
      </c>
      <c r="D51" s="1" cm="1">
        <f t="array" ref="D51">IF(ISBLANK($E52),IF(ISNUMBER($E50),IF($C51&gt;0,IF(($E51=INDEX(_xlfn.ANCHORARRAY(Sintesi!$C$14),1,$C51))*(INDEX(_xlfn.ANCHORARRAY(Sintesi!$C$15),1,$C51)&gt;0),0,IF(($E51=INDEX(_xlfn.ANCHORARRAY(Sintesi!$C$14),1,$C51))*(INDEX(_xlfn.ANCHORARRAY(Sintesi!$C$15),1,$C51)&lt;0)+($E51&gt;=$E50)*($E51&lt;=INDEX($E:$E,MATCH(TRUE,INDEX((ISNUMBER($E:$E)),0),0)))*($E51&gt;INDEX(_xlfn.ANCHORARRAY(Sintesi!$C$14),1,$C51))*($E51&lt;=INDEX(_xlfn.ANCHORARRAY(Sintesi!$C$15),1,$C51))*(INDEX(_xlfn.ANCHORARRAY(Sintesi!$C$15),1,$C51)&gt;0),1,IF(($E51&gt;=$E50)*($E51&lt;=INDEX($E:$E,MATCH(TRUE,INDEX((ISNUMBER($E:$E)),0),0)))*($E51&gt;INDEX(_xlfn.ANCHORARRAY(Sintesi!$C$14),1,$C51))*($E51&lt;INDEX(_xlfn.ANCHORARRAY(Sintesi!$C$16),1,$C51))*(INDEX(_xlfn.ANCHORARRAY(Sintesi!$C$15),1,$C51)&lt;0)+($E51&gt;=$E50)*($E51&lt;=INDEX($E:$E,MATCH(TRUE,INDEX((ISNUMBER($E:$E)),0),0)))*($E51&gt;INDEX(_xlfn.ANCHORARRAY(Sintesi!$C$15),1,$C51))*($E51&lt;INDEX(_xlfn.ANCHORARRAY(Sintesi!$C$16),1,$C51))*(INDEX(_xlfn.ANCHORARRAY(Sintesi!$C$15),1,$C51)&gt;0),2,IF($E51=(INDEX(_xlfn.ANCHORARRAY(Sintesi!$C$16),1,$C51)),3,4)))),0),IF($C51&gt;0,IF(($E51=INDEX(_xlfn.ANCHORARRAY(Sintesi!$C$14),1,$C51))*(INDEX(_xlfn.ANCHORARRAY(Sintesi!$C$15),1,$C51)&gt;0),0,IF(($E51=INDEX(_xlfn.ANCHORARRAY(Sintesi!$C$14),1,$C51))*(INDEX(_xlfn.ANCHORARRAY(Sintesi!$C$15),1,$C51)&lt;0)+($E51&gt;=LOOKUP(2,1/($E:$E&lt;&gt;""),$E:$E))*($E51&lt;=INDEX($E:$E,MATCH(TRUE,INDEX((ISNUMBER($E:$E)),0),0)))*($E51&gt;INDEX(_xlfn.ANCHORARRAY(Sintesi!$C$14),1,$C51))*($E51&lt;=INDEX(_xlfn.ANCHORARRAY(Sintesi!$C$15),1,$C51))*(INDEX(_xlfn.ANCHORARRAY(Sintesi!$C$15),1,$C51)&gt;0),1,IF(($E51&gt;=LOOKUP(2,1/($E:$E&lt;&gt;""),$E:$E))*($E51&lt;=INDEX($E:$E,MATCH(TRUE,INDEX((ISNUMBER($E:$E)),0),0)))*($E51&gt;INDEX(_xlfn.ANCHORARRAY(Sintesi!$C$14),1,$C51))*($E51&lt;INDEX(_xlfn.ANCHORARRAY(Sintesi!$C$16),1,$C51))*(INDEX(_xlfn.ANCHORARRAY(Sintesi!$C$15),1,$C51)&lt;0)+($E51&gt;=LOOKUP(2,1/($E:$E&lt;&gt;""),$E:$E))*($E51&lt;=INDEX($E:$E,MATCH(TRUE,INDEX((ISNUMBER($E:$E)),0),0)))*($E51&gt;INDEX(_xlfn.ANCHORARRAY(Sintesi!$C$15),1,$C51))*($E51&lt;INDEX(_xlfn.ANCHORARRAY(Sintesi!$C$16),1,$C51))*(INDEX(_xlfn.ANCHORARRAY(Sintesi!$C$15),1,$C51)&gt;0),2,IF($E51=(INDEX(_xlfn.ANCHORARRAY(Sintesi!$C$16),1,$C51)),3,4)))),0)),IF(ISNUMBER($E50),IF($C51&gt;0,IF(($E51=INDEX(_xlfn.ANCHORARRAY(Sintesi!$C$14),1,$C51))*(INDEX(_xlfn.ANCHORARRAY(Sintesi!$C$15),1,$C51)&gt;0),0,IF(($E51=INDEX(_xlfn.ANCHORARRAY(Sintesi!$C$14),1,$C51))*(INDEX(_xlfn.ANCHORARRAY(Sintesi!$C$15),1,$C51)&lt;0)+($E51&gt;=$E50)*($E51&lt;=$E52)*($E51&gt;INDEX(_xlfn.ANCHORARRAY(Sintesi!$C$14),1,$C51))*($E51&lt;=INDEX(_xlfn.ANCHORARRAY(Sintesi!$C$15),1,$C51))*(INDEX(_xlfn.ANCHORARRAY(Sintesi!$C$15),1,$C51)&gt;0),1,IF(($E51&gt;=$E50)*($E51&lt;=$E52)*($E51&gt;INDEX(_xlfn.ANCHORARRAY(Sintesi!$C$14),1,$C51))*($E51&lt;INDEX(_xlfn.ANCHORARRAY(Sintesi!$C$16),1,$C51))*(INDEX(_xlfn.ANCHORARRAY(Sintesi!$C$15),1,$C51)&lt;0)+($E51&gt;=$E50)*($E51&lt;=$E52)*($E51&gt;INDEX(_xlfn.ANCHORARRAY(Sintesi!$C$15),1,$C51))*($E51&lt;INDEX(_xlfn.ANCHORARRAY(Sintesi!$C$16),1,$C51))*(INDEX(_xlfn.ANCHORARRAY(Sintesi!$C$15),1,$C51)&gt;0),2,IF($E51=(INDEX(_xlfn.ANCHORARRAY(Sintesi!$C$16),1,$C51)),3,4)))),0),IF($C51&gt;0,IF(($E51=INDEX(_xlfn.ANCHORARRAY(Sintesi!$C$14),1,$C51))*(INDEX(_xlfn.ANCHORARRAY(Sintesi!$C$15),1,$C51)&gt;0),0,IF(($E51=INDEX(_xlfn.ANCHORARRAY(Sintesi!$C$14),1,$C51))*(INDEX(_xlfn.ANCHORARRAY(Sintesi!$C$15),1,$C51)&lt;0)+($E51&gt;=LOOKUP(2,1/($E:$E&lt;&gt;""),$E:$E))*($E51&lt;=$E52)*($E51&gt;INDEX(_xlfn.ANCHORARRAY(Sintesi!$C$14),1,$C51))*($E51&lt;=INDEX(_xlfn.ANCHORARRAY(Sintesi!$C$15),1,$C51))*(INDEX(_xlfn.ANCHORARRAY(Sintesi!$C$15),1,$C51)&gt;0),1,IF(($E51&gt;=LOOKUP(2,1/($E:$E&lt;&gt;""),$E:$E))*($E51&lt;=$E52)*($E51&gt;INDEX(_xlfn.ANCHORARRAY(Sintesi!$C$14),1,$C51))*($E51&lt;INDEX(_xlfn.ANCHORARRAY(Sintesi!$C$16),1,$C51))*(INDEX(_xlfn.ANCHORARRAY(Sintesi!$C$15),1,$C51)&lt;0)+($E51&gt;=LOOKUP(2,1/($E:$E&lt;&gt;""),$E:$E))*($E51&lt;=$E52)*($E51&gt;INDEX(_xlfn.ANCHORARRAY(Sintesi!$C$15),1,$C51))*($E51&lt;INDEX(_xlfn.ANCHORARRAY(Sintesi!$C$16),1,$C51))*(INDEX(_xlfn.ANCHORARRAY(Sintesi!$C$15),1,$C51)&gt;0),2,IF($E51=(INDEX(_xlfn.ANCHORARRAY(Sintesi!$C$16),1,$C51)),3,4)))),0)))</f>
        <v>0</v>
      </c>
      <c r="E51" s="1">
        <f>'Paste cell here'!F51</f>
        <v>0</v>
      </c>
      <c r="F51" s="1">
        <f>'Paste cell here'!C51</f>
        <v>11.6640552</v>
      </c>
      <c r="G51" s="1">
        <f>'Paste cell here'!D51</f>
        <v>7.2254561309999996</v>
      </c>
      <c r="H51" s="1">
        <f>'Paste cell here'!E51</f>
        <v>0.650732333</v>
      </c>
      <c r="I51" s="1">
        <f>'Paste cell here'!X51</f>
        <v>0</v>
      </c>
      <c r="J51" s="1">
        <f>'Paste cell here'!Y51+'Paste cell here'!S51</f>
        <v>0</v>
      </c>
      <c r="K51" s="1">
        <f t="shared" si="1"/>
        <v>0</v>
      </c>
      <c r="L51" s="1">
        <f t="shared" si="0"/>
        <v>10.054707801348055</v>
      </c>
      <c r="M51" s="1" cm="1">
        <f t="array" ref="M51">IF(AND(A51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,A51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),IF(L51&lt;_xlfn.IFNA(INDEX(_xlfn.ANCHORARRAY(Sintesi!$C$17)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,1,IF(L51&gt;=_xlfn.IFNA(INDEX(_xlfn.ANCHORARRAY(Sintesi!$C$18)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,0,1-(L51-_xlfn.IFNA(INDEX(_xlfn.ANCHORARRAY(Sintesi!$C$17)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)/(_xlfn.IFNA(INDEX(_xlfn.ANCHORARRAY(Sintesi!$C$18)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-_xlfn.IFNA(INDEX(_xlfn.ANCHORARRAY(Sintesi!$C$17),1,MATCH(1,(_xlfn.ANCHORARRAY(Sintesi!$C$9)&gt;_xlfn.ANCHORARRAY(Sintesi!$C$10))*(A50&gt;=_xlfn.ANCHORARRAY(Sintesi!$C$9))+(_xlfn.ANCHORARRAY(Sintesi!$C$9)&gt;_xlfn.ANCHORARRAY(Sintesi!$C$10))*(A50&lt;=_xlfn.ANCHORARRAY(Sintesi!$C$10))+(_xlfn.ANCHORARRAY(Sintesi!$C$9)&lt;_xlfn.ANCHORARRAY(Sintesi!$C$10))*(A50&gt;=_xlfn.ANCHORARRAY(Sintesi!$C$9))*(A50&lt;=_xlfn.ANCHORARRAY(Sintesi!$C$10)),0)),0)))),0)</f>
        <v>0</v>
      </c>
    </row>
    <row r="52" spans="1:13">
      <c r="A52" s="1">
        <f>'Paste cell here'!A52</f>
        <v>51</v>
      </c>
      <c r="B52" s="2">
        <f>DATE(Sintesi!$C$4-1,12,31)+A52</f>
        <v>44247</v>
      </c>
      <c r="C52" s="34" cm="1">
        <f t="array" ref="C52">_xlfn.IFNA(MATCH(1,(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)*(_xlfn.ANCHORARRAY(Sintesi!$C$15)&gt;=0)+(_xlfn.ANCHORARRAY(Sintesi!$C$15)&lt;0),0),0)</f>
        <v>0</v>
      </c>
      <c r="D52" s="1" cm="1">
        <f t="array" ref="D52">IF(ISBLANK($E53),IF(ISNUMBER($E51),IF($C52&gt;0,IF(($E52=INDEX(_xlfn.ANCHORARRAY(Sintesi!$C$14),1,$C52))*(INDEX(_xlfn.ANCHORARRAY(Sintesi!$C$15),1,$C52)&gt;0),0,IF(($E52=INDEX(_xlfn.ANCHORARRAY(Sintesi!$C$14),1,$C52))*(INDEX(_xlfn.ANCHORARRAY(Sintesi!$C$15),1,$C52)&lt;0)+($E52&gt;=$E51)*($E52&lt;=INDEX($E:$E,MATCH(TRUE,INDEX((ISNUMBER($E:$E)),0),0)))*($E52&gt;INDEX(_xlfn.ANCHORARRAY(Sintesi!$C$14),1,$C52))*($E52&lt;=INDEX(_xlfn.ANCHORARRAY(Sintesi!$C$15),1,$C52))*(INDEX(_xlfn.ANCHORARRAY(Sintesi!$C$15),1,$C52)&gt;0),1,IF(($E52&gt;=$E51)*($E52&lt;=INDEX($E:$E,MATCH(TRUE,INDEX((ISNUMBER($E:$E)),0),0)))*($E52&gt;INDEX(_xlfn.ANCHORARRAY(Sintesi!$C$14),1,$C52))*($E52&lt;INDEX(_xlfn.ANCHORARRAY(Sintesi!$C$16),1,$C52))*(INDEX(_xlfn.ANCHORARRAY(Sintesi!$C$15),1,$C52)&lt;0)+($E52&gt;=$E51)*($E52&lt;=INDEX($E:$E,MATCH(TRUE,INDEX((ISNUMBER($E:$E)),0),0)))*($E52&gt;INDEX(_xlfn.ANCHORARRAY(Sintesi!$C$15),1,$C52))*($E52&lt;INDEX(_xlfn.ANCHORARRAY(Sintesi!$C$16),1,$C52))*(INDEX(_xlfn.ANCHORARRAY(Sintesi!$C$15),1,$C52)&gt;0),2,IF($E52=(INDEX(_xlfn.ANCHORARRAY(Sintesi!$C$16),1,$C52)),3,4)))),0),IF($C52&gt;0,IF(($E52=INDEX(_xlfn.ANCHORARRAY(Sintesi!$C$14),1,$C52))*(INDEX(_xlfn.ANCHORARRAY(Sintesi!$C$15),1,$C52)&gt;0),0,IF(($E52=INDEX(_xlfn.ANCHORARRAY(Sintesi!$C$14),1,$C52))*(INDEX(_xlfn.ANCHORARRAY(Sintesi!$C$15),1,$C52)&lt;0)+($E52&gt;=LOOKUP(2,1/($E:$E&lt;&gt;""),$E:$E))*($E52&lt;=INDEX($E:$E,MATCH(TRUE,INDEX((ISNUMBER($E:$E)),0),0)))*($E52&gt;INDEX(_xlfn.ANCHORARRAY(Sintesi!$C$14),1,$C52))*($E52&lt;=INDEX(_xlfn.ANCHORARRAY(Sintesi!$C$15),1,$C52))*(INDEX(_xlfn.ANCHORARRAY(Sintesi!$C$15),1,$C52)&gt;0),1,IF(($E52&gt;=LOOKUP(2,1/($E:$E&lt;&gt;""),$E:$E))*($E52&lt;=INDEX($E:$E,MATCH(TRUE,INDEX((ISNUMBER($E:$E)),0),0)))*($E52&gt;INDEX(_xlfn.ANCHORARRAY(Sintesi!$C$14),1,$C52))*($E52&lt;INDEX(_xlfn.ANCHORARRAY(Sintesi!$C$16),1,$C52))*(INDEX(_xlfn.ANCHORARRAY(Sintesi!$C$15),1,$C52)&lt;0)+($E52&gt;=LOOKUP(2,1/($E:$E&lt;&gt;""),$E:$E))*($E52&lt;=INDEX($E:$E,MATCH(TRUE,INDEX((ISNUMBER($E:$E)),0),0)))*($E52&gt;INDEX(_xlfn.ANCHORARRAY(Sintesi!$C$15),1,$C52))*($E52&lt;INDEX(_xlfn.ANCHORARRAY(Sintesi!$C$16),1,$C52))*(INDEX(_xlfn.ANCHORARRAY(Sintesi!$C$15),1,$C52)&gt;0),2,IF($E52=(INDEX(_xlfn.ANCHORARRAY(Sintesi!$C$16),1,$C52)),3,4)))),0)),IF(ISNUMBER($E51),IF($C52&gt;0,IF(($E52=INDEX(_xlfn.ANCHORARRAY(Sintesi!$C$14),1,$C52))*(INDEX(_xlfn.ANCHORARRAY(Sintesi!$C$15),1,$C52)&gt;0),0,IF(($E52=INDEX(_xlfn.ANCHORARRAY(Sintesi!$C$14),1,$C52))*(INDEX(_xlfn.ANCHORARRAY(Sintesi!$C$15),1,$C52)&lt;0)+($E52&gt;=$E51)*($E52&lt;=$E53)*($E52&gt;INDEX(_xlfn.ANCHORARRAY(Sintesi!$C$14),1,$C52))*($E52&lt;=INDEX(_xlfn.ANCHORARRAY(Sintesi!$C$15),1,$C52))*(INDEX(_xlfn.ANCHORARRAY(Sintesi!$C$15),1,$C52)&gt;0),1,IF(($E52&gt;=$E51)*($E52&lt;=$E53)*($E52&gt;INDEX(_xlfn.ANCHORARRAY(Sintesi!$C$14),1,$C52))*($E52&lt;INDEX(_xlfn.ANCHORARRAY(Sintesi!$C$16),1,$C52))*(INDEX(_xlfn.ANCHORARRAY(Sintesi!$C$15),1,$C52)&lt;0)+($E52&gt;=$E51)*($E52&lt;=$E53)*($E52&gt;INDEX(_xlfn.ANCHORARRAY(Sintesi!$C$15),1,$C52))*($E52&lt;INDEX(_xlfn.ANCHORARRAY(Sintesi!$C$16),1,$C52))*(INDEX(_xlfn.ANCHORARRAY(Sintesi!$C$15),1,$C52)&gt;0),2,IF($E52=(INDEX(_xlfn.ANCHORARRAY(Sintesi!$C$16),1,$C52)),3,4)))),0),IF($C52&gt;0,IF(($E52=INDEX(_xlfn.ANCHORARRAY(Sintesi!$C$14),1,$C52))*(INDEX(_xlfn.ANCHORARRAY(Sintesi!$C$15),1,$C52)&gt;0),0,IF(($E52=INDEX(_xlfn.ANCHORARRAY(Sintesi!$C$14),1,$C52))*(INDEX(_xlfn.ANCHORARRAY(Sintesi!$C$15),1,$C52)&lt;0)+($E52&gt;=LOOKUP(2,1/($E:$E&lt;&gt;""),$E:$E))*($E52&lt;=$E53)*($E52&gt;INDEX(_xlfn.ANCHORARRAY(Sintesi!$C$14),1,$C52))*($E52&lt;=INDEX(_xlfn.ANCHORARRAY(Sintesi!$C$15),1,$C52))*(INDEX(_xlfn.ANCHORARRAY(Sintesi!$C$15),1,$C52)&gt;0),1,IF(($E52&gt;=LOOKUP(2,1/($E:$E&lt;&gt;""),$E:$E))*($E52&lt;=$E53)*($E52&gt;INDEX(_xlfn.ANCHORARRAY(Sintesi!$C$14),1,$C52))*($E52&lt;INDEX(_xlfn.ANCHORARRAY(Sintesi!$C$16),1,$C52))*(INDEX(_xlfn.ANCHORARRAY(Sintesi!$C$15),1,$C52)&lt;0)+($E52&gt;=LOOKUP(2,1/($E:$E&lt;&gt;""),$E:$E))*($E52&lt;=$E53)*($E52&gt;INDEX(_xlfn.ANCHORARRAY(Sintesi!$C$15),1,$C52))*($E52&lt;INDEX(_xlfn.ANCHORARRAY(Sintesi!$C$16),1,$C52))*(INDEX(_xlfn.ANCHORARRAY(Sintesi!$C$15),1,$C52)&gt;0),2,IF($E52=(INDEX(_xlfn.ANCHORARRAY(Sintesi!$C$16),1,$C52)),3,4)))),0)))</f>
        <v>0</v>
      </c>
      <c r="E52" s="1">
        <f>'Paste cell here'!F52</f>
        <v>0</v>
      </c>
      <c r="F52" s="1">
        <f>'Paste cell here'!C52</f>
        <v>12.617980510000001</v>
      </c>
      <c r="G52" s="1">
        <f>'Paste cell here'!D52</f>
        <v>7.8433949690000002</v>
      </c>
      <c r="H52" s="1">
        <f>'Paste cell here'!E52</f>
        <v>0.72021648699999996</v>
      </c>
      <c r="I52" s="1">
        <f>'Paste cell here'!X52</f>
        <v>0</v>
      </c>
      <c r="J52" s="1">
        <f>'Paste cell here'!Y52+'Paste cell here'!S52</f>
        <v>0</v>
      </c>
      <c r="K52" s="1">
        <f t="shared" si="1"/>
        <v>0</v>
      </c>
      <c r="L52" s="1">
        <f t="shared" si="0"/>
        <v>10.886811125111015</v>
      </c>
      <c r="M52" s="1" cm="1">
        <f t="array" ref="M52">IF(AND(A52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,A52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),IF(L52&lt;_xlfn.IFNA(INDEX(_xlfn.ANCHORARRAY(Sintesi!$C$17)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,1,IF(L52&gt;=_xlfn.IFNA(INDEX(_xlfn.ANCHORARRAY(Sintesi!$C$18)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,0,1-(L52-_xlfn.IFNA(INDEX(_xlfn.ANCHORARRAY(Sintesi!$C$17)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)/(_xlfn.IFNA(INDEX(_xlfn.ANCHORARRAY(Sintesi!$C$18)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-_xlfn.IFNA(INDEX(_xlfn.ANCHORARRAY(Sintesi!$C$17),1,MATCH(1,(_xlfn.ANCHORARRAY(Sintesi!$C$9)&gt;_xlfn.ANCHORARRAY(Sintesi!$C$10))*(A51&gt;=_xlfn.ANCHORARRAY(Sintesi!$C$9))+(_xlfn.ANCHORARRAY(Sintesi!$C$9)&gt;_xlfn.ANCHORARRAY(Sintesi!$C$10))*(A51&lt;=_xlfn.ANCHORARRAY(Sintesi!$C$10))+(_xlfn.ANCHORARRAY(Sintesi!$C$9)&lt;_xlfn.ANCHORARRAY(Sintesi!$C$10))*(A51&gt;=_xlfn.ANCHORARRAY(Sintesi!$C$9))*(A51&lt;=_xlfn.ANCHORARRAY(Sintesi!$C$10)),0)),0)))),0)</f>
        <v>0</v>
      </c>
    </row>
    <row r="53" spans="1:13">
      <c r="A53" s="1">
        <f>'Paste cell here'!A53</f>
        <v>52</v>
      </c>
      <c r="B53" s="2">
        <f>DATE(Sintesi!$C$4-1,12,31)+A53</f>
        <v>44248</v>
      </c>
      <c r="C53" s="34" cm="1">
        <f t="array" ref="C53">_xlfn.IFNA(MATCH(1,(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)*(_xlfn.ANCHORARRAY(Sintesi!$C$15)&gt;=0)+(_xlfn.ANCHORARRAY(Sintesi!$C$15)&lt;0),0),0)</f>
        <v>0</v>
      </c>
      <c r="D53" s="1" cm="1">
        <f t="array" ref="D53">IF(ISBLANK($E54),IF(ISNUMBER($E52),IF($C53&gt;0,IF(($E53=INDEX(_xlfn.ANCHORARRAY(Sintesi!$C$14),1,$C53))*(INDEX(_xlfn.ANCHORARRAY(Sintesi!$C$15),1,$C53)&gt;0),0,IF(($E53=INDEX(_xlfn.ANCHORARRAY(Sintesi!$C$14),1,$C53))*(INDEX(_xlfn.ANCHORARRAY(Sintesi!$C$15),1,$C53)&lt;0)+($E53&gt;=$E52)*($E53&lt;=INDEX($E:$E,MATCH(TRUE,INDEX((ISNUMBER($E:$E)),0),0)))*($E53&gt;INDEX(_xlfn.ANCHORARRAY(Sintesi!$C$14),1,$C53))*($E53&lt;=INDEX(_xlfn.ANCHORARRAY(Sintesi!$C$15),1,$C53))*(INDEX(_xlfn.ANCHORARRAY(Sintesi!$C$15),1,$C53)&gt;0),1,IF(($E53&gt;=$E52)*($E53&lt;=INDEX($E:$E,MATCH(TRUE,INDEX((ISNUMBER($E:$E)),0),0)))*($E53&gt;INDEX(_xlfn.ANCHORARRAY(Sintesi!$C$14),1,$C53))*($E53&lt;INDEX(_xlfn.ANCHORARRAY(Sintesi!$C$16),1,$C53))*(INDEX(_xlfn.ANCHORARRAY(Sintesi!$C$15),1,$C53)&lt;0)+($E53&gt;=$E52)*($E53&lt;=INDEX($E:$E,MATCH(TRUE,INDEX((ISNUMBER($E:$E)),0),0)))*($E53&gt;INDEX(_xlfn.ANCHORARRAY(Sintesi!$C$15),1,$C53))*($E53&lt;INDEX(_xlfn.ANCHORARRAY(Sintesi!$C$16),1,$C53))*(INDEX(_xlfn.ANCHORARRAY(Sintesi!$C$15),1,$C53)&gt;0),2,IF($E53=(INDEX(_xlfn.ANCHORARRAY(Sintesi!$C$16),1,$C53)),3,4)))),0),IF($C53&gt;0,IF(($E53=INDEX(_xlfn.ANCHORARRAY(Sintesi!$C$14),1,$C53))*(INDEX(_xlfn.ANCHORARRAY(Sintesi!$C$15),1,$C53)&gt;0),0,IF(($E53=INDEX(_xlfn.ANCHORARRAY(Sintesi!$C$14),1,$C53))*(INDEX(_xlfn.ANCHORARRAY(Sintesi!$C$15),1,$C53)&lt;0)+($E53&gt;=LOOKUP(2,1/($E:$E&lt;&gt;""),$E:$E))*($E53&lt;=INDEX($E:$E,MATCH(TRUE,INDEX((ISNUMBER($E:$E)),0),0)))*($E53&gt;INDEX(_xlfn.ANCHORARRAY(Sintesi!$C$14),1,$C53))*($E53&lt;=INDEX(_xlfn.ANCHORARRAY(Sintesi!$C$15),1,$C53))*(INDEX(_xlfn.ANCHORARRAY(Sintesi!$C$15),1,$C53)&gt;0),1,IF(($E53&gt;=LOOKUP(2,1/($E:$E&lt;&gt;""),$E:$E))*($E53&lt;=INDEX($E:$E,MATCH(TRUE,INDEX((ISNUMBER($E:$E)),0),0)))*($E53&gt;INDEX(_xlfn.ANCHORARRAY(Sintesi!$C$14),1,$C53))*($E53&lt;INDEX(_xlfn.ANCHORARRAY(Sintesi!$C$16),1,$C53))*(INDEX(_xlfn.ANCHORARRAY(Sintesi!$C$15),1,$C53)&lt;0)+($E53&gt;=LOOKUP(2,1/($E:$E&lt;&gt;""),$E:$E))*($E53&lt;=INDEX($E:$E,MATCH(TRUE,INDEX((ISNUMBER($E:$E)),0),0)))*($E53&gt;INDEX(_xlfn.ANCHORARRAY(Sintesi!$C$15),1,$C53))*($E53&lt;INDEX(_xlfn.ANCHORARRAY(Sintesi!$C$16),1,$C53))*(INDEX(_xlfn.ANCHORARRAY(Sintesi!$C$15),1,$C53)&gt;0),2,IF($E53=(INDEX(_xlfn.ANCHORARRAY(Sintesi!$C$16),1,$C53)),3,4)))),0)),IF(ISNUMBER($E52),IF($C53&gt;0,IF(($E53=INDEX(_xlfn.ANCHORARRAY(Sintesi!$C$14),1,$C53))*(INDEX(_xlfn.ANCHORARRAY(Sintesi!$C$15),1,$C53)&gt;0),0,IF(($E53=INDEX(_xlfn.ANCHORARRAY(Sintesi!$C$14),1,$C53))*(INDEX(_xlfn.ANCHORARRAY(Sintesi!$C$15),1,$C53)&lt;0)+($E53&gt;=$E52)*($E53&lt;=$E54)*($E53&gt;INDEX(_xlfn.ANCHORARRAY(Sintesi!$C$14),1,$C53))*($E53&lt;=INDEX(_xlfn.ANCHORARRAY(Sintesi!$C$15),1,$C53))*(INDEX(_xlfn.ANCHORARRAY(Sintesi!$C$15),1,$C53)&gt;0),1,IF(($E53&gt;=$E52)*($E53&lt;=$E54)*($E53&gt;INDEX(_xlfn.ANCHORARRAY(Sintesi!$C$14),1,$C53))*($E53&lt;INDEX(_xlfn.ANCHORARRAY(Sintesi!$C$16),1,$C53))*(INDEX(_xlfn.ANCHORARRAY(Sintesi!$C$15),1,$C53)&lt;0)+($E53&gt;=$E52)*($E53&lt;=$E54)*($E53&gt;INDEX(_xlfn.ANCHORARRAY(Sintesi!$C$15),1,$C53))*($E53&lt;INDEX(_xlfn.ANCHORARRAY(Sintesi!$C$16),1,$C53))*(INDEX(_xlfn.ANCHORARRAY(Sintesi!$C$15),1,$C53)&gt;0),2,IF($E53=(INDEX(_xlfn.ANCHORARRAY(Sintesi!$C$16),1,$C53)),3,4)))),0),IF($C53&gt;0,IF(($E53=INDEX(_xlfn.ANCHORARRAY(Sintesi!$C$14),1,$C53))*(INDEX(_xlfn.ANCHORARRAY(Sintesi!$C$15),1,$C53)&gt;0),0,IF(($E53=INDEX(_xlfn.ANCHORARRAY(Sintesi!$C$14),1,$C53))*(INDEX(_xlfn.ANCHORARRAY(Sintesi!$C$15),1,$C53)&lt;0)+($E53&gt;=LOOKUP(2,1/($E:$E&lt;&gt;""),$E:$E))*($E53&lt;=$E54)*($E53&gt;INDEX(_xlfn.ANCHORARRAY(Sintesi!$C$14),1,$C53))*($E53&lt;=INDEX(_xlfn.ANCHORARRAY(Sintesi!$C$15),1,$C53))*(INDEX(_xlfn.ANCHORARRAY(Sintesi!$C$15),1,$C53)&gt;0),1,IF(($E53&gt;=LOOKUP(2,1/($E:$E&lt;&gt;""),$E:$E))*($E53&lt;=$E54)*($E53&gt;INDEX(_xlfn.ANCHORARRAY(Sintesi!$C$14),1,$C53))*($E53&lt;INDEX(_xlfn.ANCHORARRAY(Sintesi!$C$16),1,$C53))*(INDEX(_xlfn.ANCHORARRAY(Sintesi!$C$15),1,$C53)&lt;0)+($E53&gt;=LOOKUP(2,1/($E:$E&lt;&gt;""),$E:$E))*($E53&lt;=$E54)*($E53&gt;INDEX(_xlfn.ANCHORARRAY(Sintesi!$C$15),1,$C53))*($E53&lt;INDEX(_xlfn.ANCHORARRAY(Sintesi!$C$16),1,$C53))*(INDEX(_xlfn.ANCHORARRAY(Sintesi!$C$15),1,$C53)&gt;0),2,IF($E53=(INDEX(_xlfn.ANCHORARRAY(Sintesi!$C$16),1,$C53)),3,4)))),0)))</f>
        <v>0</v>
      </c>
      <c r="E53" s="1">
        <f>'Paste cell here'!F53</f>
        <v>0</v>
      </c>
      <c r="F53" s="1">
        <f>'Paste cell here'!C53</f>
        <v>14.54339497</v>
      </c>
      <c r="G53" s="1">
        <f>'Paste cell here'!D53</f>
        <v>6.0047959000000004</v>
      </c>
      <c r="H53" s="1">
        <f>'Paste cell here'!E53</f>
        <v>1.0175788189999999</v>
      </c>
      <c r="I53" s="1">
        <f>'Paste cell here'!X53</f>
        <v>0</v>
      </c>
      <c r="J53" s="1">
        <f>'Paste cell here'!Y53+'Paste cell here'!S53</f>
        <v>0</v>
      </c>
      <c r="K53" s="1">
        <f t="shared" si="1"/>
        <v>0</v>
      </c>
      <c r="L53" s="1">
        <f t="shared" si="0"/>
        <v>11.447469434078062</v>
      </c>
      <c r="M53" s="1" cm="1">
        <f t="array" ref="M53">IF(AND(A53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,A53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),IF(L53&lt;_xlfn.IFNA(INDEX(_xlfn.ANCHORARRAY(Sintesi!$C$17)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,1,IF(L53&gt;=_xlfn.IFNA(INDEX(_xlfn.ANCHORARRAY(Sintesi!$C$18)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,0,1-(L53-_xlfn.IFNA(INDEX(_xlfn.ANCHORARRAY(Sintesi!$C$17)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)/(_xlfn.IFNA(INDEX(_xlfn.ANCHORARRAY(Sintesi!$C$18)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-_xlfn.IFNA(INDEX(_xlfn.ANCHORARRAY(Sintesi!$C$17),1,MATCH(1,(_xlfn.ANCHORARRAY(Sintesi!$C$9)&gt;_xlfn.ANCHORARRAY(Sintesi!$C$10))*(A52&gt;=_xlfn.ANCHORARRAY(Sintesi!$C$9))+(_xlfn.ANCHORARRAY(Sintesi!$C$9)&gt;_xlfn.ANCHORARRAY(Sintesi!$C$10))*(A52&lt;=_xlfn.ANCHORARRAY(Sintesi!$C$10))+(_xlfn.ANCHORARRAY(Sintesi!$C$9)&lt;_xlfn.ANCHORARRAY(Sintesi!$C$10))*(A52&gt;=_xlfn.ANCHORARRAY(Sintesi!$C$9))*(A52&lt;=_xlfn.ANCHORARRAY(Sintesi!$C$10)),0)),0)))),0)</f>
        <v>0</v>
      </c>
    </row>
    <row r="54" spans="1:13">
      <c r="A54" s="1">
        <f>'Paste cell here'!A54</f>
        <v>53</v>
      </c>
      <c r="B54" s="2">
        <f>DATE(Sintesi!$C$4-1,12,31)+A54</f>
        <v>44249</v>
      </c>
      <c r="C54" s="34" cm="1">
        <f t="array" ref="C54">_xlfn.IFNA(MATCH(1,(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)*(_xlfn.ANCHORARRAY(Sintesi!$C$15)&gt;=0)+(_xlfn.ANCHORARRAY(Sintesi!$C$15)&lt;0),0),0)</f>
        <v>0</v>
      </c>
      <c r="D54" s="1" cm="1">
        <f t="array" ref="D54">IF(ISBLANK($E55),IF(ISNUMBER($E53),IF($C54&gt;0,IF(($E54=INDEX(_xlfn.ANCHORARRAY(Sintesi!$C$14),1,$C54))*(INDEX(_xlfn.ANCHORARRAY(Sintesi!$C$15),1,$C54)&gt;0),0,IF(($E54=INDEX(_xlfn.ANCHORARRAY(Sintesi!$C$14),1,$C54))*(INDEX(_xlfn.ANCHORARRAY(Sintesi!$C$15),1,$C54)&lt;0)+($E54&gt;=$E53)*($E54&lt;=INDEX($E:$E,MATCH(TRUE,INDEX((ISNUMBER($E:$E)),0),0)))*($E54&gt;INDEX(_xlfn.ANCHORARRAY(Sintesi!$C$14),1,$C54))*($E54&lt;=INDEX(_xlfn.ANCHORARRAY(Sintesi!$C$15),1,$C54))*(INDEX(_xlfn.ANCHORARRAY(Sintesi!$C$15),1,$C54)&gt;0),1,IF(($E54&gt;=$E53)*($E54&lt;=INDEX($E:$E,MATCH(TRUE,INDEX((ISNUMBER($E:$E)),0),0)))*($E54&gt;INDEX(_xlfn.ANCHORARRAY(Sintesi!$C$14),1,$C54))*($E54&lt;INDEX(_xlfn.ANCHORARRAY(Sintesi!$C$16),1,$C54))*(INDEX(_xlfn.ANCHORARRAY(Sintesi!$C$15),1,$C54)&lt;0)+($E54&gt;=$E53)*($E54&lt;=INDEX($E:$E,MATCH(TRUE,INDEX((ISNUMBER($E:$E)),0),0)))*($E54&gt;INDEX(_xlfn.ANCHORARRAY(Sintesi!$C$15),1,$C54))*($E54&lt;INDEX(_xlfn.ANCHORARRAY(Sintesi!$C$16),1,$C54))*(INDEX(_xlfn.ANCHORARRAY(Sintesi!$C$15),1,$C54)&gt;0),2,IF($E54=(INDEX(_xlfn.ANCHORARRAY(Sintesi!$C$16),1,$C54)),3,4)))),0),IF($C54&gt;0,IF(($E54=INDEX(_xlfn.ANCHORARRAY(Sintesi!$C$14),1,$C54))*(INDEX(_xlfn.ANCHORARRAY(Sintesi!$C$15),1,$C54)&gt;0),0,IF(($E54=INDEX(_xlfn.ANCHORARRAY(Sintesi!$C$14),1,$C54))*(INDEX(_xlfn.ANCHORARRAY(Sintesi!$C$15),1,$C54)&lt;0)+($E54&gt;=LOOKUP(2,1/($E:$E&lt;&gt;""),$E:$E))*($E54&lt;=INDEX($E:$E,MATCH(TRUE,INDEX((ISNUMBER($E:$E)),0),0)))*($E54&gt;INDEX(_xlfn.ANCHORARRAY(Sintesi!$C$14),1,$C54))*($E54&lt;=INDEX(_xlfn.ANCHORARRAY(Sintesi!$C$15),1,$C54))*(INDEX(_xlfn.ANCHORARRAY(Sintesi!$C$15),1,$C54)&gt;0),1,IF(($E54&gt;=LOOKUP(2,1/($E:$E&lt;&gt;""),$E:$E))*($E54&lt;=INDEX($E:$E,MATCH(TRUE,INDEX((ISNUMBER($E:$E)),0),0)))*($E54&gt;INDEX(_xlfn.ANCHORARRAY(Sintesi!$C$14),1,$C54))*($E54&lt;INDEX(_xlfn.ANCHORARRAY(Sintesi!$C$16),1,$C54))*(INDEX(_xlfn.ANCHORARRAY(Sintesi!$C$15),1,$C54)&lt;0)+($E54&gt;=LOOKUP(2,1/($E:$E&lt;&gt;""),$E:$E))*($E54&lt;=INDEX($E:$E,MATCH(TRUE,INDEX((ISNUMBER($E:$E)),0),0)))*($E54&gt;INDEX(_xlfn.ANCHORARRAY(Sintesi!$C$15),1,$C54))*($E54&lt;INDEX(_xlfn.ANCHORARRAY(Sintesi!$C$16),1,$C54))*(INDEX(_xlfn.ANCHORARRAY(Sintesi!$C$15),1,$C54)&gt;0),2,IF($E54=(INDEX(_xlfn.ANCHORARRAY(Sintesi!$C$16),1,$C54)),3,4)))),0)),IF(ISNUMBER($E53),IF($C54&gt;0,IF(($E54=INDEX(_xlfn.ANCHORARRAY(Sintesi!$C$14),1,$C54))*(INDEX(_xlfn.ANCHORARRAY(Sintesi!$C$15),1,$C54)&gt;0),0,IF(($E54=INDEX(_xlfn.ANCHORARRAY(Sintesi!$C$14),1,$C54))*(INDEX(_xlfn.ANCHORARRAY(Sintesi!$C$15),1,$C54)&lt;0)+($E54&gt;=$E53)*($E54&lt;=$E55)*($E54&gt;INDEX(_xlfn.ANCHORARRAY(Sintesi!$C$14),1,$C54))*($E54&lt;=INDEX(_xlfn.ANCHORARRAY(Sintesi!$C$15),1,$C54))*(INDEX(_xlfn.ANCHORARRAY(Sintesi!$C$15),1,$C54)&gt;0),1,IF(($E54&gt;=$E53)*($E54&lt;=$E55)*($E54&gt;INDEX(_xlfn.ANCHORARRAY(Sintesi!$C$14),1,$C54))*($E54&lt;INDEX(_xlfn.ANCHORARRAY(Sintesi!$C$16),1,$C54))*(INDEX(_xlfn.ANCHORARRAY(Sintesi!$C$15),1,$C54)&lt;0)+($E54&gt;=$E53)*($E54&lt;=$E55)*($E54&gt;INDEX(_xlfn.ANCHORARRAY(Sintesi!$C$15),1,$C54))*($E54&lt;INDEX(_xlfn.ANCHORARRAY(Sintesi!$C$16),1,$C54))*(INDEX(_xlfn.ANCHORARRAY(Sintesi!$C$15),1,$C54)&gt;0),2,IF($E54=(INDEX(_xlfn.ANCHORARRAY(Sintesi!$C$16),1,$C54)),3,4)))),0),IF($C54&gt;0,IF(($E54=INDEX(_xlfn.ANCHORARRAY(Sintesi!$C$14),1,$C54))*(INDEX(_xlfn.ANCHORARRAY(Sintesi!$C$15),1,$C54)&gt;0),0,IF(($E54=INDEX(_xlfn.ANCHORARRAY(Sintesi!$C$14),1,$C54))*(INDEX(_xlfn.ANCHORARRAY(Sintesi!$C$15),1,$C54)&lt;0)+($E54&gt;=LOOKUP(2,1/($E:$E&lt;&gt;""),$E:$E))*($E54&lt;=$E55)*($E54&gt;INDEX(_xlfn.ANCHORARRAY(Sintesi!$C$14),1,$C54))*($E54&lt;=INDEX(_xlfn.ANCHORARRAY(Sintesi!$C$15),1,$C54))*(INDEX(_xlfn.ANCHORARRAY(Sintesi!$C$15),1,$C54)&gt;0),1,IF(($E54&gt;=LOOKUP(2,1/($E:$E&lt;&gt;""),$E:$E))*($E54&lt;=$E55)*($E54&gt;INDEX(_xlfn.ANCHORARRAY(Sintesi!$C$14),1,$C54))*($E54&lt;INDEX(_xlfn.ANCHORARRAY(Sintesi!$C$16),1,$C54))*(INDEX(_xlfn.ANCHORARRAY(Sintesi!$C$15),1,$C54)&lt;0)+($E54&gt;=LOOKUP(2,1/($E:$E&lt;&gt;""),$E:$E))*($E54&lt;=$E55)*($E54&gt;INDEX(_xlfn.ANCHORARRAY(Sintesi!$C$15),1,$C54))*($E54&lt;INDEX(_xlfn.ANCHORARRAY(Sintesi!$C$16),1,$C54))*(INDEX(_xlfn.ANCHORARRAY(Sintesi!$C$15),1,$C54)&gt;0),2,IF($E54=(INDEX(_xlfn.ANCHORARRAY(Sintesi!$C$16),1,$C54)),3,4)))),0)))</f>
        <v>0</v>
      </c>
      <c r="E54" s="1">
        <f>'Paste cell here'!F54</f>
        <v>0</v>
      </c>
      <c r="F54" s="1">
        <f>'Paste cell here'!C54</f>
        <v>13.26124941</v>
      </c>
      <c r="G54" s="1">
        <f>'Paste cell here'!D54</f>
        <v>3.4454830240000001</v>
      </c>
      <c r="H54" s="1">
        <f>'Paste cell here'!E54</f>
        <v>0.89015605499999995</v>
      </c>
      <c r="I54" s="1">
        <f>'Paste cell here'!X54</f>
        <v>0</v>
      </c>
      <c r="J54" s="1">
        <f>'Paste cell here'!Y54+'Paste cell here'!S54</f>
        <v>0</v>
      </c>
      <c r="K54" s="1">
        <f t="shared" si="1"/>
        <v>0</v>
      </c>
      <c r="L54" s="1">
        <f t="shared" si="0"/>
        <v>9.7022485059955468</v>
      </c>
      <c r="M54" s="1" cm="1">
        <f t="array" ref="M54">IF(AND(A54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,A54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),IF(L54&lt;_xlfn.IFNA(INDEX(_xlfn.ANCHORARRAY(Sintesi!$C$17)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,1,IF(L54&gt;=_xlfn.IFNA(INDEX(_xlfn.ANCHORARRAY(Sintesi!$C$18)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,0,1-(L54-_xlfn.IFNA(INDEX(_xlfn.ANCHORARRAY(Sintesi!$C$17)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)/(_xlfn.IFNA(INDEX(_xlfn.ANCHORARRAY(Sintesi!$C$18)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-_xlfn.IFNA(INDEX(_xlfn.ANCHORARRAY(Sintesi!$C$17),1,MATCH(1,(_xlfn.ANCHORARRAY(Sintesi!$C$9)&gt;_xlfn.ANCHORARRAY(Sintesi!$C$10))*(A53&gt;=_xlfn.ANCHORARRAY(Sintesi!$C$9))+(_xlfn.ANCHORARRAY(Sintesi!$C$9)&gt;_xlfn.ANCHORARRAY(Sintesi!$C$10))*(A53&lt;=_xlfn.ANCHORARRAY(Sintesi!$C$10))+(_xlfn.ANCHORARRAY(Sintesi!$C$9)&lt;_xlfn.ANCHORARRAY(Sintesi!$C$10))*(A53&gt;=_xlfn.ANCHORARRAY(Sintesi!$C$9))*(A53&lt;=_xlfn.ANCHORARRAY(Sintesi!$C$10)),0)),0)))),0)</f>
        <v>0</v>
      </c>
    </row>
    <row r="55" spans="1:13">
      <c r="A55" s="1">
        <f>'Paste cell here'!A55</f>
        <v>54</v>
      </c>
      <c r="B55" s="2">
        <f>DATE(Sintesi!$C$4-1,12,31)+A55</f>
        <v>44250</v>
      </c>
      <c r="C55" s="34" cm="1">
        <f t="array" ref="C55">_xlfn.IFNA(MATCH(1,(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)*(_xlfn.ANCHORARRAY(Sintesi!$C$15)&gt;=0)+(_xlfn.ANCHORARRAY(Sintesi!$C$15)&lt;0),0),0)</f>
        <v>0</v>
      </c>
      <c r="D55" s="1" cm="1">
        <f t="array" ref="D55">IF(ISBLANK($E56),IF(ISNUMBER($E54),IF($C55&gt;0,IF(($E55=INDEX(_xlfn.ANCHORARRAY(Sintesi!$C$14),1,$C55))*(INDEX(_xlfn.ANCHORARRAY(Sintesi!$C$15),1,$C55)&gt;0),0,IF(($E55=INDEX(_xlfn.ANCHORARRAY(Sintesi!$C$14),1,$C55))*(INDEX(_xlfn.ANCHORARRAY(Sintesi!$C$15),1,$C55)&lt;0)+($E55&gt;=$E54)*($E55&lt;=INDEX($E:$E,MATCH(TRUE,INDEX((ISNUMBER($E:$E)),0),0)))*($E55&gt;INDEX(_xlfn.ANCHORARRAY(Sintesi!$C$14),1,$C55))*($E55&lt;=INDEX(_xlfn.ANCHORARRAY(Sintesi!$C$15),1,$C55))*(INDEX(_xlfn.ANCHORARRAY(Sintesi!$C$15),1,$C55)&gt;0),1,IF(($E55&gt;=$E54)*($E55&lt;=INDEX($E:$E,MATCH(TRUE,INDEX((ISNUMBER($E:$E)),0),0)))*($E55&gt;INDEX(_xlfn.ANCHORARRAY(Sintesi!$C$14),1,$C55))*($E55&lt;INDEX(_xlfn.ANCHORARRAY(Sintesi!$C$16),1,$C55))*(INDEX(_xlfn.ANCHORARRAY(Sintesi!$C$15),1,$C55)&lt;0)+($E55&gt;=$E54)*($E55&lt;=INDEX($E:$E,MATCH(TRUE,INDEX((ISNUMBER($E:$E)),0),0)))*($E55&gt;INDEX(_xlfn.ANCHORARRAY(Sintesi!$C$15),1,$C55))*($E55&lt;INDEX(_xlfn.ANCHORARRAY(Sintesi!$C$16),1,$C55))*(INDEX(_xlfn.ANCHORARRAY(Sintesi!$C$15),1,$C55)&gt;0),2,IF($E55=(INDEX(_xlfn.ANCHORARRAY(Sintesi!$C$16),1,$C55)),3,4)))),0),IF($C55&gt;0,IF(($E55=INDEX(_xlfn.ANCHORARRAY(Sintesi!$C$14),1,$C55))*(INDEX(_xlfn.ANCHORARRAY(Sintesi!$C$15),1,$C55)&gt;0),0,IF(($E55=INDEX(_xlfn.ANCHORARRAY(Sintesi!$C$14),1,$C55))*(INDEX(_xlfn.ANCHORARRAY(Sintesi!$C$15),1,$C55)&lt;0)+($E55&gt;=LOOKUP(2,1/($E:$E&lt;&gt;""),$E:$E))*($E55&lt;=INDEX($E:$E,MATCH(TRUE,INDEX((ISNUMBER($E:$E)),0),0)))*($E55&gt;INDEX(_xlfn.ANCHORARRAY(Sintesi!$C$14),1,$C55))*($E55&lt;=INDEX(_xlfn.ANCHORARRAY(Sintesi!$C$15),1,$C55))*(INDEX(_xlfn.ANCHORARRAY(Sintesi!$C$15),1,$C55)&gt;0),1,IF(($E55&gt;=LOOKUP(2,1/($E:$E&lt;&gt;""),$E:$E))*($E55&lt;=INDEX($E:$E,MATCH(TRUE,INDEX((ISNUMBER($E:$E)),0),0)))*($E55&gt;INDEX(_xlfn.ANCHORARRAY(Sintesi!$C$14),1,$C55))*($E55&lt;INDEX(_xlfn.ANCHORARRAY(Sintesi!$C$16),1,$C55))*(INDEX(_xlfn.ANCHORARRAY(Sintesi!$C$15),1,$C55)&lt;0)+($E55&gt;=LOOKUP(2,1/($E:$E&lt;&gt;""),$E:$E))*($E55&lt;=INDEX($E:$E,MATCH(TRUE,INDEX((ISNUMBER($E:$E)),0),0)))*($E55&gt;INDEX(_xlfn.ANCHORARRAY(Sintesi!$C$15),1,$C55))*($E55&lt;INDEX(_xlfn.ANCHORARRAY(Sintesi!$C$16),1,$C55))*(INDEX(_xlfn.ANCHORARRAY(Sintesi!$C$15),1,$C55)&gt;0),2,IF($E55=(INDEX(_xlfn.ANCHORARRAY(Sintesi!$C$16),1,$C55)),3,4)))),0)),IF(ISNUMBER($E54),IF($C55&gt;0,IF(($E55=INDEX(_xlfn.ANCHORARRAY(Sintesi!$C$14),1,$C55))*(INDEX(_xlfn.ANCHORARRAY(Sintesi!$C$15),1,$C55)&gt;0),0,IF(($E55=INDEX(_xlfn.ANCHORARRAY(Sintesi!$C$14),1,$C55))*(INDEX(_xlfn.ANCHORARRAY(Sintesi!$C$15),1,$C55)&lt;0)+($E55&gt;=$E54)*($E55&lt;=$E56)*($E55&gt;INDEX(_xlfn.ANCHORARRAY(Sintesi!$C$14),1,$C55))*($E55&lt;=INDEX(_xlfn.ANCHORARRAY(Sintesi!$C$15),1,$C55))*(INDEX(_xlfn.ANCHORARRAY(Sintesi!$C$15),1,$C55)&gt;0),1,IF(($E55&gt;=$E54)*($E55&lt;=$E56)*($E55&gt;INDEX(_xlfn.ANCHORARRAY(Sintesi!$C$14),1,$C55))*($E55&lt;INDEX(_xlfn.ANCHORARRAY(Sintesi!$C$16),1,$C55))*(INDEX(_xlfn.ANCHORARRAY(Sintesi!$C$15),1,$C55)&lt;0)+($E55&gt;=$E54)*($E55&lt;=$E56)*($E55&gt;INDEX(_xlfn.ANCHORARRAY(Sintesi!$C$15),1,$C55))*($E55&lt;INDEX(_xlfn.ANCHORARRAY(Sintesi!$C$16),1,$C55))*(INDEX(_xlfn.ANCHORARRAY(Sintesi!$C$15),1,$C55)&gt;0),2,IF($E55=(INDEX(_xlfn.ANCHORARRAY(Sintesi!$C$16),1,$C55)),3,4)))),0),IF($C55&gt;0,IF(($E55=INDEX(_xlfn.ANCHORARRAY(Sintesi!$C$14),1,$C55))*(INDEX(_xlfn.ANCHORARRAY(Sintesi!$C$15),1,$C55)&gt;0),0,IF(($E55=INDEX(_xlfn.ANCHORARRAY(Sintesi!$C$14),1,$C55))*(INDEX(_xlfn.ANCHORARRAY(Sintesi!$C$15),1,$C55)&lt;0)+($E55&gt;=LOOKUP(2,1/($E:$E&lt;&gt;""),$E:$E))*($E55&lt;=$E56)*($E55&gt;INDEX(_xlfn.ANCHORARRAY(Sintesi!$C$14),1,$C55))*($E55&lt;=INDEX(_xlfn.ANCHORARRAY(Sintesi!$C$15),1,$C55))*(INDEX(_xlfn.ANCHORARRAY(Sintesi!$C$15),1,$C55)&gt;0),1,IF(($E55&gt;=LOOKUP(2,1/($E:$E&lt;&gt;""),$E:$E))*($E55&lt;=$E56)*($E55&gt;INDEX(_xlfn.ANCHORARRAY(Sintesi!$C$14),1,$C55))*($E55&lt;INDEX(_xlfn.ANCHORARRAY(Sintesi!$C$16),1,$C55))*(INDEX(_xlfn.ANCHORARRAY(Sintesi!$C$15),1,$C55)&lt;0)+($E55&gt;=LOOKUP(2,1/($E:$E&lt;&gt;""),$E:$E))*($E55&lt;=$E56)*($E55&gt;INDEX(_xlfn.ANCHORARRAY(Sintesi!$C$15),1,$C55))*($E55&lt;INDEX(_xlfn.ANCHORARRAY(Sintesi!$C$16),1,$C55))*(INDEX(_xlfn.ANCHORARRAY(Sintesi!$C$15),1,$C55)&gt;0),2,IF($E55=(INDEX(_xlfn.ANCHORARRAY(Sintesi!$C$16),1,$C55)),3,4)))),0)))</f>
        <v>0</v>
      </c>
      <c r="E55" s="1">
        <f>'Paste cell here'!F55</f>
        <v>0</v>
      </c>
      <c r="F55" s="1">
        <f>'Paste cell here'!C55</f>
        <v>17.927984330000001</v>
      </c>
      <c r="G55" s="1">
        <f>'Paste cell here'!D55</f>
        <v>2.609538224</v>
      </c>
      <c r="H55" s="1">
        <f>'Paste cell here'!E55</f>
        <v>1.2025211149999999</v>
      </c>
      <c r="I55" s="1">
        <f>'Paste cell here'!X55</f>
        <v>0</v>
      </c>
      <c r="J55" s="1">
        <f>'Paste cell here'!Y55+'Paste cell here'!S55</f>
        <v>0</v>
      </c>
      <c r="K55" s="1">
        <f t="shared" si="1"/>
        <v>0</v>
      </c>
      <c r="L55" s="1">
        <f t="shared" si="0"/>
        <v>12.373821629372188</v>
      </c>
      <c r="M55" s="1" cm="1">
        <f t="array" ref="M55">IF(AND(A55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,A55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),IF(L55&lt;_xlfn.IFNA(INDEX(_xlfn.ANCHORARRAY(Sintesi!$C$17)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,1,IF(L55&gt;=_xlfn.IFNA(INDEX(_xlfn.ANCHORARRAY(Sintesi!$C$18)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,0,1-(L55-_xlfn.IFNA(INDEX(_xlfn.ANCHORARRAY(Sintesi!$C$17)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)/(_xlfn.IFNA(INDEX(_xlfn.ANCHORARRAY(Sintesi!$C$18)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-_xlfn.IFNA(INDEX(_xlfn.ANCHORARRAY(Sintesi!$C$17),1,MATCH(1,(_xlfn.ANCHORARRAY(Sintesi!$C$9)&gt;_xlfn.ANCHORARRAY(Sintesi!$C$10))*(A54&gt;=_xlfn.ANCHORARRAY(Sintesi!$C$9))+(_xlfn.ANCHORARRAY(Sintesi!$C$9)&gt;_xlfn.ANCHORARRAY(Sintesi!$C$10))*(A54&lt;=_xlfn.ANCHORARRAY(Sintesi!$C$10))+(_xlfn.ANCHORARRAY(Sintesi!$C$9)&lt;_xlfn.ANCHORARRAY(Sintesi!$C$10))*(A54&gt;=_xlfn.ANCHORARRAY(Sintesi!$C$9))*(A54&lt;=_xlfn.ANCHORARRAY(Sintesi!$C$10)),0)),0)))),0)</f>
        <v>0</v>
      </c>
    </row>
    <row r="56" spans="1:13">
      <c r="A56" s="1">
        <f>'Paste cell here'!A56</f>
        <v>55</v>
      </c>
      <c r="B56" s="2">
        <f>DATE(Sintesi!$C$4-1,12,31)+A56</f>
        <v>44251</v>
      </c>
      <c r="C56" s="34" cm="1">
        <f t="array" ref="C56">_xlfn.IFNA(MATCH(1,(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)*(_xlfn.ANCHORARRAY(Sintesi!$C$15)&gt;=0)+(_xlfn.ANCHORARRAY(Sintesi!$C$15)&lt;0),0),0)</f>
        <v>0</v>
      </c>
      <c r="D56" s="1" cm="1">
        <f t="array" ref="D56">IF(ISBLANK($E57),IF(ISNUMBER($E55),IF($C56&gt;0,IF(($E56=INDEX(_xlfn.ANCHORARRAY(Sintesi!$C$14),1,$C56))*(INDEX(_xlfn.ANCHORARRAY(Sintesi!$C$15),1,$C56)&gt;0),0,IF(($E56=INDEX(_xlfn.ANCHORARRAY(Sintesi!$C$14),1,$C56))*(INDEX(_xlfn.ANCHORARRAY(Sintesi!$C$15),1,$C56)&lt;0)+($E56&gt;=$E55)*($E56&lt;=INDEX($E:$E,MATCH(TRUE,INDEX((ISNUMBER($E:$E)),0),0)))*($E56&gt;INDEX(_xlfn.ANCHORARRAY(Sintesi!$C$14),1,$C56))*($E56&lt;=INDEX(_xlfn.ANCHORARRAY(Sintesi!$C$15),1,$C56))*(INDEX(_xlfn.ANCHORARRAY(Sintesi!$C$15),1,$C56)&gt;0),1,IF(($E56&gt;=$E55)*($E56&lt;=INDEX($E:$E,MATCH(TRUE,INDEX((ISNUMBER($E:$E)),0),0)))*($E56&gt;INDEX(_xlfn.ANCHORARRAY(Sintesi!$C$14),1,$C56))*($E56&lt;INDEX(_xlfn.ANCHORARRAY(Sintesi!$C$16),1,$C56))*(INDEX(_xlfn.ANCHORARRAY(Sintesi!$C$15),1,$C56)&lt;0)+($E56&gt;=$E55)*($E56&lt;=INDEX($E:$E,MATCH(TRUE,INDEX((ISNUMBER($E:$E)),0),0)))*($E56&gt;INDEX(_xlfn.ANCHORARRAY(Sintesi!$C$15),1,$C56))*($E56&lt;INDEX(_xlfn.ANCHORARRAY(Sintesi!$C$16),1,$C56))*(INDEX(_xlfn.ANCHORARRAY(Sintesi!$C$15),1,$C56)&gt;0),2,IF($E56=(INDEX(_xlfn.ANCHORARRAY(Sintesi!$C$16),1,$C56)),3,4)))),0),IF($C56&gt;0,IF(($E56=INDEX(_xlfn.ANCHORARRAY(Sintesi!$C$14),1,$C56))*(INDEX(_xlfn.ANCHORARRAY(Sintesi!$C$15),1,$C56)&gt;0),0,IF(($E56=INDEX(_xlfn.ANCHORARRAY(Sintesi!$C$14),1,$C56))*(INDEX(_xlfn.ANCHORARRAY(Sintesi!$C$15),1,$C56)&lt;0)+($E56&gt;=LOOKUP(2,1/($E:$E&lt;&gt;""),$E:$E))*($E56&lt;=INDEX($E:$E,MATCH(TRUE,INDEX((ISNUMBER($E:$E)),0),0)))*($E56&gt;INDEX(_xlfn.ANCHORARRAY(Sintesi!$C$14),1,$C56))*($E56&lt;=INDEX(_xlfn.ANCHORARRAY(Sintesi!$C$15),1,$C56))*(INDEX(_xlfn.ANCHORARRAY(Sintesi!$C$15),1,$C56)&gt;0),1,IF(($E56&gt;=LOOKUP(2,1/($E:$E&lt;&gt;""),$E:$E))*($E56&lt;=INDEX($E:$E,MATCH(TRUE,INDEX((ISNUMBER($E:$E)),0),0)))*($E56&gt;INDEX(_xlfn.ANCHORARRAY(Sintesi!$C$14),1,$C56))*($E56&lt;INDEX(_xlfn.ANCHORARRAY(Sintesi!$C$16),1,$C56))*(INDEX(_xlfn.ANCHORARRAY(Sintesi!$C$15),1,$C56)&lt;0)+($E56&gt;=LOOKUP(2,1/($E:$E&lt;&gt;""),$E:$E))*($E56&lt;=INDEX($E:$E,MATCH(TRUE,INDEX((ISNUMBER($E:$E)),0),0)))*($E56&gt;INDEX(_xlfn.ANCHORARRAY(Sintesi!$C$15),1,$C56))*($E56&lt;INDEX(_xlfn.ANCHORARRAY(Sintesi!$C$16),1,$C56))*(INDEX(_xlfn.ANCHORARRAY(Sintesi!$C$15),1,$C56)&gt;0),2,IF($E56=(INDEX(_xlfn.ANCHORARRAY(Sintesi!$C$16),1,$C56)),3,4)))),0)),IF(ISNUMBER($E55),IF($C56&gt;0,IF(($E56=INDEX(_xlfn.ANCHORARRAY(Sintesi!$C$14),1,$C56))*(INDEX(_xlfn.ANCHORARRAY(Sintesi!$C$15),1,$C56)&gt;0),0,IF(($E56=INDEX(_xlfn.ANCHORARRAY(Sintesi!$C$14),1,$C56))*(INDEX(_xlfn.ANCHORARRAY(Sintesi!$C$15),1,$C56)&lt;0)+($E56&gt;=$E55)*($E56&lt;=$E57)*($E56&gt;INDEX(_xlfn.ANCHORARRAY(Sintesi!$C$14),1,$C56))*($E56&lt;=INDEX(_xlfn.ANCHORARRAY(Sintesi!$C$15),1,$C56))*(INDEX(_xlfn.ANCHORARRAY(Sintesi!$C$15),1,$C56)&gt;0),1,IF(($E56&gt;=$E55)*($E56&lt;=$E57)*($E56&gt;INDEX(_xlfn.ANCHORARRAY(Sintesi!$C$14),1,$C56))*($E56&lt;INDEX(_xlfn.ANCHORARRAY(Sintesi!$C$16),1,$C56))*(INDEX(_xlfn.ANCHORARRAY(Sintesi!$C$15),1,$C56)&lt;0)+($E56&gt;=$E55)*($E56&lt;=$E57)*($E56&gt;INDEX(_xlfn.ANCHORARRAY(Sintesi!$C$15),1,$C56))*($E56&lt;INDEX(_xlfn.ANCHORARRAY(Sintesi!$C$16),1,$C56))*(INDEX(_xlfn.ANCHORARRAY(Sintesi!$C$15),1,$C56)&gt;0),2,IF($E56=(INDEX(_xlfn.ANCHORARRAY(Sintesi!$C$16),1,$C56)),3,4)))),0),IF($C56&gt;0,IF(($E56=INDEX(_xlfn.ANCHORARRAY(Sintesi!$C$14),1,$C56))*(INDEX(_xlfn.ANCHORARRAY(Sintesi!$C$15),1,$C56)&gt;0),0,IF(($E56=INDEX(_xlfn.ANCHORARRAY(Sintesi!$C$14),1,$C56))*(INDEX(_xlfn.ANCHORARRAY(Sintesi!$C$15),1,$C56)&lt;0)+($E56&gt;=LOOKUP(2,1/($E:$E&lt;&gt;""),$E:$E))*($E56&lt;=$E57)*($E56&gt;INDEX(_xlfn.ANCHORARRAY(Sintesi!$C$14),1,$C56))*($E56&lt;=INDEX(_xlfn.ANCHORARRAY(Sintesi!$C$15),1,$C56))*(INDEX(_xlfn.ANCHORARRAY(Sintesi!$C$15),1,$C56)&gt;0),1,IF(($E56&gt;=LOOKUP(2,1/($E:$E&lt;&gt;""),$E:$E))*($E56&lt;=$E57)*($E56&gt;INDEX(_xlfn.ANCHORARRAY(Sintesi!$C$14),1,$C56))*($E56&lt;INDEX(_xlfn.ANCHORARRAY(Sintesi!$C$16),1,$C56))*(INDEX(_xlfn.ANCHORARRAY(Sintesi!$C$15),1,$C56)&lt;0)+($E56&gt;=LOOKUP(2,1/($E:$E&lt;&gt;""),$E:$E))*($E56&lt;=$E57)*($E56&gt;INDEX(_xlfn.ANCHORARRAY(Sintesi!$C$15),1,$C56))*($E56&lt;INDEX(_xlfn.ANCHORARRAY(Sintesi!$C$16),1,$C56))*(INDEX(_xlfn.ANCHORARRAY(Sintesi!$C$15),1,$C56)&gt;0),2,IF($E56=(INDEX(_xlfn.ANCHORARRAY(Sintesi!$C$16),1,$C56)),3,4)))),0)))</f>
        <v>0</v>
      </c>
      <c r="E56" s="1">
        <f>'Paste cell here'!F56</f>
        <v>0</v>
      </c>
      <c r="F56" s="1">
        <f>'Paste cell here'!C56</f>
        <v>21.117980509999999</v>
      </c>
      <c r="G56" s="1">
        <f>'Paste cell here'!D56</f>
        <v>1.781553892</v>
      </c>
      <c r="H56" s="1">
        <f>'Paste cell here'!E56</f>
        <v>1.6201614289999999</v>
      </c>
      <c r="I56" s="1">
        <f>'Paste cell here'!X56</f>
        <v>0</v>
      </c>
      <c r="J56" s="1">
        <f>'Paste cell here'!Y56+'Paste cell here'!S56</f>
        <v>0</v>
      </c>
      <c r="K56" s="1">
        <f t="shared" si="1"/>
        <v>0</v>
      </c>
      <c r="L56" s="1">
        <f t="shared" si="0"/>
        <v>14.106978301162616</v>
      </c>
      <c r="M56" s="1" cm="1">
        <f t="array" ref="M56">IF(AND(A56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,A56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),IF(L56&lt;_xlfn.IFNA(INDEX(_xlfn.ANCHORARRAY(Sintesi!$C$17)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,1,IF(L56&gt;=_xlfn.IFNA(INDEX(_xlfn.ANCHORARRAY(Sintesi!$C$18)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,0,1-(L56-_xlfn.IFNA(INDEX(_xlfn.ANCHORARRAY(Sintesi!$C$17)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)/(_xlfn.IFNA(INDEX(_xlfn.ANCHORARRAY(Sintesi!$C$18)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-_xlfn.IFNA(INDEX(_xlfn.ANCHORARRAY(Sintesi!$C$17),1,MATCH(1,(_xlfn.ANCHORARRAY(Sintesi!$C$9)&gt;_xlfn.ANCHORARRAY(Sintesi!$C$10))*(A55&gt;=_xlfn.ANCHORARRAY(Sintesi!$C$9))+(_xlfn.ANCHORARRAY(Sintesi!$C$9)&gt;_xlfn.ANCHORARRAY(Sintesi!$C$10))*(A55&lt;=_xlfn.ANCHORARRAY(Sintesi!$C$10))+(_xlfn.ANCHORARRAY(Sintesi!$C$9)&lt;_xlfn.ANCHORARRAY(Sintesi!$C$10))*(A55&gt;=_xlfn.ANCHORARRAY(Sintesi!$C$9))*(A55&lt;=_xlfn.ANCHORARRAY(Sintesi!$C$10)),0)),0)))),0)</f>
        <v>0</v>
      </c>
    </row>
    <row r="57" spans="1:13">
      <c r="A57" s="1">
        <f>'Paste cell here'!A57</f>
        <v>56</v>
      </c>
      <c r="B57" s="2">
        <f>DATE(Sintesi!$C$4-1,12,31)+A57</f>
        <v>44252</v>
      </c>
      <c r="C57" s="34" cm="1">
        <f t="array" ref="C57">_xlfn.IFNA(MATCH(1,(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)*(_xlfn.ANCHORARRAY(Sintesi!$C$15)&gt;=0)+(_xlfn.ANCHORARRAY(Sintesi!$C$15)&lt;0),0),0)</f>
        <v>0</v>
      </c>
      <c r="D57" s="1" cm="1">
        <f t="array" ref="D57">IF(ISBLANK($E58),IF(ISNUMBER($E56),IF($C57&gt;0,IF(($E57=INDEX(_xlfn.ANCHORARRAY(Sintesi!$C$14),1,$C57))*(INDEX(_xlfn.ANCHORARRAY(Sintesi!$C$15),1,$C57)&gt;0),0,IF(($E57=INDEX(_xlfn.ANCHORARRAY(Sintesi!$C$14),1,$C57))*(INDEX(_xlfn.ANCHORARRAY(Sintesi!$C$15),1,$C57)&lt;0)+($E57&gt;=$E56)*($E57&lt;=INDEX($E:$E,MATCH(TRUE,INDEX((ISNUMBER($E:$E)),0),0)))*($E57&gt;INDEX(_xlfn.ANCHORARRAY(Sintesi!$C$14),1,$C57))*($E57&lt;=INDEX(_xlfn.ANCHORARRAY(Sintesi!$C$15),1,$C57))*(INDEX(_xlfn.ANCHORARRAY(Sintesi!$C$15),1,$C57)&gt;0),1,IF(($E57&gt;=$E56)*($E57&lt;=INDEX($E:$E,MATCH(TRUE,INDEX((ISNUMBER($E:$E)),0),0)))*($E57&gt;INDEX(_xlfn.ANCHORARRAY(Sintesi!$C$14),1,$C57))*($E57&lt;INDEX(_xlfn.ANCHORARRAY(Sintesi!$C$16),1,$C57))*(INDEX(_xlfn.ANCHORARRAY(Sintesi!$C$15),1,$C57)&lt;0)+($E57&gt;=$E56)*($E57&lt;=INDEX($E:$E,MATCH(TRUE,INDEX((ISNUMBER($E:$E)),0),0)))*($E57&gt;INDEX(_xlfn.ANCHORARRAY(Sintesi!$C$15),1,$C57))*($E57&lt;INDEX(_xlfn.ANCHORARRAY(Sintesi!$C$16),1,$C57))*(INDEX(_xlfn.ANCHORARRAY(Sintesi!$C$15),1,$C57)&gt;0),2,IF($E57=(INDEX(_xlfn.ANCHORARRAY(Sintesi!$C$16),1,$C57)),3,4)))),0),IF($C57&gt;0,IF(($E57=INDEX(_xlfn.ANCHORARRAY(Sintesi!$C$14),1,$C57))*(INDEX(_xlfn.ANCHORARRAY(Sintesi!$C$15),1,$C57)&gt;0),0,IF(($E57=INDEX(_xlfn.ANCHORARRAY(Sintesi!$C$14),1,$C57))*(INDEX(_xlfn.ANCHORARRAY(Sintesi!$C$15),1,$C57)&lt;0)+($E57&gt;=LOOKUP(2,1/($E:$E&lt;&gt;""),$E:$E))*($E57&lt;=INDEX($E:$E,MATCH(TRUE,INDEX((ISNUMBER($E:$E)),0),0)))*($E57&gt;INDEX(_xlfn.ANCHORARRAY(Sintesi!$C$14),1,$C57))*($E57&lt;=INDEX(_xlfn.ANCHORARRAY(Sintesi!$C$15),1,$C57))*(INDEX(_xlfn.ANCHORARRAY(Sintesi!$C$15),1,$C57)&gt;0),1,IF(($E57&gt;=LOOKUP(2,1/($E:$E&lt;&gt;""),$E:$E))*($E57&lt;=INDEX($E:$E,MATCH(TRUE,INDEX((ISNUMBER($E:$E)),0),0)))*($E57&gt;INDEX(_xlfn.ANCHORARRAY(Sintesi!$C$14),1,$C57))*($E57&lt;INDEX(_xlfn.ANCHORARRAY(Sintesi!$C$16),1,$C57))*(INDEX(_xlfn.ANCHORARRAY(Sintesi!$C$15),1,$C57)&lt;0)+($E57&gt;=LOOKUP(2,1/($E:$E&lt;&gt;""),$E:$E))*($E57&lt;=INDEX($E:$E,MATCH(TRUE,INDEX((ISNUMBER($E:$E)),0),0)))*($E57&gt;INDEX(_xlfn.ANCHORARRAY(Sintesi!$C$15),1,$C57))*($E57&lt;INDEX(_xlfn.ANCHORARRAY(Sintesi!$C$16),1,$C57))*(INDEX(_xlfn.ANCHORARRAY(Sintesi!$C$15),1,$C57)&gt;0),2,IF($E57=(INDEX(_xlfn.ANCHORARRAY(Sintesi!$C$16),1,$C57)),3,4)))),0)),IF(ISNUMBER($E56),IF($C57&gt;0,IF(($E57=INDEX(_xlfn.ANCHORARRAY(Sintesi!$C$14),1,$C57))*(INDEX(_xlfn.ANCHORARRAY(Sintesi!$C$15),1,$C57)&gt;0),0,IF(($E57=INDEX(_xlfn.ANCHORARRAY(Sintesi!$C$14),1,$C57))*(INDEX(_xlfn.ANCHORARRAY(Sintesi!$C$15),1,$C57)&lt;0)+($E57&gt;=$E56)*($E57&lt;=$E58)*($E57&gt;INDEX(_xlfn.ANCHORARRAY(Sintesi!$C$14),1,$C57))*($E57&lt;=INDEX(_xlfn.ANCHORARRAY(Sintesi!$C$15),1,$C57))*(INDEX(_xlfn.ANCHORARRAY(Sintesi!$C$15),1,$C57)&gt;0),1,IF(($E57&gt;=$E56)*($E57&lt;=$E58)*($E57&gt;INDEX(_xlfn.ANCHORARRAY(Sintesi!$C$14),1,$C57))*($E57&lt;INDEX(_xlfn.ANCHORARRAY(Sintesi!$C$16),1,$C57))*(INDEX(_xlfn.ANCHORARRAY(Sintesi!$C$15),1,$C57)&lt;0)+($E57&gt;=$E56)*($E57&lt;=$E58)*($E57&gt;INDEX(_xlfn.ANCHORARRAY(Sintesi!$C$15),1,$C57))*($E57&lt;INDEX(_xlfn.ANCHORARRAY(Sintesi!$C$16),1,$C57))*(INDEX(_xlfn.ANCHORARRAY(Sintesi!$C$15),1,$C57)&gt;0),2,IF($E57=(INDEX(_xlfn.ANCHORARRAY(Sintesi!$C$16),1,$C57)),3,4)))),0),IF($C57&gt;0,IF(($E57=INDEX(_xlfn.ANCHORARRAY(Sintesi!$C$14),1,$C57))*(INDEX(_xlfn.ANCHORARRAY(Sintesi!$C$15),1,$C57)&gt;0),0,IF(($E57=INDEX(_xlfn.ANCHORARRAY(Sintesi!$C$14),1,$C57))*(INDEX(_xlfn.ANCHORARRAY(Sintesi!$C$15),1,$C57)&lt;0)+($E57&gt;=LOOKUP(2,1/($E:$E&lt;&gt;""),$E:$E))*($E57&lt;=$E58)*($E57&gt;INDEX(_xlfn.ANCHORARRAY(Sintesi!$C$14),1,$C57))*($E57&lt;=INDEX(_xlfn.ANCHORARRAY(Sintesi!$C$15),1,$C57))*(INDEX(_xlfn.ANCHORARRAY(Sintesi!$C$15),1,$C57)&gt;0),1,IF(($E57&gt;=LOOKUP(2,1/($E:$E&lt;&gt;""),$E:$E))*($E57&lt;=$E58)*($E57&gt;INDEX(_xlfn.ANCHORARRAY(Sintesi!$C$14),1,$C57))*($E57&lt;INDEX(_xlfn.ANCHORARRAY(Sintesi!$C$16),1,$C57))*(INDEX(_xlfn.ANCHORARRAY(Sintesi!$C$15),1,$C57)&lt;0)+($E57&gt;=LOOKUP(2,1/($E:$E&lt;&gt;""),$E:$E))*($E57&lt;=$E58)*($E57&gt;INDEX(_xlfn.ANCHORARRAY(Sintesi!$C$15),1,$C57))*($E57&lt;INDEX(_xlfn.ANCHORARRAY(Sintesi!$C$16),1,$C57))*(INDEX(_xlfn.ANCHORARRAY(Sintesi!$C$15),1,$C57)&gt;0),2,IF($E57=(INDEX(_xlfn.ANCHORARRAY(Sintesi!$C$16),1,$C57)),3,4)))),0)))</f>
        <v>0</v>
      </c>
      <c r="E57" s="1">
        <f>'Paste cell here'!F57</f>
        <v>0</v>
      </c>
      <c r="F57" s="1">
        <f>'Paste cell here'!C57</f>
        <v>21.346074699999999</v>
      </c>
      <c r="G57" s="1">
        <f>'Paste cell here'!D57</f>
        <v>2.430058839</v>
      </c>
      <c r="H57" s="1">
        <f>'Paste cell here'!E57</f>
        <v>1.660791895</v>
      </c>
      <c r="I57" s="1">
        <f>'Paste cell here'!X57</f>
        <v>0</v>
      </c>
      <c r="J57" s="1">
        <f>'Paste cell here'!Y57+'Paste cell here'!S57</f>
        <v>0</v>
      </c>
      <c r="K57" s="1">
        <f t="shared" si="1"/>
        <v>0</v>
      </c>
      <c r="L57" s="1">
        <f t="shared" si="0"/>
        <v>14.487505037474055</v>
      </c>
      <c r="M57" s="1" cm="1">
        <f t="array" ref="M57">IF(AND(A57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,A57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),IF(L57&lt;_xlfn.IFNA(INDEX(_xlfn.ANCHORARRAY(Sintesi!$C$17)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,1,IF(L57&gt;=_xlfn.IFNA(INDEX(_xlfn.ANCHORARRAY(Sintesi!$C$18)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,0,1-(L57-_xlfn.IFNA(INDEX(_xlfn.ANCHORARRAY(Sintesi!$C$17)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)/(_xlfn.IFNA(INDEX(_xlfn.ANCHORARRAY(Sintesi!$C$18)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-_xlfn.IFNA(INDEX(_xlfn.ANCHORARRAY(Sintesi!$C$17),1,MATCH(1,(_xlfn.ANCHORARRAY(Sintesi!$C$9)&gt;_xlfn.ANCHORARRAY(Sintesi!$C$10))*(A56&gt;=_xlfn.ANCHORARRAY(Sintesi!$C$9))+(_xlfn.ANCHORARRAY(Sintesi!$C$9)&gt;_xlfn.ANCHORARRAY(Sintesi!$C$10))*(A56&lt;=_xlfn.ANCHORARRAY(Sintesi!$C$10))+(_xlfn.ANCHORARRAY(Sintesi!$C$9)&lt;_xlfn.ANCHORARRAY(Sintesi!$C$10))*(A56&gt;=_xlfn.ANCHORARRAY(Sintesi!$C$9))*(A56&lt;=_xlfn.ANCHORARRAY(Sintesi!$C$10)),0)),0)))),0)</f>
        <v>0</v>
      </c>
    </row>
    <row r="58" spans="1:13">
      <c r="A58" s="1">
        <f>'Paste cell here'!A58</f>
        <v>57</v>
      </c>
      <c r="B58" s="2">
        <f>DATE(Sintesi!$C$4-1,12,31)+A58</f>
        <v>44253</v>
      </c>
      <c r="C58" s="34" cm="1">
        <f t="array" ref="C58">_xlfn.IFNA(MATCH(1,(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)*(_xlfn.ANCHORARRAY(Sintesi!$C$15)&gt;=0)+(_xlfn.ANCHORARRAY(Sintesi!$C$15)&lt;0),0),0)</f>
        <v>0</v>
      </c>
      <c r="D58" s="1" cm="1">
        <f t="array" ref="D58">IF(ISBLANK($E59),IF(ISNUMBER($E57),IF($C58&gt;0,IF(($E58=INDEX(_xlfn.ANCHORARRAY(Sintesi!$C$14),1,$C58))*(INDEX(_xlfn.ANCHORARRAY(Sintesi!$C$15),1,$C58)&gt;0),0,IF(($E58=INDEX(_xlfn.ANCHORARRAY(Sintesi!$C$14),1,$C58))*(INDEX(_xlfn.ANCHORARRAY(Sintesi!$C$15),1,$C58)&lt;0)+($E58&gt;=$E57)*($E58&lt;=INDEX($E:$E,MATCH(TRUE,INDEX((ISNUMBER($E:$E)),0),0)))*($E58&gt;INDEX(_xlfn.ANCHORARRAY(Sintesi!$C$14),1,$C58))*($E58&lt;=INDEX(_xlfn.ANCHORARRAY(Sintesi!$C$15),1,$C58))*(INDEX(_xlfn.ANCHORARRAY(Sintesi!$C$15),1,$C58)&gt;0),1,IF(($E58&gt;=$E57)*($E58&lt;=INDEX($E:$E,MATCH(TRUE,INDEX((ISNUMBER($E:$E)),0),0)))*($E58&gt;INDEX(_xlfn.ANCHORARRAY(Sintesi!$C$14),1,$C58))*($E58&lt;INDEX(_xlfn.ANCHORARRAY(Sintesi!$C$16),1,$C58))*(INDEX(_xlfn.ANCHORARRAY(Sintesi!$C$15),1,$C58)&lt;0)+($E58&gt;=$E57)*($E58&lt;=INDEX($E:$E,MATCH(TRUE,INDEX((ISNUMBER($E:$E)),0),0)))*($E58&gt;INDEX(_xlfn.ANCHORARRAY(Sintesi!$C$15),1,$C58))*($E58&lt;INDEX(_xlfn.ANCHORARRAY(Sintesi!$C$16),1,$C58))*(INDEX(_xlfn.ANCHORARRAY(Sintesi!$C$15),1,$C58)&gt;0),2,IF($E58=(INDEX(_xlfn.ANCHORARRAY(Sintesi!$C$16),1,$C58)),3,4)))),0),IF($C58&gt;0,IF(($E58=INDEX(_xlfn.ANCHORARRAY(Sintesi!$C$14),1,$C58))*(INDEX(_xlfn.ANCHORARRAY(Sintesi!$C$15),1,$C58)&gt;0),0,IF(($E58=INDEX(_xlfn.ANCHORARRAY(Sintesi!$C$14),1,$C58))*(INDEX(_xlfn.ANCHORARRAY(Sintesi!$C$15),1,$C58)&lt;0)+($E58&gt;=LOOKUP(2,1/($E:$E&lt;&gt;""),$E:$E))*($E58&lt;=INDEX($E:$E,MATCH(TRUE,INDEX((ISNUMBER($E:$E)),0),0)))*($E58&gt;INDEX(_xlfn.ANCHORARRAY(Sintesi!$C$14),1,$C58))*($E58&lt;=INDEX(_xlfn.ANCHORARRAY(Sintesi!$C$15),1,$C58))*(INDEX(_xlfn.ANCHORARRAY(Sintesi!$C$15),1,$C58)&gt;0),1,IF(($E58&gt;=LOOKUP(2,1/($E:$E&lt;&gt;""),$E:$E))*($E58&lt;=INDEX($E:$E,MATCH(TRUE,INDEX((ISNUMBER($E:$E)),0),0)))*($E58&gt;INDEX(_xlfn.ANCHORARRAY(Sintesi!$C$14),1,$C58))*($E58&lt;INDEX(_xlfn.ANCHORARRAY(Sintesi!$C$16),1,$C58))*(INDEX(_xlfn.ANCHORARRAY(Sintesi!$C$15),1,$C58)&lt;0)+($E58&gt;=LOOKUP(2,1/($E:$E&lt;&gt;""),$E:$E))*($E58&lt;=INDEX($E:$E,MATCH(TRUE,INDEX((ISNUMBER($E:$E)),0),0)))*($E58&gt;INDEX(_xlfn.ANCHORARRAY(Sintesi!$C$15),1,$C58))*($E58&lt;INDEX(_xlfn.ANCHORARRAY(Sintesi!$C$16),1,$C58))*(INDEX(_xlfn.ANCHORARRAY(Sintesi!$C$15),1,$C58)&gt;0),2,IF($E58=(INDEX(_xlfn.ANCHORARRAY(Sintesi!$C$16),1,$C58)),3,4)))),0)),IF(ISNUMBER($E57),IF($C58&gt;0,IF(($E58=INDEX(_xlfn.ANCHORARRAY(Sintesi!$C$14),1,$C58))*(INDEX(_xlfn.ANCHORARRAY(Sintesi!$C$15),1,$C58)&gt;0),0,IF(($E58=INDEX(_xlfn.ANCHORARRAY(Sintesi!$C$14),1,$C58))*(INDEX(_xlfn.ANCHORARRAY(Sintesi!$C$15),1,$C58)&lt;0)+($E58&gt;=$E57)*($E58&lt;=$E59)*($E58&gt;INDEX(_xlfn.ANCHORARRAY(Sintesi!$C$14),1,$C58))*($E58&lt;=INDEX(_xlfn.ANCHORARRAY(Sintesi!$C$15),1,$C58))*(INDEX(_xlfn.ANCHORARRAY(Sintesi!$C$15),1,$C58)&gt;0),1,IF(($E58&gt;=$E57)*($E58&lt;=$E59)*($E58&gt;INDEX(_xlfn.ANCHORARRAY(Sintesi!$C$14),1,$C58))*($E58&lt;INDEX(_xlfn.ANCHORARRAY(Sintesi!$C$16),1,$C58))*(INDEX(_xlfn.ANCHORARRAY(Sintesi!$C$15),1,$C58)&lt;0)+($E58&gt;=$E57)*($E58&lt;=$E59)*($E58&gt;INDEX(_xlfn.ANCHORARRAY(Sintesi!$C$15),1,$C58))*($E58&lt;INDEX(_xlfn.ANCHORARRAY(Sintesi!$C$16),1,$C58))*(INDEX(_xlfn.ANCHORARRAY(Sintesi!$C$15),1,$C58)&gt;0),2,IF($E58=(INDEX(_xlfn.ANCHORARRAY(Sintesi!$C$16),1,$C58)),3,4)))),0),IF($C58&gt;0,IF(($E58=INDEX(_xlfn.ANCHORARRAY(Sintesi!$C$14),1,$C58))*(INDEX(_xlfn.ANCHORARRAY(Sintesi!$C$15),1,$C58)&gt;0),0,IF(($E58=INDEX(_xlfn.ANCHORARRAY(Sintesi!$C$14),1,$C58))*(INDEX(_xlfn.ANCHORARRAY(Sintesi!$C$15),1,$C58)&lt;0)+($E58&gt;=LOOKUP(2,1/($E:$E&lt;&gt;""),$E:$E))*($E58&lt;=$E59)*($E58&gt;INDEX(_xlfn.ANCHORARRAY(Sintesi!$C$14),1,$C58))*($E58&lt;=INDEX(_xlfn.ANCHORARRAY(Sintesi!$C$15),1,$C58))*(INDEX(_xlfn.ANCHORARRAY(Sintesi!$C$15),1,$C58)&gt;0),1,IF(($E58&gt;=LOOKUP(2,1/($E:$E&lt;&gt;""),$E:$E))*($E58&lt;=$E59)*($E58&gt;INDEX(_xlfn.ANCHORARRAY(Sintesi!$C$14),1,$C58))*($E58&lt;INDEX(_xlfn.ANCHORARRAY(Sintesi!$C$16),1,$C58))*(INDEX(_xlfn.ANCHORARRAY(Sintesi!$C$15),1,$C58)&lt;0)+($E58&gt;=LOOKUP(2,1/($E:$E&lt;&gt;""),$E:$E))*($E58&lt;=$E59)*($E58&gt;INDEX(_xlfn.ANCHORARRAY(Sintesi!$C$15),1,$C58))*($E58&lt;INDEX(_xlfn.ANCHORARRAY(Sintesi!$C$16),1,$C58))*(INDEX(_xlfn.ANCHORARRAY(Sintesi!$C$15),1,$C58)&gt;0),2,IF($E58=(INDEX(_xlfn.ANCHORARRAY(Sintesi!$C$16),1,$C58)),3,4)))),0)))</f>
        <v>0</v>
      </c>
      <c r="E58" s="1">
        <f>'Paste cell here'!F58</f>
        <v>0</v>
      </c>
      <c r="F58" s="1">
        <f>'Paste cell here'!C58</f>
        <v>20.864055199999999</v>
      </c>
      <c r="G58" s="1">
        <f>'Paste cell here'!D58</f>
        <v>2.9660036380000001</v>
      </c>
      <c r="H58" s="1">
        <f>'Paste cell here'!E58</f>
        <v>1.7443038319999999</v>
      </c>
      <c r="I58" s="1">
        <f>'Paste cell here'!X58</f>
        <v>0</v>
      </c>
      <c r="J58" s="1">
        <f>'Paste cell here'!Y58+'Paste cell here'!S58</f>
        <v>0</v>
      </c>
      <c r="K58" s="1">
        <f t="shared" si="1"/>
        <v>0</v>
      </c>
      <c r="L58" s="1">
        <f t="shared" si="0"/>
        <v>14.37457906699739</v>
      </c>
      <c r="M58" s="1" cm="1">
        <f t="array" ref="M58">IF(AND(A58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,A58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),IF(L58&lt;_xlfn.IFNA(INDEX(_xlfn.ANCHORARRAY(Sintesi!$C$17)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,1,IF(L58&gt;=_xlfn.IFNA(INDEX(_xlfn.ANCHORARRAY(Sintesi!$C$18)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,0,1-(L58-_xlfn.IFNA(INDEX(_xlfn.ANCHORARRAY(Sintesi!$C$17)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)/(_xlfn.IFNA(INDEX(_xlfn.ANCHORARRAY(Sintesi!$C$18)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-_xlfn.IFNA(INDEX(_xlfn.ANCHORARRAY(Sintesi!$C$17),1,MATCH(1,(_xlfn.ANCHORARRAY(Sintesi!$C$9)&gt;_xlfn.ANCHORARRAY(Sintesi!$C$10))*(A57&gt;=_xlfn.ANCHORARRAY(Sintesi!$C$9))+(_xlfn.ANCHORARRAY(Sintesi!$C$9)&gt;_xlfn.ANCHORARRAY(Sintesi!$C$10))*(A57&lt;=_xlfn.ANCHORARRAY(Sintesi!$C$10))+(_xlfn.ANCHORARRAY(Sintesi!$C$9)&lt;_xlfn.ANCHORARRAY(Sintesi!$C$10))*(A57&gt;=_xlfn.ANCHORARRAY(Sintesi!$C$9))*(A57&lt;=_xlfn.ANCHORARRAY(Sintesi!$C$10)),0)),0)))),0)</f>
        <v>0</v>
      </c>
    </row>
    <row r="59" spans="1:13">
      <c r="A59" s="1">
        <f>'Paste cell here'!A59</f>
        <v>58</v>
      </c>
      <c r="B59" s="2">
        <f>DATE(Sintesi!$C$4-1,12,31)+A59</f>
        <v>44254</v>
      </c>
      <c r="C59" s="34" cm="1">
        <f t="array" ref="C59">_xlfn.IFNA(MATCH(1,(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)*(_xlfn.ANCHORARRAY(Sintesi!$C$15)&gt;=0)+(_xlfn.ANCHORARRAY(Sintesi!$C$15)&lt;0),0),0)</f>
        <v>0</v>
      </c>
      <c r="D59" s="1" cm="1">
        <f t="array" ref="D59">IF(ISBLANK($E60),IF(ISNUMBER($E58),IF($C59&gt;0,IF(($E59=INDEX(_xlfn.ANCHORARRAY(Sintesi!$C$14),1,$C59))*(INDEX(_xlfn.ANCHORARRAY(Sintesi!$C$15),1,$C59)&gt;0),0,IF(($E59=INDEX(_xlfn.ANCHORARRAY(Sintesi!$C$14),1,$C59))*(INDEX(_xlfn.ANCHORARRAY(Sintesi!$C$15),1,$C59)&lt;0)+($E59&gt;=$E58)*($E59&lt;=INDEX($E:$E,MATCH(TRUE,INDEX((ISNUMBER($E:$E)),0),0)))*($E59&gt;INDEX(_xlfn.ANCHORARRAY(Sintesi!$C$14),1,$C59))*($E59&lt;=INDEX(_xlfn.ANCHORARRAY(Sintesi!$C$15),1,$C59))*(INDEX(_xlfn.ANCHORARRAY(Sintesi!$C$15),1,$C59)&gt;0),1,IF(($E59&gt;=$E58)*($E59&lt;=INDEX($E:$E,MATCH(TRUE,INDEX((ISNUMBER($E:$E)),0),0)))*($E59&gt;INDEX(_xlfn.ANCHORARRAY(Sintesi!$C$14),1,$C59))*($E59&lt;INDEX(_xlfn.ANCHORARRAY(Sintesi!$C$16),1,$C59))*(INDEX(_xlfn.ANCHORARRAY(Sintesi!$C$15),1,$C59)&lt;0)+($E59&gt;=$E58)*($E59&lt;=INDEX($E:$E,MATCH(TRUE,INDEX((ISNUMBER($E:$E)),0),0)))*($E59&gt;INDEX(_xlfn.ANCHORARRAY(Sintesi!$C$15),1,$C59))*($E59&lt;INDEX(_xlfn.ANCHORARRAY(Sintesi!$C$16),1,$C59))*(INDEX(_xlfn.ANCHORARRAY(Sintesi!$C$15),1,$C59)&gt;0),2,IF($E59=(INDEX(_xlfn.ANCHORARRAY(Sintesi!$C$16),1,$C59)),3,4)))),0),IF($C59&gt;0,IF(($E59=INDEX(_xlfn.ANCHORARRAY(Sintesi!$C$14),1,$C59))*(INDEX(_xlfn.ANCHORARRAY(Sintesi!$C$15),1,$C59)&gt;0),0,IF(($E59=INDEX(_xlfn.ANCHORARRAY(Sintesi!$C$14),1,$C59))*(INDEX(_xlfn.ANCHORARRAY(Sintesi!$C$15),1,$C59)&lt;0)+($E59&gt;=LOOKUP(2,1/($E:$E&lt;&gt;""),$E:$E))*($E59&lt;=INDEX($E:$E,MATCH(TRUE,INDEX((ISNUMBER($E:$E)),0),0)))*($E59&gt;INDEX(_xlfn.ANCHORARRAY(Sintesi!$C$14),1,$C59))*($E59&lt;=INDEX(_xlfn.ANCHORARRAY(Sintesi!$C$15),1,$C59))*(INDEX(_xlfn.ANCHORARRAY(Sintesi!$C$15),1,$C59)&gt;0),1,IF(($E59&gt;=LOOKUP(2,1/($E:$E&lt;&gt;""),$E:$E))*($E59&lt;=INDEX($E:$E,MATCH(TRUE,INDEX((ISNUMBER($E:$E)),0),0)))*($E59&gt;INDEX(_xlfn.ANCHORARRAY(Sintesi!$C$14),1,$C59))*($E59&lt;INDEX(_xlfn.ANCHORARRAY(Sintesi!$C$16),1,$C59))*(INDEX(_xlfn.ANCHORARRAY(Sintesi!$C$15),1,$C59)&lt;0)+($E59&gt;=LOOKUP(2,1/($E:$E&lt;&gt;""),$E:$E))*($E59&lt;=INDEX($E:$E,MATCH(TRUE,INDEX((ISNUMBER($E:$E)),0),0)))*($E59&gt;INDEX(_xlfn.ANCHORARRAY(Sintesi!$C$15),1,$C59))*($E59&lt;INDEX(_xlfn.ANCHORARRAY(Sintesi!$C$16),1,$C59))*(INDEX(_xlfn.ANCHORARRAY(Sintesi!$C$15),1,$C59)&gt;0),2,IF($E59=(INDEX(_xlfn.ANCHORARRAY(Sintesi!$C$16),1,$C59)),3,4)))),0)),IF(ISNUMBER($E58),IF($C59&gt;0,IF(($E59=INDEX(_xlfn.ANCHORARRAY(Sintesi!$C$14),1,$C59))*(INDEX(_xlfn.ANCHORARRAY(Sintesi!$C$15),1,$C59)&gt;0),0,IF(($E59=INDEX(_xlfn.ANCHORARRAY(Sintesi!$C$14),1,$C59))*(INDEX(_xlfn.ANCHORARRAY(Sintesi!$C$15),1,$C59)&lt;0)+($E59&gt;=$E58)*($E59&lt;=$E60)*($E59&gt;INDEX(_xlfn.ANCHORARRAY(Sintesi!$C$14),1,$C59))*($E59&lt;=INDEX(_xlfn.ANCHORARRAY(Sintesi!$C$15),1,$C59))*(INDEX(_xlfn.ANCHORARRAY(Sintesi!$C$15),1,$C59)&gt;0),1,IF(($E59&gt;=$E58)*($E59&lt;=$E60)*($E59&gt;INDEX(_xlfn.ANCHORARRAY(Sintesi!$C$14),1,$C59))*($E59&lt;INDEX(_xlfn.ANCHORARRAY(Sintesi!$C$16),1,$C59))*(INDEX(_xlfn.ANCHORARRAY(Sintesi!$C$15),1,$C59)&lt;0)+($E59&gt;=$E58)*($E59&lt;=$E60)*($E59&gt;INDEX(_xlfn.ANCHORARRAY(Sintesi!$C$15),1,$C59))*($E59&lt;INDEX(_xlfn.ANCHORARRAY(Sintesi!$C$16),1,$C59))*(INDEX(_xlfn.ANCHORARRAY(Sintesi!$C$15),1,$C59)&gt;0),2,IF($E59=(INDEX(_xlfn.ANCHORARRAY(Sintesi!$C$16),1,$C59)),3,4)))),0),IF($C59&gt;0,IF(($E59=INDEX(_xlfn.ANCHORARRAY(Sintesi!$C$14),1,$C59))*(INDEX(_xlfn.ANCHORARRAY(Sintesi!$C$15),1,$C59)&gt;0),0,IF(($E59=INDEX(_xlfn.ANCHORARRAY(Sintesi!$C$14),1,$C59))*(INDEX(_xlfn.ANCHORARRAY(Sintesi!$C$15),1,$C59)&lt;0)+($E59&gt;=LOOKUP(2,1/($E:$E&lt;&gt;""),$E:$E))*($E59&lt;=$E60)*($E59&gt;INDEX(_xlfn.ANCHORARRAY(Sintesi!$C$14),1,$C59))*($E59&lt;=INDEX(_xlfn.ANCHORARRAY(Sintesi!$C$15),1,$C59))*(INDEX(_xlfn.ANCHORARRAY(Sintesi!$C$15),1,$C59)&gt;0),1,IF(($E59&gt;=LOOKUP(2,1/($E:$E&lt;&gt;""),$E:$E))*($E59&lt;=$E60)*($E59&gt;INDEX(_xlfn.ANCHORARRAY(Sintesi!$C$14),1,$C59))*($E59&lt;INDEX(_xlfn.ANCHORARRAY(Sintesi!$C$16),1,$C59))*(INDEX(_xlfn.ANCHORARRAY(Sintesi!$C$15),1,$C59)&lt;0)+($E59&gt;=LOOKUP(2,1/($E:$E&lt;&gt;""),$E:$E))*($E59&lt;=$E60)*($E59&gt;INDEX(_xlfn.ANCHORARRAY(Sintesi!$C$15),1,$C59))*($E59&lt;INDEX(_xlfn.ANCHORARRAY(Sintesi!$C$16),1,$C59))*(INDEX(_xlfn.ANCHORARRAY(Sintesi!$C$15),1,$C59)&gt;0),2,IF($E59=(INDEX(_xlfn.ANCHORARRAY(Sintesi!$C$16),1,$C59)),3,4)))),0)))</f>
        <v>0</v>
      </c>
      <c r="E59" s="1">
        <f>'Paste cell here'!F59</f>
        <v>0</v>
      </c>
      <c r="F59" s="1">
        <f>'Paste cell here'!C59</f>
        <v>19.438750590000001</v>
      </c>
      <c r="G59" s="1">
        <f>'Paste cell here'!D59</f>
        <v>4.5022141229999999</v>
      </c>
      <c r="H59" s="1">
        <f>'Paste cell here'!E59</f>
        <v>1.968011569</v>
      </c>
      <c r="I59" s="1">
        <f>'Paste cell here'!X59</f>
        <v>0</v>
      </c>
      <c r="J59" s="1">
        <f>'Paste cell here'!Y59+'Paste cell here'!S59</f>
        <v>0</v>
      </c>
      <c r="K59" s="1">
        <f t="shared" si="1"/>
        <v>0</v>
      </c>
      <c r="L59" s="1">
        <f t="shared" si="0"/>
        <v>14.023060699033552</v>
      </c>
      <c r="M59" s="1" cm="1">
        <f t="array" ref="M59">IF(AND(A59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,A59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),IF(L59&lt;_xlfn.IFNA(INDEX(_xlfn.ANCHORARRAY(Sintesi!$C$17)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,1,IF(L59&gt;=_xlfn.IFNA(INDEX(_xlfn.ANCHORARRAY(Sintesi!$C$18)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,0,1-(L59-_xlfn.IFNA(INDEX(_xlfn.ANCHORARRAY(Sintesi!$C$17)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)/(_xlfn.IFNA(INDEX(_xlfn.ANCHORARRAY(Sintesi!$C$18)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-_xlfn.IFNA(INDEX(_xlfn.ANCHORARRAY(Sintesi!$C$17),1,MATCH(1,(_xlfn.ANCHORARRAY(Sintesi!$C$9)&gt;_xlfn.ANCHORARRAY(Sintesi!$C$10))*(A58&gt;=_xlfn.ANCHORARRAY(Sintesi!$C$9))+(_xlfn.ANCHORARRAY(Sintesi!$C$9)&gt;_xlfn.ANCHORARRAY(Sintesi!$C$10))*(A58&lt;=_xlfn.ANCHORARRAY(Sintesi!$C$10))+(_xlfn.ANCHORARRAY(Sintesi!$C$9)&lt;_xlfn.ANCHORARRAY(Sintesi!$C$10))*(A58&gt;=_xlfn.ANCHORARRAY(Sintesi!$C$9))*(A58&lt;=_xlfn.ANCHORARRAY(Sintesi!$C$10)),0)),0)))),0)</f>
        <v>0</v>
      </c>
    </row>
    <row r="60" spans="1:13">
      <c r="A60" s="1">
        <f>'Paste cell here'!A60</f>
        <v>59</v>
      </c>
      <c r="B60" s="2">
        <f>DATE(Sintesi!$C$4-1,12,31)+A60</f>
        <v>44255</v>
      </c>
      <c r="C60" s="34" cm="1">
        <f t="array" ref="C60">_xlfn.IFNA(MATCH(1,(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)*(_xlfn.ANCHORARRAY(Sintesi!$C$15)&gt;=0)+(_xlfn.ANCHORARRAY(Sintesi!$C$15)&lt;0),0),0)</f>
        <v>0</v>
      </c>
      <c r="D60" s="1" cm="1">
        <f t="array" ref="D60">IF(ISBLANK($E61),IF(ISNUMBER($E59),IF($C60&gt;0,IF(($E60=INDEX(_xlfn.ANCHORARRAY(Sintesi!$C$14),1,$C60))*(INDEX(_xlfn.ANCHORARRAY(Sintesi!$C$15),1,$C60)&gt;0),0,IF(($E60=INDEX(_xlfn.ANCHORARRAY(Sintesi!$C$14),1,$C60))*(INDEX(_xlfn.ANCHORARRAY(Sintesi!$C$15),1,$C60)&lt;0)+($E60&gt;=$E59)*($E60&lt;=INDEX($E:$E,MATCH(TRUE,INDEX((ISNUMBER($E:$E)),0),0)))*($E60&gt;INDEX(_xlfn.ANCHORARRAY(Sintesi!$C$14),1,$C60))*($E60&lt;=INDEX(_xlfn.ANCHORARRAY(Sintesi!$C$15),1,$C60))*(INDEX(_xlfn.ANCHORARRAY(Sintesi!$C$15),1,$C60)&gt;0),1,IF(($E60&gt;=$E59)*($E60&lt;=INDEX($E:$E,MATCH(TRUE,INDEX((ISNUMBER($E:$E)),0),0)))*($E60&gt;INDEX(_xlfn.ANCHORARRAY(Sintesi!$C$14),1,$C60))*($E60&lt;INDEX(_xlfn.ANCHORARRAY(Sintesi!$C$16),1,$C60))*(INDEX(_xlfn.ANCHORARRAY(Sintesi!$C$15),1,$C60)&lt;0)+($E60&gt;=$E59)*($E60&lt;=INDEX($E:$E,MATCH(TRUE,INDEX((ISNUMBER($E:$E)),0),0)))*($E60&gt;INDEX(_xlfn.ANCHORARRAY(Sintesi!$C$15),1,$C60))*($E60&lt;INDEX(_xlfn.ANCHORARRAY(Sintesi!$C$16),1,$C60))*(INDEX(_xlfn.ANCHORARRAY(Sintesi!$C$15),1,$C60)&gt;0),2,IF($E60=(INDEX(_xlfn.ANCHORARRAY(Sintesi!$C$16),1,$C60)),3,4)))),0),IF($C60&gt;0,IF(($E60=INDEX(_xlfn.ANCHORARRAY(Sintesi!$C$14),1,$C60))*(INDEX(_xlfn.ANCHORARRAY(Sintesi!$C$15),1,$C60)&gt;0),0,IF(($E60=INDEX(_xlfn.ANCHORARRAY(Sintesi!$C$14),1,$C60))*(INDEX(_xlfn.ANCHORARRAY(Sintesi!$C$15),1,$C60)&lt;0)+($E60&gt;=LOOKUP(2,1/($E:$E&lt;&gt;""),$E:$E))*($E60&lt;=INDEX($E:$E,MATCH(TRUE,INDEX((ISNUMBER($E:$E)),0),0)))*($E60&gt;INDEX(_xlfn.ANCHORARRAY(Sintesi!$C$14),1,$C60))*($E60&lt;=INDEX(_xlfn.ANCHORARRAY(Sintesi!$C$15),1,$C60))*(INDEX(_xlfn.ANCHORARRAY(Sintesi!$C$15),1,$C60)&gt;0),1,IF(($E60&gt;=LOOKUP(2,1/($E:$E&lt;&gt;""),$E:$E))*($E60&lt;=INDEX($E:$E,MATCH(TRUE,INDEX((ISNUMBER($E:$E)),0),0)))*($E60&gt;INDEX(_xlfn.ANCHORARRAY(Sintesi!$C$14),1,$C60))*($E60&lt;INDEX(_xlfn.ANCHORARRAY(Sintesi!$C$16),1,$C60))*(INDEX(_xlfn.ANCHORARRAY(Sintesi!$C$15),1,$C60)&lt;0)+($E60&gt;=LOOKUP(2,1/($E:$E&lt;&gt;""),$E:$E))*($E60&lt;=INDEX($E:$E,MATCH(TRUE,INDEX((ISNUMBER($E:$E)),0),0)))*($E60&gt;INDEX(_xlfn.ANCHORARRAY(Sintesi!$C$15),1,$C60))*($E60&lt;INDEX(_xlfn.ANCHORARRAY(Sintesi!$C$16),1,$C60))*(INDEX(_xlfn.ANCHORARRAY(Sintesi!$C$15),1,$C60)&gt;0),2,IF($E60=(INDEX(_xlfn.ANCHORARRAY(Sintesi!$C$16),1,$C60)),3,4)))),0)),IF(ISNUMBER($E59),IF($C60&gt;0,IF(($E60=INDEX(_xlfn.ANCHORARRAY(Sintesi!$C$14),1,$C60))*(INDEX(_xlfn.ANCHORARRAY(Sintesi!$C$15),1,$C60)&gt;0),0,IF(($E60=INDEX(_xlfn.ANCHORARRAY(Sintesi!$C$14),1,$C60))*(INDEX(_xlfn.ANCHORARRAY(Sintesi!$C$15),1,$C60)&lt;0)+($E60&gt;=$E59)*($E60&lt;=$E61)*($E60&gt;INDEX(_xlfn.ANCHORARRAY(Sintesi!$C$14),1,$C60))*($E60&lt;=INDEX(_xlfn.ANCHORARRAY(Sintesi!$C$15),1,$C60))*(INDEX(_xlfn.ANCHORARRAY(Sintesi!$C$15),1,$C60)&gt;0),1,IF(($E60&gt;=$E59)*($E60&lt;=$E61)*($E60&gt;INDEX(_xlfn.ANCHORARRAY(Sintesi!$C$14),1,$C60))*($E60&lt;INDEX(_xlfn.ANCHORARRAY(Sintesi!$C$16),1,$C60))*(INDEX(_xlfn.ANCHORARRAY(Sintesi!$C$15),1,$C60)&lt;0)+($E60&gt;=$E59)*($E60&lt;=$E61)*($E60&gt;INDEX(_xlfn.ANCHORARRAY(Sintesi!$C$15),1,$C60))*($E60&lt;INDEX(_xlfn.ANCHORARRAY(Sintesi!$C$16),1,$C60))*(INDEX(_xlfn.ANCHORARRAY(Sintesi!$C$15),1,$C60)&gt;0),2,IF($E60=(INDEX(_xlfn.ANCHORARRAY(Sintesi!$C$16),1,$C60)),3,4)))),0),IF($C60&gt;0,IF(($E60=INDEX(_xlfn.ANCHORARRAY(Sintesi!$C$14),1,$C60))*(INDEX(_xlfn.ANCHORARRAY(Sintesi!$C$15),1,$C60)&gt;0),0,IF(($E60=INDEX(_xlfn.ANCHORARRAY(Sintesi!$C$14),1,$C60))*(INDEX(_xlfn.ANCHORARRAY(Sintesi!$C$15),1,$C60)&lt;0)+($E60&gt;=LOOKUP(2,1/($E:$E&lt;&gt;""),$E:$E))*($E60&lt;=$E61)*($E60&gt;INDEX(_xlfn.ANCHORARRAY(Sintesi!$C$14),1,$C60))*($E60&lt;=INDEX(_xlfn.ANCHORARRAY(Sintesi!$C$15),1,$C60))*(INDEX(_xlfn.ANCHORARRAY(Sintesi!$C$15),1,$C60)&gt;0),1,IF(($E60&gt;=LOOKUP(2,1/($E:$E&lt;&gt;""),$E:$E))*($E60&lt;=$E61)*($E60&gt;INDEX(_xlfn.ANCHORARRAY(Sintesi!$C$14),1,$C60))*($E60&lt;INDEX(_xlfn.ANCHORARRAY(Sintesi!$C$16),1,$C60))*(INDEX(_xlfn.ANCHORARRAY(Sintesi!$C$15),1,$C60)&lt;0)+($E60&gt;=LOOKUP(2,1/($E:$E&lt;&gt;""),$E:$E))*($E60&lt;=$E61)*($E60&gt;INDEX(_xlfn.ANCHORARRAY(Sintesi!$C$15),1,$C60))*($E60&lt;INDEX(_xlfn.ANCHORARRAY(Sintesi!$C$16),1,$C60))*(INDEX(_xlfn.ANCHORARRAY(Sintesi!$C$15),1,$C60)&gt;0),2,IF($E60=(INDEX(_xlfn.ANCHORARRAY(Sintesi!$C$16),1,$C60)),3,4)))),0)))</f>
        <v>0</v>
      </c>
      <c r="E60" s="1">
        <f>'Paste cell here'!F60</f>
        <v>0</v>
      </c>
      <c r="F60" s="1">
        <f>'Paste cell here'!C60</f>
        <v>14.27454387</v>
      </c>
      <c r="G60" s="1">
        <f>'Paste cell here'!D60</f>
        <v>2.7559998110000001</v>
      </c>
      <c r="H60" s="1">
        <f>'Paste cell here'!E60</f>
        <v>1.8181950280000001</v>
      </c>
      <c r="I60" s="1">
        <f>'Paste cell here'!X60</f>
        <v>0</v>
      </c>
      <c r="J60" s="1">
        <f>'Paste cell here'!Y60+'Paste cell here'!S60</f>
        <v>0</v>
      </c>
      <c r="K60" s="1">
        <f t="shared" si="1"/>
        <v>0</v>
      </c>
      <c r="L60" s="1">
        <f t="shared" si="0"/>
        <v>10.098149780459972</v>
      </c>
      <c r="M60" s="1" cm="1">
        <f t="array" ref="M60">IF(AND(A60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,A60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),IF(L60&lt;_xlfn.IFNA(INDEX(_xlfn.ANCHORARRAY(Sintesi!$C$17)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,1,IF(L60&gt;=_xlfn.IFNA(INDEX(_xlfn.ANCHORARRAY(Sintesi!$C$18)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,0,1-(L60-_xlfn.IFNA(INDEX(_xlfn.ANCHORARRAY(Sintesi!$C$17)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)/(_xlfn.IFNA(INDEX(_xlfn.ANCHORARRAY(Sintesi!$C$18)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-_xlfn.IFNA(INDEX(_xlfn.ANCHORARRAY(Sintesi!$C$17),1,MATCH(1,(_xlfn.ANCHORARRAY(Sintesi!$C$9)&gt;_xlfn.ANCHORARRAY(Sintesi!$C$10))*(A59&gt;=_xlfn.ANCHORARRAY(Sintesi!$C$9))+(_xlfn.ANCHORARRAY(Sintesi!$C$9)&gt;_xlfn.ANCHORARRAY(Sintesi!$C$10))*(A59&lt;=_xlfn.ANCHORARRAY(Sintesi!$C$10))+(_xlfn.ANCHORARRAY(Sintesi!$C$9)&lt;_xlfn.ANCHORARRAY(Sintesi!$C$10))*(A59&gt;=_xlfn.ANCHORARRAY(Sintesi!$C$9))*(A59&lt;=_xlfn.ANCHORARRAY(Sintesi!$C$10)),0)),0)))),0)</f>
        <v>0</v>
      </c>
    </row>
    <row r="61" spans="1:13">
      <c r="A61" s="1">
        <f>'Paste cell here'!A61</f>
        <v>60</v>
      </c>
      <c r="B61" s="2">
        <f>DATE(Sintesi!$C$4-1,12,31)+A61</f>
        <v>44256</v>
      </c>
      <c r="C61" s="34" cm="1">
        <f t="array" ref="C61">_xlfn.IFNA(MATCH(1,(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)*(_xlfn.ANCHORARRAY(Sintesi!$C$15)&gt;=0)+(_xlfn.ANCHORARRAY(Sintesi!$C$15)&lt;0),0),0)</f>
        <v>0</v>
      </c>
      <c r="D61" s="1" cm="1">
        <f t="array" ref="D61">IF(ISBLANK($E62),IF(ISNUMBER($E60),IF($C61&gt;0,IF(($E61=INDEX(_xlfn.ANCHORARRAY(Sintesi!$C$14),1,$C61))*(INDEX(_xlfn.ANCHORARRAY(Sintesi!$C$15),1,$C61)&gt;0),0,IF(($E61=INDEX(_xlfn.ANCHORARRAY(Sintesi!$C$14),1,$C61))*(INDEX(_xlfn.ANCHORARRAY(Sintesi!$C$15),1,$C61)&lt;0)+($E61&gt;=$E60)*($E61&lt;=INDEX($E:$E,MATCH(TRUE,INDEX((ISNUMBER($E:$E)),0),0)))*($E61&gt;INDEX(_xlfn.ANCHORARRAY(Sintesi!$C$14),1,$C61))*($E61&lt;=INDEX(_xlfn.ANCHORARRAY(Sintesi!$C$15),1,$C61))*(INDEX(_xlfn.ANCHORARRAY(Sintesi!$C$15),1,$C61)&gt;0),1,IF(($E61&gt;=$E60)*($E61&lt;=INDEX($E:$E,MATCH(TRUE,INDEX((ISNUMBER($E:$E)),0),0)))*($E61&gt;INDEX(_xlfn.ANCHORARRAY(Sintesi!$C$14),1,$C61))*($E61&lt;INDEX(_xlfn.ANCHORARRAY(Sintesi!$C$16),1,$C61))*(INDEX(_xlfn.ANCHORARRAY(Sintesi!$C$15),1,$C61)&lt;0)+($E61&gt;=$E60)*($E61&lt;=INDEX($E:$E,MATCH(TRUE,INDEX((ISNUMBER($E:$E)),0),0)))*($E61&gt;INDEX(_xlfn.ANCHORARRAY(Sintesi!$C$15),1,$C61))*($E61&lt;INDEX(_xlfn.ANCHORARRAY(Sintesi!$C$16),1,$C61))*(INDEX(_xlfn.ANCHORARRAY(Sintesi!$C$15),1,$C61)&gt;0),2,IF($E61=(INDEX(_xlfn.ANCHORARRAY(Sintesi!$C$16),1,$C61)),3,4)))),0),IF($C61&gt;0,IF(($E61=INDEX(_xlfn.ANCHORARRAY(Sintesi!$C$14),1,$C61))*(INDEX(_xlfn.ANCHORARRAY(Sintesi!$C$15),1,$C61)&gt;0),0,IF(($E61=INDEX(_xlfn.ANCHORARRAY(Sintesi!$C$14),1,$C61))*(INDEX(_xlfn.ANCHORARRAY(Sintesi!$C$15),1,$C61)&lt;0)+($E61&gt;=LOOKUP(2,1/($E:$E&lt;&gt;""),$E:$E))*($E61&lt;=INDEX($E:$E,MATCH(TRUE,INDEX((ISNUMBER($E:$E)),0),0)))*($E61&gt;INDEX(_xlfn.ANCHORARRAY(Sintesi!$C$14),1,$C61))*($E61&lt;=INDEX(_xlfn.ANCHORARRAY(Sintesi!$C$15),1,$C61))*(INDEX(_xlfn.ANCHORARRAY(Sintesi!$C$15),1,$C61)&gt;0),1,IF(($E61&gt;=LOOKUP(2,1/($E:$E&lt;&gt;""),$E:$E))*($E61&lt;=INDEX($E:$E,MATCH(TRUE,INDEX((ISNUMBER($E:$E)),0),0)))*($E61&gt;INDEX(_xlfn.ANCHORARRAY(Sintesi!$C$14),1,$C61))*($E61&lt;INDEX(_xlfn.ANCHORARRAY(Sintesi!$C$16),1,$C61))*(INDEX(_xlfn.ANCHORARRAY(Sintesi!$C$15),1,$C61)&lt;0)+($E61&gt;=LOOKUP(2,1/($E:$E&lt;&gt;""),$E:$E))*($E61&lt;=INDEX($E:$E,MATCH(TRUE,INDEX((ISNUMBER($E:$E)),0),0)))*($E61&gt;INDEX(_xlfn.ANCHORARRAY(Sintesi!$C$15),1,$C61))*($E61&lt;INDEX(_xlfn.ANCHORARRAY(Sintesi!$C$16),1,$C61))*(INDEX(_xlfn.ANCHORARRAY(Sintesi!$C$15),1,$C61)&gt;0),2,IF($E61=(INDEX(_xlfn.ANCHORARRAY(Sintesi!$C$16),1,$C61)),3,4)))),0)),IF(ISNUMBER($E60),IF($C61&gt;0,IF(($E61=INDEX(_xlfn.ANCHORARRAY(Sintesi!$C$14),1,$C61))*(INDEX(_xlfn.ANCHORARRAY(Sintesi!$C$15),1,$C61)&gt;0),0,IF(($E61=INDEX(_xlfn.ANCHORARRAY(Sintesi!$C$14),1,$C61))*(INDEX(_xlfn.ANCHORARRAY(Sintesi!$C$15),1,$C61)&lt;0)+($E61&gt;=$E60)*($E61&lt;=$E62)*($E61&gt;INDEX(_xlfn.ANCHORARRAY(Sintesi!$C$14),1,$C61))*($E61&lt;=INDEX(_xlfn.ANCHORARRAY(Sintesi!$C$15),1,$C61))*(INDEX(_xlfn.ANCHORARRAY(Sintesi!$C$15),1,$C61)&gt;0),1,IF(($E61&gt;=$E60)*($E61&lt;=$E62)*($E61&gt;INDEX(_xlfn.ANCHORARRAY(Sintesi!$C$14),1,$C61))*($E61&lt;INDEX(_xlfn.ANCHORARRAY(Sintesi!$C$16),1,$C61))*(INDEX(_xlfn.ANCHORARRAY(Sintesi!$C$15),1,$C61)&lt;0)+($E61&gt;=$E60)*($E61&lt;=$E62)*($E61&gt;INDEX(_xlfn.ANCHORARRAY(Sintesi!$C$15),1,$C61))*($E61&lt;INDEX(_xlfn.ANCHORARRAY(Sintesi!$C$16),1,$C61))*(INDEX(_xlfn.ANCHORARRAY(Sintesi!$C$15),1,$C61)&gt;0),2,IF($E61=(INDEX(_xlfn.ANCHORARRAY(Sintesi!$C$16),1,$C61)),3,4)))),0),IF($C61&gt;0,IF(($E61=INDEX(_xlfn.ANCHORARRAY(Sintesi!$C$14),1,$C61))*(INDEX(_xlfn.ANCHORARRAY(Sintesi!$C$15),1,$C61)&gt;0),0,IF(($E61=INDEX(_xlfn.ANCHORARRAY(Sintesi!$C$14),1,$C61))*(INDEX(_xlfn.ANCHORARRAY(Sintesi!$C$15),1,$C61)&lt;0)+($E61&gt;=LOOKUP(2,1/($E:$E&lt;&gt;""),$E:$E))*($E61&lt;=$E62)*($E61&gt;INDEX(_xlfn.ANCHORARRAY(Sintesi!$C$14),1,$C61))*($E61&lt;=INDEX(_xlfn.ANCHORARRAY(Sintesi!$C$15),1,$C61))*(INDEX(_xlfn.ANCHORARRAY(Sintesi!$C$15),1,$C61)&gt;0),1,IF(($E61&gt;=LOOKUP(2,1/($E:$E&lt;&gt;""),$E:$E))*($E61&lt;=$E62)*($E61&gt;INDEX(_xlfn.ANCHORARRAY(Sintesi!$C$14),1,$C61))*($E61&lt;INDEX(_xlfn.ANCHORARRAY(Sintesi!$C$16),1,$C61))*(INDEX(_xlfn.ANCHORARRAY(Sintesi!$C$15),1,$C61)&lt;0)+($E61&gt;=LOOKUP(2,1/($E:$E&lt;&gt;""),$E:$E))*($E61&lt;=$E62)*($E61&gt;INDEX(_xlfn.ANCHORARRAY(Sintesi!$C$15),1,$C61))*($E61&lt;INDEX(_xlfn.ANCHORARRAY(Sintesi!$C$16),1,$C61))*(INDEX(_xlfn.ANCHORARRAY(Sintesi!$C$15),1,$C61)&gt;0),2,IF($E61=(INDEX(_xlfn.ANCHORARRAY(Sintesi!$C$16),1,$C61)),3,4)))),0)))</f>
        <v>0</v>
      </c>
      <c r="E61" s="1">
        <f>'Paste cell here'!F61</f>
        <v>0</v>
      </c>
      <c r="F61" s="1">
        <f>'Paste cell here'!C61</f>
        <v>17.174543870000001</v>
      </c>
      <c r="G61" s="1">
        <f>'Paste cell here'!D61</f>
        <v>0.16600363800000001</v>
      </c>
      <c r="H61" s="1">
        <f>'Paste cell here'!E61</f>
        <v>1.7944617570000001</v>
      </c>
      <c r="I61" s="1">
        <f>'Paste cell here'!X61</f>
        <v>0</v>
      </c>
      <c r="J61" s="1">
        <f>'Paste cell here'!Y61+'Paste cell here'!S61</f>
        <v>0</v>
      </c>
      <c r="K61" s="1">
        <f t="shared" si="1"/>
        <v>0</v>
      </c>
      <c r="L61" s="1">
        <f t="shared" si="0"/>
        <v>11.957462161759988</v>
      </c>
      <c r="M61" s="1" cm="1">
        <f t="array" ref="M61">IF(AND(A61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,A61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),IF(L61&lt;_xlfn.IFNA(INDEX(_xlfn.ANCHORARRAY(Sintesi!$C$17)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,1,IF(L61&gt;=_xlfn.IFNA(INDEX(_xlfn.ANCHORARRAY(Sintesi!$C$18)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,0,1-(L61-_xlfn.IFNA(INDEX(_xlfn.ANCHORARRAY(Sintesi!$C$17)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)/(_xlfn.IFNA(INDEX(_xlfn.ANCHORARRAY(Sintesi!$C$18)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-_xlfn.IFNA(INDEX(_xlfn.ANCHORARRAY(Sintesi!$C$17),1,MATCH(1,(_xlfn.ANCHORARRAY(Sintesi!$C$9)&gt;_xlfn.ANCHORARRAY(Sintesi!$C$10))*(A60&gt;=_xlfn.ANCHORARRAY(Sintesi!$C$9))+(_xlfn.ANCHORARRAY(Sintesi!$C$9)&gt;_xlfn.ANCHORARRAY(Sintesi!$C$10))*(A60&lt;=_xlfn.ANCHORARRAY(Sintesi!$C$10))+(_xlfn.ANCHORARRAY(Sintesi!$C$9)&lt;_xlfn.ANCHORARRAY(Sintesi!$C$10))*(A60&gt;=_xlfn.ANCHORARRAY(Sintesi!$C$9))*(A60&lt;=_xlfn.ANCHORARRAY(Sintesi!$C$10)),0)),0)))),0)</f>
        <v>0</v>
      </c>
    </row>
    <row r="62" spans="1:13">
      <c r="A62" s="1">
        <f>'Paste cell here'!A62</f>
        <v>61</v>
      </c>
      <c r="B62" s="2">
        <f>DATE(Sintesi!$C$4-1,12,31)+A62</f>
        <v>44257</v>
      </c>
      <c r="C62" s="34" cm="1">
        <f t="array" ref="C62">_xlfn.IFNA(MATCH(1,(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)*(_xlfn.ANCHORARRAY(Sintesi!$C$15)&gt;=0)+(_xlfn.ANCHORARRAY(Sintesi!$C$15)&lt;0),0),0)</f>
        <v>0</v>
      </c>
      <c r="D62" s="1" cm="1">
        <f t="array" ref="D62">IF(ISBLANK($E63),IF(ISNUMBER($E61),IF($C62&gt;0,IF(($E62=INDEX(_xlfn.ANCHORARRAY(Sintesi!$C$14),1,$C62))*(INDEX(_xlfn.ANCHORARRAY(Sintesi!$C$15),1,$C62)&gt;0),0,IF(($E62=INDEX(_xlfn.ANCHORARRAY(Sintesi!$C$14),1,$C62))*(INDEX(_xlfn.ANCHORARRAY(Sintesi!$C$15),1,$C62)&lt;0)+($E62&gt;=$E61)*($E62&lt;=INDEX($E:$E,MATCH(TRUE,INDEX((ISNUMBER($E:$E)),0),0)))*($E62&gt;INDEX(_xlfn.ANCHORARRAY(Sintesi!$C$14),1,$C62))*($E62&lt;=INDEX(_xlfn.ANCHORARRAY(Sintesi!$C$15),1,$C62))*(INDEX(_xlfn.ANCHORARRAY(Sintesi!$C$15),1,$C62)&gt;0),1,IF(($E62&gt;=$E61)*($E62&lt;=INDEX($E:$E,MATCH(TRUE,INDEX((ISNUMBER($E:$E)),0),0)))*($E62&gt;INDEX(_xlfn.ANCHORARRAY(Sintesi!$C$14),1,$C62))*($E62&lt;INDEX(_xlfn.ANCHORARRAY(Sintesi!$C$16),1,$C62))*(INDEX(_xlfn.ANCHORARRAY(Sintesi!$C$15),1,$C62)&lt;0)+($E62&gt;=$E61)*($E62&lt;=INDEX($E:$E,MATCH(TRUE,INDEX((ISNUMBER($E:$E)),0),0)))*($E62&gt;INDEX(_xlfn.ANCHORARRAY(Sintesi!$C$15),1,$C62))*($E62&lt;INDEX(_xlfn.ANCHORARRAY(Sintesi!$C$16),1,$C62))*(INDEX(_xlfn.ANCHORARRAY(Sintesi!$C$15),1,$C62)&gt;0),2,IF($E62=(INDEX(_xlfn.ANCHORARRAY(Sintesi!$C$16),1,$C62)),3,4)))),0),IF($C62&gt;0,IF(($E62=INDEX(_xlfn.ANCHORARRAY(Sintesi!$C$14),1,$C62))*(INDEX(_xlfn.ANCHORARRAY(Sintesi!$C$15),1,$C62)&gt;0),0,IF(($E62=INDEX(_xlfn.ANCHORARRAY(Sintesi!$C$14),1,$C62))*(INDEX(_xlfn.ANCHORARRAY(Sintesi!$C$15),1,$C62)&lt;0)+($E62&gt;=LOOKUP(2,1/($E:$E&lt;&gt;""),$E:$E))*($E62&lt;=INDEX($E:$E,MATCH(TRUE,INDEX((ISNUMBER($E:$E)),0),0)))*($E62&gt;INDEX(_xlfn.ANCHORARRAY(Sintesi!$C$14),1,$C62))*($E62&lt;=INDEX(_xlfn.ANCHORARRAY(Sintesi!$C$15),1,$C62))*(INDEX(_xlfn.ANCHORARRAY(Sintesi!$C$15),1,$C62)&gt;0),1,IF(($E62&gt;=LOOKUP(2,1/($E:$E&lt;&gt;""),$E:$E))*($E62&lt;=INDEX($E:$E,MATCH(TRUE,INDEX((ISNUMBER($E:$E)),0),0)))*($E62&gt;INDEX(_xlfn.ANCHORARRAY(Sintesi!$C$14),1,$C62))*($E62&lt;INDEX(_xlfn.ANCHORARRAY(Sintesi!$C$16),1,$C62))*(INDEX(_xlfn.ANCHORARRAY(Sintesi!$C$15),1,$C62)&lt;0)+($E62&gt;=LOOKUP(2,1/($E:$E&lt;&gt;""),$E:$E))*($E62&lt;=INDEX($E:$E,MATCH(TRUE,INDEX((ISNUMBER($E:$E)),0),0)))*($E62&gt;INDEX(_xlfn.ANCHORARRAY(Sintesi!$C$15),1,$C62))*($E62&lt;INDEX(_xlfn.ANCHORARRAY(Sintesi!$C$16),1,$C62))*(INDEX(_xlfn.ANCHORARRAY(Sintesi!$C$15),1,$C62)&gt;0),2,IF($E62=(INDEX(_xlfn.ANCHORARRAY(Sintesi!$C$16),1,$C62)),3,4)))),0)),IF(ISNUMBER($E61),IF($C62&gt;0,IF(($E62=INDEX(_xlfn.ANCHORARRAY(Sintesi!$C$14),1,$C62))*(INDEX(_xlfn.ANCHORARRAY(Sintesi!$C$15),1,$C62)&gt;0),0,IF(($E62=INDEX(_xlfn.ANCHORARRAY(Sintesi!$C$14),1,$C62))*(INDEX(_xlfn.ANCHORARRAY(Sintesi!$C$15),1,$C62)&lt;0)+($E62&gt;=$E61)*($E62&lt;=$E63)*($E62&gt;INDEX(_xlfn.ANCHORARRAY(Sintesi!$C$14),1,$C62))*($E62&lt;=INDEX(_xlfn.ANCHORARRAY(Sintesi!$C$15),1,$C62))*(INDEX(_xlfn.ANCHORARRAY(Sintesi!$C$15),1,$C62)&gt;0),1,IF(($E62&gt;=$E61)*($E62&lt;=$E63)*($E62&gt;INDEX(_xlfn.ANCHORARRAY(Sintesi!$C$14),1,$C62))*($E62&lt;INDEX(_xlfn.ANCHORARRAY(Sintesi!$C$16),1,$C62))*(INDEX(_xlfn.ANCHORARRAY(Sintesi!$C$15),1,$C62)&lt;0)+($E62&gt;=$E61)*($E62&lt;=$E63)*($E62&gt;INDEX(_xlfn.ANCHORARRAY(Sintesi!$C$15),1,$C62))*($E62&lt;INDEX(_xlfn.ANCHORARRAY(Sintesi!$C$16),1,$C62))*(INDEX(_xlfn.ANCHORARRAY(Sintesi!$C$15),1,$C62)&gt;0),2,IF($E62=(INDEX(_xlfn.ANCHORARRAY(Sintesi!$C$16),1,$C62)),3,4)))),0),IF($C62&gt;0,IF(($E62=INDEX(_xlfn.ANCHORARRAY(Sintesi!$C$14),1,$C62))*(INDEX(_xlfn.ANCHORARRAY(Sintesi!$C$15),1,$C62)&gt;0),0,IF(($E62=INDEX(_xlfn.ANCHORARRAY(Sintesi!$C$14),1,$C62))*(INDEX(_xlfn.ANCHORARRAY(Sintesi!$C$15),1,$C62)&lt;0)+($E62&gt;=LOOKUP(2,1/($E:$E&lt;&gt;""),$E:$E))*($E62&lt;=$E63)*($E62&gt;INDEX(_xlfn.ANCHORARRAY(Sintesi!$C$14),1,$C62))*($E62&lt;=INDEX(_xlfn.ANCHORARRAY(Sintesi!$C$15),1,$C62))*(INDEX(_xlfn.ANCHORARRAY(Sintesi!$C$15),1,$C62)&gt;0),1,IF(($E62&gt;=LOOKUP(2,1/($E:$E&lt;&gt;""),$E:$E))*($E62&lt;=$E63)*($E62&gt;INDEX(_xlfn.ANCHORARRAY(Sintesi!$C$14),1,$C62))*($E62&lt;INDEX(_xlfn.ANCHORARRAY(Sintesi!$C$16),1,$C62))*(INDEX(_xlfn.ANCHORARRAY(Sintesi!$C$15),1,$C62)&lt;0)+($E62&gt;=LOOKUP(2,1/($E:$E&lt;&gt;""),$E:$E))*($E62&lt;=$E63)*($E62&gt;INDEX(_xlfn.ANCHORARRAY(Sintesi!$C$15),1,$C62))*($E62&lt;INDEX(_xlfn.ANCHORARRAY(Sintesi!$C$16),1,$C62))*(INDEX(_xlfn.ANCHORARRAY(Sintesi!$C$15),1,$C62)&gt;0),2,IF($E62=(INDEX(_xlfn.ANCHORARRAY(Sintesi!$C$16),1,$C62)),3,4)))),0)))</f>
        <v>0</v>
      </c>
      <c r="E62" s="1">
        <f>'Paste cell here'!F62</f>
        <v>0</v>
      </c>
      <c r="F62" s="1">
        <f>'Paste cell here'!C62</f>
        <v>17.174543870000001</v>
      </c>
      <c r="G62" s="1">
        <f>'Paste cell here'!D62</f>
        <v>-0.15180913100000001</v>
      </c>
      <c r="H62" s="1">
        <f>'Paste cell here'!E62</f>
        <v>1.761349082</v>
      </c>
      <c r="I62" s="1">
        <f>'Paste cell here'!X62</f>
        <v>0</v>
      </c>
      <c r="J62" s="1">
        <f>'Paste cell here'!Y62+'Paste cell here'!S62</f>
        <v>0</v>
      </c>
      <c r="K62" s="1">
        <f t="shared" si="1"/>
        <v>0</v>
      </c>
      <c r="L62" s="1">
        <f t="shared" si="0"/>
        <v>11.859978476436099</v>
      </c>
      <c r="M62" s="1" cm="1">
        <f t="array" ref="M62">IF(AND(A62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,A62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),IF(L62&lt;_xlfn.IFNA(INDEX(_xlfn.ANCHORARRAY(Sintesi!$C$17)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,1,IF(L62&gt;=_xlfn.IFNA(INDEX(_xlfn.ANCHORARRAY(Sintesi!$C$18)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,0,1-(L62-_xlfn.IFNA(INDEX(_xlfn.ANCHORARRAY(Sintesi!$C$17)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)/(_xlfn.IFNA(INDEX(_xlfn.ANCHORARRAY(Sintesi!$C$18)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-_xlfn.IFNA(INDEX(_xlfn.ANCHORARRAY(Sintesi!$C$17),1,MATCH(1,(_xlfn.ANCHORARRAY(Sintesi!$C$9)&gt;_xlfn.ANCHORARRAY(Sintesi!$C$10))*(A61&gt;=_xlfn.ANCHORARRAY(Sintesi!$C$9))+(_xlfn.ANCHORARRAY(Sintesi!$C$9)&gt;_xlfn.ANCHORARRAY(Sintesi!$C$10))*(A61&lt;=_xlfn.ANCHORARRAY(Sintesi!$C$10))+(_xlfn.ANCHORARRAY(Sintesi!$C$9)&lt;_xlfn.ANCHORARRAY(Sintesi!$C$10))*(A61&gt;=_xlfn.ANCHORARRAY(Sintesi!$C$9))*(A61&lt;=_xlfn.ANCHORARRAY(Sintesi!$C$10)),0)),0)))),0)</f>
        <v>0</v>
      </c>
    </row>
    <row r="63" spans="1:13">
      <c r="A63" s="1">
        <f>'Paste cell here'!A63</f>
        <v>62</v>
      </c>
      <c r="B63" s="2">
        <f>DATE(Sintesi!$C$4-1,12,31)+A63</f>
        <v>44258</v>
      </c>
      <c r="C63" s="34" cm="1">
        <f t="array" ref="C63">_xlfn.IFNA(MATCH(1,(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)*(_xlfn.ANCHORARRAY(Sintesi!$C$15)&gt;=0)+(_xlfn.ANCHORARRAY(Sintesi!$C$15)&lt;0),0),0)</f>
        <v>0</v>
      </c>
      <c r="D63" s="1" cm="1">
        <f t="array" ref="D63">IF(ISBLANK($E64),IF(ISNUMBER($E62),IF($C63&gt;0,IF(($E63=INDEX(_xlfn.ANCHORARRAY(Sintesi!$C$14),1,$C63))*(INDEX(_xlfn.ANCHORARRAY(Sintesi!$C$15),1,$C63)&gt;0),0,IF(($E63=INDEX(_xlfn.ANCHORARRAY(Sintesi!$C$14),1,$C63))*(INDEX(_xlfn.ANCHORARRAY(Sintesi!$C$15),1,$C63)&lt;0)+($E63&gt;=$E62)*($E63&lt;=INDEX($E:$E,MATCH(TRUE,INDEX((ISNUMBER($E:$E)),0),0)))*($E63&gt;INDEX(_xlfn.ANCHORARRAY(Sintesi!$C$14),1,$C63))*($E63&lt;=INDEX(_xlfn.ANCHORARRAY(Sintesi!$C$15),1,$C63))*(INDEX(_xlfn.ANCHORARRAY(Sintesi!$C$15),1,$C63)&gt;0),1,IF(($E63&gt;=$E62)*($E63&lt;=INDEX($E:$E,MATCH(TRUE,INDEX((ISNUMBER($E:$E)),0),0)))*($E63&gt;INDEX(_xlfn.ANCHORARRAY(Sintesi!$C$14),1,$C63))*($E63&lt;INDEX(_xlfn.ANCHORARRAY(Sintesi!$C$16),1,$C63))*(INDEX(_xlfn.ANCHORARRAY(Sintesi!$C$15),1,$C63)&lt;0)+($E63&gt;=$E62)*($E63&lt;=INDEX($E:$E,MATCH(TRUE,INDEX((ISNUMBER($E:$E)),0),0)))*($E63&gt;INDEX(_xlfn.ANCHORARRAY(Sintesi!$C$15),1,$C63))*($E63&lt;INDEX(_xlfn.ANCHORARRAY(Sintesi!$C$16),1,$C63))*(INDEX(_xlfn.ANCHORARRAY(Sintesi!$C$15),1,$C63)&gt;0),2,IF($E63=(INDEX(_xlfn.ANCHORARRAY(Sintesi!$C$16),1,$C63)),3,4)))),0),IF($C63&gt;0,IF(($E63=INDEX(_xlfn.ANCHORARRAY(Sintesi!$C$14),1,$C63))*(INDEX(_xlfn.ANCHORARRAY(Sintesi!$C$15),1,$C63)&gt;0),0,IF(($E63=INDEX(_xlfn.ANCHORARRAY(Sintesi!$C$14),1,$C63))*(INDEX(_xlfn.ANCHORARRAY(Sintesi!$C$15),1,$C63)&lt;0)+($E63&gt;=LOOKUP(2,1/($E:$E&lt;&gt;""),$E:$E))*($E63&lt;=INDEX($E:$E,MATCH(TRUE,INDEX((ISNUMBER($E:$E)),0),0)))*($E63&gt;INDEX(_xlfn.ANCHORARRAY(Sintesi!$C$14),1,$C63))*($E63&lt;=INDEX(_xlfn.ANCHORARRAY(Sintesi!$C$15),1,$C63))*(INDEX(_xlfn.ANCHORARRAY(Sintesi!$C$15),1,$C63)&gt;0),1,IF(($E63&gt;=LOOKUP(2,1/($E:$E&lt;&gt;""),$E:$E))*($E63&lt;=INDEX($E:$E,MATCH(TRUE,INDEX((ISNUMBER($E:$E)),0),0)))*($E63&gt;INDEX(_xlfn.ANCHORARRAY(Sintesi!$C$14),1,$C63))*($E63&lt;INDEX(_xlfn.ANCHORARRAY(Sintesi!$C$16),1,$C63))*(INDEX(_xlfn.ANCHORARRAY(Sintesi!$C$15),1,$C63)&lt;0)+($E63&gt;=LOOKUP(2,1/($E:$E&lt;&gt;""),$E:$E))*($E63&lt;=INDEX($E:$E,MATCH(TRUE,INDEX((ISNUMBER($E:$E)),0),0)))*($E63&gt;INDEX(_xlfn.ANCHORARRAY(Sintesi!$C$15),1,$C63))*($E63&lt;INDEX(_xlfn.ANCHORARRAY(Sintesi!$C$16),1,$C63))*(INDEX(_xlfn.ANCHORARRAY(Sintesi!$C$15),1,$C63)&gt;0),2,IF($E63=(INDEX(_xlfn.ANCHORARRAY(Sintesi!$C$16),1,$C63)),3,4)))),0)),IF(ISNUMBER($E62),IF($C63&gt;0,IF(($E63=INDEX(_xlfn.ANCHORARRAY(Sintesi!$C$14),1,$C63))*(INDEX(_xlfn.ANCHORARRAY(Sintesi!$C$15),1,$C63)&gt;0),0,IF(($E63=INDEX(_xlfn.ANCHORARRAY(Sintesi!$C$14),1,$C63))*(INDEX(_xlfn.ANCHORARRAY(Sintesi!$C$15),1,$C63)&lt;0)+($E63&gt;=$E62)*($E63&lt;=$E64)*($E63&gt;INDEX(_xlfn.ANCHORARRAY(Sintesi!$C$14),1,$C63))*($E63&lt;=INDEX(_xlfn.ANCHORARRAY(Sintesi!$C$15),1,$C63))*(INDEX(_xlfn.ANCHORARRAY(Sintesi!$C$15),1,$C63)&gt;0),1,IF(($E63&gt;=$E62)*($E63&lt;=$E64)*($E63&gt;INDEX(_xlfn.ANCHORARRAY(Sintesi!$C$14),1,$C63))*($E63&lt;INDEX(_xlfn.ANCHORARRAY(Sintesi!$C$16),1,$C63))*(INDEX(_xlfn.ANCHORARRAY(Sintesi!$C$15),1,$C63)&lt;0)+($E63&gt;=$E62)*($E63&lt;=$E64)*($E63&gt;INDEX(_xlfn.ANCHORARRAY(Sintesi!$C$15),1,$C63))*($E63&lt;INDEX(_xlfn.ANCHORARRAY(Sintesi!$C$16),1,$C63))*(INDEX(_xlfn.ANCHORARRAY(Sintesi!$C$15),1,$C63)&gt;0),2,IF($E63=(INDEX(_xlfn.ANCHORARRAY(Sintesi!$C$16),1,$C63)),3,4)))),0),IF($C63&gt;0,IF(($E63=INDEX(_xlfn.ANCHORARRAY(Sintesi!$C$14),1,$C63))*(INDEX(_xlfn.ANCHORARRAY(Sintesi!$C$15),1,$C63)&gt;0),0,IF(($E63=INDEX(_xlfn.ANCHORARRAY(Sintesi!$C$14),1,$C63))*(INDEX(_xlfn.ANCHORARRAY(Sintesi!$C$15),1,$C63)&lt;0)+($E63&gt;=LOOKUP(2,1/($E:$E&lt;&gt;""),$E:$E))*($E63&lt;=$E64)*($E63&gt;INDEX(_xlfn.ANCHORARRAY(Sintesi!$C$14),1,$C63))*($E63&lt;=INDEX(_xlfn.ANCHORARRAY(Sintesi!$C$15),1,$C63))*(INDEX(_xlfn.ANCHORARRAY(Sintesi!$C$15),1,$C63)&gt;0),1,IF(($E63&gt;=LOOKUP(2,1/($E:$E&lt;&gt;""),$E:$E))*($E63&lt;=$E64)*($E63&gt;INDEX(_xlfn.ANCHORARRAY(Sintesi!$C$14),1,$C63))*($E63&lt;INDEX(_xlfn.ANCHORARRAY(Sintesi!$C$16),1,$C63))*(INDEX(_xlfn.ANCHORARRAY(Sintesi!$C$15),1,$C63)&lt;0)+($E63&gt;=LOOKUP(2,1/($E:$E&lt;&gt;""),$E:$E))*($E63&lt;=$E64)*($E63&gt;INDEX(_xlfn.ANCHORARRAY(Sintesi!$C$15),1,$C63))*($E63&lt;INDEX(_xlfn.ANCHORARRAY(Sintesi!$C$16),1,$C63))*(INDEX(_xlfn.ANCHORARRAY(Sintesi!$C$15),1,$C63)&gt;0),2,IF($E63=(INDEX(_xlfn.ANCHORARRAY(Sintesi!$C$16),1,$C63)),3,4)))),0)))</f>
        <v>0</v>
      </c>
      <c r="E63" s="1">
        <f>'Paste cell here'!F63</f>
        <v>0</v>
      </c>
      <c r="F63" s="1">
        <f>'Paste cell here'!C63</f>
        <v>15.246074699999999</v>
      </c>
      <c r="G63" s="1">
        <f>'Paste cell here'!D63</f>
        <v>2.4660036380000001</v>
      </c>
      <c r="H63" s="1">
        <f>'Paste cell here'!E63</f>
        <v>1.391869333</v>
      </c>
      <c r="I63" s="1">
        <f>'Paste cell here'!X63</f>
        <v>0</v>
      </c>
      <c r="J63" s="1">
        <f>'Paste cell here'!Y63+'Paste cell here'!S63</f>
        <v>0</v>
      </c>
      <c r="K63" s="1">
        <f t="shared" si="1"/>
        <v>0</v>
      </c>
      <c r="L63" s="1">
        <f t="shared" si="0"/>
        <v>11.32600430841369</v>
      </c>
      <c r="M63" s="1" cm="1">
        <f t="array" ref="M63">IF(AND(A63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,A63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),IF(L63&lt;_xlfn.IFNA(INDEX(_xlfn.ANCHORARRAY(Sintesi!$C$17)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,1,IF(L63&gt;=_xlfn.IFNA(INDEX(_xlfn.ANCHORARRAY(Sintesi!$C$18)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,0,1-(L63-_xlfn.IFNA(INDEX(_xlfn.ANCHORARRAY(Sintesi!$C$17)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)/(_xlfn.IFNA(INDEX(_xlfn.ANCHORARRAY(Sintesi!$C$18)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-_xlfn.IFNA(INDEX(_xlfn.ANCHORARRAY(Sintesi!$C$17),1,MATCH(1,(_xlfn.ANCHORARRAY(Sintesi!$C$9)&gt;_xlfn.ANCHORARRAY(Sintesi!$C$10))*(A62&gt;=_xlfn.ANCHORARRAY(Sintesi!$C$9))+(_xlfn.ANCHORARRAY(Sintesi!$C$9)&gt;_xlfn.ANCHORARRAY(Sintesi!$C$10))*(A62&lt;=_xlfn.ANCHORARRAY(Sintesi!$C$10))+(_xlfn.ANCHORARRAY(Sintesi!$C$9)&lt;_xlfn.ANCHORARRAY(Sintesi!$C$10))*(A62&gt;=_xlfn.ANCHORARRAY(Sintesi!$C$9))*(A62&lt;=_xlfn.ANCHORARRAY(Sintesi!$C$10)),0)),0)))),0)</f>
        <v>0</v>
      </c>
    </row>
    <row r="64" spans="1:13">
      <c r="A64" s="1">
        <f>'Paste cell here'!A64</f>
        <v>63</v>
      </c>
      <c r="B64" s="2">
        <f>DATE(Sintesi!$C$4-1,12,31)+A64</f>
        <v>44259</v>
      </c>
      <c r="C64" s="34" cm="1">
        <f t="array" ref="C64">_xlfn.IFNA(MATCH(1,(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)*(_xlfn.ANCHORARRAY(Sintesi!$C$15)&gt;=0)+(_xlfn.ANCHORARRAY(Sintesi!$C$15)&lt;0),0),0)</f>
        <v>0</v>
      </c>
      <c r="D64" s="1" cm="1">
        <f t="array" ref="D64">IF(ISBLANK($E65),IF(ISNUMBER($E63),IF($C64&gt;0,IF(($E64=INDEX(_xlfn.ANCHORARRAY(Sintesi!$C$14),1,$C64))*(INDEX(_xlfn.ANCHORARRAY(Sintesi!$C$15),1,$C64)&gt;0),0,IF(($E64=INDEX(_xlfn.ANCHORARRAY(Sintesi!$C$14),1,$C64))*(INDEX(_xlfn.ANCHORARRAY(Sintesi!$C$15),1,$C64)&lt;0)+($E64&gt;=$E63)*($E64&lt;=INDEX($E:$E,MATCH(TRUE,INDEX((ISNUMBER($E:$E)),0),0)))*($E64&gt;INDEX(_xlfn.ANCHORARRAY(Sintesi!$C$14),1,$C64))*($E64&lt;=INDEX(_xlfn.ANCHORARRAY(Sintesi!$C$15),1,$C64))*(INDEX(_xlfn.ANCHORARRAY(Sintesi!$C$15),1,$C64)&gt;0),1,IF(($E64&gt;=$E63)*($E64&lt;=INDEX($E:$E,MATCH(TRUE,INDEX((ISNUMBER($E:$E)),0),0)))*($E64&gt;INDEX(_xlfn.ANCHORARRAY(Sintesi!$C$14),1,$C64))*($E64&lt;INDEX(_xlfn.ANCHORARRAY(Sintesi!$C$16),1,$C64))*(INDEX(_xlfn.ANCHORARRAY(Sintesi!$C$15),1,$C64)&lt;0)+($E64&gt;=$E63)*($E64&lt;=INDEX($E:$E,MATCH(TRUE,INDEX((ISNUMBER($E:$E)),0),0)))*($E64&gt;INDEX(_xlfn.ANCHORARRAY(Sintesi!$C$15),1,$C64))*($E64&lt;INDEX(_xlfn.ANCHORARRAY(Sintesi!$C$16),1,$C64))*(INDEX(_xlfn.ANCHORARRAY(Sintesi!$C$15),1,$C64)&gt;0),2,IF($E64=(INDEX(_xlfn.ANCHORARRAY(Sintesi!$C$16),1,$C64)),3,4)))),0),IF($C64&gt;0,IF(($E64=INDEX(_xlfn.ANCHORARRAY(Sintesi!$C$14),1,$C64))*(INDEX(_xlfn.ANCHORARRAY(Sintesi!$C$15),1,$C64)&gt;0),0,IF(($E64=INDEX(_xlfn.ANCHORARRAY(Sintesi!$C$14),1,$C64))*(INDEX(_xlfn.ANCHORARRAY(Sintesi!$C$15),1,$C64)&lt;0)+($E64&gt;=LOOKUP(2,1/($E:$E&lt;&gt;""),$E:$E))*($E64&lt;=INDEX($E:$E,MATCH(TRUE,INDEX((ISNUMBER($E:$E)),0),0)))*($E64&gt;INDEX(_xlfn.ANCHORARRAY(Sintesi!$C$14),1,$C64))*($E64&lt;=INDEX(_xlfn.ANCHORARRAY(Sintesi!$C$15),1,$C64))*(INDEX(_xlfn.ANCHORARRAY(Sintesi!$C$15),1,$C64)&gt;0),1,IF(($E64&gt;=LOOKUP(2,1/($E:$E&lt;&gt;""),$E:$E))*($E64&lt;=INDEX($E:$E,MATCH(TRUE,INDEX((ISNUMBER($E:$E)),0),0)))*($E64&gt;INDEX(_xlfn.ANCHORARRAY(Sintesi!$C$14),1,$C64))*($E64&lt;INDEX(_xlfn.ANCHORARRAY(Sintesi!$C$16),1,$C64))*(INDEX(_xlfn.ANCHORARRAY(Sintesi!$C$15),1,$C64)&lt;0)+($E64&gt;=LOOKUP(2,1/($E:$E&lt;&gt;""),$E:$E))*($E64&lt;=INDEX($E:$E,MATCH(TRUE,INDEX((ISNUMBER($E:$E)),0),0)))*($E64&gt;INDEX(_xlfn.ANCHORARRAY(Sintesi!$C$15),1,$C64))*($E64&lt;INDEX(_xlfn.ANCHORARRAY(Sintesi!$C$16),1,$C64))*(INDEX(_xlfn.ANCHORARRAY(Sintesi!$C$15),1,$C64)&gt;0),2,IF($E64=(INDEX(_xlfn.ANCHORARRAY(Sintesi!$C$16),1,$C64)),3,4)))),0)),IF(ISNUMBER($E63),IF($C64&gt;0,IF(($E64=INDEX(_xlfn.ANCHORARRAY(Sintesi!$C$14),1,$C64))*(INDEX(_xlfn.ANCHORARRAY(Sintesi!$C$15),1,$C64)&gt;0),0,IF(($E64=INDEX(_xlfn.ANCHORARRAY(Sintesi!$C$14),1,$C64))*(INDEX(_xlfn.ANCHORARRAY(Sintesi!$C$15),1,$C64)&lt;0)+($E64&gt;=$E63)*($E64&lt;=$E65)*($E64&gt;INDEX(_xlfn.ANCHORARRAY(Sintesi!$C$14),1,$C64))*($E64&lt;=INDEX(_xlfn.ANCHORARRAY(Sintesi!$C$15),1,$C64))*(INDEX(_xlfn.ANCHORARRAY(Sintesi!$C$15),1,$C64)&gt;0),1,IF(($E64&gt;=$E63)*($E64&lt;=$E65)*($E64&gt;INDEX(_xlfn.ANCHORARRAY(Sintesi!$C$14),1,$C64))*($E64&lt;INDEX(_xlfn.ANCHORARRAY(Sintesi!$C$16),1,$C64))*(INDEX(_xlfn.ANCHORARRAY(Sintesi!$C$15),1,$C64)&lt;0)+($E64&gt;=$E63)*($E64&lt;=$E65)*($E64&gt;INDEX(_xlfn.ANCHORARRAY(Sintesi!$C$15),1,$C64))*($E64&lt;INDEX(_xlfn.ANCHORARRAY(Sintesi!$C$16),1,$C64))*(INDEX(_xlfn.ANCHORARRAY(Sintesi!$C$15),1,$C64)&gt;0),2,IF($E64=(INDEX(_xlfn.ANCHORARRAY(Sintesi!$C$16),1,$C64)),3,4)))),0),IF($C64&gt;0,IF(($E64=INDEX(_xlfn.ANCHORARRAY(Sintesi!$C$14),1,$C64))*(INDEX(_xlfn.ANCHORARRAY(Sintesi!$C$15),1,$C64)&gt;0),0,IF(($E64=INDEX(_xlfn.ANCHORARRAY(Sintesi!$C$14),1,$C64))*(INDEX(_xlfn.ANCHORARRAY(Sintesi!$C$15),1,$C64)&lt;0)+($E64&gt;=LOOKUP(2,1/($E:$E&lt;&gt;""),$E:$E))*($E64&lt;=$E65)*($E64&gt;INDEX(_xlfn.ANCHORARRAY(Sintesi!$C$14),1,$C64))*($E64&lt;=INDEX(_xlfn.ANCHORARRAY(Sintesi!$C$15),1,$C64))*(INDEX(_xlfn.ANCHORARRAY(Sintesi!$C$15),1,$C64)&gt;0),1,IF(($E64&gt;=LOOKUP(2,1/($E:$E&lt;&gt;""),$E:$E))*($E64&lt;=$E65)*($E64&gt;INDEX(_xlfn.ANCHORARRAY(Sintesi!$C$14),1,$C64))*($E64&lt;INDEX(_xlfn.ANCHORARRAY(Sintesi!$C$16),1,$C64))*(INDEX(_xlfn.ANCHORARRAY(Sintesi!$C$15),1,$C64)&lt;0)+($E64&gt;=LOOKUP(2,1/($E:$E&lt;&gt;""),$E:$E))*($E64&lt;=$E65)*($E64&gt;INDEX(_xlfn.ANCHORARRAY(Sintesi!$C$15),1,$C64))*($E64&lt;INDEX(_xlfn.ANCHORARRAY(Sintesi!$C$16),1,$C64))*(INDEX(_xlfn.ANCHORARRAY(Sintesi!$C$15),1,$C64)&gt;0),2,IF($E64=(INDEX(_xlfn.ANCHORARRAY(Sintesi!$C$16),1,$C64)),3,4)))),0)))</f>
        <v>0</v>
      </c>
      <c r="E64" s="1">
        <f>'Paste cell here'!F64</f>
        <v>0</v>
      </c>
      <c r="F64" s="1">
        <f>'Paste cell here'!C64</f>
        <v>15.22798433</v>
      </c>
      <c r="G64" s="1">
        <f>'Paste cell here'!D64</f>
        <v>0.52753063700000002</v>
      </c>
      <c r="H64" s="1">
        <f>'Paste cell here'!E64</f>
        <v>1.4610360090000001</v>
      </c>
      <c r="I64" s="1">
        <f>'Paste cell here'!X64</f>
        <v>0</v>
      </c>
      <c r="J64" s="1">
        <f>'Paste cell here'!Y64+'Paste cell here'!S64</f>
        <v>0</v>
      </c>
      <c r="K64" s="1">
        <f t="shared" si="1"/>
        <v>0</v>
      </c>
      <c r="L64" s="1">
        <f t="shared" si="0"/>
        <v>10.718869084454825</v>
      </c>
      <c r="M64" s="1" cm="1">
        <f t="array" ref="M64">IF(AND(A64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,A64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),IF(L64&lt;_xlfn.IFNA(INDEX(_xlfn.ANCHORARRAY(Sintesi!$C$17)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,1,IF(L64&gt;=_xlfn.IFNA(INDEX(_xlfn.ANCHORARRAY(Sintesi!$C$18)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,0,1-(L64-_xlfn.IFNA(INDEX(_xlfn.ANCHORARRAY(Sintesi!$C$17)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)/(_xlfn.IFNA(INDEX(_xlfn.ANCHORARRAY(Sintesi!$C$18)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-_xlfn.IFNA(INDEX(_xlfn.ANCHORARRAY(Sintesi!$C$17),1,MATCH(1,(_xlfn.ANCHORARRAY(Sintesi!$C$9)&gt;_xlfn.ANCHORARRAY(Sintesi!$C$10))*(A63&gt;=_xlfn.ANCHORARRAY(Sintesi!$C$9))+(_xlfn.ANCHORARRAY(Sintesi!$C$9)&gt;_xlfn.ANCHORARRAY(Sintesi!$C$10))*(A63&lt;=_xlfn.ANCHORARRAY(Sintesi!$C$10))+(_xlfn.ANCHORARRAY(Sintesi!$C$9)&lt;_xlfn.ANCHORARRAY(Sintesi!$C$10))*(A63&gt;=_xlfn.ANCHORARRAY(Sintesi!$C$9))*(A63&lt;=_xlfn.ANCHORARRAY(Sintesi!$C$10)),0)),0)))),0)</f>
        <v>0</v>
      </c>
    </row>
    <row r="65" spans="1:13">
      <c r="A65" s="1">
        <f>'Paste cell here'!A65</f>
        <v>64</v>
      </c>
      <c r="B65" s="2">
        <f>DATE(Sintesi!$C$4-1,12,31)+A65</f>
        <v>44260</v>
      </c>
      <c r="C65" s="34" cm="1">
        <f t="array" ref="C65">_xlfn.IFNA(MATCH(1,(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)*(_xlfn.ANCHORARRAY(Sintesi!$C$15)&gt;=0)+(_xlfn.ANCHORARRAY(Sintesi!$C$15)&lt;0),0),0)</f>
        <v>0</v>
      </c>
      <c r="D65" s="1" cm="1">
        <f t="array" ref="D65">IF(ISBLANK($E66),IF(ISNUMBER($E64),IF($C65&gt;0,IF(($E65=INDEX(_xlfn.ANCHORARRAY(Sintesi!$C$14),1,$C65))*(INDEX(_xlfn.ANCHORARRAY(Sintesi!$C$15),1,$C65)&gt;0),0,IF(($E65=INDEX(_xlfn.ANCHORARRAY(Sintesi!$C$14),1,$C65))*(INDEX(_xlfn.ANCHORARRAY(Sintesi!$C$15),1,$C65)&lt;0)+($E65&gt;=$E64)*($E65&lt;=INDEX($E:$E,MATCH(TRUE,INDEX((ISNUMBER($E:$E)),0),0)))*($E65&gt;INDEX(_xlfn.ANCHORARRAY(Sintesi!$C$14),1,$C65))*($E65&lt;=INDEX(_xlfn.ANCHORARRAY(Sintesi!$C$15),1,$C65))*(INDEX(_xlfn.ANCHORARRAY(Sintesi!$C$15),1,$C65)&gt;0),1,IF(($E65&gt;=$E64)*($E65&lt;=INDEX($E:$E,MATCH(TRUE,INDEX((ISNUMBER($E:$E)),0),0)))*($E65&gt;INDEX(_xlfn.ANCHORARRAY(Sintesi!$C$14),1,$C65))*($E65&lt;INDEX(_xlfn.ANCHORARRAY(Sintesi!$C$16),1,$C65))*(INDEX(_xlfn.ANCHORARRAY(Sintesi!$C$15),1,$C65)&lt;0)+($E65&gt;=$E64)*($E65&lt;=INDEX($E:$E,MATCH(TRUE,INDEX((ISNUMBER($E:$E)),0),0)))*($E65&gt;INDEX(_xlfn.ANCHORARRAY(Sintesi!$C$15),1,$C65))*($E65&lt;INDEX(_xlfn.ANCHORARRAY(Sintesi!$C$16),1,$C65))*(INDEX(_xlfn.ANCHORARRAY(Sintesi!$C$15),1,$C65)&gt;0),2,IF($E65=(INDEX(_xlfn.ANCHORARRAY(Sintesi!$C$16),1,$C65)),3,4)))),0),IF($C65&gt;0,IF(($E65=INDEX(_xlfn.ANCHORARRAY(Sintesi!$C$14),1,$C65))*(INDEX(_xlfn.ANCHORARRAY(Sintesi!$C$15),1,$C65)&gt;0),0,IF(($E65=INDEX(_xlfn.ANCHORARRAY(Sintesi!$C$14),1,$C65))*(INDEX(_xlfn.ANCHORARRAY(Sintesi!$C$15),1,$C65)&lt;0)+($E65&gt;=LOOKUP(2,1/($E:$E&lt;&gt;""),$E:$E))*($E65&lt;=INDEX($E:$E,MATCH(TRUE,INDEX((ISNUMBER($E:$E)),0),0)))*($E65&gt;INDEX(_xlfn.ANCHORARRAY(Sintesi!$C$14),1,$C65))*($E65&lt;=INDEX(_xlfn.ANCHORARRAY(Sintesi!$C$15),1,$C65))*(INDEX(_xlfn.ANCHORARRAY(Sintesi!$C$15),1,$C65)&gt;0),1,IF(($E65&gt;=LOOKUP(2,1/($E:$E&lt;&gt;""),$E:$E))*($E65&lt;=INDEX($E:$E,MATCH(TRUE,INDEX((ISNUMBER($E:$E)),0),0)))*($E65&gt;INDEX(_xlfn.ANCHORARRAY(Sintesi!$C$14),1,$C65))*($E65&lt;INDEX(_xlfn.ANCHORARRAY(Sintesi!$C$16),1,$C65))*(INDEX(_xlfn.ANCHORARRAY(Sintesi!$C$15),1,$C65)&lt;0)+($E65&gt;=LOOKUP(2,1/($E:$E&lt;&gt;""),$E:$E))*($E65&lt;=INDEX($E:$E,MATCH(TRUE,INDEX((ISNUMBER($E:$E)),0),0)))*($E65&gt;INDEX(_xlfn.ANCHORARRAY(Sintesi!$C$15),1,$C65))*($E65&lt;INDEX(_xlfn.ANCHORARRAY(Sintesi!$C$16),1,$C65))*(INDEX(_xlfn.ANCHORARRAY(Sintesi!$C$15),1,$C65)&gt;0),2,IF($E65=(INDEX(_xlfn.ANCHORARRAY(Sintesi!$C$16),1,$C65)),3,4)))),0)),IF(ISNUMBER($E64),IF($C65&gt;0,IF(($E65=INDEX(_xlfn.ANCHORARRAY(Sintesi!$C$14),1,$C65))*(INDEX(_xlfn.ANCHORARRAY(Sintesi!$C$15),1,$C65)&gt;0),0,IF(($E65=INDEX(_xlfn.ANCHORARRAY(Sintesi!$C$14),1,$C65))*(INDEX(_xlfn.ANCHORARRAY(Sintesi!$C$15),1,$C65)&lt;0)+($E65&gt;=$E64)*($E65&lt;=$E66)*($E65&gt;INDEX(_xlfn.ANCHORARRAY(Sintesi!$C$14),1,$C65))*($E65&lt;=INDEX(_xlfn.ANCHORARRAY(Sintesi!$C$15),1,$C65))*(INDEX(_xlfn.ANCHORARRAY(Sintesi!$C$15),1,$C65)&gt;0),1,IF(($E65&gt;=$E64)*($E65&lt;=$E66)*($E65&gt;INDEX(_xlfn.ANCHORARRAY(Sintesi!$C$14),1,$C65))*($E65&lt;INDEX(_xlfn.ANCHORARRAY(Sintesi!$C$16),1,$C65))*(INDEX(_xlfn.ANCHORARRAY(Sintesi!$C$15),1,$C65)&lt;0)+($E65&gt;=$E64)*($E65&lt;=$E66)*($E65&gt;INDEX(_xlfn.ANCHORARRAY(Sintesi!$C$15),1,$C65))*($E65&lt;INDEX(_xlfn.ANCHORARRAY(Sintesi!$C$16),1,$C65))*(INDEX(_xlfn.ANCHORARRAY(Sintesi!$C$15),1,$C65)&gt;0),2,IF($E65=(INDEX(_xlfn.ANCHORARRAY(Sintesi!$C$16),1,$C65)),3,4)))),0),IF($C65&gt;0,IF(($E65=INDEX(_xlfn.ANCHORARRAY(Sintesi!$C$14),1,$C65))*(INDEX(_xlfn.ANCHORARRAY(Sintesi!$C$15),1,$C65)&gt;0),0,IF(($E65=INDEX(_xlfn.ANCHORARRAY(Sintesi!$C$14),1,$C65))*(INDEX(_xlfn.ANCHORARRAY(Sintesi!$C$15),1,$C65)&lt;0)+($E65&gt;=LOOKUP(2,1/($E:$E&lt;&gt;""),$E:$E))*($E65&lt;=$E66)*($E65&gt;INDEX(_xlfn.ANCHORARRAY(Sintesi!$C$14),1,$C65))*($E65&lt;=INDEX(_xlfn.ANCHORARRAY(Sintesi!$C$15),1,$C65))*(INDEX(_xlfn.ANCHORARRAY(Sintesi!$C$15),1,$C65)&gt;0),1,IF(($E65&gt;=LOOKUP(2,1/($E:$E&lt;&gt;""),$E:$E))*($E65&lt;=$E66)*($E65&gt;INDEX(_xlfn.ANCHORARRAY(Sintesi!$C$14),1,$C65))*($E65&lt;INDEX(_xlfn.ANCHORARRAY(Sintesi!$C$16),1,$C65))*(INDEX(_xlfn.ANCHORARRAY(Sintesi!$C$15),1,$C65)&lt;0)+($E65&gt;=LOOKUP(2,1/($E:$E&lt;&gt;""),$E:$E))*($E65&lt;=$E66)*($E65&gt;INDEX(_xlfn.ANCHORARRAY(Sintesi!$C$15),1,$C65))*($E65&lt;INDEX(_xlfn.ANCHORARRAY(Sintesi!$C$16),1,$C65))*(INDEX(_xlfn.ANCHORARRAY(Sintesi!$C$15),1,$C65)&gt;0),2,IF($E65=(INDEX(_xlfn.ANCHORARRAY(Sintesi!$C$16),1,$C65)),3,4)))),0)))</f>
        <v>0</v>
      </c>
      <c r="E65" s="1">
        <f>'Paste cell here'!F65</f>
        <v>0</v>
      </c>
      <c r="F65" s="1">
        <f>'Paste cell here'!C65</f>
        <v>17.564055199999999</v>
      </c>
      <c r="G65" s="1">
        <f>'Paste cell here'!D65</f>
        <v>5.8720156670000003</v>
      </c>
      <c r="H65" s="1">
        <f>'Paste cell here'!E65</f>
        <v>1.9085269650000001</v>
      </c>
      <c r="I65" s="1">
        <f>'Paste cell here'!X65</f>
        <v>0</v>
      </c>
      <c r="J65" s="1">
        <f>'Paste cell here'!Y65+'Paste cell here'!S65</f>
        <v>0</v>
      </c>
      <c r="K65" s="1">
        <f t="shared" si="1"/>
        <v>0</v>
      </c>
      <c r="L65" s="1">
        <f t="shared" si="0"/>
        <v>13.977720056148517</v>
      </c>
      <c r="M65" s="1" cm="1">
        <f t="array" ref="M65">IF(AND(A65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,A65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),IF(L65&lt;_xlfn.IFNA(INDEX(_xlfn.ANCHORARRAY(Sintesi!$C$17)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,1,IF(L65&gt;=_xlfn.IFNA(INDEX(_xlfn.ANCHORARRAY(Sintesi!$C$18)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,0,1-(L65-_xlfn.IFNA(INDEX(_xlfn.ANCHORARRAY(Sintesi!$C$17)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)/(_xlfn.IFNA(INDEX(_xlfn.ANCHORARRAY(Sintesi!$C$18)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-_xlfn.IFNA(INDEX(_xlfn.ANCHORARRAY(Sintesi!$C$17),1,MATCH(1,(_xlfn.ANCHORARRAY(Sintesi!$C$9)&gt;_xlfn.ANCHORARRAY(Sintesi!$C$10))*(A64&gt;=_xlfn.ANCHORARRAY(Sintesi!$C$9))+(_xlfn.ANCHORARRAY(Sintesi!$C$9)&gt;_xlfn.ANCHORARRAY(Sintesi!$C$10))*(A64&lt;=_xlfn.ANCHORARRAY(Sintesi!$C$10))+(_xlfn.ANCHORARRAY(Sintesi!$C$9)&lt;_xlfn.ANCHORARRAY(Sintesi!$C$10))*(A64&gt;=_xlfn.ANCHORARRAY(Sintesi!$C$9))*(A64&lt;=_xlfn.ANCHORARRAY(Sintesi!$C$10)),0)),0)))),0)</f>
        <v>0</v>
      </c>
    </row>
    <row r="66" spans="1:13">
      <c r="A66" s="1">
        <f>'Paste cell here'!A66</f>
        <v>65</v>
      </c>
      <c r="B66" s="2">
        <f>DATE(Sintesi!$C$4-1,12,31)+A66</f>
        <v>44261</v>
      </c>
      <c r="C66" s="34" cm="1">
        <f t="array" ref="C66">_xlfn.IFNA(MATCH(1,(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)*(_xlfn.ANCHORARRAY(Sintesi!$C$15)&gt;=0)+(_xlfn.ANCHORARRAY(Sintesi!$C$15)&lt;0),0),0)</f>
        <v>0</v>
      </c>
      <c r="D66" s="1" cm="1">
        <f t="array" ref="D66">IF(ISBLANK($E67),IF(ISNUMBER($E65),IF($C66&gt;0,IF(($E66=INDEX(_xlfn.ANCHORARRAY(Sintesi!$C$14),1,$C66))*(INDEX(_xlfn.ANCHORARRAY(Sintesi!$C$15),1,$C66)&gt;0),0,IF(($E66=INDEX(_xlfn.ANCHORARRAY(Sintesi!$C$14),1,$C66))*(INDEX(_xlfn.ANCHORARRAY(Sintesi!$C$15),1,$C66)&lt;0)+($E66&gt;=$E65)*($E66&lt;=INDEX($E:$E,MATCH(TRUE,INDEX((ISNUMBER($E:$E)),0),0)))*($E66&gt;INDEX(_xlfn.ANCHORARRAY(Sintesi!$C$14),1,$C66))*($E66&lt;=INDEX(_xlfn.ANCHORARRAY(Sintesi!$C$15),1,$C66))*(INDEX(_xlfn.ANCHORARRAY(Sintesi!$C$15),1,$C66)&gt;0),1,IF(($E66&gt;=$E65)*($E66&lt;=INDEX($E:$E,MATCH(TRUE,INDEX((ISNUMBER($E:$E)),0),0)))*($E66&gt;INDEX(_xlfn.ANCHORARRAY(Sintesi!$C$14),1,$C66))*($E66&lt;INDEX(_xlfn.ANCHORARRAY(Sintesi!$C$16),1,$C66))*(INDEX(_xlfn.ANCHORARRAY(Sintesi!$C$15),1,$C66)&lt;0)+($E66&gt;=$E65)*($E66&lt;=INDEX($E:$E,MATCH(TRUE,INDEX((ISNUMBER($E:$E)),0),0)))*($E66&gt;INDEX(_xlfn.ANCHORARRAY(Sintesi!$C$15),1,$C66))*($E66&lt;INDEX(_xlfn.ANCHORARRAY(Sintesi!$C$16),1,$C66))*(INDEX(_xlfn.ANCHORARRAY(Sintesi!$C$15),1,$C66)&gt;0),2,IF($E66=(INDEX(_xlfn.ANCHORARRAY(Sintesi!$C$16),1,$C66)),3,4)))),0),IF($C66&gt;0,IF(($E66=INDEX(_xlfn.ANCHORARRAY(Sintesi!$C$14),1,$C66))*(INDEX(_xlfn.ANCHORARRAY(Sintesi!$C$15),1,$C66)&gt;0),0,IF(($E66=INDEX(_xlfn.ANCHORARRAY(Sintesi!$C$14),1,$C66))*(INDEX(_xlfn.ANCHORARRAY(Sintesi!$C$15),1,$C66)&lt;0)+($E66&gt;=LOOKUP(2,1/($E:$E&lt;&gt;""),$E:$E))*($E66&lt;=INDEX($E:$E,MATCH(TRUE,INDEX((ISNUMBER($E:$E)),0),0)))*($E66&gt;INDEX(_xlfn.ANCHORARRAY(Sintesi!$C$14),1,$C66))*($E66&lt;=INDEX(_xlfn.ANCHORARRAY(Sintesi!$C$15),1,$C66))*(INDEX(_xlfn.ANCHORARRAY(Sintesi!$C$15),1,$C66)&gt;0),1,IF(($E66&gt;=LOOKUP(2,1/($E:$E&lt;&gt;""),$E:$E))*($E66&lt;=INDEX($E:$E,MATCH(TRUE,INDEX((ISNUMBER($E:$E)),0),0)))*($E66&gt;INDEX(_xlfn.ANCHORARRAY(Sintesi!$C$14),1,$C66))*($E66&lt;INDEX(_xlfn.ANCHORARRAY(Sintesi!$C$16),1,$C66))*(INDEX(_xlfn.ANCHORARRAY(Sintesi!$C$15),1,$C66)&lt;0)+($E66&gt;=LOOKUP(2,1/($E:$E&lt;&gt;""),$E:$E))*($E66&lt;=INDEX($E:$E,MATCH(TRUE,INDEX((ISNUMBER($E:$E)),0),0)))*($E66&gt;INDEX(_xlfn.ANCHORARRAY(Sintesi!$C$15),1,$C66))*($E66&lt;INDEX(_xlfn.ANCHORARRAY(Sintesi!$C$16),1,$C66))*(INDEX(_xlfn.ANCHORARRAY(Sintesi!$C$15),1,$C66)&gt;0),2,IF($E66=(INDEX(_xlfn.ANCHORARRAY(Sintesi!$C$16),1,$C66)),3,4)))),0)),IF(ISNUMBER($E65),IF($C66&gt;0,IF(($E66=INDEX(_xlfn.ANCHORARRAY(Sintesi!$C$14),1,$C66))*(INDEX(_xlfn.ANCHORARRAY(Sintesi!$C$15),1,$C66)&gt;0),0,IF(($E66=INDEX(_xlfn.ANCHORARRAY(Sintesi!$C$14),1,$C66))*(INDEX(_xlfn.ANCHORARRAY(Sintesi!$C$15),1,$C66)&lt;0)+($E66&gt;=$E65)*($E66&lt;=$E67)*($E66&gt;INDEX(_xlfn.ANCHORARRAY(Sintesi!$C$14),1,$C66))*($E66&lt;=INDEX(_xlfn.ANCHORARRAY(Sintesi!$C$15),1,$C66))*(INDEX(_xlfn.ANCHORARRAY(Sintesi!$C$15),1,$C66)&gt;0),1,IF(($E66&gt;=$E65)*($E66&lt;=$E67)*($E66&gt;INDEX(_xlfn.ANCHORARRAY(Sintesi!$C$14),1,$C66))*($E66&lt;INDEX(_xlfn.ANCHORARRAY(Sintesi!$C$16),1,$C66))*(INDEX(_xlfn.ANCHORARRAY(Sintesi!$C$15),1,$C66)&lt;0)+($E66&gt;=$E65)*($E66&lt;=$E67)*($E66&gt;INDEX(_xlfn.ANCHORARRAY(Sintesi!$C$15),1,$C66))*($E66&lt;INDEX(_xlfn.ANCHORARRAY(Sintesi!$C$16),1,$C66))*(INDEX(_xlfn.ANCHORARRAY(Sintesi!$C$15),1,$C66)&gt;0),2,IF($E66=(INDEX(_xlfn.ANCHORARRAY(Sintesi!$C$16),1,$C66)),3,4)))),0),IF($C66&gt;0,IF(($E66=INDEX(_xlfn.ANCHORARRAY(Sintesi!$C$14),1,$C66))*(INDEX(_xlfn.ANCHORARRAY(Sintesi!$C$15),1,$C66)&gt;0),0,IF(($E66=INDEX(_xlfn.ANCHORARRAY(Sintesi!$C$14),1,$C66))*(INDEX(_xlfn.ANCHORARRAY(Sintesi!$C$15),1,$C66)&lt;0)+($E66&gt;=LOOKUP(2,1/($E:$E&lt;&gt;""),$E:$E))*($E66&lt;=$E67)*($E66&gt;INDEX(_xlfn.ANCHORARRAY(Sintesi!$C$14),1,$C66))*($E66&lt;=INDEX(_xlfn.ANCHORARRAY(Sintesi!$C$15),1,$C66))*(INDEX(_xlfn.ANCHORARRAY(Sintesi!$C$15),1,$C66)&gt;0),1,IF(($E66&gt;=LOOKUP(2,1/($E:$E&lt;&gt;""),$E:$E))*($E66&lt;=$E67)*($E66&gt;INDEX(_xlfn.ANCHORARRAY(Sintesi!$C$14),1,$C66))*($E66&lt;INDEX(_xlfn.ANCHORARRAY(Sintesi!$C$16),1,$C66))*(INDEX(_xlfn.ANCHORARRAY(Sintesi!$C$15),1,$C66)&lt;0)+($E66&gt;=LOOKUP(2,1/($E:$E&lt;&gt;""),$E:$E))*($E66&lt;=$E67)*($E66&gt;INDEX(_xlfn.ANCHORARRAY(Sintesi!$C$15),1,$C66))*($E66&lt;INDEX(_xlfn.ANCHORARRAY(Sintesi!$C$16),1,$C66))*(INDEX(_xlfn.ANCHORARRAY(Sintesi!$C$15),1,$C66)&gt;0),2,IF($E66=(INDEX(_xlfn.ANCHORARRAY(Sintesi!$C$16),1,$C66)),3,4)))),0)))</f>
        <v>0</v>
      </c>
      <c r="E66" s="1">
        <f>'Paste cell here'!F66</f>
        <v>0</v>
      </c>
      <c r="F66" s="1">
        <f>'Paste cell here'!C66</f>
        <v>10.1460747</v>
      </c>
      <c r="G66" s="1">
        <f>'Paste cell here'!D66</f>
        <v>3.3047958999999998</v>
      </c>
      <c r="H66" s="1">
        <f>'Paste cell here'!E66</f>
        <v>1.4086046619999999</v>
      </c>
      <c r="I66" s="1">
        <f>'Paste cell here'!X66</f>
        <v>0</v>
      </c>
      <c r="J66" s="1">
        <f>'Paste cell here'!Y66+'Paste cell here'!S66</f>
        <v>0</v>
      </c>
      <c r="K66" s="1">
        <f t="shared" si="1"/>
        <v>0</v>
      </c>
      <c r="L66" s="1">
        <f t="shared" ref="L66:L129" si="2">AVERAGE(($F66+$G66)/2-($F66-$G66)/2*COS(PI()*(8-VLOOKUP(MONTH(B66),$O$1:$Q$13,3))/(VLOOKUP(MONTH(B66),$O$1:$Q$13,2)-VLOOKUP(MONTH(B66),$O$1:$Q$13,3))),($F66+$G66)/2-($F66-$G66)/2*COS(PI()*(9-VLOOKUP(MONTH(B66),$O$1:$Q$13,3))/(VLOOKUP(MONTH(B66),$O$1:$Q$13,2)-VLOOKUP(MONTH(B66),$O$1:$Q$13,3))),($F66+$G66)/2-($F66-$G66)/2*COS(PI()*(10-VLOOKUP(MONTH(B66),$O$1:$Q$13,3))/(VLOOKUP(MONTH(B66),$O$1:$Q$13,2)-VLOOKUP(MONTH(B66),$O$1:$Q$13,3))),($F66+$G66)/2-($F66-$G66)/2*COS(PI()*(11-VLOOKUP(MONTH(B66),$O$1:$Q$13,3))/(VLOOKUP(MONTH(B66),$O$1:$Q$13,2)-VLOOKUP(MONTH(B66),$O$1:$Q$13,3))),($F66+$G66)/2-($F66-$G66)/2*COS(PI()*(12-VLOOKUP(MONTH(B66),$O$1:$Q$13,3))/(VLOOKUP(MONTH(B66),$O$1:$Q$13,2)-VLOOKUP(MONTH(B66),$O$1:$Q$13,3))),($F66+$G66)/2-($F66-$G66)/2*COS(PI()*(13-VLOOKUP(MONTH(B66),$O$1:$Q$13,3))/(VLOOKUP(MONTH(B66),$O$1:$Q$13,2)-VLOOKUP(MONTH(B66),$O$1:$Q$13,3))),($F66+$G66)/2-($F66-$G66)/2*COS(PI()*(14-VLOOKUP(MONTH(B66),$O$1:$Q$13,3))/(VLOOKUP(MONTH(B66),$O$1:$Q$13,2)-VLOOKUP(MONTH(B66),$O$1:$Q$13,3))))</f>
        <v>8.0476282724047667</v>
      </c>
      <c r="M66" s="1" cm="1">
        <f t="array" ref="M66">IF(AND(A66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,A66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),IF(L66&lt;_xlfn.IFNA(INDEX(_xlfn.ANCHORARRAY(Sintesi!$C$17)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,1,IF(L66&gt;=_xlfn.IFNA(INDEX(_xlfn.ANCHORARRAY(Sintesi!$C$18)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,0,1-(L66-_xlfn.IFNA(INDEX(_xlfn.ANCHORARRAY(Sintesi!$C$17)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)/(_xlfn.IFNA(INDEX(_xlfn.ANCHORARRAY(Sintesi!$C$18)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-_xlfn.IFNA(INDEX(_xlfn.ANCHORARRAY(Sintesi!$C$17),1,MATCH(1,(_xlfn.ANCHORARRAY(Sintesi!$C$9)&gt;_xlfn.ANCHORARRAY(Sintesi!$C$10))*(A65&gt;=_xlfn.ANCHORARRAY(Sintesi!$C$9))+(_xlfn.ANCHORARRAY(Sintesi!$C$9)&gt;_xlfn.ANCHORARRAY(Sintesi!$C$10))*(A65&lt;=_xlfn.ANCHORARRAY(Sintesi!$C$10))+(_xlfn.ANCHORARRAY(Sintesi!$C$9)&lt;_xlfn.ANCHORARRAY(Sintesi!$C$10))*(A65&gt;=_xlfn.ANCHORARRAY(Sintesi!$C$9))*(A65&lt;=_xlfn.ANCHORARRAY(Sintesi!$C$10)),0)),0)))),0)</f>
        <v>0</v>
      </c>
    </row>
    <row r="67" spans="1:13">
      <c r="A67" s="1">
        <f>'Paste cell here'!A67</f>
        <v>66</v>
      </c>
      <c r="B67" s="2">
        <f>DATE(Sintesi!$C$4-1,12,31)+A67</f>
        <v>44262</v>
      </c>
      <c r="C67" s="34" cm="1">
        <f t="array" ref="C67">_xlfn.IFNA(MATCH(1,(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)*(_xlfn.ANCHORARRAY(Sintesi!$C$15)&gt;=0)+(_xlfn.ANCHORARRAY(Sintesi!$C$15)&lt;0),0),0)</f>
        <v>0</v>
      </c>
      <c r="D67" s="1" cm="1">
        <f t="array" ref="D67">IF(ISBLANK($E68),IF(ISNUMBER($E66),IF($C67&gt;0,IF(($E67=INDEX(_xlfn.ANCHORARRAY(Sintesi!$C$14),1,$C67))*(INDEX(_xlfn.ANCHORARRAY(Sintesi!$C$15),1,$C67)&gt;0),0,IF(($E67=INDEX(_xlfn.ANCHORARRAY(Sintesi!$C$14),1,$C67))*(INDEX(_xlfn.ANCHORARRAY(Sintesi!$C$15),1,$C67)&lt;0)+($E67&gt;=$E66)*($E67&lt;=INDEX($E:$E,MATCH(TRUE,INDEX((ISNUMBER($E:$E)),0),0)))*($E67&gt;INDEX(_xlfn.ANCHORARRAY(Sintesi!$C$14),1,$C67))*($E67&lt;=INDEX(_xlfn.ANCHORARRAY(Sintesi!$C$15),1,$C67))*(INDEX(_xlfn.ANCHORARRAY(Sintesi!$C$15),1,$C67)&gt;0),1,IF(($E67&gt;=$E66)*($E67&lt;=INDEX($E:$E,MATCH(TRUE,INDEX((ISNUMBER($E:$E)),0),0)))*($E67&gt;INDEX(_xlfn.ANCHORARRAY(Sintesi!$C$14),1,$C67))*($E67&lt;INDEX(_xlfn.ANCHORARRAY(Sintesi!$C$16),1,$C67))*(INDEX(_xlfn.ANCHORARRAY(Sintesi!$C$15),1,$C67)&lt;0)+($E67&gt;=$E66)*($E67&lt;=INDEX($E:$E,MATCH(TRUE,INDEX((ISNUMBER($E:$E)),0),0)))*($E67&gt;INDEX(_xlfn.ANCHORARRAY(Sintesi!$C$15),1,$C67))*($E67&lt;INDEX(_xlfn.ANCHORARRAY(Sintesi!$C$16),1,$C67))*(INDEX(_xlfn.ANCHORARRAY(Sintesi!$C$15),1,$C67)&gt;0),2,IF($E67=(INDEX(_xlfn.ANCHORARRAY(Sintesi!$C$16),1,$C67)),3,4)))),0),IF($C67&gt;0,IF(($E67=INDEX(_xlfn.ANCHORARRAY(Sintesi!$C$14),1,$C67))*(INDEX(_xlfn.ANCHORARRAY(Sintesi!$C$15),1,$C67)&gt;0),0,IF(($E67=INDEX(_xlfn.ANCHORARRAY(Sintesi!$C$14),1,$C67))*(INDEX(_xlfn.ANCHORARRAY(Sintesi!$C$15),1,$C67)&lt;0)+($E67&gt;=LOOKUP(2,1/($E:$E&lt;&gt;""),$E:$E))*($E67&lt;=INDEX($E:$E,MATCH(TRUE,INDEX((ISNUMBER($E:$E)),0),0)))*($E67&gt;INDEX(_xlfn.ANCHORARRAY(Sintesi!$C$14),1,$C67))*($E67&lt;=INDEX(_xlfn.ANCHORARRAY(Sintesi!$C$15),1,$C67))*(INDEX(_xlfn.ANCHORARRAY(Sintesi!$C$15),1,$C67)&gt;0),1,IF(($E67&gt;=LOOKUP(2,1/($E:$E&lt;&gt;""),$E:$E))*($E67&lt;=INDEX($E:$E,MATCH(TRUE,INDEX((ISNUMBER($E:$E)),0),0)))*($E67&gt;INDEX(_xlfn.ANCHORARRAY(Sintesi!$C$14),1,$C67))*($E67&lt;INDEX(_xlfn.ANCHORARRAY(Sintesi!$C$16),1,$C67))*(INDEX(_xlfn.ANCHORARRAY(Sintesi!$C$15),1,$C67)&lt;0)+($E67&gt;=LOOKUP(2,1/($E:$E&lt;&gt;""),$E:$E))*($E67&lt;=INDEX($E:$E,MATCH(TRUE,INDEX((ISNUMBER($E:$E)),0),0)))*($E67&gt;INDEX(_xlfn.ANCHORARRAY(Sintesi!$C$15),1,$C67))*($E67&lt;INDEX(_xlfn.ANCHORARRAY(Sintesi!$C$16),1,$C67))*(INDEX(_xlfn.ANCHORARRAY(Sintesi!$C$15),1,$C67)&gt;0),2,IF($E67=(INDEX(_xlfn.ANCHORARRAY(Sintesi!$C$16),1,$C67)),3,4)))),0)),IF(ISNUMBER($E66),IF($C67&gt;0,IF(($E67=INDEX(_xlfn.ANCHORARRAY(Sintesi!$C$14),1,$C67))*(INDEX(_xlfn.ANCHORARRAY(Sintesi!$C$15),1,$C67)&gt;0),0,IF(($E67=INDEX(_xlfn.ANCHORARRAY(Sintesi!$C$14),1,$C67))*(INDEX(_xlfn.ANCHORARRAY(Sintesi!$C$15),1,$C67)&lt;0)+($E67&gt;=$E66)*($E67&lt;=$E68)*($E67&gt;INDEX(_xlfn.ANCHORARRAY(Sintesi!$C$14),1,$C67))*($E67&lt;=INDEX(_xlfn.ANCHORARRAY(Sintesi!$C$15),1,$C67))*(INDEX(_xlfn.ANCHORARRAY(Sintesi!$C$15),1,$C67)&gt;0),1,IF(($E67&gt;=$E66)*($E67&lt;=$E68)*($E67&gt;INDEX(_xlfn.ANCHORARRAY(Sintesi!$C$14),1,$C67))*($E67&lt;INDEX(_xlfn.ANCHORARRAY(Sintesi!$C$16),1,$C67))*(INDEX(_xlfn.ANCHORARRAY(Sintesi!$C$15),1,$C67)&lt;0)+($E67&gt;=$E66)*($E67&lt;=$E68)*($E67&gt;INDEX(_xlfn.ANCHORARRAY(Sintesi!$C$15),1,$C67))*($E67&lt;INDEX(_xlfn.ANCHORARRAY(Sintesi!$C$16),1,$C67))*(INDEX(_xlfn.ANCHORARRAY(Sintesi!$C$15),1,$C67)&gt;0),2,IF($E67=(INDEX(_xlfn.ANCHORARRAY(Sintesi!$C$16),1,$C67)),3,4)))),0),IF($C67&gt;0,IF(($E67=INDEX(_xlfn.ANCHORARRAY(Sintesi!$C$14),1,$C67))*(INDEX(_xlfn.ANCHORARRAY(Sintesi!$C$15),1,$C67)&gt;0),0,IF(($E67=INDEX(_xlfn.ANCHORARRAY(Sintesi!$C$14),1,$C67))*(INDEX(_xlfn.ANCHORARRAY(Sintesi!$C$15),1,$C67)&lt;0)+($E67&gt;=LOOKUP(2,1/($E:$E&lt;&gt;""),$E:$E))*($E67&lt;=$E68)*($E67&gt;INDEX(_xlfn.ANCHORARRAY(Sintesi!$C$14),1,$C67))*($E67&lt;=INDEX(_xlfn.ANCHORARRAY(Sintesi!$C$15),1,$C67))*(INDEX(_xlfn.ANCHORARRAY(Sintesi!$C$15),1,$C67)&gt;0),1,IF(($E67&gt;=LOOKUP(2,1/($E:$E&lt;&gt;""),$E:$E))*($E67&lt;=$E68)*($E67&gt;INDEX(_xlfn.ANCHORARRAY(Sintesi!$C$14),1,$C67))*($E67&lt;INDEX(_xlfn.ANCHORARRAY(Sintesi!$C$16),1,$C67))*(INDEX(_xlfn.ANCHORARRAY(Sintesi!$C$15),1,$C67)&lt;0)+($E67&gt;=LOOKUP(2,1/($E:$E&lt;&gt;""),$E:$E))*($E67&lt;=$E68)*($E67&gt;INDEX(_xlfn.ANCHORARRAY(Sintesi!$C$15),1,$C67))*($E67&lt;INDEX(_xlfn.ANCHORARRAY(Sintesi!$C$16),1,$C67))*(INDEX(_xlfn.ANCHORARRAY(Sintesi!$C$15),1,$C67)&gt;0),2,IF($E67=(INDEX(_xlfn.ANCHORARRAY(Sintesi!$C$16),1,$C67)),3,4)))),0)))</f>
        <v>0</v>
      </c>
      <c r="E67" s="1">
        <f>'Paste cell here'!F67</f>
        <v>0</v>
      </c>
      <c r="F67" s="1">
        <f>'Paste cell here'!C67</f>
        <v>13.05660503</v>
      </c>
      <c r="G67" s="1">
        <f>'Paste cell here'!D67</f>
        <v>-1.523339958</v>
      </c>
      <c r="H67" s="1">
        <f>'Paste cell here'!E67</f>
        <v>1.6050957699999999</v>
      </c>
      <c r="I67" s="1">
        <f>'Paste cell here'!X67</f>
        <v>0</v>
      </c>
      <c r="J67" s="1">
        <f>'Paste cell here'!Y67+'Paste cell here'!S67</f>
        <v>0</v>
      </c>
      <c r="K67" s="1">
        <f t="shared" ref="K67:K130" si="3">I67/H67</f>
        <v>0</v>
      </c>
      <c r="L67" s="1">
        <f t="shared" si="2"/>
        <v>8.5844537891232768</v>
      </c>
      <c r="M67" s="1" cm="1">
        <f t="array" ref="M67">IF(AND(A67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,A67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),IF(L67&lt;_xlfn.IFNA(INDEX(_xlfn.ANCHORARRAY(Sintesi!$C$17)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,1,IF(L67&gt;=_xlfn.IFNA(INDEX(_xlfn.ANCHORARRAY(Sintesi!$C$18)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,0,1-(L67-_xlfn.IFNA(INDEX(_xlfn.ANCHORARRAY(Sintesi!$C$17)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)/(_xlfn.IFNA(INDEX(_xlfn.ANCHORARRAY(Sintesi!$C$18)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-_xlfn.IFNA(INDEX(_xlfn.ANCHORARRAY(Sintesi!$C$17),1,MATCH(1,(_xlfn.ANCHORARRAY(Sintesi!$C$9)&gt;_xlfn.ANCHORARRAY(Sintesi!$C$10))*(A66&gt;=_xlfn.ANCHORARRAY(Sintesi!$C$9))+(_xlfn.ANCHORARRAY(Sintesi!$C$9)&gt;_xlfn.ANCHORARRAY(Sintesi!$C$10))*(A66&lt;=_xlfn.ANCHORARRAY(Sintesi!$C$10))+(_xlfn.ANCHORARRAY(Sintesi!$C$9)&lt;_xlfn.ANCHORARRAY(Sintesi!$C$10))*(A66&gt;=_xlfn.ANCHORARRAY(Sintesi!$C$9))*(A66&lt;=_xlfn.ANCHORARRAY(Sintesi!$C$10)),0)),0)))),0)</f>
        <v>0</v>
      </c>
    </row>
    <row r="68" spans="1:13">
      <c r="A68" s="1">
        <f>'Paste cell here'!A68</f>
        <v>67</v>
      </c>
      <c r="B68" s="2">
        <f>DATE(Sintesi!$C$4-1,12,31)+A68</f>
        <v>44263</v>
      </c>
      <c r="C68" s="34" cm="1">
        <f t="array" ref="C68">_xlfn.IFNA(MATCH(1,(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)*(_xlfn.ANCHORARRAY(Sintesi!$C$15)&gt;=0)+(_xlfn.ANCHORARRAY(Sintesi!$C$15)&lt;0),0),0)</f>
        <v>0</v>
      </c>
      <c r="D68" s="1" cm="1">
        <f t="array" ref="D68">IF(ISBLANK($E69),IF(ISNUMBER($E67),IF($C68&gt;0,IF(($E68=INDEX(_xlfn.ANCHORARRAY(Sintesi!$C$14),1,$C68))*(INDEX(_xlfn.ANCHORARRAY(Sintesi!$C$15),1,$C68)&gt;0),0,IF(($E68=INDEX(_xlfn.ANCHORARRAY(Sintesi!$C$14),1,$C68))*(INDEX(_xlfn.ANCHORARRAY(Sintesi!$C$15),1,$C68)&lt;0)+($E68&gt;=$E67)*($E68&lt;=INDEX($E:$E,MATCH(TRUE,INDEX((ISNUMBER($E:$E)),0),0)))*($E68&gt;INDEX(_xlfn.ANCHORARRAY(Sintesi!$C$14),1,$C68))*($E68&lt;=INDEX(_xlfn.ANCHORARRAY(Sintesi!$C$15),1,$C68))*(INDEX(_xlfn.ANCHORARRAY(Sintesi!$C$15),1,$C68)&gt;0),1,IF(($E68&gt;=$E67)*($E68&lt;=INDEX($E:$E,MATCH(TRUE,INDEX((ISNUMBER($E:$E)),0),0)))*($E68&gt;INDEX(_xlfn.ANCHORARRAY(Sintesi!$C$14),1,$C68))*($E68&lt;INDEX(_xlfn.ANCHORARRAY(Sintesi!$C$16),1,$C68))*(INDEX(_xlfn.ANCHORARRAY(Sintesi!$C$15),1,$C68)&lt;0)+($E68&gt;=$E67)*($E68&lt;=INDEX($E:$E,MATCH(TRUE,INDEX((ISNUMBER($E:$E)),0),0)))*($E68&gt;INDEX(_xlfn.ANCHORARRAY(Sintesi!$C$15),1,$C68))*($E68&lt;INDEX(_xlfn.ANCHORARRAY(Sintesi!$C$16),1,$C68))*(INDEX(_xlfn.ANCHORARRAY(Sintesi!$C$15),1,$C68)&gt;0),2,IF($E68=(INDEX(_xlfn.ANCHORARRAY(Sintesi!$C$16),1,$C68)),3,4)))),0),IF($C68&gt;0,IF(($E68=INDEX(_xlfn.ANCHORARRAY(Sintesi!$C$14),1,$C68))*(INDEX(_xlfn.ANCHORARRAY(Sintesi!$C$15),1,$C68)&gt;0),0,IF(($E68=INDEX(_xlfn.ANCHORARRAY(Sintesi!$C$14),1,$C68))*(INDEX(_xlfn.ANCHORARRAY(Sintesi!$C$15),1,$C68)&lt;0)+($E68&gt;=LOOKUP(2,1/($E:$E&lt;&gt;""),$E:$E))*($E68&lt;=INDEX($E:$E,MATCH(TRUE,INDEX((ISNUMBER($E:$E)),0),0)))*($E68&gt;INDEX(_xlfn.ANCHORARRAY(Sintesi!$C$14),1,$C68))*($E68&lt;=INDEX(_xlfn.ANCHORARRAY(Sintesi!$C$15),1,$C68))*(INDEX(_xlfn.ANCHORARRAY(Sintesi!$C$15),1,$C68)&gt;0),1,IF(($E68&gt;=LOOKUP(2,1/($E:$E&lt;&gt;""),$E:$E))*($E68&lt;=INDEX($E:$E,MATCH(TRUE,INDEX((ISNUMBER($E:$E)),0),0)))*($E68&gt;INDEX(_xlfn.ANCHORARRAY(Sintesi!$C$14),1,$C68))*($E68&lt;INDEX(_xlfn.ANCHORARRAY(Sintesi!$C$16),1,$C68))*(INDEX(_xlfn.ANCHORARRAY(Sintesi!$C$15),1,$C68)&lt;0)+($E68&gt;=LOOKUP(2,1/($E:$E&lt;&gt;""),$E:$E))*($E68&lt;=INDEX($E:$E,MATCH(TRUE,INDEX((ISNUMBER($E:$E)),0),0)))*($E68&gt;INDEX(_xlfn.ANCHORARRAY(Sintesi!$C$15),1,$C68))*($E68&lt;INDEX(_xlfn.ANCHORARRAY(Sintesi!$C$16),1,$C68))*(INDEX(_xlfn.ANCHORARRAY(Sintesi!$C$15),1,$C68)&gt;0),2,IF($E68=(INDEX(_xlfn.ANCHORARRAY(Sintesi!$C$16),1,$C68)),3,4)))),0)),IF(ISNUMBER($E67),IF($C68&gt;0,IF(($E68=INDEX(_xlfn.ANCHORARRAY(Sintesi!$C$14),1,$C68))*(INDEX(_xlfn.ANCHORARRAY(Sintesi!$C$15),1,$C68)&gt;0),0,IF(($E68=INDEX(_xlfn.ANCHORARRAY(Sintesi!$C$14),1,$C68))*(INDEX(_xlfn.ANCHORARRAY(Sintesi!$C$15),1,$C68)&lt;0)+($E68&gt;=$E67)*($E68&lt;=$E69)*($E68&gt;INDEX(_xlfn.ANCHORARRAY(Sintesi!$C$14),1,$C68))*($E68&lt;=INDEX(_xlfn.ANCHORARRAY(Sintesi!$C$15),1,$C68))*(INDEX(_xlfn.ANCHORARRAY(Sintesi!$C$15),1,$C68)&gt;0),1,IF(($E68&gt;=$E67)*($E68&lt;=$E69)*($E68&gt;INDEX(_xlfn.ANCHORARRAY(Sintesi!$C$14),1,$C68))*($E68&lt;INDEX(_xlfn.ANCHORARRAY(Sintesi!$C$16),1,$C68))*(INDEX(_xlfn.ANCHORARRAY(Sintesi!$C$15),1,$C68)&lt;0)+($E68&gt;=$E67)*($E68&lt;=$E69)*($E68&gt;INDEX(_xlfn.ANCHORARRAY(Sintesi!$C$15),1,$C68))*($E68&lt;INDEX(_xlfn.ANCHORARRAY(Sintesi!$C$16),1,$C68))*(INDEX(_xlfn.ANCHORARRAY(Sintesi!$C$15),1,$C68)&gt;0),2,IF($E68=(INDEX(_xlfn.ANCHORARRAY(Sintesi!$C$16),1,$C68)),3,4)))),0),IF($C68&gt;0,IF(($E68=INDEX(_xlfn.ANCHORARRAY(Sintesi!$C$14),1,$C68))*(INDEX(_xlfn.ANCHORARRAY(Sintesi!$C$15),1,$C68)&gt;0),0,IF(($E68=INDEX(_xlfn.ANCHORARRAY(Sintesi!$C$14),1,$C68))*(INDEX(_xlfn.ANCHORARRAY(Sintesi!$C$15),1,$C68)&lt;0)+($E68&gt;=LOOKUP(2,1/($E:$E&lt;&gt;""),$E:$E))*($E68&lt;=$E69)*($E68&gt;INDEX(_xlfn.ANCHORARRAY(Sintesi!$C$14),1,$C68))*($E68&lt;=INDEX(_xlfn.ANCHORARRAY(Sintesi!$C$15),1,$C68))*(INDEX(_xlfn.ANCHORARRAY(Sintesi!$C$15),1,$C68)&gt;0),1,IF(($E68&gt;=LOOKUP(2,1/($E:$E&lt;&gt;""),$E:$E))*($E68&lt;=$E69)*($E68&gt;INDEX(_xlfn.ANCHORARRAY(Sintesi!$C$14),1,$C68))*($E68&lt;INDEX(_xlfn.ANCHORARRAY(Sintesi!$C$16),1,$C68))*(INDEX(_xlfn.ANCHORARRAY(Sintesi!$C$15),1,$C68)&lt;0)+($E68&gt;=LOOKUP(2,1/($E:$E&lt;&gt;""),$E:$E))*($E68&lt;=$E69)*($E68&gt;INDEX(_xlfn.ANCHORARRAY(Sintesi!$C$15),1,$C68))*($E68&lt;INDEX(_xlfn.ANCHORARRAY(Sintesi!$C$16),1,$C68))*(INDEX(_xlfn.ANCHORARRAY(Sintesi!$C$15),1,$C68)&gt;0),2,IF($E68=(INDEX(_xlfn.ANCHORARRAY(Sintesi!$C$16),1,$C68)),3,4)))),0)))</f>
        <v>0</v>
      </c>
      <c r="E68" s="1">
        <f>'Paste cell here'!F68</f>
        <v>0</v>
      </c>
      <c r="F68" s="1">
        <f>'Paste cell here'!C68</f>
        <v>13.73875059</v>
      </c>
      <c r="G68" s="1">
        <f>'Paste cell here'!D68</f>
        <v>-0.96184107799999996</v>
      </c>
      <c r="H68" s="1">
        <f>'Paste cell here'!E68</f>
        <v>1.6814233000000001</v>
      </c>
      <c r="I68" s="1">
        <f>'Paste cell here'!X68</f>
        <v>0</v>
      </c>
      <c r="J68" s="1">
        <f>'Paste cell here'!Y68+'Paste cell here'!S68</f>
        <v>0</v>
      </c>
      <c r="K68" s="1">
        <f t="shared" si="3"/>
        <v>0</v>
      </c>
      <c r="L68" s="1">
        <f t="shared" si="2"/>
        <v>9.2295930229599232</v>
      </c>
      <c r="M68" s="1" cm="1">
        <f t="array" ref="M68">IF(AND(A68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,A68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),IF(L68&lt;_xlfn.IFNA(INDEX(_xlfn.ANCHORARRAY(Sintesi!$C$17)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,1,IF(L68&gt;=_xlfn.IFNA(INDEX(_xlfn.ANCHORARRAY(Sintesi!$C$18)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,0,1-(L68-_xlfn.IFNA(INDEX(_xlfn.ANCHORARRAY(Sintesi!$C$17)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)/(_xlfn.IFNA(INDEX(_xlfn.ANCHORARRAY(Sintesi!$C$18)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-_xlfn.IFNA(INDEX(_xlfn.ANCHORARRAY(Sintesi!$C$17),1,MATCH(1,(_xlfn.ANCHORARRAY(Sintesi!$C$9)&gt;_xlfn.ANCHORARRAY(Sintesi!$C$10))*(A67&gt;=_xlfn.ANCHORARRAY(Sintesi!$C$9))+(_xlfn.ANCHORARRAY(Sintesi!$C$9)&gt;_xlfn.ANCHORARRAY(Sintesi!$C$10))*(A67&lt;=_xlfn.ANCHORARRAY(Sintesi!$C$10))+(_xlfn.ANCHORARRAY(Sintesi!$C$9)&lt;_xlfn.ANCHORARRAY(Sintesi!$C$10))*(A67&gt;=_xlfn.ANCHORARRAY(Sintesi!$C$9))*(A67&lt;=_xlfn.ANCHORARRAY(Sintesi!$C$10)),0)),0)))),0)</f>
        <v>0</v>
      </c>
    </row>
    <row r="69" spans="1:13">
      <c r="A69" s="1">
        <f>'Paste cell here'!A69</f>
        <v>68</v>
      </c>
      <c r="B69" s="2">
        <f>DATE(Sintesi!$C$4-1,12,31)+A69</f>
        <v>44264</v>
      </c>
      <c r="C69" s="34" cm="1">
        <f t="array" ref="C69">_xlfn.IFNA(MATCH(1,(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)*(_xlfn.ANCHORARRAY(Sintesi!$C$15)&gt;=0)+(_xlfn.ANCHORARRAY(Sintesi!$C$15)&lt;0),0),0)</f>
        <v>0</v>
      </c>
      <c r="D69" s="1" cm="1">
        <f t="array" ref="D69">IF(ISBLANK($E70),IF(ISNUMBER($E68),IF($C69&gt;0,IF(($E69=INDEX(_xlfn.ANCHORARRAY(Sintesi!$C$14),1,$C69))*(INDEX(_xlfn.ANCHORARRAY(Sintesi!$C$15),1,$C69)&gt;0),0,IF(($E69=INDEX(_xlfn.ANCHORARRAY(Sintesi!$C$14),1,$C69))*(INDEX(_xlfn.ANCHORARRAY(Sintesi!$C$15),1,$C69)&lt;0)+($E69&gt;=$E68)*($E69&lt;=INDEX($E:$E,MATCH(TRUE,INDEX((ISNUMBER($E:$E)),0),0)))*($E69&gt;INDEX(_xlfn.ANCHORARRAY(Sintesi!$C$14),1,$C69))*($E69&lt;=INDEX(_xlfn.ANCHORARRAY(Sintesi!$C$15),1,$C69))*(INDEX(_xlfn.ANCHORARRAY(Sintesi!$C$15),1,$C69)&gt;0),1,IF(($E69&gt;=$E68)*($E69&lt;=INDEX($E:$E,MATCH(TRUE,INDEX((ISNUMBER($E:$E)),0),0)))*($E69&gt;INDEX(_xlfn.ANCHORARRAY(Sintesi!$C$14),1,$C69))*($E69&lt;INDEX(_xlfn.ANCHORARRAY(Sintesi!$C$16),1,$C69))*(INDEX(_xlfn.ANCHORARRAY(Sintesi!$C$15),1,$C69)&lt;0)+($E69&gt;=$E68)*($E69&lt;=INDEX($E:$E,MATCH(TRUE,INDEX((ISNUMBER($E:$E)),0),0)))*($E69&gt;INDEX(_xlfn.ANCHORARRAY(Sintesi!$C$15),1,$C69))*($E69&lt;INDEX(_xlfn.ANCHORARRAY(Sintesi!$C$16),1,$C69))*(INDEX(_xlfn.ANCHORARRAY(Sintesi!$C$15),1,$C69)&gt;0),2,IF($E69=(INDEX(_xlfn.ANCHORARRAY(Sintesi!$C$16),1,$C69)),3,4)))),0),IF($C69&gt;0,IF(($E69=INDEX(_xlfn.ANCHORARRAY(Sintesi!$C$14),1,$C69))*(INDEX(_xlfn.ANCHORARRAY(Sintesi!$C$15),1,$C69)&gt;0),0,IF(($E69=INDEX(_xlfn.ANCHORARRAY(Sintesi!$C$14),1,$C69))*(INDEX(_xlfn.ANCHORARRAY(Sintesi!$C$15),1,$C69)&lt;0)+($E69&gt;=LOOKUP(2,1/($E:$E&lt;&gt;""),$E:$E))*($E69&lt;=INDEX($E:$E,MATCH(TRUE,INDEX((ISNUMBER($E:$E)),0),0)))*($E69&gt;INDEX(_xlfn.ANCHORARRAY(Sintesi!$C$14),1,$C69))*($E69&lt;=INDEX(_xlfn.ANCHORARRAY(Sintesi!$C$15),1,$C69))*(INDEX(_xlfn.ANCHORARRAY(Sintesi!$C$15),1,$C69)&gt;0),1,IF(($E69&gt;=LOOKUP(2,1/($E:$E&lt;&gt;""),$E:$E))*($E69&lt;=INDEX($E:$E,MATCH(TRUE,INDEX((ISNUMBER($E:$E)),0),0)))*($E69&gt;INDEX(_xlfn.ANCHORARRAY(Sintesi!$C$14),1,$C69))*($E69&lt;INDEX(_xlfn.ANCHORARRAY(Sintesi!$C$16),1,$C69))*(INDEX(_xlfn.ANCHORARRAY(Sintesi!$C$15),1,$C69)&lt;0)+($E69&gt;=LOOKUP(2,1/($E:$E&lt;&gt;""),$E:$E))*($E69&lt;=INDEX($E:$E,MATCH(TRUE,INDEX((ISNUMBER($E:$E)),0),0)))*($E69&gt;INDEX(_xlfn.ANCHORARRAY(Sintesi!$C$15),1,$C69))*($E69&lt;INDEX(_xlfn.ANCHORARRAY(Sintesi!$C$16),1,$C69))*(INDEX(_xlfn.ANCHORARRAY(Sintesi!$C$15),1,$C69)&gt;0),2,IF($E69=(INDEX(_xlfn.ANCHORARRAY(Sintesi!$C$16),1,$C69)),3,4)))),0)),IF(ISNUMBER($E68),IF($C69&gt;0,IF(($E69=INDEX(_xlfn.ANCHORARRAY(Sintesi!$C$14),1,$C69))*(INDEX(_xlfn.ANCHORARRAY(Sintesi!$C$15),1,$C69)&gt;0),0,IF(($E69=INDEX(_xlfn.ANCHORARRAY(Sintesi!$C$14),1,$C69))*(INDEX(_xlfn.ANCHORARRAY(Sintesi!$C$15),1,$C69)&lt;0)+($E69&gt;=$E68)*($E69&lt;=$E70)*($E69&gt;INDEX(_xlfn.ANCHORARRAY(Sintesi!$C$14),1,$C69))*($E69&lt;=INDEX(_xlfn.ANCHORARRAY(Sintesi!$C$15),1,$C69))*(INDEX(_xlfn.ANCHORARRAY(Sintesi!$C$15),1,$C69)&gt;0),1,IF(($E69&gt;=$E68)*($E69&lt;=$E70)*($E69&gt;INDEX(_xlfn.ANCHORARRAY(Sintesi!$C$14),1,$C69))*($E69&lt;INDEX(_xlfn.ANCHORARRAY(Sintesi!$C$16),1,$C69))*(INDEX(_xlfn.ANCHORARRAY(Sintesi!$C$15),1,$C69)&lt;0)+($E69&gt;=$E68)*($E69&lt;=$E70)*($E69&gt;INDEX(_xlfn.ANCHORARRAY(Sintesi!$C$15),1,$C69))*($E69&lt;INDEX(_xlfn.ANCHORARRAY(Sintesi!$C$16),1,$C69))*(INDEX(_xlfn.ANCHORARRAY(Sintesi!$C$15),1,$C69)&gt;0),2,IF($E69=(INDEX(_xlfn.ANCHORARRAY(Sintesi!$C$16),1,$C69)),3,4)))),0),IF($C69&gt;0,IF(($E69=INDEX(_xlfn.ANCHORARRAY(Sintesi!$C$14),1,$C69))*(INDEX(_xlfn.ANCHORARRAY(Sintesi!$C$15),1,$C69)&gt;0),0,IF(($E69=INDEX(_xlfn.ANCHORARRAY(Sintesi!$C$14),1,$C69))*(INDEX(_xlfn.ANCHORARRAY(Sintesi!$C$15),1,$C69)&lt;0)+($E69&gt;=LOOKUP(2,1/($E:$E&lt;&gt;""),$E:$E))*($E69&lt;=$E70)*($E69&gt;INDEX(_xlfn.ANCHORARRAY(Sintesi!$C$14),1,$C69))*($E69&lt;=INDEX(_xlfn.ANCHORARRAY(Sintesi!$C$15),1,$C69))*(INDEX(_xlfn.ANCHORARRAY(Sintesi!$C$15),1,$C69)&gt;0),1,IF(($E69&gt;=LOOKUP(2,1/($E:$E&lt;&gt;""),$E:$E))*($E69&lt;=$E70)*($E69&gt;INDEX(_xlfn.ANCHORARRAY(Sintesi!$C$14),1,$C69))*($E69&lt;INDEX(_xlfn.ANCHORARRAY(Sintesi!$C$16),1,$C69))*(INDEX(_xlfn.ANCHORARRAY(Sintesi!$C$15),1,$C69)&lt;0)+($E69&gt;=LOOKUP(2,1/($E:$E&lt;&gt;""),$E:$E))*($E69&lt;=$E70)*($E69&gt;INDEX(_xlfn.ANCHORARRAY(Sintesi!$C$15),1,$C69))*($E69&lt;INDEX(_xlfn.ANCHORARRAY(Sintesi!$C$16),1,$C69))*(INDEX(_xlfn.ANCHORARRAY(Sintesi!$C$15),1,$C69)&gt;0),2,IF($E69=(INDEX(_xlfn.ANCHORARRAY(Sintesi!$C$16),1,$C69)),3,4)))),0)))</f>
        <v>0</v>
      </c>
      <c r="E69" s="1">
        <f>'Paste cell here'!F69</f>
        <v>0</v>
      </c>
      <c r="F69" s="1">
        <f>'Paste cell here'!C69</f>
        <v>14.802679729999999</v>
      </c>
      <c r="G69" s="1">
        <f>'Paste cell here'!D69</f>
        <v>7.3499999999999996E-2</v>
      </c>
      <c r="H69" s="1">
        <f>'Paste cell here'!E69</f>
        <v>1.8421910889999999</v>
      </c>
      <c r="I69" s="1">
        <f>'Paste cell here'!X69</f>
        <v>0</v>
      </c>
      <c r="J69" s="1">
        <f>'Paste cell here'!Y69+'Paste cell here'!S69</f>
        <v>0</v>
      </c>
      <c r="K69" s="1">
        <f t="shared" si="3"/>
        <v>0</v>
      </c>
      <c r="L69" s="1">
        <f t="shared" si="2"/>
        <v>10.284753259026967</v>
      </c>
      <c r="M69" s="1" cm="1">
        <f t="array" ref="M69">IF(AND(A69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,A69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),IF(L69&lt;_xlfn.IFNA(INDEX(_xlfn.ANCHORARRAY(Sintesi!$C$17)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,1,IF(L69&gt;=_xlfn.IFNA(INDEX(_xlfn.ANCHORARRAY(Sintesi!$C$18)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,0,1-(L69-_xlfn.IFNA(INDEX(_xlfn.ANCHORARRAY(Sintesi!$C$17)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)/(_xlfn.IFNA(INDEX(_xlfn.ANCHORARRAY(Sintesi!$C$18)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-_xlfn.IFNA(INDEX(_xlfn.ANCHORARRAY(Sintesi!$C$17),1,MATCH(1,(_xlfn.ANCHORARRAY(Sintesi!$C$9)&gt;_xlfn.ANCHORARRAY(Sintesi!$C$10))*(A68&gt;=_xlfn.ANCHORARRAY(Sintesi!$C$9))+(_xlfn.ANCHORARRAY(Sintesi!$C$9)&gt;_xlfn.ANCHORARRAY(Sintesi!$C$10))*(A68&lt;=_xlfn.ANCHORARRAY(Sintesi!$C$10))+(_xlfn.ANCHORARRAY(Sintesi!$C$9)&lt;_xlfn.ANCHORARRAY(Sintesi!$C$10))*(A68&gt;=_xlfn.ANCHORARRAY(Sintesi!$C$9))*(A68&lt;=_xlfn.ANCHORARRAY(Sintesi!$C$10)),0)),0)))),0)</f>
        <v>0</v>
      </c>
    </row>
    <row r="70" spans="1:13">
      <c r="A70" s="1">
        <f>'Paste cell here'!A70</f>
        <v>69</v>
      </c>
      <c r="B70" s="2">
        <f>DATE(Sintesi!$C$4-1,12,31)+A70</f>
        <v>44265</v>
      </c>
      <c r="C70" s="34" cm="1">
        <f t="array" ref="C70">_xlfn.IFNA(MATCH(1,(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)*(_xlfn.ANCHORARRAY(Sintesi!$C$15)&gt;=0)+(_xlfn.ANCHORARRAY(Sintesi!$C$15)&lt;0),0),0)</f>
        <v>0</v>
      </c>
      <c r="D70" s="1" cm="1">
        <f t="array" ref="D70">IF(ISBLANK($E71),IF(ISNUMBER($E69),IF($C70&gt;0,IF(($E70=INDEX(_xlfn.ANCHORARRAY(Sintesi!$C$14),1,$C70))*(INDEX(_xlfn.ANCHORARRAY(Sintesi!$C$15),1,$C70)&gt;0),0,IF(($E70=INDEX(_xlfn.ANCHORARRAY(Sintesi!$C$14),1,$C70))*(INDEX(_xlfn.ANCHORARRAY(Sintesi!$C$15),1,$C70)&lt;0)+($E70&gt;=$E69)*($E70&lt;=INDEX($E:$E,MATCH(TRUE,INDEX((ISNUMBER($E:$E)),0),0)))*($E70&gt;INDEX(_xlfn.ANCHORARRAY(Sintesi!$C$14),1,$C70))*($E70&lt;=INDEX(_xlfn.ANCHORARRAY(Sintesi!$C$15),1,$C70))*(INDEX(_xlfn.ANCHORARRAY(Sintesi!$C$15),1,$C70)&gt;0),1,IF(($E70&gt;=$E69)*($E70&lt;=INDEX($E:$E,MATCH(TRUE,INDEX((ISNUMBER($E:$E)),0),0)))*($E70&gt;INDEX(_xlfn.ANCHORARRAY(Sintesi!$C$14),1,$C70))*($E70&lt;INDEX(_xlfn.ANCHORARRAY(Sintesi!$C$16),1,$C70))*(INDEX(_xlfn.ANCHORARRAY(Sintesi!$C$15),1,$C70)&lt;0)+($E70&gt;=$E69)*($E70&lt;=INDEX($E:$E,MATCH(TRUE,INDEX((ISNUMBER($E:$E)),0),0)))*($E70&gt;INDEX(_xlfn.ANCHORARRAY(Sintesi!$C$15),1,$C70))*($E70&lt;INDEX(_xlfn.ANCHORARRAY(Sintesi!$C$16),1,$C70))*(INDEX(_xlfn.ANCHORARRAY(Sintesi!$C$15),1,$C70)&gt;0),2,IF($E70=(INDEX(_xlfn.ANCHORARRAY(Sintesi!$C$16),1,$C70)),3,4)))),0),IF($C70&gt;0,IF(($E70=INDEX(_xlfn.ANCHORARRAY(Sintesi!$C$14),1,$C70))*(INDEX(_xlfn.ANCHORARRAY(Sintesi!$C$15),1,$C70)&gt;0),0,IF(($E70=INDEX(_xlfn.ANCHORARRAY(Sintesi!$C$14),1,$C70))*(INDEX(_xlfn.ANCHORARRAY(Sintesi!$C$15),1,$C70)&lt;0)+($E70&gt;=LOOKUP(2,1/($E:$E&lt;&gt;""),$E:$E))*($E70&lt;=INDEX($E:$E,MATCH(TRUE,INDEX((ISNUMBER($E:$E)),0),0)))*($E70&gt;INDEX(_xlfn.ANCHORARRAY(Sintesi!$C$14),1,$C70))*($E70&lt;=INDEX(_xlfn.ANCHORARRAY(Sintesi!$C$15),1,$C70))*(INDEX(_xlfn.ANCHORARRAY(Sintesi!$C$15),1,$C70)&gt;0),1,IF(($E70&gt;=LOOKUP(2,1/($E:$E&lt;&gt;""),$E:$E))*($E70&lt;=INDEX($E:$E,MATCH(TRUE,INDEX((ISNUMBER($E:$E)),0),0)))*($E70&gt;INDEX(_xlfn.ANCHORARRAY(Sintesi!$C$14),1,$C70))*($E70&lt;INDEX(_xlfn.ANCHORARRAY(Sintesi!$C$16),1,$C70))*(INDEX(_xlfn.ANCHORARRAY(Sintesi!$C$15),1,$C70)&lt;0)+($E70&gt;=LOOKUP(2,1/($E:$E&lt;&gt;""),$E:$E))*($E70&lt;=INDEX($E:$E,MATCH(TRUE,INDEX((ISNUMBER($E:$E)),0),0)))*($E70&gt;INDEX(_xlfn.ANCHORARRAY(Sintesi!$C$15),1,$C70))*($E70&lt;INDEX(_xlfn.ANCHORARRAY(Sintesi!$C$16),1,$C70))*(INDEX(_xlfn.ANCHORARRAY(Sintesi!$C$15),1,$C70)&gt;0),2,IF($E70=(INDEX(_xlfn.ANCHORARRAY(Sintesi!$C$16),1,$C70)),3,4)))),0)),IF(ISNUMBER($E69),IF($C70&gt;0,IF(($E70=INDEX(_xlfn.ANCHORARRAY(Sintesi!$C$14),1,$C70))*(INDEX(_xlfn.ANCHORARRAY(Sintesi!$C$15),1,$C70)&gt;0),0,IF(($E70=INDEX(_xlfn.ANCHORARRAY(Sintesi!$C$14),1,$C70))*(INDEX(_xlfn.ANCHORARRAY(Sintesi!$C$15),1,$C70)&lt;0)+($E70&gt;=$E69)*($E70&lt;=$E71)*($E70&gt;INDEX(_xlfn.ANCHORARRAY(Sintesi!$C$14),1,$C70))*($E70&lt;=INDEX(_xlfn.ANCHORARRAY(Sintesi!$C$15),1,$C70))*(INDEX(_xlfn.ANCHORARRAY(Sintesi!$C$15),1,$C70)&gt;0),1,IF(($E70&gt;=$E69)*($E70&lt;=$E71)*($E70&gt;INDEX(_xlfn.ANCHORARRAY(Sintesi!$C$14),1,$C70))*($E70&lt;INDEX(_xlfn.ANCHORARRAY(Sintesi!$C$16),1,$C70))*(INDEX(_xlfn.ANCHORARRAY(Sintesi!$C$15),1,$C70)&lt;0)+($E70&gt;=$E69)*($E70&lt;=$E71)*($E70&gt;INDEX(_xlfn.ANCHORARRAY(Sintesi!$C$15),1,$C70))*($E70&lt;INDEX(_xlfn.ANCHORARRAY(Sintesi!$C$16),1,$C70))*(INDEX(_xlfn.ANCHORARRAY(Sintesi!$C$15),1,$C70)&gt;0),2,IF($E70=(INDEX(_xlfn.ANCHORARRAY(Sintesi!$C$16),1,$C70)),3,4)))),0),IF($C70&gt;0,IF(($E70=INDEX(_xlfn.ANCHORARRAY(Sintesi!$C$14),1,$C70))*(INDEX(_xlfn.ANCHORARRAY(Sintesi!$C$15),1,$C70)&gt;0),0,IF(($E70=INDEX(_xlfn.ANCHORARRAY(Sintesi!$C$14),1,$C70))*(INDEX(_xlfn.ANCHORARRAY(Sintesi!$C$15),1,$C70)&lt;0)+($E70&gt;=LOOKUP(2,1/($E:$E&lt;&gt;""),$E:$E))*($E70&lt;=$E71)*($E70&gt;INDEX(_xlfn.ANCHORARRAY(Sintesi!$C$14),1,$C70))*($E70&lt;=INDEX(_xlfn.ANCHORARRAY(Sintesi!$C$15),1,$C70))*(INDEX(_xlfn.ANCHORARRAY(Sintesi!$C$15),1,$C70)&gt;0),1,IF(($E70&gt;=LOOKUP(2,1/($E:$E&lt;&gt;""),$E:$E))*($E70&lt;=$E71)*($E70&gt;INDEX(_xlfn.ANCHORARRAY(Sintesi!$C$14),1,$C70))*($E70&lt;INDEX(_xlfn.ANCHORARRAY(Sintesi!$C$16),1,$C70))*(INDEX(_xlfn.ANCHORARRAY(Sintesi!$C$15),1,$C70)&lt;0)+($E70&gt;=LOOKUP(2,1/($E:$E&lt;&gt;""),$E:$E))*($E70&lt;=$E71)*($E70&gt;INDEX(_xlfn.ANCHORARRAY(Sintesi!$C$15),1,$C70))*($E70&lt;INDEX(_xlfn.ANCHORARRAY(Sintesi!$C$16),1,$C70))*(INDEX(_xlfn.ANCHORARRAY(Sintesi!$C$15),1,$C70)&gt;0),2,IF($E70=(INDEX(_xlfn.ANCHORARRAY(Sintesi!$C$16),1,$C70)),3,4)))),0)))</f>
        <v>0</v>
      </c>
      <c r="E70" s="1">
        <f>'Paste cell here'!F70</f>
        <v>0</v>
      </c>
      <c r="F70" s="1">
        <f>'Paste cell here'!C70</f>
        <v>15.55660503</v>
      </c>
      <c r="G70" s="1">
        <f>'Paste cell here'!D70</f>
        <v>1.158679537</v>
      </c>
      <c r="H70" s="1">
        <f>'Paste cell here'!E70</f>
        <v>1.9370481799999999</v>
      </c>
      <c r="I70" s="1">
        <f>'Paste cell here'!X70</f>
        <v>0</v>
      </c>
      <c r="J70" s="1">
        <f>'Paste cell here'!Y70+'Paste cell here'!S70</f>
        <v>0</v>
      </c>
      <c r="K70" s="1">
        <f t="shared" si="3"/>
        <v>0</v>
      </c>
      <c r="L70" s="1">
        <f t="shared" si="2"/>
        <v>11.140285187053653</v>
      </c>
      <c r="M70" s="1" cm="1">
        <f t="array" ref="M70">IF(AND(A70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,A70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),IF(L70&lt;_xlfn.IFNA(INDEX(_xlfn.ANCHORARRAY(Sintesi!$C$17)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,1,IF(L70&gt;=_xlfn.IFNA(INDEX(_xlfn.ANCHORARRAY(Sintesi!$C$18)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,0,1-(L70-_xlfn.IFNA(INDEX(_xlfn.ANCHORARRAY(Sintesi!$C$17)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)/(_xlfn.IFNA(INDEX(_xlfn.ANCHORARRAY(Sintesi!$C$18)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-_xlfn.IFNA(INDEX(_xlfn.ANCHORARRAY(Sintesi!$C$17),1,MATCH(1,(_xlfn.ANCHORARRAY(Sintesi!$C$9)&gt;_xlfn.ANCHORARRAY(Sintesi!$C$10))*(A69&gt;=_xlfn.ANCHORARRAY(Sintesi!$C$9))+(_xlfn.ANCHORARRAY(Sintesi!$C$9)&gt;_xlfn.ANCHORARRAY(Sintesi!$C$10))*(A69&lt;=_xlfn.ANCHORARRAY(Sintesi!$C$10))+(_xlfn.ANCHORARRAY(Sintesi!$C$9)&lt;_xlfn.ANCHORARRAY(Sintesi!$C$10))*(A69&gt;=_xlfn.ANCHORARRAY(Sintesi!$C$9))*(A69&lt;=_xlfn.ANCHORARRAY(Sintesi!$C$10)),0)),0)))),0)</f>
        <v>0</v>
      </c>
    </row>
    <row r="71" spans="1:13">
      <c r="A71" s="1">
        <f>'Paste cell here'!A71</f>
        <v>70</v>
      </c>
      <c r="B71" s="2">
        <f>DATE(Sintesi!$C$4-1,12,31)+A71</f>
        <v>44266</v>
      </c>
      <c r="C71" s="34" cm="1">
        <f t="array" ref="C71">_xlfn.IFNA(MATCH(1,(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)*(_xlfn.ANCHORARRAY(Sintesi!$C$15)&gt;=0)+(_xlfn.ANCHORARRAY(Sintesi!$C$15)&lt;0),0),0)</f>
        <v>0</v>
      </c>
      <c r="D71" s="1" cm="1">
        <f t="array" ref="D71">IF(ISBLANK($E72),IF(ISNUMBER($E70),IF($C71&gt;0,IF(($E71=INDEX(_xlfn.ANCHORARRAY(Sintesi!$C$14),1,$C71))*(INDEX(_xlfn.ANCHORARRAY(Sintesi!$C$15),1,$C71)&gt;0),0,IF(($E71=INDEX(_xlfn.ANCHORARRAY(Sintesi!$C$14),1,$C71))*(INDEX(_xlfn.ANCHORARRAY(Sintesi!$C$15),1,$C71)&lt;0)+($E71&gt;=$E70)*($E71&lt;=INDEX($E:$E,MATCH(TRUE,INDEX((ISNUMBER($E:$E)),0),0)))*($E71&gt;INDEX(_xlfn.ANCHORARRAY(Sintesi!$C$14),1,$C71))*($E71&lt;=INDEX(_xlfn.ANCHORARRAY(Sintesi!$C$15),1,$C71))*(INDEX(_xlfn.ANCHORARRAY(Sintesi!$C$15),1,$C71)&gt;0),1,IF(($E71&gt;=$E70)*($E71&lt;=INDEX($E:$E,MATCH(TRUE,INDEX((ISNUMBER($E:$E)),0),0)))*($E71&gt;INDEX(_xlfn.ANCHORARRAY(Sintesi!$C$14),1,$C71))*($E71&lt;INDEX(_xlfn.ANCHORARRAY(Sintesi!$C$16),1,$C71))*(INDEX(_xlfn.ANCHORARRAY(Sintesi!$C$15),1,$C71)&lt;0)+($E71&gt;=$E70)*($E71&lt;=INDEX($E:$E,MATCH(TRUE,INDEX((ISNUMBER($E:$E)),0),0)))*($E71&gt;INDEX(_xlfn.ANCHORARRAY(Sintesi!$C$15),1,$C71))*($E71&lt;INDEX(_xlfn.ANCHORARRAY(Sintesi!$C$16),1,$C71))*(INDEX(_xlfn.ANCHORARRAY(Sintesi!$C$15),1,$C71)&gt;0),2,IF($E71=(INDEX(_xlfn.ANCHORARRAY(Sintesi!$C$16),1,$C71)),3,4)))),0),IF($C71&gt;0,IF(($E71=INDEX(_xlfn.ANCHORARRAY(Sintesi!$C$14),1,$C71))*(INDEX(_xlfn.ANCHORARRAY(Sintesi!$C$15),1,$C71)&gt;0),0,IF(($E71=INDEX(_xlfn.ANCHORARRAY(Sintesi!$C$14),1,$C71))*(INDEX(_xlfn.ANCHORARRAY(Sintesi!$C$15),1,$C71)&lt;0)+($E71&gt;=LOOKUP(2,1/($E:$E&lt;&gt;""),$E:$E))*($E71&lt;=INDEX($E:$E,MATCH(TRUE,INDEX((ISNUMBER($E:$E)),0),0)))*($E71&gt;INDEX(_xlfn.ANCHORARRAY(Sintesi!$C$14),1,$C71))*($E71&lt;=INDEX(_xlfn.ANCHORARRAY(Sintesi!$C$15),1,$C71))*(INDEX(_xlfn.ANCHORARRAY(Sintesi!$C$15),1,$C71)&gt;0),1,IF(($E71&gt;=LOOKUP(2,1/($E:$E&lt;&gt;""),$E:$E))*($E71&lt;=INDEX($E:$E,MATCH(TRUE,INDEX((ISNUMBER($E:$E)),0),0)))*($E71&gt;INDEX(_xlfn.ANCHORARRAY(Sintesi!$C$14),1,$C71))*($E71&lt;INDEX(_xlfn.ANCHORARRAY(Sintesi!$C$16),1,$C71))*(INDEX(_xlfn.ANCHORARRAY(Sintesi!$C$15),1,$C71)&lt;0)+($E71&gt;=LOOKUP(2,1/($E:$E&lt;&gt;""),$E:$E))*($E71&lt;=INDEX($E:$E,MATCH(TRUE,INDEX((ISNUMBER($E:$E)),0),0)))*($E71&gt;INDEX(_xlfn.ANCHORARRAY(Sintesi!$C$15),1,$C71))*($E71&lt;INDEX(_xlfn.ANCHORARRAY(Sintesi!$C$16),1,$C71))*(INDEX(_xlfn.ANCHORARRAY(Sintesi!$C$15),1,$C71)&gt;0),2,IF($E71=(INDEX(_xlfn.ANCHORARRAY(Sintesi!$C$16),1,$C71)),3,4)))),0)),IF(ISNUMBER($E70),IF($C71&gt;0,IF(($E71=INDEX(_xlfn.ANCHORARRAY(Sintesi!$C$14),1,$C71))*(INDEX(_xlfn.ANCHORARRAY(Sintesi!$C$15),1,$C71)&gt;0),0,IF(($E71=INDEX(_xlfn.ANCHORARRAY(Sintesi!$C$14),1,$C71))*(INDEX(_xlfn.ANCHORARRAY(Sintesi!$C$15),1,$C71)&lt;0)+($E71&gt;=$E70)*($E71&lt;=$E72)*($E71&gt;INDEX(_xlfn.ANCHORARRAY(Sintesi!$C$14),1,$C71))*($E71&lt;=INDEX(_xlfn.ANCHORARRAY(Sintesi!$C$15),1,$C71))*(INDEX(_xlfn.ANCHORARRAY(Sintesi!$C$15),1,$C71)&gt;0),1,IF(($E71&gt;=$E70)*($E71&lt;=$E72)*($E71&gt;INDEX(_xlfn.ANCHORARRAY(Sintesi!$C$14),1,$C71))*($E71&lt;INDEX(_xlfn.ANCHORARRAY(Sintesi!$C$16),1,$C71))*(INDEX(_xlfn.ANCHORARRAY(Sintesi!$C$15),1,$C71)&lt;0)+($E71&gt;=$E70)*($E71&lt;=$E72)*($E71&gt;INDEX(_xlfn.ANCHORARRAY(Sintesi!$C$15),1,$C71))*($E71&lt;INDEX(_xlfn.ANCHORARRAY(Sintesi!$C$16),1,$C71))*(INDEX(_xlfn.ANCHORARRAY(Sintesi!$C$15),1,$C71)&gt;0),2,IF($E71=(INDEX(_xlfn.ANCHORARRAY(Sintesi!$C$16),1,$C71)),3,4)))),0),IF($C71&gt;0,IF(($E71=INDEX(_xlfn.ANCHORARRAY(Sintesi!$C$14),1,$C71))*(INDEX(_xlfn.ANCHORARRAY(Sintesi!$C$15),1,$C71)&gt;0),0,IF(($E71=INDEX(_xlfn.ANCHORARRAY(Sintesi!$C$14),1,$C71))*(INDEX(_xlfn.ANCHORARRAY(Sintesi!$C$15),1,$C71)&lt;0)+($E71&gt;=LOOKUP(2,1/($E:$E&lt;&gt;""),$E:$E))*($E71&lt;=$E72)*($E71&gt;INDEX(_xlfn.ANCHORARRAY(Sintesi!$C$14),1,$C71))*($E71&lt;=INDEX(_xlfn.ANCHORARRAY(Sintesi!$C$15),1,$C71))*(INDEX(_xlfn.ANCHORARRAY(Sintesi!$C$15),1,$C71)&gt;0),1,IF(($E71&gt;=LOOKUP(2,1/($E:$E&lt;&gt;""),$E:$E))*($E71&lt;=$E72)*($E71&gt;INDEX(_xlfn.ANCHORARRAY(Sintesi!$C$14),1,$C71))*($E71&lt;INDEX(_xlfn.ANCHORARRAY(Sintesi!$C$16),1,$C71))*(INDEX(_xlfn.ANCHORARRAY(Sintesi!$C$15),1,$C71)&lt;0)+($E71&gt;=LOOKUP(2,1/($E:$E&lt;&gt;""),$E:$E))*($E71&lt;=$E72)*($E71&gt;INDEX(_xlfn.ANCHORARRAY(Sintesi!$C$15),1,$C71))*($E71&lt;INDEX(_xlfn.ANCHORARRAY(Sintesi!$C$16),1,$C71))*(INDEX(_xlfn.ANCHORARRAY(Sintesi!$C$15),1,$C71)&gt;0),2,IF($E71=(INDEX(_xlfn.ANCHORARRAY(Sintesi!$C$16),1,$C71)),3,4)))),0)))</f>
        <v>0</v>
      </c>
      <c r="E71" s="1">
        <f>'Paste cell here'!F71</f>
        <v>0</v>
      </c>
      <c r="F71" s="1">
        <f>'Paste cell here'!C71</f>
        <v>12.117980510000001</v>
      </c>
      <c r="G71" s="1">
        <f>'Paste cell here'!D71</f>
        <v>1.738158922</v>
      </c>
      <c r="H71" s="1">
        <f>'Paste cell here'!E71</f>
        <v>1.152892668</v>
      </c>
      <c r="I71" s="1">
        <f>'Paste cell here'!X71</f>
        <v>0</v>
      </c>
      <c r="J71" s="1">
        <f>'Paste cell here'!Y71+'Paste cell here'!S71</f>
        <v>0</v>
      </c>
      <c r="K71" s="1">
        <f t="shared" si="3"/>
        <v>0</v>
      </c>
      <c r="L71" s="1">
        <f t="shared" si="2"/>
        <v>8.9341460008122642</v>
      </c>
      <c r="M71" s="1" cm="1">
        <f t="array" ref="M71">IF(AND(A71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,A71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),IF(L71&lt;_xlfn.IFNA(INDEX(_xlfn.ANCHORARRAY(Sintesi!$C$17)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,1,IF(L71&gt;=_xlfn.IFNA(INDEX(_xlfn.ANCHORARRAY(Sintesi!$C$18)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,0,1-(L71-_xlfn.IFNA(INDEX(_xlfn.ANCHORARRAY(Sintesi!$C$17)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)/(_xlfn.IFNA(INDEX(_xlfn.ANCHORARRAY(Sintesi!$C$18)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-_xlfn.IFNA(INDEX(_xlfn.ANCHORARRAY(Sintesi!$C$17),1,MATCH(1,(_xlfn.ANCHORARRAY(Sintesi!$C$9)&gt;_xlfn.ANCHORARRAY(Sintesi!$C$10))*(A70&gt;=_xlfn.ANCHORARRAY(Sintesi!$C$9))+(_xlfn.ANCHORARRAY(Sintesi!$C$9)&gt;_xlfn.ANCHORARRAY(Sintesi!$C$10))*(A70&lt;=_xlfn.ANCHORARRAY(Sintesi!$C$10))+(_xlfn.ANCHORARRAY(Sintesi!$C$9)&lt;_xlfn.ANCHORARRAY(Sintesi!$C$10))*(A70&gt;=_xlfn.ANCHORARRAY(Sintesi!$C$9))*(A70&lt;=_xlfn.ANCHORARRAY(Sintesi!$C$10)),0)),0)))),0)</f>
        <v>0</v>
      </c>
    </row>
    <row r="72" spans="1:13">
      <c r="A72" s="1">
        <f>'Paste cell here'!A72</f>
        <v>71</v>
      </c>
      <c r="B72" s="2">
        <f>DATE(Sintesi!$C$4-1,12,31)+A72</f>
        <v>44267</v>
      </c>
      <c r="C72" s="34" cm="1">
        <f t="array" ref="C72">_xlfn.IFNA(MATCH(1,(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)*(_xlfn.ANCHORARRAY(Sintesi!$C$15)&gt;=0)+(_xlfn.ANCHORARRAY(Sintesi!$C$15)&lt;0),0),0)</f>
        <v>0</v>
      </c>
      <c r="D72" s="1" cm="1">
        <f t="array" ref="D72">IF(ISBLANK($E73),IF(ISNUMBER($E71),IF($C72&gt;0,IF(($E72=INDEX(_xlfn.ANCHORARRAY(Sintesi!$C$14),1,$C72))*(INDEX(_xlfn.ANCHORARRAY(Sintesi!$C$15),1,$C72)&gt;0),0,IF(($E72=INDEX(_xlfn.ANCHORARRAY(Sintesi!$C$14),1,$C72))*(INDEX(_xlfn.ANCHORARRAY(Sintesi!$C$15),1,$C72)&lt;0)+($E72&gt;=$E71)*($E72&lt;=INDEX($E:$E,MATCH(TRUE,INDEX((ISNUMBER($E:$E)),0),0)))*($E72&gt;INDEX(_xlfn.ANCHORARRAY(Sintesi!$C$14),1,$C72))*($E72&lt;=INDEX(_xlfn.ANCHORARRAY(Sintesi!$C$15),1,$C72))*(INDEX(_xlfn.ANCHORARRAY(Sintesi!$C$15),1,$C72)&gt;0),1,IF(($E72&gt;=$E71)*($E72&lt;=INDEX($E:$E,MATCH(TRUE,INDEX((ISNUMBER($E:$E)),0),0)))*($E72&gt;INDEX(_xlfn.ANCHORARRAY(Sintesi!$C$14),1,$C72))*($E72&lt;INDEX(_xlfn.ANCHORARRAY(Sintesi!$C$16),1,$C72))*(INDEX(_xlfn.ANCHORARRAY(Sintesi!$C$15),1,$C72)&lt;0)+($E72&gt;=$E71)*($E72&lt;=INDEX($E:$E,MATCH(TRUE,INDEX((ISNUMBER($E:$E)),0),0)))*($E72&gt;INDEX(_xlfn.ANCHORARRAY(Sintesi!$C$15),1,$C72))*($E72&lt;INDEX(_xlfn.ANCHORARRAY(Sintesi!$C$16),1,$C72))*(INDEX(_xlfn.ANCHORARRAY(Sintesi!$C$15),1,$C72)&gt;0),2,IF($E72=(INDEX(_xlfn.ANCHORARRAY(Sintesi!$C$16),1,$C72)),3,4)))),0),IF($C72&gt;0,IF(($E72=INDEX(_xlfn.ANCHORARRAY(Sintesi!$C$14),1,$C72))*(INDEX(_xlfn.ANCHORARRAY(Sintesi!$C$15),1,$C72)&gt;0),0,IF(($E72=INDEX(_xlfn.ANCHORARRAY(Sintesi!$C$14),1,$C72))*(INDEX(_xlfn.ANCHORARRAY(Sintesi!$C$15),1,$C72)&lt;0)+($E72&gt;=LOOKUP(2,1/($E:$E&lt;&gt;""),$E:$E))*($E72&lt;=INDEX($E:$E,MATCH(TRUE,INDEX((ISNUMBER($E:$E)),0),0)))*($E72&gt;INDEX(_xlfn.ANCHORARRAY(Sintesi!$C$14),1,$C72))*($E72&lt;=INDEX(_xlfn.ANCHORARRAY(Sintesi!$C$15),1,$C72))*(INDEX(_xlfn.ANCHORARRAY(Sintesi!$C$15),1,$C72)&gt;0),1,IF(($E72&gt;=LOOKUP(2,1/($E:$E&lt;&gt;""),$E:$E))*($E72&lt;=INDEX($E:$E,MATCH(TRUE,INDEX((ISNUMBER($E:$E)),0),0)))*($E72&gt;INDEX(_xlfn.ANCHORARRAY(Sintesi!$C$14),1,$C72))*($E72&lt;INDEX(_xlfn.ANCHORARRAY(Sintesi!$C$16),1,$C72))*(INDEX(_xlfn.ANCHORARRAY(Sintesi!$C$15),1,$C72)&lt;0)+($E72&gt;=LOOKUP(2,1/($E:$E&lt;&gt;""),$E:$E))*($E72&lt;=INDEX($E:$E,MATCH(TRUE,INDEX((ISNUMBER($E:$E)),0),0)))*($E72&gt;INDEX(_xlfn.ANCHORARRAY(Sintesi!$C$15),1,$C72))*($E72&lt;INDEX(_xlfn.ANCHORARRAY(Sintesi!$C$16),1,$C72))*(INDEX(_xlfn.ANCHORARRAY(Sintesi!$C$15),1,$C72)&gt;0),2,IF($E72=(INDEX(_xlfn.ANCHORARRAY(Sintesi!$C$16),1,$C72)),3,4)))),0)),IF(ISNUMBER($E71),IF($C72&gt;0,IF(($E72=INDEX(_xlfn.ANCHORARRAY(Sintesi!$C$14),1,$C72))*(INDEX(_xlfn.ANCHORARRAY(Sintesi!$C$15),1,$C72)&gt;0),0,IF(($E72=INDEX(_xlfn.ANCHORARRAY(Sintesi!$C$14),1,$C72))*(INDEX(_xlfn.ANCHORARRAY(Sintesi!$C$15),1,$C72)&lt;0)+($E72&gt;=$E71)*($E72&lt;=$E73)*($E72&gt;INDEX(_xlfn.ANCHORARRAY(Sintesi!$C$14),1,$C72))*($E72&lt;=INDEX(_xlfn.ANCHORARRAY(Sintesi!$C$15),1,$C72))*(INDEX(_xlfn.ANCHORARRAY(Sintesi!$C$15),1,$C72)&gt;0),1,IF(($E72&gt;=$E71)*($E72&lt;=$E73)*($E72&gt;INDEX(_xlfn.ANCHORARRAY(Sintesi!$C$14),1,$C72))*($E72&lt;INDEX(_xlfn.ANCHORARRAY(Sintesi!$C$16),1,$C72))*(INDEX(_xlfn.ANCHORARRAY(Sintesi!$C$15),1,$C72)&lt;0)+($E72&gt;=$E71)*($E72&lt;=$E73)*($E72&gt;INDEX(_xlfn.ANCHORARRAY(Sintesi!$C$15),1,$C72))*($E72&lt;INDEX(_xlfn.ANCHORARRAY(Sintesi!$C$16),1,$C72))*(INDEX(_xlfn.ANCHORARRAY(Sintesi!$C$15),1,$C72)&gt;0),2,IF($E72=(INDEX(_xlfn.ANCHORARRAY(Sintesi!$C$16),1,$C72)),3,4)))),0),IF($C72&gt;0,IF(($E72=INDEX(_xlfn.ANCHORARRAY(Sintesi!$C$14),1,$C72))*(INDEX(_xlfn.ANCHORARRAY(Sintesi!$C$15),1,$C72)&gt;0),0,IF(($E72=INDEX(_xlfn.ANCHORARRAY(Sintesi!$C$14),1,$C72))*(INDEX(_xlfn.ANCHORARRAY(Sintesi!$C$15),1,$C72)&lt;0)+($E72&gt;=LOOKUP(2,1/($E:$E&lt;&gt;""),$E:$E))*($E72&lt;=$E73)*($E72&gt;INDEX(_xlfn.ANCHORARRAY(Sintesi!$C$14),1,$C72))*($E72&lt;=INDEX(_xlfn.ANCHORARRAY(Sintesi!$C$15),1,$C72))*(INDEX(_xlfn.ANCHORARRAY(Sintesi!$C$15),1,$C72)&gt;0),1,IF(($E72&gt;=LOOKUP(2,1/($E:$E&lt;&gt;""),$E:$E))*($E72&lt;=$E73)*($E72&gt;INDEX(_xlfn.ANCHORARRAY(Sintesi!$C$14),1,$C72))*($E72&lt;INDEX(_xlfn.ANCHORARRAY(Sintesi!$C$16),1,$C72))*(INDEX(_xlfn.ANCHORARRAY(Sintesi!$C$15),1,$C72)&lt;0)+($E72&gt;=LOOKUP(2,1/($E:$E&lt;&gt;""),$E:$E))*($E72&lt;=$E73)*($E72&gt;INDEX(_xlfn.ANCHORARRAY(Sintesi!$C$15),1,$C72))*($E72&lt;INDEX(_xlfn.ANCHORARRAY(Sintesi!$C$16),1,$C72))*(INDEX(_xlfn.ANCHORARRAY(Sintesi!$C$15),1,$C72)&gt;0),2,IF($E72=(INDEX(_xlfn.ANCHORARRAY(Sintesi!$C$16),1,$C72)),3,4)))),0)))</f>
        <v>0</v>
      </c>
      <c r="E72" s="1">
        <f>'Paste cell here'!F72</f>
        <v>0</v>
      </c>
      <c r="F72" s="1">
        <f>'Paste cell here'!C72</f>
        <v>17.572015669999999</v>
      </c>
      <c r="G72" s="1">
        <f>'Paste cell here'!D72</f>
        <v>4.2866638699999999</v>
      </c>
      <c r="H72" s="1">
        <f>'Paste cell here'!E72</f>
        <v>1.889396206</v>
      </c>
      <c r="I72" s="1">
        <f>'Paste cell here'!X72</f>
        <v>0</v>
      </c>
      <c r="J72" s="1">
        <f>'Paste cell here'!Y72+'Paste cell here'!S72</f>
        <v>0</v>
      </c>
      <c r="K72" s="1">
        <f t="shared" si="3"/>
        <v>0</v>
      </c>
      <c r="L72" s="1">
        <f t="shared" si="2"/>
        <v>13.496958968019678</v>
      </c>
      <c r="M72" s="1" cm="1">
        <f t="array" ref="M72">IF(AND(A72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,A72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),IF(L72&lt;_xlfn.IFNA(INDEX(_xlfn.ANCHORARRAY(Sintesi!$C$17)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,1,IF(L72&gt;=_xlfn.IFNA(INDEX(_xlfn.ANCHORARRAY(Sintesi!$C$18)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,0,1-(L72-_xlfn.IFNA(INDEX(_xlfn.ANCHORARRAY(Sintesi!$C$17)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)/(_xlfn.IFNA(INDEX(_xlfn.ANCHORARRAY(Sintesi!$C$18)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-_xlfn.IFNA(INDEX(_xlfn.ANCHORARRAY(Sintesi!$C$17),1,MATCH(1,(_xlfn.ANCHORARRAY(Sintesi!$C$9)&gt;_xlfn.ANCHORARRAY(Sintesi!$C$10))*(A71&gt;=_xlfn.ANCHORARRAY(Sintesi!$C$9))+(_xlfn.ANCHORARRAY(Sintesi!$C$9)&gt;_xlfn.ANCHORARRAY(Sintesi!$C$10))*(A71&lt;=_xlfn.ANCHORARRAY(Sintesi!$C$10))+(_xlfn.ANCHORARRAY(Sintesi!$C$9)&lt;_xlfn.ANCHORARRAY(Sintesi!$C$10))*(A71&gt;=_xlfn.ANCHORARRAY(Sintesi!$C$9))*(A71&lt;=_xlfn.ANCHORARRAY(Sintesi!$C$10)),0)),0)))),0)</f>
        <v>0</v>
      </c>
    </row>
    <row r="73" spans="1:13">
      <c r="A73" s="1">
        <f>'Paste cell here'!A73</f>
        <v>72</v>
      </c>
      <c r="B73" s="2">
        <f>DATE(Sintesi!$C$4-1,12,31)+A73</f>
        <v>44268</v>
      </c>
      <c r="C73" s="34" cm="1">
        <f t="array" ref="C73">_xlfn.IFNA(MATCH(1,(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)*(_xlfn.ANCHORARRAY(Sintesi!$C$15)&gt;=0)+(_xlfn.ANCHORARRAY(Sintesi!$C$15)&lt;0),0),0)</f>
        <v>0</v>
      </c>
      <c r="D73" s="1" cm="1">
        <f t="array" ref="D73">IF(ISBLANK($E74),IF(ISNUMBER($E72),IF($C73&gt;0,IF(($E73=INDEX(_xlfn.ANCHORARRAY(Sintesi!$C$14),1,$C73))*(INDEX(_xlfn.ANCHORARRAY(Sintesi!$C$15),1,$C73)&gt;0),0,IF(($E73=INDEX(_xlfn.ANCHORARRAY(Sintesi!$C$14),1,$C73))*(INDEX(_xlfn.ANCHORARRAY(Sintesi!$C$15),1,$C73)&lt;0)+($E73&gt;=$E72)*($E73&lt;=INDEX($E:$E,MATCH(TRUE,INDEX((ISNUMBER($E:$E)),0),0)))*($E73&gt;INDEX(_xlfn.ANCHORARRAY(Sintesi!$C$14),1,$C73))*($E73&lt;=INDEX(_xlfn.ANCHORARRAY(Sintesi!$C$15),1,$C73))*(INDEX(_xlfn.ANCHORARRAY(Sintesi!$C$15),1,$C73)&gt;0),1,IF(($E73&gt;=$E72)*($E73&lt;=INDEX($E:$E,MATCH(TRUE,INDEX((ISNUMBER($E:$E)),0),0)))*($E73&gt;INDEX(_xlfn.ANCHORARRAY(Sintesi!$C$14),1,$C73))*($E73&lt;INDEX(_xlfn.ANCHORARRAY(Sintesi!$C$16),1,$C73))*(INDEX(_xlfn.ANCHORARRAY(Sintesi!$C$15),1,$C73)&lt;0)+($E73&gt;=$E72)*($E73&lt;=INDEX($E:$E,MATCH(TRUE,INDEX((ISNUMBER($E:$E)),0),0)))*($E73&gt;INDEX(_xlfn.ANCHORARRAY(Sintesi!$C$15),1,$C73))*($E73&lt;INDEX(_xlfn.ANCHORARRAY(Sintesi!$C$16),1,$C73))*(INDEX(_xlfn.ANCHORARRAY(Sintesi!$C$15),1,$C73)&gt;0),2,IF($E73=(INDEX(_xlfn.ANCHORARRAY(Sintesi!$C$16),1,$C73)),3,4)))),0),IF($C73&gt;0,IF(($E73=INDEX(_xlfn.ANCHORARRAY(Sintesi!$C$14),1,$C73))*(INDEX(_xlfn.ANCHORARRAY(Sintesi!$C$15),1,$C73)&gt;0),0,IF(($E73=INDEX(_xlfn.ANCHORARRAY(Sintesi!$C$14),1,$C73))*(INDEX(_xlfn.ANCHORARRAY(Sintesi!$C$15),1,$C73)&lt;0)+($E73&gt;=LOOKUP(2,1/($E:$E&lt;&gt;""),$E:$E))*($E73&lt;=INDEX($E:$E,MATCH(TRUE,INDEX((ISNUMBER($E:$E)),0),0)))*($E73&gt;INDEX(_xlfn.ANCHORARRAY(Sintesi!$C$14),1,$C73))*($E73&lt;=INDEX(_xlfn.ANCHORARRAY(Sintesi!$C$15),1,$C73))*(INDEX(_xlfn.ANCHORARRAY(Sintesi!$C$15),1,$C73)&gt;0),1,IF(($E73&gt;=LOOKUP(2,1/($E:$E&lt;&gt;""),$E:$E))*($E73&lt;=INDEX($E:$E,MATCH(TRUE,INDEX((ISNUMBER($E:$E)),0),0)))*($E73&gt;INDEX(_xlfn.ANCHORARRAY(Sintesi!$C$14),1,$C73))*($E73&lt;INDEX(_xlfn.ANCHORARRAY(Sintesi!$C$16),1,$C73))*(INDEX(_xlfn.ANCHORARRAY(Sintesi!$C$15),1,$C73)&lt;0)+($E73&gt;=LOOKUP(2,1/($E:$E&lt;&gt;""),$E:$E))*($E73&lt;=INDEX($E:$E,MATCH(TRUE,INDEX((ISNUMBER($E:$E)),0),0)))*($E73&gt;INDEX(_xlfn.ANCHORARRAY(Sintesi!$C$15),1,$C73))*($E73&lt;INDEX(_xlfn.ANCHORARRAY(Sintesi!$C$16),1,$C73))*(INDEX(_xlfn.ANCHORARRAY(Sintesi!$C$15),1,$C73)&gt;0),2,IF($E73=(INDEX(_xlfn.ANCHORARRAY(Sintesi!$C$16),1,$C73)),3,4)))),0)),IF(ISNUMBER($E72),IF($C73&gt;0,IF(($E73=INDEX(_xlfn.ANCHORARRAY(Sintesi!$C$14),1,$C73))*(INDEX(_xlfn.ANCHORARRAY(Sintesi!$C$15),1,$C73)&gt;0),0,IF(($E73=INDEX(_xlfn.ANCHORARRAY(Sintesi!$C$14),1,$C73))*(INDEX(_xlfn.ANCHORARRAY(Sintesi!$C$15),1,$C73)&lt;0)+($E73&gt;=$E72)*($E73&lt;=$E74)*($E73&gt;INDEX(_xlfn.ANCHORARRAY(Sintesi!$C$14),1,$C73))*($E73&lt;=INDEX(_xlfn.ANCHORARRAY(Sintesi!$C$15),1,$C73))*(INDEX(_xlfn.ANCHORARRAY(Sintesi!$C$15),1,$C73)&gt;0),1,IF(($E73&gt;=$E72)*($E73&lt;=$E74)*($E73&gt;INDEX(_xlfn.ANCHORARRAY(Sintesi!$C$14),1,$C73))*($E73&lt;INDEX(_xlfn.ANCHORARRAY(Sintesi!$C$16),1,$C73))*(INDEX(_xlfn.ANCHORARRAY(Sintesi!$C$15),1,$C73)&lt;0)+($E73&gt;=$E72)*($E73&lt;=$E74)*($E73&gt;INDEX(_xlfn.ANCHORARRAY(Sintesi!$C$15),1,$C73))*($E73&lt;INDEX(_xlfn.ANCHORARRAY(Sintesi!$C$16),1,$C73))*(INDEX(_xlfn.ANCHORARRAY(Sintesi!$C$15),1,$C73)&gt;0),2,IF($E73=(INDEX(_xlfn.ANCHORARRAY(Sintesi!$C$16),1,$C73)),3,4)))),0),IF($C73&gt;0,IF(($E73=INDEX(_xlfn.ANCHORARRAY(Sintesi!$C$14),1,$C73))*(INDEX(_xlfn.ANCHORARRAY(Sintesi!$C$15),1,$C73)&gt;0),0,IF(($E73=INDEX(_xlfn.ANCHORARRAY(Sintesi!$C$14),1,$C73))*(INDEX(_xlfn.ANCHORARRAY(Sintesi!$C$15),1,$C73)&lt;0)+($E73&gt;=LOOKUP(2,1/($E:$E&lt;&gt;""),$E:$E))*($E73&lt;=$E74)*($E73&gt;INDEX(_xlfn.ANCHORARRAY(Sintesi!$C$14),1,$C73))*($E73&lt;=INDEX(_xlfn.ANCHORARRAY(Sintesi!$C$15),1,$C73))*(INDEX(_xlfn.ANCHORARRAY(Sintesi!$C$15),1,$C73)&gt;0),1,IF(($E73&gt;=LOOKUP(2,1/($E:$E&lt;&gt;""),$E:$E))*($E73&lt;=$E74)*($E73&gt;INDEX(_xlfn.ANCHORARRAY(Sintesi!$C$14),1,$C73))*($E73&lt;INDEX(_xlfn.ANCHORARRAY(Sintesi!$C$16),1,$C73))*(INDEX(_xlfn.ANCHORARRAY(Sintesi!$C$15),1,$C73)&lt;0)+($E73&gt;=LOOKUP(2,1/($E:$E&lt;&gt;""),$E:$E))*($E73&lt;=$E74)*($E73&gt;INDEX(_xlfn.ANCHORARRAY(Sintesi!$C$15),1,$C73))*($E73&lt;INDEX(_xlfn.ANCHORARRAY(Sintesi!$C$16),1,$C73))*(INDEX(_xlfn.ANCHORARRAY(Sintesi!$C$15),1,$C73)&gt;0),2,IF($E73=(INDEX(_xlfn.ANCHORARRAY(Sintesi!$C$16),1,$C73)),3,4)))),0)))</f>
        <v>0</v>
      </c>
      <c r="E73" s="1">
        <f>'Paste cell here'!F73</f>
        <v>0</v>
      </c>
      <c r="F73" s="1">
        <f>'Paste cell here'!C73</f>
        <v>17.302679730000001</v>
      </c>
      <c r="G73" s="1">
        <f>'Paste cell here'!D73</f>
        <v>1.2914597699999999</v>
      </c>
      <c r="H73" s="1">
        <f>'Paste cell here'!E73</f>
        <v>2.100624206</v>
      </c>
      <c r="I73" s="1">
        <f>'Paste cell here'!X73</f>
        <v>0</v>
      </c>
      <c r="J73" s="1">
        <f>'Paste cell here'!Y73+'Paste cell here'!S73</f>
        <v>0</v>
      </c>
      <c r="K73" s="1">
        <f t="shared" si="3"/>
        <v>0</v>
      </c>
      <c r="L73" s="1">
        <f t="shared" si="2"/>
        <v>12.391509127436121</v>
      </c>
      <c r="M73" s="1" cm="1">
        <f t="array" ref="M73">IF(AND(A73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,A73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),IF(L73&lt;_xlfn.IFNA(INDEX(_xlfn.ANCHORARRAY(Sintesi!$C$17)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,1,IF(L73&gt;=_xlfn.IFNA(INDEX(_xlfn.ANCHORARRAY(Sintesi!$C$18)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,0,1-(L73-_xlfn.IFNA(INDEX(_xlfn.ANCHORARRAY(Sintesi!$C$17)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)/(_xlfn.IFNA(INDEX(_xlfn.ANCHORARRAY(Sintesi!$C$18)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-_xlfn.IFNA(INDEX(_xlfn.ANCHORARRAY(Sintesi!$C$17),1,MATCH(1,(_xlfn.ANCHORARRAY(Sintesi!$C$9)&gt;_xlfn.ANCHORARRAY(Sintesi!$C$10))*(A72&gt;=_xlfn.ANCHORARRAY(Sintesi!$C$9))+(_xlfn.ANCHORARRAY(Sintesi!$C$9)&gt;_xlfn.ANCHORARRAY(Sintesi!$C$10))*(A72&lt;=_xlfn.ANCHORARRAY(Sintesi!$C$10))+(_xlfn.ANCHORARRAY(Sintesi!$C$9)&lt;_xlfn.ANCHORARRAY(Sintesi!$C$10))*(A72&gt;=_xlfn.ANCHORARRAY(Sintesi!$C$9))*(A72&lt;=_xlfn.ANCHORARRAY(Sintesi!$C$10)),0)),0)))),0)</f>
        <v>0</v>
      </c>
    </row>
    <row r="74" spans="1:13">
      <c r="A74" s="1">
        <f>'Paste cell here'!A74</f>
        <v>73</v>
      </c>
      <c r="B74" s="2">
        <f>DATE(Sintesi!$C$4-1,12,31)+A74</f>
        <v>44269</v>
      </c>
      <c r="C74" s="34" cm="1">
        <f t="array" ref="C74">_xlfn.IFNA(MATCH(1,(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)*(_xlfn.ANCHORARRAY(Sintesi!$C$15)&gt;=0)+(_xlfn.ANCHORARRAY(Sintesi!$C$15)&lt;0),0),0)</f>
        <v>0</v>
      </c>
      <c r="D74" s="1" cm="1">
        <f t="array" ref="D74">IF(ISBLANK($E75),IF(ISNUMBER($E73),IF($C74&gt;0,IF(($E74=INDEX(_xlfn.ANCHORARRAY(Sintesi!$C$14),1,$C74))*(INDEX(_xlfn.ANCHORARRAY(Sintesi!$C$15),1,$C74)&gt;0),0,IF(($E74=INDEX(_xlfn.ANCHORARRAY(Sintesi!$C$14),1,$C74))*(INDEX(_xlfn.ANCHORARRAY(Sintesi!$C$15),1,$C74)&lt;0)+($E74&gt;=$E73)*($E74&lt;=INDEX($E:$E,MATCH(TRUE,INDEX((ISNUMBER($E:$E)),0),0)))*($E74&gt;INDEX(_xlfn.ANCHORARRAY(Sintesi!$C$14),1,$C74))*($E74&lt;=INDEX(_xlfn.ANCHORARRAY(Sintesi!$C$15),1,$C74))*(INDEX(_xlfn.ANCHORARRAY(Sintesi!$C$15),1,$C74)&gt;0),1,IF(($E74&gt;=$E73)*($E74&lt;=INDEX($E:$E,MATCH(TRUE,INDEX((ISNUMBER($E:$E)),0),0)))*($E74&gt;INDEX(_xlfn.ANCHORARRAY(Sintesi!$C$14),1,$C74))*($E74&lt;INDEX(_xlfn.ANCHORARRAY(Sintesi!$C$16),1,$C74))*(INDEX(_xlfn.ANCHORARRAY(Sintesi!$C$15),1,$C74)&lt;0)+($E74&gt;=$E73)*($E74&lt;=INDEX($E:$E,MATCH(TRUE,INDEX((ISNUMBER($E:$E)),0),0)))*($E74&gt;INDEX(_xlfn.ANCHORARRAY(Sintesi!$C$15),1,$C74))*($E74&lt;INDEX(_xlfn.ANCHORARRAY(Sintesi!$C$16),1,$C74))*(INDEX(_xlfn.ANCHORARRAY(Sintesi!$C$15),1,$C74)&gt;0),2,IF($E74=(INDEX(_xlfn.ANCHORARRAY(Sintesi!$C$16),1,$C74)),3,4)))),0),IF($C74&gt;0,IF(($E74=INDEX(_xlfn.ANCHORARRAY(Sintesi!$C$14),1,$C74))*(INDEX(_xlfn.ANCHORARRAY(Sintesi!$C$15),1,$C74)&gt;0),0,IF(($E74=INDEX(_xlfn.ANCHORARRAY(Sintesi!$C$14),1,$C74))*(INDEX(_xlfn.ANCHORARRAY(Sintesi!$C$15),1,$C74)&lt;0)+($E74&gt;=LOOKUP(2,1/($E:$E&lt;&gt;""),$E:$E))*($E74&lt;=INDEX($E:$E,MATCH(TRUE,INDEX((ISNUMBER($E:$E)),0),0)))*($E74&gt;INDEX(_xlfn.ANCHORARRAY(Sintesi!$C$14),1,$C74))*($E74&lt;=INDEX(_xlfn.ANCHORARRAY(Sintesi!$C$15),1,$C74))*(INDEX(_xlfn.ANCHORARRAY(Sintesi!$C$15),1,$C74)&gt;0),1,IF(($E74&gt;=LOOKUP(2,1/($E:$E&lt;&gt;""),$E:$E))*($E74&lt;=INDEX($E:$E,MATCH(TRUE,INDEX((ISNUMBER($E:$E)),0),0)))*($E74&gt;INDEX(_xlfn.ANCHORARRAY(Sintesi!$C$14),1,$C74))*($E74&lt;INDEX(_xlfn.ANCHORARRAY(Sintesi!$C$16),1,$C74))*(INDEX(_xlfn.ANCHORARRAY(Sintesi!$C$15),1,$C74)&lt;0)+($E74&gt;=LOOKUP(2,1/($E:$E&lt;&gt;""),$E:$E))*($E74&lt;=INDEX($E:$E,MATCH(TRUE,INDEX((ISNUMBER($E:$E)),0),0)))*($E74&gt;INDEX(_xlfn.ANCHORARRAY(Sintesi!$C$15),1,$C74))*($E74&lt;INDEX(_xlfn.ANCHORARRAY(Sintesi!$C$16),1,$C74))*(INDEX(_xlfn.ANCHORARRAY(Sintesi!$C$15),1,$C74)&gt;0),2,IF($E74=(INDEX(_xlfn.ANCHORARRAY(Sintesi!$C$16),1,$C74)),3,4)))),0)),IF(ISNUMBER($E73),IF($C74&gt;0,IF(($E74=INDEX(_xlfn.ANCHORARRAY(Sintesi!$C$14),1,$C74))*(INDEX(_xlfn.ANCHORARRAY(Sintesi!$C$15),1,$C74)&gt;0),0,IF(($E74=INDEX(_xlfn.ANCHORARRAY(Sintesi!$C$14),1,$C74))*(INDEX(_xlfn.ANCHORARRAY(Sintesi!$C$15),1,$C74)&lt;0)+($E74&gt;=$E73)*($E74&lt;=$E75)*($E74&gt;INDEX(_xlfn.ANCHORARRAY(Sintesi!$C$14),1,$C74))*($E74&lt;=INDEX(_xlfn.ANCHORARRAY(Sintesi!$C$15),1,$C74))*(INDEX(_xlfn.ANCHORARRAY(Sintesi!$C$15),1,$C74)&gt;0),1,IF(($E74&gt;=$E73)*($E74&lt;=$E75)*($E74&gt;INDEX(_xlfn.ANCHORARRAY(Sintesi!$C$14),1,$C74))*($E74&lt;INDEX(_xlfn.ANCHORARRAY(Sintesi!$C$16),1,$C74))*(INDEX(_xlfn.ANCHORARRAY(Sintesi!$C$15),1,$C74)&lt;0)+($E74&gt;=$E73)*($E74&lt;=$E75)*($E74&gt;INDEX(_xlfn.ANCHORARRAY(Sintesi!$C$15),1,$C74))*($E74&lt;INDEX(_xlfn.ANCHORARRAY(Sintesi!$C$16),1,$C74))*(INDEX(_xlfn.ANCHORARRAY(Sintesi!$C$15),1,$C74)&gt;0),2,IF($E74=(INDEX(_xlfn.ANCHORARRAY(Sintesi!$C$16),1,$C74)),3,4)))),0),IF($C74&gt;0,IF(($E74=INDEX(_xlfn.ANCHORARRAY(Sintesi!$C$14),1,$C74))*(INDEX(_xlfn.ANCHORARRAY(Sintesi!$C$15),1,$C74)&gt;0),0,IF(($E74=INDEX(_xlfn.ANCHORARRAY(Sintesi!$C$14),1,$C74))*(INDEX(_xlfn.ANCHORARRAY(Sintesi!$C$15),1,$C74)&lt;0)+($E74&gt;=LOOKUP(2,1/($E:$E&lt;&gt;""),$E:$E))*($E74&lt;=$E75)*($E74&gt;INDEX(_xlfn.ANCHORARRAY(Sintesi!$C$14),1,$C74))*($E74&lt;=INDEX(_xlfn.ANCHORARRAY(Sintesi!$C$15),1,$C74))*(INDEX(_xlfn.ANCHORARRAY(Sintesi!$C$15),1,$C74)&gt;0),1,IF(($E74&gt;=LOOKUP(2,1/($E:$E&lt;&gt;""),$E:$E))*($E74&lt;=$E75)*($E74&gt;INDEX(_xlfn.ANCHORARRAY(Sintesi!$C$14),1,$C74))*($E74&lt;INDEX(_xlfn.ANCHORARRAY(Sintesi!$C$16),1,$C74))*(INDEX(_xlfn.ANCHORARRAY(Sintesi!$C$15),1,$C74)&lt;0)+($E74&gt;=LOOKUP(2,1/($E:$E&lt;&gt;""),$E:$E))*($E74&lt;=$E75)*($E74&gt;INDEX(_xlfn.ANCHORARRAY(Sintesi!$C$15),1,$C74))*($E74&lt;INDEX(_xlfn.ANCHORARRAY(Sintesi!$C$16),1,$C74))*(INDEX(_xlfn.ANCHORARRAY(Sintesi!$C$15),1,$C74)&gt;0),2,IF($E74=(INDEX(_xlfn.ANCHORARRAY(Sintesi!$C$16),1,$C74)),3,4)))),0)))</f>
        <v>0</v>
      </c>
      <c r="E74" s="1">
        <f>'Paste cell here'!F74</f>
        <v>0</v>
      </c>
      <c r="F74" s="1">
        <f>'Paste cell here'!C74</f>
        <v>16.249280930000001</v>
      </c>
      <c r="G74" s="1">
        <f>'Paste cell here'!D74</f>
        <v>1.845483024</v>
      </c>
      <c r="H74" s="1">
        <f>'Paste cell here'!E74</f>
        <v>3.410065264</v>
      </c>
      <c r="I74" s="1">
        <f>'Paste cell here'!X74</f>
        <v>0</v>
      </c>
      <c r="J74" s="1">
        <f>'Paste cell here'!Y74+'Paste cell here'!S74</f>
        <v>0</v>
      </c>
      <c r="K74" s="1">
        <f t="shared" si="3"/>
        <v>0</v>
      </c>
      <c r="L74" s="1">
        <f t="shared" si="2"/>
        <v>11.831159823804272</v>
      </c>
      <c r="M74" s="1" cm="1">
        <f t="array" ref="M74">IF(AND(A74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,A74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),IF(L74&lt;_xlfn.IFNA(INDEX(_xlfn.ANCHORARRAY(Sintesi!$C$17)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,1,IF(L74&gt;=_xlfn.IFNA(INDEX(_xlfn.ANCHORARRAY(Sintesi!$C$18)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,0,1-(L74-_xlfn.IFNA(INDEX(_xlfn.ANCHORARRAY(Sintesi!$C$17)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)/(_xlfn.IFNA(INDEX(_xlfn.ANCHORARRAY(Sintesi!$C$18)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-_xlfn.IFNA(INDEX(_xlfn.ANCHORARRAY(Sintesi!$C$17),1,MATCH(1,(_xlfn.ANCHORARRAY(Sintesi!$C$9)&gt;_xlfn.ANCHORARRAY(Sintesi!$C$10))*(A73&gt;=_xlfn.ANCHORARRAY(Sintesi!$C$9))+(_xlfn.ANCHORARRAY(Sintesi!$C$9)&gt;_xlfn.ANCHORARRAY(Sintesi!$C$10))*(A73&lt;=_xlfn.ANCHORARRAY(Sintesi!$C$10))+(_xlfn.ANCHORARRAY(Sintesi!$C$9)&lt;_xlfn.ANCHORARRAY(Sintesi!$C$10))*(A73&gt;=_xlfn.ANCHORARRAY(Sintesi!$C$9))*(A73&lt;=_xlfn.ANCHORARRAY(Sintesi!$C$10)),0)),0)))),0)</f>
        <v>0</v>
      </c>
    </row>
    <row r="75" spans="1:13">
      <c r="A75" s="1">
        <f>'Paste cell here'!A75</f>
        <v>74</v>
      </c>
      <c r="B75" s="2">
        <f>DATE(Sintesi!$C$4-1,12,31)+A75</f>
        <v>44270</v>
      </c>
      <c r="C75" s="34" cm="1">
        <f t="array" ref="C75">_xlfn.IFNA(MATCH(1,(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)*(_xlfn.ANCHORARRAY(Sintesi!$C$15)&gt;=0)+(_xlfn.ANCHORARRAY(Sintesi!$C$15)&lt;0),0),0)</f>
        <v>0</v>
      </c>
      <c r="D75" s="1" cm="1">
        <f t="array" ref="D75">IF(ISBLANK($E76),IF(ISNUMBER($E74),IF($C75&gt;0,IF(($E75=INDEX(_xlfn.ANCHORARRAY(Sintesi!$C$14),1,$C75))*(INDEX(_xlfn.ANCHORARRAY(Sintesi!$C$15),1,$C75)&gt;0),0,IF(($E75=INDEX(_xlfn.ANCHORARRAY(Sintesi!$C$14),1,$C75))*(INDEX(_xlfn.ANCHORARRAY(Sintesi!$C$15),1,$C75)&lt;0)+($E75&gt;=$E74)*($E75&lt;=INDEX($E:$E,MATCH(TRUE,INDEX((ISNUMBER($E:$E)),0),0)))*($E75&gt;INDEX(_xlfn.ANCHORARRAY(Sintesi!$C$14),1,$C75))*($E75&lt;=INDEX(_xlfn.ANCHORARRAY(Sintesi!$C$15),1,$C75))*(INDEX(_xlfn.ANCHORARRAY(Sintesi!$C$15),1,$C75)&gt;0),1,IF(($E75&gt;=$E74)*($E75&lt;=INDEX($E:$E,MATCH(TRUE,INDEX((ISNUMBER($E:$E)),0),0)))*($E75&gt;INDEX(_xlfn.ANCHORARRAY(Sintesi!$C$14),1,$C75))*($E75&lt;INDEX(_xlfn.ANCHORARRAY(Sintesi!$C$16),1,$C75))*(INDEX(_xlfn.ANCHORARRAY(Sintesi!$C$15),1,$C75)&lt;0)+($E75&gt;=$E74)*($E75&lt;=INDEX($E:$E,MATCH(TRUE,INDEX((ISNUMBER($E:$E)),0),0)))*($E75&gt;INDEX(_xlfn.ANCHORARRAY(Sintesi!$C$15),1,$C75))*($E75&lt;INDEX(_xlfn.ANCHORARRAY(Sintesi!$C$16),1,$C75))*(INDEX(_xlfn.ANCHORARRAY(Sintesi!$C$15),1,$C75)&gt;0),2,IF($E75=(INDEX(_xlfn.ANCHORARRAY(Sintesi!$C$16),1,$C75)),3,4)))),0),IF($C75&gt;0,IF(($E75=INDEX(_xlfn.ANCHORARRAY(Sintesi!$C$14),1,$C75))*(INDEX(_xlfn.ANCHORARRAY(Sintesi!$C$15),1,$C75)&gt;0),0,IF(($E75=INDEX(_xlfn.ANCHORARRAY(Sintesi!$C$14),1,$C75))*(INDEX(_xlfn.ANCHORARRAY(Sintesi!$C$15),1,$C75)&lt;0)+($E75&gt;=LOOKUP(2,1/($E:$E&lt;&gt;""),$E:$E))*($E75&lt;=INDEX($E:$E,MATCH(TRUE,INDEX((ISNUMBER($E:$E)),0),0)))*($E75&gt;INDEX(_xlfn.ANCHORARRAY(Sintesi!$C$14),1,$C75))*($E75&lt;=INDEX(_xlfn.ANCHORARRAY(Sintesi!$C$15),1,$C75))*(INDEX(_xlfn.ANCHORARRAY(Sintesi!$C$15),1,$C75)&gt;0),1,IF(($E75&gt;=LOOKUP(2,1/($E:$E&lt;&gt;""),$E:$E))*($E75&lt;=INDEX($E:$E,MATCH(TRUE,INDEX((ISNUMBER($E:$E)),0),0)))*($E75&gt;INDEX(_xlfn.ANCHORARRAY(Sintesi!$C$14),1,$C75))*($E75&lt;INDEX(_xlfn.ANCHORARRAY(Sintesi!$C$16),1,$C75))*(INDEX(_xlfn.ANCHORARRAY(Sintesi!$C$15),1,$C75)&lt;0)+($E75&gt;=LOOKUP(2,1/($E:$E&lt;&gt;""),$E:$E))*($E75&lt;=INDEX($E:$E,MATCH(TRUE,INDEX((ISNUMBER($E:$E)),0),0)))*($E75&gt;INDEX(_xlfn.ANCHORARRAY(Sintesi!$C$15),1,$C75))*($E75&lt;INDEX(_xlfn.ANCHORARRAY(Sintesi!$C$16),1,$C75))*(INDEX(_xlfn.ANCHORARRAY(Sintesi!$C$15),1,$C75)&gt;0),2,IF($E75=(INDEX(_xlfn.ANCHORARRAY(Sintesi!$C$16),1,$C75)),3,4)))),0)),IF(ISNUMBER($E74),IF($C75&gt;0,IF(($E75=INDEX(_xlfn.ANCHORARRAY(Sintesi!$C$14),1,$C75))*(INDEX(_xlfn.ANCHORARRAY(Sintesi!$C$15),1,$C75)&gt;0),0,IF(($E75=INDEX(_xlfn.ANCHORARRAY(Sintesi!$C$14),1,$C75))*(INDEX(_xlfn.ANCHORARRAY(Sintesi!$C$15),1,$C75)&lt;0)+($E75&gt;=$E74)*($E75&lt;=$E76)*($E75&gt;INDEX(_xlfn.ANCHORARRAY(Sintesi!$C$14),1,$C75))*($E75&lt;=INDEX(_xlfn.ANCHORARRAY(Sintesi!$C$15),1,$C75))*(INDEX(_xlfn.ANCHORARRAY(Sintesi!$C$15),1,$C75)&gt;0),1,IF(($E75&gt;=$E74)*($E75&lt;=$E76)*($E75&gt;INDEX(_xlfn.ANCHORARRAY(Sintesi!$C$14),1,$C75))*($E75&lt;INDEX(_xlfn.ANCHORARRAY(Sintesi!$C$16),1,$C75))*(INDEX(_xlfn.ANCHORARRAY(Sintesi!$C$15),1,$C75)&lt;0)+($E75&gt;=$E74)*($E75&lt;=$E76)*($E75&gt;INDEX(_xlfn.ANCHORARRAY(Sintesi!$C$15),1,$C75))*($E75&lt;INDEX(_xlfn.ANCHORARRAY(Sintesi!$C$16),1,$C75))*(INDEX(_xlfn.ANCHORARRAY(Sintesi!$C$15),1,$C75)&gt;0),2,IF($E75=(INDEX(_xlfn.ANCHORARRAY(Sintesi!$C$16),1,$C75)),3,4)))),0),IF($C75&gt;0,IF(($E75=INDEX(_xlfn.ANCHORARRAY(Sintesi!$C$14),1,$C75))*(INDEX(_xlfn.ANCHORARRAY(Sintesi!$C$15),1,$C75)&gt;0),0,IF(($E75=INDEX(_xlfn.ANCHORARRAY(Sintesi!$C$14),1,$C75))*(INDEX(_xlfn.ANCHORARRAY(Sintesi!$C$15),1,$C75)&lt;0)+($E75&gt;=LOOKUP(2,1/($E:$E&lt;&gt;""),$E:$E))*($E75&lt;=$E76)*($E75&gt;INDEX(_xlfn.ANCHORARRAY(Sintesi!$C$14),1,$C75))*($E75&lt;=INDEX(_xlfn.ANCHORARRAY(Sintesi!$C$15),1,$C75))*(INDEX(_xlfn.ANCHORARRAY(Sintesi!$C$15),1,$C75)&gt;0),1,IF(($E75&gt;=LOOKUP(2,1/($E:$E&lt;&gt;""),$E:$E))*($E75&lt;=$E76)*($E75&gt;INDEX(_xlfn.ANCHORARRAY(Sintesi!$C$14),1,$C75))*($E75&lt;INDEX(_xlfn.ANCHORARRAY(Sintesi!$C$16),1,$C75))*(INDEX(_xlfn.ANCHORARRAY(Sintesi!$C$15),1,$C75)&lt;0)+($E75&gt;=LOOKUP(2,1/($E:$E&lt;&gt;""),$E:$E))*($E75&lt;=$E76)*($E75&gt;INDEX(_xlfn.ANCHORARRAY(Sintesi!$C$15),1,$C75))*($E75&lt;INDEX(_xlfn.ANCHORARRAY(Sintesi!$C$16),1,$C75))*(INDEX(_xlfn.ANCHORARRAY(Sintesi!$C$15),1,$C75)&gt;0),2,IF($E75=(INDEX(_xlfn.ANCHORARRAY(Sintesi!$C$16),1,$C75)),3,4)))),0)))</f>
        <v>0</v>
      </c>
      <c r="E75" s="1">
        <f>'Paste cell here'!F75</f>
        <v>0</v>
      </c>
      <c r="F75" s="1">
        <f>'Paste cell here'!C75</f>
        <v>17.238750589999999</v>
      </c>
      <c r="G75" s="1">
        <f>'Paste cell here'!D75</f>
        <v>-1.2545169759999999</v>
      </c>
      <c r="H75" s="1">
        <f>'Paste cell here'!E75</f>
        <v>3.2659282150000002</v>
      </c>
      <c r="I75" s="1">
        <f>'Paste cell here'!X75</f>
        <v>0</v>
      </c>
      <c r="J75" s="1">
        <f>'Paste cell here'!Y75+'Paste cell here'!S75</f>
        <v>0</v>
      </c>
      <c r="K75" s="1">
        <f t="shared" si="3"/>
        <v>0</v>
      </c>
      <c r="L75" s="1">
        <f t="shared" si="2"/>
        <v>11.566253913145449</v>
      </c>
      <c r="M75" s="1" cm="1">
        <f t="array" ref="M75">IF(AND(A75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,A75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),IF(L75&lt;_xlfn.IFNA(INDEX(_xlfn.ANCHORARRAY(Sintesi!$C$17)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,1,IF(L75&gt;=_xlfn.IFNA(INDEX(_xlfn.ANCHORARRAY(Sintesi!$C$18)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,0,1-(L75-_xlfn.IFNA(INDEX(_xlfn.ANCHORARRAY(Sintesi!$C$17)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)/(_xlfn.IFNA(INDEX(_xlfn.ANCHORARRAY(Sintesi!$C$18)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-_xlfn.IFNA(INDEX(_xlfn.ANCHORARRAY(Sintesi!$C$17),1,MATCH(1,(_xlfn.ANCHORARRAY(Sintesi!$C$9)&gt;_xlfn.ANCHORARRAY(Sintesi!$C$10))*(A74&gt;=_xlfn.ANCHORARRAY(Sintesi!$C$9))+(_xlfn.ANCHORARRAY(Sintesi!$C$9)&gt;_xlfn.ANCHORARRAY(Sintesi!$C$10))*(A74&lt;=_xlfn.ANCHORARRAY(Sintesi!$C$10))+(_xlfn.ANCHORARRAY(Sintesi!$C$9)&lt;_xlfn.ANCHORARRAY(Sintesi!$C$10))*(A74&gt;=_xlfn.ANCHORARRAY(Sintesi!$C$9))*(A74&lt;=_xlfn.ANCHORARRAY(Sintesi!$C$10)),0)),0)))),0)</f>
        <v>0</v>
      </c>
    </row>
    <row r="76" spans="1:13">
      <c r="A76" s="1">
        <f>'Paste cell here'!A76</f>
        <v>75</v>
      </c>
      <c r="B76" s="2">
        <f>DATE(Sintesi!$C$4-1,12,31)+A76</f>
        <v>44271</v>
      </c>
      <c r="C76" s="34" cm="1">
        <f t="array" ref="C76">_xlfn.IFNA(MATCH(1,(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)*(_xlfn.ANCHORARRAY(Sintesi!$C$15)&gt;=0)+(_xlfn.ANCHORARRAY(Sintesi!$C$15)&lt;0),0),0)</f>
        <v>0</v>
      </c>
      <c r="D76" s="1" cm="1">
        <f t="array" ref="D76">IF(ISBLANK($E77),IF(ISNUMBER($E75),IF($C76&gt;0,IF(($E76=INDEX(_xlfn.ANCHORARRAY(Sintesi!$C$14),1,$C76))*(INDEX(_xlfn.ANCHORARRAY(Sintesi!$C$15),1,$C76)&gt;0),0,IF(($E76=INDEX(_xlfn.ANCHORARRAY(Sintesi!$C$14),1,$C76))*(INDEX(_xlfn.ANCHORARRAY(Sintesi!$C$15),1,$C76)&lt;0)+($E76&gt;=$E75)*($E76&lt;=INDEX($E:$E,MATCH(TRUE,INDEX((ISNUMBER($E:$E)),0),0)))*($E76&gt;INDEX(_xlfn.ANCHORARRAY(Sintesi!$C$14),1,$C76))*($E76&lt;=INDEX(_xlfn.ANCHORARRAY(Sintesi!$C$15),1,$C76))*(INDEX(_xlfn.ANCHORARRAY(Sintesi!$C$15),1,$C76)&gt;0),1,IF(($E76&gt;=$E75)*($E76&lt;=INDEX($E:$E,MATCH(TRUE,INDEX((ISNUMBER($E:$E)),0),0)))*($E76&gt;INDEX(_xlfn.ANCHORARRAY(Sintesi!$C$14),1,$C76))*($E76&lt;INDEX(_xlfn.ANCHORARRAY(Sintesi!$C$16),1,$C76))*(INDEX(_xlfn.ANCHORARRAY(Sintesi!$C$15),1,$C76)&lt;0)+($E76&gt;=$E75)*($E76&lt;=INDEX($E:$E,MATCH(TRUE,INDEX((ISNUMBER($E:$E)),0),0)))*($E76&gt;INDEX(_xlfn.ANCHORARRAY(Sintesi!$C$15),1,$C76))*($E76&lt;INDEX(_xlfn.ANCHORARRAY(Sintesi!$C$16),1,$C76))*(INDEX(_xlfn.ANCHORARRAY(Sintesi!$C$15),1,$C76)&gt;0),2,IF($E76=(INDEX(_xlfn.ANCHORARRAY(Sintesi!$C$16),1,$C76)),3,4)))),0),IF($C76&gt;0,IF(($E76=INDEX(_xlfn.ANCHORARRAY(Sintesi!$C$14),1,$C76))*(INDEX(_xlfn.ANCHORARRAY(Sintesi!$C$15),1,$C76)&gt;0),0,IF(($E76=INDEX(_xlfn.ANCHORARRAY(Sintesi!$C$14),1,$C76))*(INDEX(_xlfn.ANCHORARRAY(Sintesi!$C$15),1,$C76)&lt;0)+($E76&gt;=LOOKUP(2,1/($E:$E&lt;&gt;""),$E:$E))*($E76&lt;=INDEX($E:$E,MATCH(TRUE,INDEX((ISNUMBER($E:$E)),0),0)))*($E76&gt;INDEX(_xlfn.ANCHORARRAY(Sintesi!$C$14),1,$C76))*($E76&lt;=INDEX(_xlfn.ANCHORARRAY(Sintesi!$C$15),1,$C76))*(INDEX(_xlfn.ANCHORARRAY(Sintesi!$C$15),1,$C76)&gt;0),1,IF(($E76&gt;=LOOKUP(2,1/($E:$E&lt;&gt;""),$E:$E))*($E76&lt;=INDEX($E:$E,MATCH(TRUE,INDEX((ISNUMBER($E:$E)),0),0)))*($E76&gt;INDEX(_xlfn.ANCHORARRAY(Sintesi!$C$14),1,$C76))*($E76&lt;INDEX(_xlfn.ANCHORARRAY(Sintesi!$C$16),1,$C76))*(INDEX(_xlfn.ANCHORARRAY(Sintesi!$C$15),1,$C76)&lt;0)+($E76&gt;=LOOKUP(2,1/($E:$E&lt;&gt;""),$E:$E))*($E76&lt;=INDEX($E:$E,MATCH(TRUE,INDEX((ISNUMBER($E:$E)),0),0)))*($E76&gt;INDEX(_xlfn.ANCHORARRAY(Sintesi!$C$15),1,$C76))*($E76&lt;INDEX(_xlfn.ANCHORARRAY(Sintesi!$C$16),1,$C76))*(INDEX(_xlfn.ANCHORARRAY(Sintesi!$C$15),1,$C76)&gt;0),2,IF($E76=(INDEX(_xlfn.ANCHORARRAY(Sintesi!$C$16),1,$C76)),3,4)))),0)),IF(ISNUMBER($E75),IF($C76&gt;0,IF(($E76=INDEX(_xlfn.ANCHORARRAY(Sintesi!$C$14),1,$C76))*(INDEX(_xlfn.ANCHORARRAY(Sintesi!$C$15),1,$C76)&gt;0),0,IF(($E76=INDEX(_xlfn.ANCHORARRAY(Sintesi!$C$14),1,$C76))*(INDEX(_xlfn.ANCHORARRAY(Sintesi!$C$15),1,$C76)&lt;0)+($E76&gt;=$E75)*($E76&lt;=$E77)*($E76&gt;INDEX(_xlfn.ANCHORARRAY(Sintesi!$C$14),1,$C76))*($E76&lt;=INDEX(_xlfn.ANCHORARRAY(Sintesi!$C$15),1,$C76))*(INDEX(_xlfn.ANCHORARRAY(Sintesi!$C$15),1,$C76)&gt;0),1,IF(($E76&gt;=$E75)*($E76&lt;=$E77)*($E76&gt;INDEX(_xlfn.ANCHORARRAY(Sintesi!$C$14),1,$C76))*($E76&lt;INDEX(_xlfn.ANCHORARRAY(Sintesi!$C$16),1,$C76))*(INDEX(_xlfn.ANCHORARRAY(Sintesi!$C$15),1,$C76)&lt;0)+($E76&gt;=$E75)*($E76&lt;=$E77)*($E76&gt;INDEX(_xlfn.ANCHORARRAY(Sintesi!$C$15),1,$C76))*($E76&lt;INDEX(_xlfn.ANCHORARRAY(Sintesi!$C$16),1,$C76))*(INDEX(_xlfn.ANCHORARRAY(Sintesi!$C$15),1,$C76)&gt;0),2,IF($E76=(INDEX(_xlfn.ANCHORARRAY(Sintesi!$C$16),1,$C76)),3,4)))),0),IF($C76&gt;0,IF(($E76=INDEX(_xlfn.ANCHORARRAY(Sintesi!$C$14),1,$C76))*(INDEX(_xlfn.ANCHORARRAY(Sintesi!$C$15),1,$C76)&gt;0),0,IF(($E76=INDEX(_xlfn.ANCHORARRAY(Sintesi!$C$14),1,$C76))*(INDEX(_xlfn.ANCHORARRAY(Sintesi!$C$15),1,$C76)&lt;0)+($E76&gt;=LOOKUP(2,1/($E:$E&lt;&gt;""),$E:$E))*($E76&lt;=$E77)*($E76&gt;INDEX(_xlfn.ANCHORARRAY(Sintesi!$C$14),1,$C76))*($E76&lt;=INDEX(_xlfn.ANCHORARRAY(Sintesi!$C$15),1,$C76))*(INDEX(_xlfn.ANCHORARRAY(Sintesi!$C$15),1,$C76)&gt;0),1,IF(($E76&gt;=LOOKUP(2,1/($E:$E&lt;&gt;""),$E:$E))*($E76&lt;=$E77)*($E76&gt;INDEX(_xlfn.ANCHORARRAY(Sintesi!$C$14),1,$C76))*($E76&lt;INDEX(_xlfn.ANCHORARRAY(Sintesi!$C$16),1,$C76))*(INDEX(_xlfn.ANCHORARRAY(Sintesi!$C$15),1,$C76)&lt;0)+($E76&gt;=LOOKUP(2,1/($E:$E&lt;&gt;""),$E:$E))*($E76&lt;=$E77)*($E76&gt;INDEX(_xlfn.ANCHORARRAY(Sintesi!$C$15),1,$C76))*($E76&lt;INDEX(_xlfn.ANCHORARRAY(Sintesi!$C$16),1,$C76))*(INDEX(_xlfn.ANCHORARRAY(Sintesi!$C$15),1,$C76)&gt;0),2,IF($E76=(INDEX(_xlfn.ANCHORARRAY(Sintesi!$C$16),1,$C76)),3,4)))),0)))</f>
        <v>0</v>
      </c>
      <c r="E76" s="1">
        <f>'Paste cell here'!F76</f>
        <v>0</v>
      </c>
      <c r="F76" s="1">
        <f>'Paste cell here'!C76</f>
        <v>16.841320459999999</v>
      </c>
      <c r="G76" s="1">
        <f>'Paste cell here'!D76</f>
        <v>7.197320274</v>
      </c>
      <c r="H76" s="1">
        <f>'Paste cell here'!E76</f>
        <v>4.9687252290000004</v>
      </c>
      <c r="I76" s="1">
        <f>'Paste cell here'!X76</f>
        <v>0</v>
      </c>
      <c r="J76" s="1">
        <f>'Paste cell here'!Y76+'Paste cell here'!S76</f>
        <v>0</v>
      </c>
      <c r="K76" s="1">
        <f t="shared" si="3"/>
        <v>0</v>
      </c>
      <c r="L76" s="1">
        <f t="shared" si="2"/>
        <v>13.883186706111843</v>
      </c>
      <c r="M76" s="1" cm="1">
        <f t="array" ref="M76">IF(AND(A76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,A76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),IF(L76&lt;_xlfn.IFNA(INDEX(_xlfn.ANCHORARRAY(Sintesi!$C$17)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,1,IF(L76&gt;=_xlfn.IFNA(INDEX(_xlfn.ANCHORARRAY(Sintesi!$C$18)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,0,1-(L76-_xlfn.IFNA(INDEX(_xlfn.ANCHORARRAY(Sintesi!$C$17)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)/(_xlfn.IFNA(INDEX(_xlfn.ANCHORARRAY(Sintesi!$C$18)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-_xlfn.IFNA(INDEX(_xlfn.ANCHORARRAY(Sintesi!$C$17),1,MATCH(1,(_xlfn.ANCHORARRAY(Sintesi!$C$9)&gt;_xlfn.ANCHORARRAY(Sintesi!$C$10))*(A75&gt;=_xlfn.ANCHORARRAY(Sintesi!$C$9))+(_xlfn.ANCHORARRAY(Sintesi!$C$9)&gt;_xlfn.ANCHORARRAY(Sintesi!$C$10))*(A75&lt;=_xlfn.ANCHORARRAY(Sintesi!$C$10))+(_xlfn.ANCHORARRAY(Sintesi!$C$9)&lt;_xlfn.ANCHORARRAY(Sintesi!$C$10))*(A75&gt;=_xlfn.ANCHORARRAY(Sintesi!$C$9))*(A75&lt;=_xlfn.ANCHORARRAY(Sintesi!$C$10)),0)),0)))),0)</f>
        <v>0</v>
      </c>
    </row>
    <row r="77" spans="1:13">
      <c r="A77" s="1">
        <f>'Paste cell here'!A77</f>
        <v>76</v>
      </c>
      <c r="B77" s="2">
        <f>DATE(Sintesi!$C$4-1,12,31)+A77</f>
        <v>44272</v>
      </c>
      <c r="C77" s="34" cm="1">
        <f t="array" ref="C77">_xlfn.IFNA(MATCH(1,(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)*(_xlfn.ANCHORARRAY(Sintesi!$C$15)&gt;=0)+(_xlfn.ANCHORARRAY(Sintesi!$C$15)&lt;0),0),0)</f>
        <v>0</v>
      </c>
      <c r="D77" s="1" cm="1">
        <f t="array" ref="D77">IF(ISBLANK($E78),IF(ISNUMBER($E76),IF($C77&gt;0,IF(($E77=INDEX(_xlfn.ANCHORARRAY(Sintesi!$C$14),1,$C77))*(INDEX(_xlfn.ANCHORARRAY(Sintesi!$C$15),1,$C77)&gt;0),0,IF(($E77=INDEX(_xlfn.ANCHORARRAY(Sintesi!$C$14),1,$C77))*(INDEX(_xlfn.ANCHORARRAY(Sintesi!$C$15),1,$C77)&lt;0)+($E77&gt;=$E76)*($E77&lt;=INDEX($E:$E,MATCH(TRUE,INDEX((ISNUMBER($E:$E)),0),0)))*($E77&gt;INDEX(_xlfn.ANCHORARRAY(Sintesi!$C$14),1,$C77))*($E77&lt;=INDEX(_xlfn.ANCHORARRAY(Sintesi!$C$15),1,$C77))*(INDEX(_xlfn.ANCHORARRAY(Sintesi!$C$15),1,$C77)&gt;0),1,IF(($E77&gt;=$E76)*($E77&lt;=INDEX($E:$E,MATCH(TRUE,INDEX((ISNUMBER($E:$E)),0),0)))*($E77&gt;INDEX(_xlfn.ANCHORARRAY(Sintesi!$C$14),1,$C77))*($E77&lt;INDEX(_xlfn.ANCHORARRAY(Sintesi!$C$16),1,$C77))*(INDEX(_xlfn.ANCHORARRAY(Sintesi!$C$15),1,$C77)&lt;0)+($E77&gt;=$E76)*($E77&lt;=INDEX($E:$E,MATCH(TRUE,INDEX((ISNUMBER($E:$E)),0),0)))*($E77&gt;INDEX(_xlfn.ANCHORARRAY(Sintesi!$C$15),1,$C77))*($E77&lt;INDEX(_xlfn.ANCHORARRAY(Sintesi!$C$16),1,$C77))*(INDEX(_xlfn.ANCHORARRAY(Sintesi!$C$15),1,$C77)&gt;0),2,IF($E77=(INDEX(_xlfn.ANCHORARRAY(Sintesi!$C$16),1,$C77)),3,4)))),0),IF($C77&gt;0,IF(($E77=INDEX(_xlfn.ANCHORARRAY(Sintesi!$C$14),1,$C77))*(INDEX(_xlfn.ANCHORARRAY(Sintesi!$C$15),1,$C77)&gt;0),0,IF(($E77=INDEX(_xlfn.ANCHORARRAY(Sintesi!$C$14),1,$C77))*(INDEX(_xlfn.ANCHORARRAY(Sintesi!$C$15),1,$C77)&lt;0)+($E77&gt;=LOOKUP(2,1/($E:$E&lt;&gt;""),$E:$E))*($E77&lt;=INDEX($E:$E,MATCH(TRUE,INDEX((ISNUMBER($E:$E)),0),0)))*($E77&gt;INDEX(_xlfn.ANCHORARRAY(Sintesi!$C$14),1,$C77))*($E77&lt;=INDEX(_xlfn.ANCHORARRAY(Sintesi!$C$15),1,$C77))*(INDEX(_xlfn.ANCHORARRAY(Sintesi!$C$15),1,$C77)&gt;0),1,IF(($E77&gt;=LOOKUP(2,1/($E:$E&lt;&gt;""),$E:$E))*($E77&lt;=INDEX($E:$E,MATCH(TRUE,INDEX((ISNUMBER($E:$E)),0),0)))*($E77&gt;INDEX(_xlfn.ANCHORARRAY(Sintesi!$C$14),1,$C77))*($E77&lt;INDEX(_xlfn.ANCHORARRAY(Sintesi!$C$16),1,$C77))*(INDEX(_xlfn.ANCHORARRAY(Sintesi!$C$15),1,$C77)&lt;0)+($E77&gt;=LOOKUP(2,1/($E:$E&lt;&gt;""),$E:$E))*($E77&lt;=INDEX($E:$E,MATCH(TRUE,INDEX((ISNUMBER($E:$E)),0),0)))*($E77&gt;INDEX(_xlfn.ANCHORARRAY(Sintesi!$C$15),1,$C77))*($E77&lt;INDEX(_xlfn.ANCHORARRAY(Sintesi!$C$16),1,$C77))*(INDEX(_xlfn.ANCHORARRAY(Sintesi!$C$15),1,$C77)&gt;0),2,IF($E77=(INDEX(_xlfn.ANCHORARRAY(Sintesi!$C$16),1,$C77)),3,4)))),0)),IF(ISNUMBER($E76),IF($C77&gt;0,IF(($E77=INDEX(_xlfn.ANCHORARRAY(Sintesi!$C$14),1,$C77))*(INDEX(_xlfn.ANCHORARRAY(Sintesi!$C$15),1,$C77)&gt;0),0,IF(($E77=INDEX(_xlfn.ANCHORARRAY(Sintesi!$C$14),1,$C77))*(INDEX(_xlfn.ANCHORARRAY(Sintesi!$C$15),1,$C77)&lt;0)+($E77&gt;=$E76)*($E77&lt;=$E78)*($E77&gt;INDEX(_xlfn.ANCHORARRAY(Sintesi!$C$14),1,$C77))*($E77&lt;=INDEX(_xlfn.ANCHORARRAY(Sintesi!$C$15),1,$C77))*(INDEX(_xlfn.ANCHORARRAY(Sintesi!$C$15),1,$C77)&gt;0),1,IF(($E77&gt;=$E76)*($E77&lt;=$E78)*($E77&gt;INDEX(_xlfn.ANCHORARRAY(Sintesi!$C$14),1,$C77))*($E77&lt;INDEX(_xlfn.ANCHORARRAY(Sintesi!$C$16),1,$C77))*(INDEX(_xlfn.ANCHORARRAY(Sintesi!$C$15),1,$C77)&lt;0)+($E77&gt;=$E76)*($E77&lt;=$E78)*($E77&gt;INDEX(_xlfn.ANCHORARRAY(Sintesi!$C$15),1,$C77))*($E77&lt;INDEX(_xlfn.ANCHORARRAY(Sintesi!$C$16),1,$C77))*(INDEX(_xlfn.ANCHORARRAY(Sintesi!$C$15),1,$C77)&gt;0),2,IF($E77=(INDEX(_xlfn.ANCHORARRAY(Sintesi!$C$16),1,$C77)),3,4)))),0),IF($C77&gt;0,IF(($E77=INDEX(_xlfn.ANCHORARRAY(Sintesi!$C$14),1,$C77))*(INDEX(_xlfn.ANCHORARRAY(Sintesi!$C$15),1,$C77)&gt;0),0,IF(($E77=INDEX(_xlfn.ANCHORARRAY(Sintesi!$C$14),1,$C77))*(INDEX(_xlfn.ANCHORARRAY(Sintesi!$C$15),1,$C77)&lt;0)+($E77&gt;=LOOKUP(2,1/($E:$E&lt;&gt;""),$E:$E))*($E77&lt;=$E78)*($E77&gt;INDEX(_xlfn.ANCHORARRAY(Sintesi!$C$14),1,$C77))*($E77&lt;=INDEX(_xlfn.ANCHORARRAY(Sintesi!$C$15),1,$C77))*(INDEX(_xlfn.ANCHORARRAY(Sintesi!$C$15),1,$C77)&gt;0),1,IF(($E77&gt;=LOOKUP(2,1/($E:$E&lt;&gt;""),$E:$E))*($E77&lt;=$E78)*($E77&gt;INDEX(_xlfn.ANCHORARRAY(Sintesi!$C$14),1,$C77))*($E77&lt;INDEX(_xlfn.ANCHORARRAY(Sintesi!$C$16),1,$C77))*(INDEX(_xlfn.ANCHORARRAY(Sintesi!$C$15),1,$C77)&lt;0)+($E77&gt;=LOOKUP(2,1/($E:$E&lt;&gt;""),$E:$E))*($E77&lt;=$E78)*($E77&gt;INDEX(_xlfn.ANCHORARRAY(Sintesi!$C$15),1,$C77))*($E77&lt;INDEX(_xlfn.ANCHORARRAY(Sintesi!$C$16),1,$C77))*(INDEX(_xlfn.ANCHORARRAY(Sintesi!$C$15),1,$C77)&gt;0),2,IF($E77=(INDEX(_xlfn.ANCHORARRAY(Sintesi!$C$16),1,$C77)),3,4)))),0)))</f>
        <v>0</v>
      </c>
      <c r="E77" s="1">
        <f>'Paste cell here'!F77</f>
        <v>0</v>
      </c>
      <c r="F77" s="1">
        <f>'Paste cell here'!C77</f>
        <v>16.913336130000001</v>
      </c>
      <c r="G77" s="1">
        <f>'Paste cell here'!D77</f>
        <v>2.9766600419999998</v>
      </c>
      <c r="H77" s="1">
        <f>'Paste cell here'!E77</f>
        <v>3.4211918610000001</v>
      </c>
      <c r="I77" s="1">
        <f>'Paste cell here'!X77</f>
        <v>0</v>
      </c>
      <c r="J77" s="1">
        <f>'Paste cell here'!Y77+'Paste cell here'!S77</f>
        <v>0</v>
      </c>
      <c r="K77" s="1">
        <f t="shared" si="3"/>
        <v>0</v>
      </c>
      <c r="L77" s="1">
        <f t="shared" si="2"/>
        <v>12.638496731638469</v>
      </c>
      <c r="M77" s="1" cm="1">
        <f t="array" ref="M77">IF(AND(A77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,A77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),IF(L77&lt;_xlfn.IFNA(INDEX(_xlfn.ANCHORARRAY(Sintesi!$C$17)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,1,IF(L77&gt;=_xlfn.IFNA(INDEX(_xlfn.ANCHORARRAY(Sintesi!$C$18)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,0,1-(L77-_xlfn.IFNA(INDEX(_xlfn.ANCHORARRAY(Sintesi!$C$17)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)/(_xlfn.IFNA(INDEX(_xlfn.ANCHORARRAY(Sintesi!$C$18)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-_xlfn.IFNA(INDEX(_xlfn.ANCHORARRAY(Sintesi!$C$17),1,MATCH(1,(_xlfn.ANCHORARRAY(Sintesi!$C$9)&gt;_xlfn.ANCHORARRAY(Sintesi!$C$10))*(A76&gt;=_xlfn.ANCHORARRAY(Sintesi!$C$9))+(_xlfn.ANCHORARRAY(Sintesi!$C$9)&gt;_xlfn.ANCHORARRAY(Sintesi!$C$10))*(A76&lt;=_xlfn.ANCHORARRAY(Sintesi!$C$10))+(_xlfn.ANCHORARRAY(Sintesi!$C$9)&lt;_xlfn.ANCHORARRAY(Sintesi!$C$10))*(A76&gt;=_xlfn.ANCHORARRAY(Sintesi!$C$9))*(A76&lt;=_xlfn.ANCHORARRAY(Sintesi!$C$10)),0)),0)))),0)</f>
        <v>0</v>
      </c>
    </row>
    <row r="78" spans="1:13">
      <c r="A78" s="1">
        <f>'Paste cell here'!A78</f>
        <v>77</v>
      </c>
      <c r="B78" s="2">
        <f>DATE(Sintesi!$C$4-1,12,31)+A78</f>
        <v>44273</v>
      </c>
      <c r="C78" s="34" cm="1">
        <f t="array" ref="C78">_xlfn.IFNA(MATCH(1,(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)*(_xlfn.ANCHORARRAY(Sintesi!$C$15)&gt;=0)+(_xlfn.ANCHORARRAY(Sintesi!$C$15)&lt;0),0),0)</f>
        <v>0</v>
      </c>
      <c r="D78" s="1" cm="1">
        <f t="array" ref="D78">IF(ISBLANK($E79),IF(ISNUMBER($E77),IF($C78&gt;0,IF(($E78=INDEX(_xlfn.ANCHORARRAY(Sintesi!$C$14),1,$C78))*(INDEX(_xlfn.ANCHORARRAY(Sintesi!$C$15),1,$C78)&gt;0),0,IF(($E78=INDEX(_xlfn.ANCHORARRAY(Sintesi!$C$14),1,$C78))*(INDEX(_xlfn.ANCHORARRAY(Sintesi!$C$15),1,$C78)&lt;0)+($E78&gt;=$E77)*($E78&lt;=INDEX($E:$E,MATCH(TRUE,INDEX((ISNUMBER($E:$E)),0),0)))*($E78&gt;INDEX(_xlfn.ANCHORARRAY(Sintesi!$C$14),1,$C78))*($E78&lt;=INDEX(_xlfn.ANCHORARRAY(Sintesi!$C$15),1,$C78))*(INDEX(_xlfn.ANCHORARRAY(Sintesi!$C$15),1,$C78)&gt;0),1,IF(($E78&gt;=$E77)*($E78&lt;=INDEX($E:$E,MATCH(TRUE,INDEX((ISNUMBER($E:$E)),0),0)))*($E78&gt;INDEX(_xlfn.ANCHORARRAY(Sintesi!$C$14),1,$C78))*($E78&lt;INDEX(_xlfn.ANCHORARRAY(Sintesi!$C$16),1,$C78))*(INDEX(_xlfn.ANCHORARRAY(Sintesi!$C$15),1,$C78)&lt;0)+($E78&gt;=$E77)*($E78&lt;=INDEX($E:$E,MATCH(TRUE,INDEX((ISNUMBER($E:$E)),0),0)))*($E78&gt;INDEX(_xlfn.ANCHORARRAY(Sintesi!$C$15),1,$C78))*($E78&lt;INDEX(_xlfn.ANCHORARRAY(Sintesi!$C$16),1,$C78))*(INDEX(_xlfn.ANCHORARRAY(Sintesi!$C$15),1,$C78)&gt;0),2,IF($E78=(INDEX(_xlfn.ANCHORARRAY(Sintesi!$C$16),1,$C78)),3,4)))),0),IF($C78&gt;0,IF(($E78=INDEX(_xlfn.ANCHORARRAY(Sintesi!$C$14),1,$C78))*(INDEX(_xlfn.ANCHORARRAY(Sintesi!$C$15),1,$C78)&gt;0),0,IF(($E78=INDEX(_xlfn.ANCHORARRAY(Sintesi!$C$14),1,$C78))*(INDEX(_xlfn.ANCHORARRAY(Sintesi!$C$15),1,$C78)&lt;0)+($E78&gt;=LOOKUP(2,1/($E:$E&lt;&gt;""),$E:$E))*($E78&lt;=INDEX($E:$E,MATCH(TRUE,INDEX((ISNUMBER($E:$E)),0),0)))*($E78&gt;INDEX(_xlfn.ANCHORARRAY(Sintesi!$C$14),1,$C78))*($E78&lt;=INDEX(_xlfn.ANCHORARRAY(Sintesi!$C$15),1,$C78))*(INDEX(_xlfn.ANCHORARRAY(Sintesi!$C$15),1,$C78)&gt;0),1,IF(($E78&gt;=LOOKUP(2,1/($E:$E&lt;&gt;""),$E:$E))*($E78&lt;=INDEX($E:$E,MATCH(TRUE,INDEX((ISNUMBER($E:$E)),0),0)))*($E78&gt;INDEX(_xlfn.ANCHORARRAY(Sintesi!$C$14),1,$C78))*($E78&lt;INDEX(_xlfn.ANCHORARRAY(Sintesi!$C$16),1,$C78))*(INDEX(_xlfn.ANCHORARRAY(Sintesi!$C$15),1,$C78)&lt;0)+($E78&gt;=LOOKUP(2,1/($E:$E&lt;&gt;""),$E:$E))*($E78&lt;=INDEX($E:$E,MATCH(TRUE,INDEX((ISNUMBER($E:$E)),0),0)))*($E78&gt;INDEX(_xlfn.ANCHORARRAY(Sintesi!$C$15),1,$C78))*($E78&lt;INDEX(_xlfn.ANCHORARRAY(Sintesi!$C$16),1,$C78))*(INDEX(_xlfn.ANCHORARRAY(Sintesi!$C$15),1,$C78)&gt;0),2,IF($E78=(INDEX(_xlfn.ANCHORARRAY(Sintesi!$C$16),1,$C78)),3,4)))),0)),IF(ISNUMBER($E77),IF($C78&gt;0,IF(($E78=INDEX(_xlfn.ANCHORARRAY(Sintesi!$C$14),1,$C78))*(INDEX(_xlfn.ANCHORARRAY(Sintesi!$C$15),1,$C78)&gt;0),0,IF(($E78=INDEX(_xlfn.ANCHORARRAY(Sintesi!$C$14),1,$C78))*(INDEX(_xlfn.ANCHORARRAY(Sintesi!$C$15),1,$C78)&lt;0)+($E78&gt;=$E77)*($E78&lt;=$E79)*($E78&gt;INDEX(_xlfn.ANCHORARRAY(Sintesi!$C$14),1,$C78))*($E78&lt;=INDEX(_xlfn.ANCHORARRAY(Sintesi!$C$15),1,$C78))*(INDEX(_xlfn.ANCHORARRAY(Sintesi!$C$15),1,$C78)&gt;0),1,IF(($E78&gt;=$E77)*($E78&lt;=$E79)*($E78&gt;INDEX(_xlfn.ANCHORARRAY(Sintesi!$C$14),1,$C78))*($E78&lt;INDEX(_xlfn.ANCHORARRAY(Sintesi!$C$16),1,$C78))*(INDEX(_xlfn.ANCHORARRAY(Sintesi!$C$15),1,$C78)&lt;0)+($E78&gt;=$E77)*($E78&lt;=$E79)*($E78&gt;INDEX(_xlfn.ANCHORARRAY(Sintesi!$C$15),1,$C78))*($E78&lt;INDEX(_xlfn.ANCHORARRAY(Sintesi!$C$16),1,$C78))*(INDEX(_xlfn.ANCHORARRAY(Sintesi!$C$15),1,$C78)&gt;0),2,IF($E78=(INDEX(_xlfn.ANCHORARRAY(Sintesi!$C$16),1,$C78)),3,4)))),0),IF($C78&gt;0,IF(($E78=INDEX(_xlfn.ANCHORARRAY(Sintesi!$C$14),1,$C78))*(INDEX(_xlfn.ANCHORARRAY(Sintesi!$C$15),1,$C78)&gt;0),0,IF(($E78=INDEX(_xlfn.ANCHORARRAY(Sintesi!$C$14),1,$C78))*(INDEX(_xlfn.ANCHORARRAY(Sintesi!$C$15),1,$C78)&lt;0)+($E78&gt;=LOOKUP(2,1/($E:$E&lt;&gt;""),$E:$E))*($E78&lt;=$E79)*($E78&gt;INDEX(_xlfn.ANCHORARRAY(Sintesi!$C$14),1,$C78))*($E78&lt;=INDEX(_xlfn.ANCHORARRAY(Sintesi!$C$15),1,$C78))*(INDEX(_xlfn.ANCHORARRAY(Sintesi!$C$15),1,$C78)&gt;0),1,IF(($E78&gt;=LOOKUP(2,1/($E:$E&lt;&gt;""),$E:$E))*($E78&lt;=$E79)*($E78&gt;INDEX(_xlfn.ANCHORARRAY(Sintesi!$C$14),1,$C78))*($E78&lt;INDEX(_xlfn.ANCHORARRAY(Sintesi!$C$16),1,$C78))*(INDEX(_xlfn.ANCHORARRAY(Sintesi!$C$15),1,$C78)&lt;0)+($E78&gt;=LOOKUP(2,1/($E:$E&lt;&gt;""),$E:$E))*($E78&lt;=$E79)*($E78&gt;INDEX(_xlfn.ANCHORARRAY(Sintesi!$C$15),1,$C78))*($E78&lt;INDEX(_xlfn.ANCHORARRAY(Sintesi!$C$16),1,$C78))*(INDEX(_xlfn.ANCHORARRAY(Sintesi!$C$15),1,$C78)&gt;0),2,IF($E78=(INDEX(_xlfn.ANCHORARRAY(Sintesi!$C$16),1,$C78)),3,4)))),0)))</f>
        <v>0</v>
      </c>
      <c r="E78" s="1">
        <f>'Paste cell here'!F78</f>
        <v>0</v>
      </c>
      <c r="F78" s="1">
        <f>'Paste cell here'!C78</f>
        <v>12.26673493</v>
      </c>
      <c r="G78" s="1">
        <f>'Paste cell here'!D78</f>
        <v>0.44548302400000001</v>
      </c>
      <c r="H78" s="1">
        <f>'Paste cell here'!E78</f>
        <v>2.0367626470000002</v>
      </c>
      <c r="I78" s="1">
        <f>'Paste cell here'!X78</f>
        <v>0</v>
      </c>
      <c r="J78" s="1">
        <f>'Paste cell here'!Y78+'Paste cell here'!S78</f>
        <v>0</v>
      </c>
      <c r="K78" s="1">
        <f t="shared" si="3"/>
        <v>0</v>
      </c>
      <c r="L78" s="1">
        <f t="shared" si="2"/>
        <v>8.6407660787014624</v>
      </c>
      <c r="M78" s="1" cm="1">
        <f t="array" ref="M78">IF(AND(A78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,A78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),IF(L78&lt;_xlfn.IFNA(INDEX(_xlfn.ANCHORARRAY(Sintesi!$C$17)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,1,IF(L78&gt;=_xlfn.IFNA(INDEX(_xlfn.ANCHORARRAY(Sintesi!$C$18)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,0,1-(L78-_xlfn.IFNA(INDEX(_xlfn.ANCHORARRAY(Sintesi!$C$17)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)/(_xlfn.IFNA(INDEX(_xlfn.ANCHORARRAY(Sintesi!$C$18)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-_xlfn.IFNA(INDEX(_xlfn.ANCHORARRAY(Sintesi!$C$17),1,MATCH(1,(_xlfn.ANCHORARRAY(Sintesi!$C$9)&gt;_xlfn.ANCHORARRAY(Sintesi!$C$10))*(A77&gt;=_xlfn.ANCHORARRAY(Sintesi!$C$9))+(_xlfn.ANCHORARRAY(Sintesi!$C$9)&gt;_xlfn.ANCHORARRAY(Sintesi!$C$10))*(A77&lt;=_xlfn.ANCHORARRAY(Sintesi!$C$10))+(_xlfn.ANCHORARRAY(Sintesi!$C$9)&lt;_xlfn.ANCHORARRAY(Sintesi!$C$10))*(A77&gt;=_xlfn.ANCHORARRAY(Sintesi!$C$9))*(A77&lt;=_xlfn.ANCHORARRAY(Sintesi!$C$10)),0)),0)))),0)</f>
        <v>0</v>
      </c>
    </row>
    <row r="79" spans="1:13">
      <c r="A79" s="1">
        <f>'Paste cell here'!A79</f>
        <v>78</v>
      </c>
      <c r="B79" s="2">
        <f>DATE(Sintesi!$C$4-1,12,31)+A79</f>
        <v>44274</v>
      </c>
      <c r="C79" s="34" cm="1">
        <f t="array" ref="C79">_xlfn.IFNA(MATCH(1,(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)*(_xlfn.ANCHORARRAY(Sintesi!$C$15)&gt;=0)+(_xlfn.ANCHORARRAY(Sintesi!$C$15)&lt;0),0),0)</f>
        <v>0</v>
      </c>
      <c r="D79" s="1" cm="1">
        <f t="array" ref="D79">IF(ISBLANK($E80),IF(ISNUMBER($E78),IF($C79&gt;0,IF(($E79=INDEX(_xlfn.ANCHORARRAY(Sintesi!$C$14),1,$C79))*(INDEX(_xlfn.ANCHORARRAY(Sintesi!$C$15),1,$C79)&gt;0),0,IF(($E79=INDEX(_xlfn.ANCHORARRAY(Sintesi!$C$14),1,$C79))*(INDEX(_xlfn.ANCHORARRAY(Sintesi!$C$15),1,$C79)&lt;0)+($E79&gt;=$E78)*($E79&lt;=INDEX($E:$E,MATCH(TRUE,INDEX((ISNUMBER($E:$E)),0),0)))*($E79&gt;INDEX(_xlfn.ANCHORARRAY(Sintesi!$C$14),1,$C79))*($E79&lt;=INDEX(_xlfn.ANCHORARRAY(Sintesi!$C$15),1,$C79))*(INDEX(_xlfn.ANCHORARRAY(Sintesi!$C$15),1,$C79)&gt;0),1,IF(($E79&gt;=$E78)*($E79&lt;=INDEX($E:$E,MATCH(TRUE,INDEX((ISNUMBER($E:$E)),0),0)))*($E79&gt;INDEX(_xlfn.ANCHORARRAY(Sintesi!$C$14),1,$C79))*($E79&lt;INDEX(_xlfn.ANCHORARRAY(Sintesi!$C$16),1,$C79))*(INDEX(_xlfn.ANCHORARRAY(Sintesi!$C$15),1,$C79)&lt;0)+($E79&gt;=$E78)*($E79&lt;=INDEX($E:$E,MATCH(TRUE,INDEX((ISNUMBER($E:$E)),0),0)))*($E79&gt;INDEX(_xlfn.ANCHORARRAY(Sintesi!$C$15),1,$C79))*($E79&lt;INDEX(_xlfn.ANCHORARRAY(Sintesi!$C$16),1,$C79))*(INDEX(_xlfn.ANCHORARRAY(Sintesi!$C$15),1,$C79)&gt;0),2,IF($E79=(INDEX(_xlfn.ANCHORARRAY(Sintesi!$C$16),1,$C79)),3,4)))),0),IF($C79&gt;0,IF(($E79=INDEX(_xlfn.ANCHORARRAY(Sintesi!$C$14),1,$C79))*(INDEX(_xlfn.ANCHORARRAY(Sintesi!$C$15),1,$C79)&gt;0),0,IF(($E79=INDEX(_xlfn.ANCHORARRAY(Sintesi!$C$14),1,$C79))*(INDEX(_xlfn.ANCHORARRAY(Sintesi!$C$15),1,$C79)&lt;0)+($E79&gt;=LOOKUP(2,1/($E:$E&lt;&gt;""),$E:$E))*($E79&lt;=INDEX($E:$E,MATCH(TRUE,INDEX((ISNUMBER($E:$E)),0),0)))*($E79&gt;INDEX(_xlfn.ANCHORARRAY(Sintesi!$C$14),1,$C79))*($E79&lt;=INDEX(_xlfn.ANCHORARRAY(Sintesi!$C$15),1,$C79))*(INDEX(_xlfn.ANCHORARRAY(Sintesi!$C$15),1,$C79)&gt;0),1,IF(($E79&gt;=LOOKUP(2,1/($E:$E&lt;&gt;""),$E:$E))*($E79&lt;=INDEX($E:$E,MATCH(TRUE,INDEX((ISNUMBER($E:$E)),0),0)))*($E79&gt;INDEX(_xlfn.ANCHORARRAY(Sintesi!$C$14),1,$C79))*($E79&lt;INDEX(_xlfn.ANCHORARRAY(Sintesi!$C$16),1,$C79))*(INDEX(_xlfn.ANCHORARRAY(Sintesi!$C$15),1,$C79)&lt;0)+($E79&gt;=LOOKUP(2,1/($E:$E&lt;&gt;""),$E:$E))*($E79&lt;=INDEX($E:$E,MATCH(TRUE,INDEX((ISNUMBER($E:$E)),0),0)))*($E79&gt;INDEX(_xlfn.ANCHORARRAY(Sintesi!$C$15),1,$C79))*($E79&lt;INDEX(_xlfn.ANCHORARRAY(Sintesi!$C$16),1,$C79))*(INDEX(_xlfn.ANCHORARRAY(Sintesi!$C$15),1,$C79)&gt;0),2,IF($E79=(INDEX(_xlfn.ANCHORARRAY(Sintesi!$C$16),1,$C79)),3,4)))),0)),IF(ISNUMBER($E78),IF($C79&gt;0,IF(($E79=INDEX(_xlfn.ANCHORARRAY(Sintesi!$C$14),1,$C79))*(INDEX(_xlfn.ANCHORARRAY(Sintesi!$C$15),1,$C79)&gt;0),0,IF(($E79=INDEX(_xlfn.ANCHORARRAY(Sintesi!$C$14),1,$C79))*(INDEX(_xlfn.ANCHORARRAY(Sintesi!$C$15),1,$C79)&lt;0)+($E79&gt;=$E78)*($E79&lt;=$E80)*($E79&gt;INDEX(_xlfn.ANCHORARRAY(Sintesi!$C$14),1,$C79))*($E79&lt;=INDEX(_xlfn.ANCHORARRAY(Sintesi!$C$15),1,$C79))*(INDEX(_xlfn.ANCHORARRAY(Sintesi!$C$15),1,$C79)&gt;0),1,IF(($E79&gt;=$E78)*($E79&lt;=$E80)*($E79&gt;INDEX(_xlfn.ANCHORARRAY(Sintesi!$C$14),1,$C79))*($E79&lt;INDEX(_xlfn.ANCHORARRAY(Sintesi!$C$16),1,$C79))*(INDEX(_xlfn.ANCHORARRAY(Sintesi!$C$15),1,$C79)&lt;0)+($E79&gt;=$E78)*($E79&lt;=$E80)*($E79&gt;INDEX(_xlfn.ANCHORARRAY(Sintesi!$C$15),1,$C79))*($E79&lt;INDEX(_xlfn.ANCHORARRAY(Sintesi!$C$16),1,$C79))*(INDEX(_xlfn.ANCHORARRAY(Sintesi!$C$15),1,$C79)&gt;0),2,IF($E79=(INDEX(_xlfn.ANCHORARRAY(Sintesi!$C$16),1,$C79)),3,4)))),0),IF($C79&gt;0,IF(($E79=INDEX(_xlfn.ANCHORARRAY(Sintesi!$C$14),1,$C79))*(INDEX(_xlfn.ANCHORARRAY(Sintesi!$C$15),1,$C79)&gt;0),0,IF(($E79=INDEX(_xlfn.ANCHORARRAY(Sintesi!$C$14),1,$C79))*(INDEX(_xlfn.ANCHORARRAY(Sintesi!$C$15),1,$C79)&lt;0)+($E79&gt;=LOOKUP(2,1/($E:$E&lt;&gt;""),$E:$E))*($E79&lt;=$E80)*($E79&gt;INDEX(_xlfn.ANCHORARRAY(Sintesi!$C$14),1,$C79))*($E79&lt;=INDEX(_xlfn.ANCHORARRAY(Sintesi!$C$15),1,$C79))*(INDEX(_xlfn.ANCHORARRAY(Sintesi!$C$15),1,$C79)&gt;0),1,IF(($E79&gt;=LOOKUP(2,1/($E:$E&lt;&gt;""),$E:$E))*($E79&lt;=$E80)*($E79&gt;INDEX(_xlfn.ANCHORARRAY(Sintesi!$C$14),1,$C79))*($E79&lt;INDEX(_xlfn.ANCHORARRAY(Sintesi!$C$16),1,$C79))*(INDEX(_xlfn.ANCHORARRAY(Sintesi!$C$15),1,$C79)&lt;0)+($E79&gt;=LOOKUP(2,1/($E:$E&lt;&gt;""),$E:$E))*($E79&lt;=$E80)*($E79&gt;INDEX(_xlfn.ANCHORARRAY(Sintesi!$C$15),1,$C79))*($E79&lt;INDEX(_xlfn.ANCHORARRAY(Sintesi!$C$16),1,$C79))*(INDEX(_xlfn.ANCHORARRAY(Sintesi!$C$15),1,$C79)&gt;0),2,IF($E79=(INDEX(_xlfn.ANCHORARRAY(Sintesi!$C$16),1,$C79)),3,4)))),0)))</f>
        <v>0</v>
      </c>
      <c r="E79" s="1">
        <f>'Paste cell here'!F79</f>
        <v>0</v>
      </c>
      <c r="F79" s="1">
        <f>'Paste cell here'!C79</f>
        <v>11.44339497</v>
      </c>
      <c r="G79" s="1">
        <f>'Paste cell here'!D79</f>
        <v>0.86885110099999996</v>
      </c>
      <c r="H79" s="1">
        <f>'Paste cell here'!E79</f>
        <v>2.0509784949999998</v>
      </c>
      <c r="I79" s="1">
        <f>'Paste cell here'!X79</f>
        <v>0</v>
      </c>
      <c r="J79" s="1">
        <f>'Paste cell here'!Y79+'Paste cell here'!S79</f>
        <v>0</v>
      </c>
      <c r="K79" s="1">
        <f t="shared" si="3"/>
        <v>0</v>
      </c>
      <c r="L79" s="1">
        <f t="shared" si="2"/>
        <v>8.1998326983743919</v>
      </c>
      <c r="M79" s="1" cm="1">
        <f t="array" ref="M79">IF(AND(A79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,A79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),IF(L79&lt;_xlfn.IFNA(INDEX(_xlfn.ANCHORARRAY(Sintesi!$C$17)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,1,IF(L79&gt;=_xlfn.IFNA(INDEX(_xlfn.ANCHORARRAY(Sintesi!$C$18)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,0,1-(L79-_xlfn.IFNA(INDEX(_xlfn.ANCHORARRAY(Sintesi!$C$17)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)/(_xlfn.IFNA(INDEX(_xlfn.ANCHORARRAY(Sintesi!$C$18)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-_xlfn.IFNA(INDEX(_xlfn.ANCHORARRAY(Sintesi!$C$17),1,MATCH(1,(_xlfn.ANCHORARRAY(Sintesi!$C$9)&gt;_xlfn.ANCHORARRAY(Sintesi!$C$10))*(A78&gt;=_xlfn.ANCHORARRAY(Sintesi!$C$9))+(_xlfn.ANCHORARRAY(Sintesi!$C$9)&gt;_xlfn.ANCHORARRAY(Sintesi!$C$10))*(A78&lt;=_xlfn.ANCHORARRAY(Sintesi!$C$10))+(_xlfn.ANCHORARRAY(Sintesi!$C$9)&lt;_xlfn.ANCHORARRAY(Sintesi!$C$10))*(A78&gt;=_xlfn.ANCHORARRAY(Sintesi!$C$9))*(A78&lt;=_xlfn.ANCHORARRAY(Sintesi!$C$10)),0)),0)))),0)</f>
        <v>0</v>
      </c>
    </row>
    <row r="80" spans="1:13">
      <c r="A80" s="1">
        <f>'Paste cell here'!A80</f>
        <v>79</v>
      </c>
      <c r="B80" s="2">
        <f>DATE(Sintesi!$C$4-1,12,31)+A80</f>
        <v>44275</v>
      </c>
      <c r="C80" s="34" cm="1">
        <f t="array" ref="C80">_xlfn.IFNA(MATCH(1,(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)*(_xlfn.ANCHORARRAY(Sintesi!$C$15)&gt;=0)+(_xlfn.ANCHORARRAY(Sintesi!$C$15)&lt;0),0),0)</f>
        <v>0</v>
      </c>
      <c r="D80" s="1" cm="1">
        <f t="array" ref="D80">IF(ISBLANK($E81),IF(ISNUMBER($E79),IF($C80&gt;0,IF(($E80=INDEX(_xlfn.ANCHORARRAY(Sintesi!$C$14),1,$C80))*(INDEX(_xlfn.ANCHORARRAY(Sintesi!$C$15),1,$C80)&gt;0),0,IF(($E80=INDEX(_xlfn.ANCHORARRAY(Sintesi!$C$14),1,$C80))*(INDEX(_xlfn.ANCHORARRAY(Sintesi!$C$15),1,$C80)&lt;0)+($E80&gt;=$E79)*($E80&lt;=INDEX($E:$E,MATCH(TRUE,INDEX((ISNUMBER($E:$E)),0),0)))*($E80&gt;INDEX(_xlfn.ANCHORARRAY(Sintesi!$C$14),1,$C80))*($E80&lt;=INDEX(_xlfn.ANCHORARRAY(Sintesi!$C$15),1,$C80))*(INDEX(_xlfn.ANCHORARRAY(Sintesi!$C$15),1,$C80)&gt;0),1,IF(($E80&gt;=$E79)*($E80&lt;=INDEX($E:$E,MATCH(TRUE,INDEX((ISNUMBER($E:$E)),0),0)))*($E80&gt;INDEX(_xlfn.ANCHORARRAY(Sintesi!$C$14),1,$C80))*($E80&lt;INDEX(_xlfn.ANCHORARRAY(Sintesi!$C$16),1,$C80))*(INDEX(_xlfn.ANCHORARRAY(Sintesi!$C$15),1,$C80)&lt;0)+($E80&gt;=$E79)*($E80&lt;=INDEX($E:$E,MATCH(TRUE,INDEX((ISNUMBER($E:$E)),0),0)))*($E80&gt;INDEX(_xlfn.ANCHORARRAY(Sintesi!$C$15),1,$C80))*($E80&lt;INDEX(_xlfn.ANCHORARRAY(Sintesi!$C$16),1,$C80))*(INDEX(_xlfn.ANCHORARRAY(Sintesi!$C$15),1,$C80)&gt;0),2,IF($E80=(INDEX(_xlfn.ANCHORARRAY(Sintesi!$C$16),1,$C80)),3,4)))),0),IF($C80&gt;0,IF(($E80=INDEX(_xlfn.ANCHORARRAY(Sintesi!$C$14),1,$C80))*(INDEX(_xlfn.ANCHORARRAY(Sintesi!$C$15),1,$C80)&gt;0),0,IF(($E80=INDEX(_xlfn.ANCHORARRAY(Sintesi!$C$14),1,$C80))*(INDEX(_xlfn.ANCHORARRAY(Sintesi!$C$15),1,$C80)&lt;0)+($E80&gt;=LOOKUP(2,1/($E:$E&lt;&gt;""),$E:$E))*($E80&lt;=INDEX($E:$E,MATCH(TRUE,INDEX((ISNUMBER($E:$E)),0),0)))*($E80&gt;INDEX(_xlfn.ANCHORARRAY(Sintesi!$C$14),1,$C80))*($E80&lt;=INDEX(_xlfn.ANCHORARRAY(Sintesi!$C$15),1,$C80))*(INDEX(_xlfn.ANCHORARRAY(Sintesi!$C$15),1,$C80)&gt;0),1,IF(($E80&gt;=LOOKUP(2,1/($E:$E&lt;&gt;""),$E:$E))*($E80&lt;=INDEX($E:$E,MATCH(TRUE,INDEX((ISNUMBER($E:$E)),0),0)))*($E80&gt;INDEX(_xlfn.ANCHORARRAY(Sintesi!$C$14),1,$C80))*($E80&lt;INDEX(_xlfn.ANCHORARRAY(Sintesi!$C$16),1,$C80))*(INDEX(_xlfn.ANCHORARRAY(Sintesi!$C$15),1,$C80)&lt;0)+($E80&gt;=LOOKUP(2,1/($E:$E&lt;&gt;""),$E:$E))*($E80&lt;=INDEX($E:$E,MATCH(TRUE,INDEX((ISNUMBER($E:$E)),0),0)))*($E80&gt;INDEX(_xlfn.ANCHORARRAY(Sintesi!$C$15),1,$C80))*($E80&lt;INDEX(_xlfn.ANCHORARRAY(Sintesi!$C$16),1,$C80))*(INDEX(_xlfn.ANCHORARRAY(Sintesi!$C$15),1,$C80)&gt;0),2,IF($E80=(INDEX(_xlfn.ANCHORARRAY(Sintesi!$C$16),1,$C80)),3,4)))),0)),IF(ISNUMBER($E79),IF($C80&gt;0,IF(($E80=INDEX(_xlfn.ANCHORARRAY(Sintesi!$C$14),1,$C80))*(INDEX(_xlfn.ANCHORARRAY(Sintesi!$C$15),1,$C80)&gt;0),0,IF(($E80=INDEX(_xlfn.ANCHORARRAY(Sintesi!$C$14),1,$C80))*(INDEX(_xlfn.ANCHORARRAY(Sintesi!$C$15),1,$C80)&lt;0)+($E80&gt;=$E79)*($E80&lt;=$E81)*($E80&gt;INDEX(_xlfn.ANCHORARRAY(Sintesi!$C$14),1,$C80))*($E80&lt;=INDEX(_xlfn.ANCHORARRAY(Sintesi!$C$15),1,$C80))*(INDEX(_xlfn.ANCHORARRAY(Sintesi!$C$15),1,$C80)&gt;0),1,IF(($E80&gt;=$E79)*($E80&lt;=$E81)*($E80&gt;INDEX(_xlfn.ANCHORARRAY(Sintesi!$C$14),1,$C80))*($E80&lt;INDEX(_xlfn.ANCHORARRAY(Sintesi!$C$16),1,$C80))*(INDEX(_xlfn.ANCHORARRAY(Sintesi!$C$15),1,$C80)&lt;0)+($E80&gt;=$E79)*($E80&lt;=$E81)*($E80&gt;INDEX(_xlfn.ANCHORARRAY(Sintesi!$C$15),1,$C80))*($E80&lt;INDEX(_xlfn.ANCHORARRAY(Sintesi!$C$16),1,$C80))*(INDEX(_xlfn.ANCHORARRAY(Sintesi!$C$15),1,$C80)&gt;0),2,IF($E80=(INDEX(_xlfn.ANCHORARRAY(Sintesi!$C$16),1,$C80)),3,4)))),0),IF($C80&gt;0,IF(($E80=INDEX(_xlfn.ANCHORARRAY(Sintesi!$C$14),1,$C80))*(INDEX(_xlfn.ANCHORARRAY(Sintesi!$C$15),1,$C80)&gt;0),0,IF(($E80=INDEX(_xlfn.ANCHORARRAY(Sintesi!$C$14),1,$C80))*(INDEX(_xlfn.ANCHORARRAY(Sintesi!$C$15),1,$C80)&lt;0)+($E80&gt;=LOOKUP(2,1/($E:$E&lt;&gt;""),$E:$E))*($E80&lt;=$E81)*($E80&gt;INDEX(_xlfn.ANCHORARRAY(Sintesi!$C$14),1,$C80))*($E80&lt;=INDEX(_xlfn.ANCHORARRAY(Sintesi!$C$15),1,$C80))*(INDEX(_xlfn.ANCHORARRAY(Sintesi!$C$15),1,$C80)&gt;0),1,IF(($E80&gt;=LOOKUP(2,1/($E:$E&lt;&gt;""),$E:$E))*($E80&lt;=$E81)*($E80&gt;INDEX(_xlfn.ANCHORARRAY(Sintesi!$C$14),1,$C80))*($E80&lt;INDEX(_xlfn.ANCHORARRAY(Sintesi!$C$16),1,$C80))*(INDEX(_xlfn.ANCHORARRAY(Sintesi!$C$15),1,$C80)&lt;0)+($E80&gt;=LOOKUP(2,1/($E:$E&lt;&gt;""),$E:$E))*($E80&lt;=$E81)*($E80&gt;INDEX(_xlfn.ANCHORARRAY(Sintesi!$C$15),1,$C80))*($E80&lt;INDEX(_xlfn.ANCHORARRAY(Sintesi!$C$16),1,$C80))*(INDEX(_xlfn.ANCHORARRAY(Sintesi!$C$15),1,$C80)&gt;0),2,IF($E80=(INDEX(_xlfn.ANCHORARRAY(Sintesi!$C$16),1,$C80)),3,4)))),0)))</f>
        <v>0</v>
      </c>
      <c r="E80" s="1">
        <f>'Paste cell here'!F80</f>
        <v>0</v>
      </c>
      <c r="F80" s="1">
        <f>'Paste cell here'!C80</f>
        <v>12.95660503</v>
      </c>
      <c r="G80" s="1">
        <f>'Paste cell here'!D80</f>
        <v>-2.2133361300000001</v>
      </c>
      <c r="H80" s="1">
        <f>'Paste cell here'!E80</f>
        <v>2.2056915039999998</v>
      </c>
      <c r="I80" s="1">
        <f>'Paste cell here'!X80</f>
        <v>0</v>
      </c>
      <c r="J80" s="1">
        <f>'Paste cell here'!Y80+'Paste cell here'!S80</f>
        <v>0</v>
      </c>
      <c r="K80" s="1">
        <f t="shared" si="3"/>
        <v>0</v>
      </c>
      <c r="L80" s="1">
        <f t="shared" si="2"/>
        <v>8.3034824538477334</v>
      </c>
      <c r="M80" s="1" cm="1">
        <f t="array" ref="M80">IF(AND(A80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,A80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),IF(L80&lt;_xlfn.IFNA(INDEX(_xlfn.ANCHORARRAY(Sintesi!$C$17)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,1,IF(L80&gt;=_xlfn.IFNA(INDEX(_xlfn.ANCHORARRAY(Sintesi!$C$18)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,0,1-(L80-_xlfn.IFNA(INDEX(_xlfn.ANCHORARRAY(Sintesi!$C$17)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)/(_xlfn.IFNA(INDEX(_xlfn.ANCHORARRAY(Sintesi!$C$18)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-_xlfn.IFNA(INDEX(_xlfn.ANCHORARRAY(Sintesi!$C$17),1,MATCH(1,(_xlfn.ANCHORARRAY(Sintesi!$C$9)&gt;_xlfn.ANCHORARRAY(Sintesi!$C$10))*(A79&gt;=_xlfn.ANCHORARRAY(Sintesi!$C$9))+(_xlfn.ANCHORARRAY(Sintesi!$C$9)&gt;_xlfn.ANCHORARRAY(Sintesi!$C$10))*(A79&lt;=_xlfn.ANCHORARRAY(Sintesi!$C$10))+(_xlfn.ANCHORARRAY(Sintesi!$C$9)&lt;_xlfn.ANCHORARRAY(Sintesi!$C$10))*(A79&gt;=_xlfn.ANCHORARRAY(Sintesi!$C$9))*(A79&lt;=_xlfn.ANCHORARRAY(Sintesi!$C$10)),0)),0)))),0)</f>
        <v>0</v>
      </c>
    </row>
    <row r="81" spans="1:13">
      <c r="A81" s="1">
        <f>'Paste cell here'!A81</f>
        <v>80</v>
      </c>
      <c r="B81" s="2">
        <f>DATE(Sintesi!$C$4-1,12,31)+A81</f>
        <v>44276</v>
      </c>
      <c r="C81" s="34" cm="1">
        <f t="array" ref="C81">_xlfn.IFNA(MATCH(1,(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)*(_xlfn.ANCHORARRAY(Sintesi!$C$15)&gt;=0)+(_xlfn.ANCHORARRAY(Sintesi!$C$15)&lt;0),0),0)</f>
        <v>0</v>
      </c>
      <c r="D81" s="1" cm="1">
        <f t="array" ref="D81">IF(ISBLANK($E82),IF(ISNUMBER($E80),IF($C81&gt;0,IF(($E81=INDEX(_xlfn.ANCHORARRAY(Sintesi!$C$14),1,$C81))*(INDEX(_xlfn.ANCHORARRAY(Sintesi!$C$15),1,$C81)&gt;0),0,IF(($E81=INDEX(_xlfn.ANCHORARRAY(Sintesi!$C$14),1,$C81))*(INDEX(_xlfn.ANCHORARRAY(Sintesi!$C$15),1,$C81)&lt;0)+($E81&gt;=$E80)*($E81&lt;=INDEX($E:$E,MATCH(TRUE,INDEX((ISNUMBER($E:$E)),0),0)))*($E81&gt;INDEX(_xlfn.ANCHORARRAY(Sintesi!$C$14),1,$C81))*($E81&lt;=INDEX(_xlfn.ANCHORARRAY(Sintesi!$C$15),1,$C81))*(INDEX(_xlfn.ANCHORARRAY(Sintesi!$C$15),1,$C81)&gt;0),1,IF(($E81&gt;=$E80)*($E81&lt;=INDEX($E:$E,MATCH(TRUE,INDEX((ISNUMBER($E:$E)),0),0)))*($E81&gt;INDEX(_xlfn.ANCHORARRAY(Sintesi!$C$14),1,$C81))*($E81&lt;INDEX(_xlfn.ANCHORARRAY(Sintesi!$C$16),1,$C81))*(INDEX(_xlfn.ANCHORARRAY(Sintesi!$C$15),1,$C81)&lt;0)+($E81&gt;=$E80)*($E81&lt;=INDEX($E:$E,MATCH(TRUE,INDEX((ISNUMBER($E:$E)),0),0)))*($E81&gt;INDEX(_xlfn.ANCHORARRAY(Sintesi!$C$15),1,$C81))*($E81&lt;INDEX(_xlfn.ANCHORARRAY(Sintesi!$C$16),1,$C81))*(INDEX(_xlfn.ANCHORARRAY(Sintesi!$C$15),1,$C81)&gt;0),2,IF($E81=(INDEX(_xlfn.ANCHORARRAY(Sintesi!$C$16),1,$C81)),3,4)))),0),IF($C81&gt;0,IF(($E81=INDEX(_xlfn.ANCHORARRAY(Sintesi!$C$14),1,$C81))*(INDEX(_xlfn.ANCHORARRAY(Sintesi!$C$15),1,$C81)&gt;0),0,IF(($E81=INDEX(_xlfn.ANCHORARRAY(Sintesi!$C$14),1,$C81))*(INDEX(_xlfn.ANCHORARRAY(Sintesi!$C$15),1,$C81)&lt;0)+($E81&gt;=LOOKUP(2,1/($E:$E&lt;&gt;""),$E:$E))*($E81&lt;=INDEX($E:$E,MATCH(TRUE,INDEX((ISNUMBER($E:$E)),0),0)))*($E81&gt;INDEX(_xlfn.ANCHORARRAY(Sintesi!$C$14),1,$C81))*($E81&lt;=INDEX(_xlfn.ANCHORARRAY(Sintesi!$C$15),1,$C81))*(INDEX(_xlfn.ANCHORARRAY(Sintesi!$C$15),1,$C81)&gt;0),1,IF(($E81&gt;=LOOKUP(2,1/($E:$E&lt;&gt;""),$E:$E))*($E81&lt;=INDEX($E:$E,MATCH(TRUE,INDEX((ISNUMBER($E:$E)),0),0)))*($E81&gt;INDEX(_xlfn.ANCHORARRAY(Sintesi!$C$14),1,$C81))*($E81&lt;INDEX(_xlfn.ANCHORARRAY(Sintesi!$C$16),1,$C81))*(INDEX(_xlfn.ANCHORARRAY(Sintesi!$C$15),1,$C81)&lt;0)+($E81&gt;=LOOKUP(2,1/($E:$E&lt;&gt;""),$E:$E))*($E81&lt;=INDEX($E:$E,MATCH(TRUE,INDEX((ISNUMBER($E:$E)),0),0)))*($E81&gt;INDEX(_xlfn.ANCHORARRAY(Sintesi!$C$15),1,$C81))*($E81&lt;INDEX(_xlfn.ANCHORARRAY(Sintesi!$C$16),1,$C81))*(INDEX(_xlfn.ANCHORARRAY(Sintesi!$C$15),1,$C81)&gt;0),2,IF($E81=(INDEX(_xlfn.ANCHORARRAY(Sintesi!$C$16),1,$C81)),3,4)))),0)),IF(ISNUMBER($E80),IF($C81&gt;0,IF(($E81=INDEX(_xlfn.ANCHORARRAY(Sintesi!$C$14),1,$C81))*(INDEX(_xlfn.ANCHORARRAY(Sintesi!$C$15),1,$C81)&gt;0),0,IF(($E81=INDEX(_xlfn.ANCHORARRAY(Sintesi!$C$14),1,$C81))*(INDEX(_xlfn.ANCHORARRAY(Sintesi!$C$15),1,$C81)&lt;0)+($E81&gt;=$E80)*($E81&lt;=$E82)*($E81&gt;INDEX(_xlfn.ANCHORARRAY(Sintesi!$C$14),1,$C81))*($E81&lt;=INDEX(_xlfn.ANCHORARRAY(Sintesi!$C$15),1,$C81))*(INDEX(_xlfn.ANCHORARRAY(Sintesi!$C$15),1,$C81)&gt;0),1,IF(($E81&gt;=$E80)*($E81&lt;=$E82)*($E81&gt;INDEX(_xlfn.ANCHORARRAY(Sintesi!$C$14),1,$C81))*($E81&lt;INDEX(_xlfn.ANCHORARRAY(Sintesi!$C$16),1,$C81))*(INDEX(_xlfn.ANCHORARRAY(Sintesi!$C$15),1,$C81)&lt;0)+($E81&gt;=$E80)*($E81&lt;=$E82)*($E81&gt;INDEX(_xlfn.ANCHORARRAY(Sintesi!$C$15),1,$C81))*($E81&lt;INDEX(_xlfn.ANCHORARRAY(Sintesi!$C$16),1,$C81))*(INDEX(_xlfn.ANCHORARRAY(Sintesi!$C$15),1,$C81)&gt;0),2,IF($E81=(INDEX(_xlfn.ANCHORARRAY(Sintesi!$C$16),1,$C81)),3,4)))),0),IF($C81&gt;0,IF(($E81=INDEX(_xlfn.ANCHORARRAY(Sintesi!$C$14),1,$C81))*(INDEX(_xlfn.ANCHORARRAY(Sintesi!$C$15),1,$C81)&gt;0),0,IF(($E81=INDEX(_xlfn.ANCHORARRAY(Sintesi!$C$14),1,$C81))*(INDEX(_xlfn.ANCHORARRAY(Sintesi!$C$15),1,$C81)&lt;0)+($E81&gt;=LOOKUP(2,1/($E:$E&lt;&gt;""),$E:$E))*($E81&lt;=$E82)*($E81&gt;INDEX(_xlfn.ANCHORARRAY(Sintesi!$C$14),1,$C81))*($E81&lt;=INDEX(_xlfn.ANCHORARRAY(Sintesi!$C$15),1,$C81))*(INDEX(_xlfn.ANCHORARRAY(Sintesi!$C$15),1,$C81)&gt;0),1,IF(($E81&gt;=LOOKUP(2,1/($E:$E&lt;&gt;""),$E:$E))*($E81&lt;=$E82)*($E81&gt;INDEX(_xlfn.ANCHORARRAY(Sintesi!$C$14),1,$C81))*($E81&lt;INDEX(_xlfn.ANCHORARRAY(Sintesi!$C$16),1,$C81))*(INDEX(_xlfn.ANCHORARRAY(Sintesi!$C$15),1,$C81)&lt;0)+($E81&gt;=LOOKUP(2,1/($E:$E&lt;&gt;""),$E:$E))*($E81&lt;=$E82)*($E81&gt;INDEX(_xlfn.ANCHORARRAY(Sintesi!$C$15),1,$C81))*($E81&lt;INDEX(_xlfn.ANCHORARRAY(Sintesi!$C$16),1,$C81))*(INDEX(_xlfn.ANCHORARRAY(Sintesi!$C$15),1,$C81)&gt;0),2,IF($E81=(INDEX(_xlfn.ANCHORARRAY(Sintesi!$C$16),1,$C81)),3,4)))),0)))</f>
        <v>0</v>
      </c>
      <c r="E81" s="1">
        <f>'Paste cell here'!F81</f>
        <v>0</v>
      </c>
      <c r="F81" s="1">
        <f>'Paste cell here'!C81</f>
        <v>11.54928093</v>
      </c>
      <c r="G81" s="1">
        <f>'Paste cell here'!D81</f>
        <v>-2.8339963620000002</v>
      </c>
      <c r="H81" s="1">
        <f>'Paste cell here'!E81</f>
        <v>2.0179054019999998</v>
      </c>
      <c r="I81" s="1">
        <f>'Paste cell here'!X81</f>
        <v>0</v>
      </c>
      <c r="J81" s="1">
        <f>'Paste cell here'!Y81+'Paste cell here'!S81</f>
        <v>0</v>
      </c>
      <c r="K81" s="1">
        <f t="shared" si="3"/>
        <v>0</v>
      </c>
      <c r="L81" s="1">
        <f t="shared" si="2"/>
        <v>7.1374541746704212</v>
      </c>
      <c r="M81" s="1" cm="1">
        <f t="array" ref="M81">IF(AND(A81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,A81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),IF(L81&lt;_xlfn.IFNA(INDEX(_xlfn.ANCHORARRAY(Sintesi!$C$17)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,1,IF(L81&gt;=_xlfn.IFNA(INDEX(_xlfn.ANCHORARRAY(Sintesi!$C$18)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,0,1-(L81-_xlfn.IFNA(INDEX(_xlfn.ANCHORARRAY(Sintesi!$C$17)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)/(_xlfn.IFNA(INDEX(_xlfn.ANCHORARRAY(Sintesi!$C$18)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-_xlfn.IFNA(INDEX(_xlfn.ANCHORARRAY(Sintesi!$C$17),1,MATCH(1,(_xlfn.ANCHORARRAY(Sintesi!$C$9)&gt;_xlfn.ANCHORARRAY(Sintesi!$C$10))*(A80&gt;=_xlfn.ANCHORARRAY(Sintesi!$C$9))+(_xlfn.ANCHORARRAY(Sintesi!$C$9)&gt;_xlfn.ANCHORARRAY(Sintesi!$C$10))*(A80&lt;=_xlfn.ANCHORARRAY(Sintesi!$C$10))+(_xlfn.ANCHORARRAY(Sintesi!$C$9)&lt;_xlfn.ANCHORARRAY(Sintesi!$C$10))*(A80&gt;=_xlfn.ANCHORARRAY(Sintesi!$C$9))*(A80&lt;=_xlfn.ANCHORARRAY(Sintesi!$C$10)),0)),0)))),0)</f>
        <v>0</v>
      </c>
    </row>
    <row r="82" spans="1:13">
      <c r="A82" s="1">
        <f>'Paste cell here'!A82</f>
        <v>81</v>
      </c>
      <c r="B82" s="2">
        <f>DATE(Sintesi!$C$4-1,12,31)+A82</f>
        <v>44277</v>
      </c>
      <c r="C82" s="34" cm="1">
        <f t="array" ref="C82">_xlfn.IFNA(MATCH(1,(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)*(_xlfn.ANCHORARRAY(Sintesi!$C$15)&gt;=0)+(_xlfn.ANCHORARRAY(Sintesi!$C$15)&lt;0),0),0)</f>
        <v>0</v>
      </c>
      <c r="D82" s="1" cm="1">
        <f t="array" ref="D82">IF(ISBLANK($E83),IF(ISNUMBER($E81),IF($C82&gt;0,IF(($E82=INDEX(_xlfn.ANCHORARRAY(Sintesi!$C$14),1,$C82))*(INDEX(_xlfn.ANCHORARRAY(Sintesi!$C$15),1,$C82)&gt;0),0,IF(($E82=INDEX(_xlfn.ANCHORARRAY(Sintesi!$C$14),1,$C82))*(INDEX(_xlfn.ANCHORARRAY(Sintesi!$C$15),1,$C82)&lt;0)+($E82&gt;=$E81)*($E82&lt;=INDEX($E:$E,MATCH(TRUE,INDEX((ISNUMBER($E:$E)),0),0)))*($E82&gt;INDEX(_xlfn.ANCHORARRAY(Sintesi!$C$14),1,$C82))*($E82&lt;=INDEX(_xlfn.ANCHORARRAY(Sintesi!$C$15),1,$C82))*(INDEX(_xlfn.ANCHORARRAY(Sintesi!$C$15),1,$C82)&gt;0),1,IF(($E82&gt;=$E81)*($E82&lt;=INDEX($E:$E,MATCH(TRUE,INDEX((ISNUMBER($E:$E)),0),0)))*($E82&gt;INDEX(_xlfn.ANCHORARRAY(Sintesi!$C$14),1,$C82))*($E82&lt;INDEX(_xlfn.ANCHORARRAY(Sintesi!$C$16),1,$C82))*(INDEX(_xlfn.ANCHORARRAY(Sintesi!$C$15),1,$C82)&lt;0)+($E82&gt;=$E81)*($E82&lt;=INDEX($E:$E,MATCH(TRUE,INDEX((ISNUMBER($E:$E)),0),0)))*($E82&gt;INDEX(_xlfn.ANCHORARRAY(Sintesi!$C$15),1,$C82))*($E82&lt;INDEX(_xlfn.ANCHORARRAY(Sintesi!$C$16),1,$C82))*(INDEX(_xlfn.ANCHORARRAY(Sintesi!$C$15),1,$C82)&gt;0),2,IF($E82=(INDEX(_xlfn.ANCHORARRAY(Sintesi!$C$16),1,$C82)),3,4)))),0),IF($C82&gt;0,IF(($E82=INDEX(_xlfn.ANCHORARRAY(Sintesi!$C$14),1,$C82))*(INDEX(_xlfn.ANCHORARRAY(Sintesi!$C$15),1,$C82)&gt;0),0,IF(($E82=INDEX(_xlfn.ANCHORARRAY(Sintesi!$C$14),1,$C82))*(INDEX(_xlfn.ANCHORARRAY(Sintesi!$C$15),1,$C82)&lt;0)+($E82&gt;=LOOKUP(2,1/($E:$E&lt;&gt;""),$E:$E))*($E82&lt;=INDEX($E:$E,MATCH(TRUE,INDEX((ISNUMBER($E:$E)),0),0)))*($E82&gt;INDEX(_xlfn.ANCHORARRAY(Sintesi!$C$14),1,$C82))*($E82&lt;=INDEX(_xlfn.ANCHORARRAY(Sintesi!$C$15),1,$C82))*(INDEX(_xlfn.ANCHORARRAY(Sintesi!$C$15),1,$C82)&gt;0),1,IF(($E82&gt;=LOOKUP(2,1/($E:$E&lt;&gt;""),$E:$E))*($E82&lt;=INDEX($E:$E,MATCH(TRUE,INDEX((ISNUMBER($E:$E)),0),0)))*($E82&gt;INDEX(_xlfn.ANCHORARRAY(Sintesi!$C$14),1,$C82))*($E82&lt;INDEX(_xlfn.ANCHORARRAY(Sintesi!$C$16),1,$C82))*(INDEX(_xlfn.ANCHORARRAY(Sintesi!$C$15),1,$C82)&lt;0)+($E82&gt;=LOOKUP(2,1/($E:$E&lt;&gt;""),$E:$E))*($E82&lt;=INDEX($E:$E,MATCH(TRUE,INDEX((ISNUMBER($E:$E)),0),0)))*($E82&gt;INDEX(_xlfn.ANCHORARRAY(Sintesi!$C$15),1,$C82))*($E82&lt;INDEX(_xlfn.ANCHORARRAY(Sintesi!$C$16),1,$C82))*(INDEX(_xlfn.ANCHORARRAY(Sintesi!$C$15),1,$C82)&gt;0),2,IF($E82=(INDEX(_xlfn.ANCHORARRAY(Sintesi!$C$16),1,$C82)),3,4)))),0)),IF(ISNUMBER($E81),IF($C82&gt;0,IF(($E82=INDEX(_xlfn.ANCHORARRAY(Sintesi!$C$14),1,$C82))*(INDEX(_xlfn.ANCHORARRAY(Sintesi!$C$15),1,$C82)&gt;0),0,IF(($E82=INDEX(_xlfn.ANCHORARRAY(Sintesi!$C$14),1,$C82))*(INDEX(_xlfn.ANCHORARRAY(Sintesi!$C$15),1,$C82)&lt;0)+($E82&gt;=$E81)*($E82&lt;=$E83)*($E82&gt;INDEX(_xlfn.ANCHORARRAY(Sintesi!$C$14),1,$C82))*($E82&lt;=INDEX(_xlfn.ANCHORARRAY(Sintesi!$C$15),1,$C82))*(INDEX(_xlfn.ANCHORARRAY(Sintesi!$C$15),1,$C82)&gt;0),1,IF(($E82&gt;=$E81)*($E82&lt;=$E83)*($E82&gt;INDEX(_xlfn.ANCHORARRAY(Sintesi!$C$14),1,$C82))*($E82&lt;INDEX(_xlfn.ANCHORARRAY(Sintesi!$C$16),1,$C82))*(INDEX(_xlfn.ANCHORARRAY(Sintesi!$C$15),1,$C82)&lt;0)+($E82&gt;=$E81)*($E82&lt;=$E83)*($E82&gt;INDEX(_xlfn.ANCHORARRAY(Sintesi!$C$15),1,$C82))*($E82&lt;INDEX(_xlfn.ANCHORARRAY(Sintesi!$C$16),1,$C82))*(INDEX(_xlfn.ANCHORARRAY(Sintesi!$C$15),1,$C82)&gt;0),2,IF($E82=(INDEX(_xlfn.ANCHORARRAY(Sintesi!$C$16),1,$C82)),3,4)))),0),IF($C82&gt;0,IF(($E82=INDEX(_xlfn.ANCHORARRAY(Sintesi!$C$14),1,$C82))*(INDEX(_xlfn.ANCHORARRAY(Sintesi!$C$15),1,$C82)&gt;0),0,IF(($E82=INDEX(_xlfn.ANCHORARRAY(Sintesi!$C$14),1,$C82))*(INDEX(_xlfn.ANCHORARRAY(Sintesi!$C$15),1,$C82)&lt;0)+($E82&gt;=LOOKUP(2,1/($E:$E&lt;&gt;""),$E:$E))*($E82&lt;=$E83)*($E82&gt;INDEX(_xlfn.ANCHORARRAY(Sintesi!$C$14),1,$C82))*($E82&lt;=INDEX(_xlfn.ANCHORARRAY(Sintesi!$C$15),1,$C82))*(INDEX(_xlfn.ANCHORARRAY(Sintesi!$C$15),1,$C82)&gt;0),1,IF(($E82&gt;=LOOKUP(2,1/($E:$E&lt;&gt;""),$E:$E))*($E82&lt;=$E83)*($E82&gt;INDEX(_xlfn.ANCHORARRAY(Sintesi!$C$14),1,$C82))*($E82&lt;INDEX(_xlfn.ANCHORARRAY(Sintesi!$C$16),1,$C82))*(INDEX(_xlfn.ANCHORARRAY(Sintesi!$C$15),1,$C82)&lt;0)+($E82&gt;=LOOKUP(2,1/($E:$E&lt;&gt;""),$E:$E))*($E82&lt;=$E83)*($E82&gt;INDEX(_xlfn.ANCHORARRAY(Sintesi!$C$15),1,$C82))*($E82&lt;INDEX(_xlfn.ANCHORARRAY(Sintesi!$C$16),1,$C82))*(INDEX(_xlfn.ANCHORARRAY(Sintesi!$C$15),1,$C82)&gt;0),2,IF($E82=(INDEX(_xlfn.ANCHORARRAY(Sintesi!$C$16),1,$C82)),3,4)))),0)))</f>
        <v>0</v>
      </c>
      <c r="E82" s="1">
        <f>'Paste cell here'!F82</f>
        <v>0</v>
      </c>
      <c r="F82" s="1">
        <f>'Paste cell here'!C82</f>
        <v>16.974543870000002</v>
      </c>
      <c r="G82" s="1">
        <f>'Paste cell here'!D82</f>
        <v>-2.9265326429999998</v>
      </c>
      <c r="H82" s="1">
        <f>'Paste cell here'!E82</f>
        <v>2.538185168</v>
      </c>
      <c r="I82" s="1">
        <f>'Paste cell here'!X82</f>
        <v>0</v>
      </c>
      <c r="J82" s="1">
        <f>'Paste cell here'!Y82+'Paste cell here'!S82</f>
        <v>0</v>
      </c>
      <c r="K82" s="1">
        <f t="shared" si="3"/>
        <v>0</v>
      </c>
      <c r="L82" s="1">
        <f t="shared" si="2"/>
        <v>10.87022563727365</v>
      </c>
      <c r="M82" s="1" cm="1">
        <f t="array" ref="M82">IF(AND(A82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,A82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),IF(L82&lt;_xlfn.IFNA(INDEX(_xlfn.ANCHORARRAY(Sintesi!$C$17)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,1,IF(L82&gt;=_xlfn.IFNA(INDEX(_xlfn.ANCHORARRAY(Sintesi!$C$18)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,0,1-(L82-_xlfn.IFNA(INDEX(_xlfn.ANCHORARRAY(Sintesi!$C$17)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)/(_xlfn.IFNA(INDEX(_xlfn.ANCHORARRAY(Sintesi!$C$18)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-_xlfn.IFNA(INDEX(_xlfn.ANCHORARRAY(Sintesi!$C$17),1,MATCH(1,(_xlfn.ANCHORARRAY(Sintesi!$C$9)&gt;_xlfn.ANCHORARRAY(Sintesi!$C$10))*(A81&gt;=_xlfn.ANCHORARRAY(Sintesi!$C$9))+(_xlfn.ANCHORARRAY(Sintesi!$C$9)&gt;_xlfn.ANCHORARRAY(Sintesi!$C$10))*(A81&lt;=_xlfn.ANCHORARRAY(Sintesi!$C$10))+(_xlfn.ANCHORARRAY(Sintesi!$C$9)&lt;_xlfn.ANCHORARRAY(Sintesi!$C$10))*(A81&gt;=_xlfn.ANCHORARRAY(Sintesi!$C$9))*(A81&lt;=_xlfn.ANCHORARRAY(Sintesi!$C$10)),0)),0)))),0)</f>
        <v>0</v>
      </c>
    </row>
    <row r="83" spans="1:13">
      <c r="A83" s="1">
        <f>'Paste cell here'!A83</f>
        <v>82</v>
      </c>
      <c r="B83" s="2">
        <f>DATE(Sintesi!$C$4-1,12,31)+A83</f>
        <v>44278</v>
      </c>
      <c r="C83" s="34" cm="1">
        <f t="array" ref="C83">_xlfn.IFNA(MATCH(1,(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)*(_xlfn.ANCHORARRAY(Sintesi!$C$15)&gt;=0)+(_xlfn.ANCHORARRAY(Sintesi!$C$15)&lt;0),0),0)</f>
        <v>0</v>
      </c>
      <c r="D83" s="1" cm="1">
        <f t="array" ref="D83">IF(ISBLANK($E84),IF(ISNUMBER($E82),IF($C83&gt;0,IF(($E83=INDEX(_xlfn.ANCHORARRAY(Sintesi!$C$14),1,$C83))*(INDEX(_xlfn.ANCHORARRAY(Sintesi!$C$15),1,$C83)&gt;0),0,IF(($E83=INDEX(_xlfn.ANCHORARRAY(Sintesi!$C$14),1,$C83))*(INDEX(_xlfn.ANCHORARRAY(Sintesi!$C$15),1,$C83)&lt;0)+($E83&gt;=$E82)*($E83&lt;=INDEX($E:$E,MATCH(TRUE,INDEX((ISNUMBER($E:$E)),0),0)))*($E83&gt;INDEX(_xlfn.ANCHORARRAY(Sintesi!$C$14),1,$C83))*($E83&lt;=INDEX(_xlfn.ANCHORARRAY(Sintesi!$C$15),1,$C83))*(INDEX(_xlfn.ANCHORARRAY(Sintesi!$C$15),1,$C83)&gt;0),1,IF(($E83&gt;=$E82)*($E83&lt;=INDEX($E:$E,MATCH(TRUE,INDEX((ISNUMBER($E:$E)),0),0)))*($E83&gt;INDEX(_xlfn.ANCHORARRAY(Sintesi!$C$14),1,$C83))*($E83&lt;INDEX(_xlfn.ANCHORARRAY(Sintesi!$C$16),1,$C83))*(INDEX(_xlfn.ANCHORARRAY(Sintesi!$C$15),1,$C83)&lt;0)+($E83&gt;=$E82)*($E83&lt;=INDEX($E:$E,MATCH(TRUE,INDEX((ISNUMBER($E:$E)),0),0)))*($E83&gt;INDEX(_xlfn.ANCHORARRAY(Sintesi!$C$15),1,$C83))*($E83&lt;INDEX(_xlfn.ANCHORARRAY(Sintesi!$C$16),1,$C83))*(INDEX(_xlfn.ANCHORARRAY(Sintesi!$C$15),1,$C83)&gt;0),2,IF($E83=(INDEX(_xlfn.ANCHORARRAY(Sintesi!$C$16),1,$C83)),3,4)))),0),IF($C83&gt;0,IF(($E83=INDEX(_xlfn.ANCHORARRAY(Sintesi!$C$14),1,$C83))*(INDEX(_xlfn.ANCHORARRAY(Sintesi!$C$15),1,$C83)&gt;0),0,IF(($E83=INDEX(_xlfn.ANCHORARRAY(Sintesi!$C$14),1,$C83))*(INDEX(_xlfn.ANCHORARRAY(Sintesi!$C$15),1,$C83)&lt;0)+($E83&gt;=LOOKUP(2,1/($E:$E&lt;&gt;""),$E:$E))*($E83&lt;=INDEX($E:$E,MATCH(TRUE,INDEX((ISNUMBER($E:$E)),0),0)))*($E83&gt;INDEX(_xlfn.ANCHORARRAY(Sintesi!$C$14),1,$C83))*($E83&lt;=INDEX(_xlfn.ANCHORARRAY(Sintesi!$C$15),1,$C83))*(INDEX(_xlfn.ANCHORARRAY(Sintesi!$C$15),1,$C83)&gt;0),1,IF(($E83&gt;=LOOKUP(2,1/($E:$E&lt;&gt;""),$E:$E))*($E83&lt;=INDEX($E:$E,MATCH(TRUE,INDEX((ISNUMBER($E:$E)),0),0)))*($E83&gt;INDEX(_xlfn.ANCHORARRAY(Sintesi!$C$14),1,$C83))*($E83&lt;INDEX(_xlfn.ANCHORARRAY(Sintesi!$C$16),1,$C83))*(INDEX(_xlfn.ANCHORARRAY(Sintesi!$C$15),1,$C83)&lt;0)+($E83&gt;=LOOKUP(2,1/($E:$E&lt;&gt;""),$E:$E))*($E83&lt;=INDEX($E:$E,MATCH(TRUE,INDEX((ISNUMBER($E:$E)),0),0)))*($E83&gt;INDEX(_xlfn.ANCHORARRAY(Sintesi!$C$15),1,$C83))*($E83&lt;INDEX(_xlfn.ANCHORARRAY(Sintesi!$C$16),1,$C83))*(INDEX(_xlfn.ANCHORARRAY(Sintesi!$C$15),1,$C83)&gt;0),2,IF($E83=(INDEX(_xlfn.ANCHORARRAY(Sintesi!$C$16),1,$C83)),3,4)))),0)),IF(ISNUMBER($E82),IF($C83&gt;0,IF(($E83=INDEX(_xlfn.ANCHORARRAY(Sintesi!$C$14),1,$C83))*(INDEX(_xlfn.ANCHORARRAY(Sintesi!$C$15),1,$C83)&gt;0),0,IF(($E83=INDEX(_xlfn.ANCHORARRAY(Sintesi!$C$14),1,$C83))*(INDEX(_xlfn.ANCHORARRAY(Sintesi!$C$15),1,$C83)&lt;0)+($E83&gt;=$E82)*($E83&lt;=$E84)*($E83&gt;INDEX(_xlfn.ANCHORARRAY(Sintesi!$C$14),1,$C83))*($E83&lt;=INDEX(_xlfn.ANCHORARRAY(Sintesi!$C$15),1,$C83))*(INDEX(_xlfn.ANCHORARRAY(Sintesi!$C$15),1,$C83)&gt;0),1,IF(($E83&gt;=$E82)*($E83&lt;=$E84)*($E83&gt;INDEX(_xlfn.ANCHORARRAY(Sintesi!$C$14),1,$C83))*($E83&lt;INDEX(_xlfn.ANCHORARRAY(Sintesi!$C$16),1,$C83))*(INDEX(_xlfn.ANCHORARRAY(Sintesi!$C$15),1,$C83)&lt;0)+($E83&gt;=$E82)*($E83&lt;=$E84)*($E83&gt;INDEX(_xlfn.ANCHORARRAY(Sintesi!$C$15),1,$C83))*($E83&lt;INDEX(_xlfn.ANCHORARRAY(Sintesi!$C$16),1,$C83))*(INDEX(_xlfn.ANCHORARRAY(Sintesi!$C$15),1,$C83)&gt;0),2,IF($E83=(INDEX(_xlfn.ANCHORARRAY(Sintesi!$C$16),1,$C83)),3,4)))),0),IF($C83&gt;0,IF(($E83=INDEX(_xlfn.ANCHORARRAY(Sintesi!$C$14),1,$C83))*(INDEX(_xlfn.ANCHORARRAY(Sintesi!$C$15),1,$C83)&gt;0),0,IF(($E83=INDEX(_xlfn.ANCHORARRAY(Sintesi!$C$14),1,$C83))*(INDEX(_xlfn.ANCHORARRAY(Sintesi!$C$15),1,$C83)&lt;0)+($E83&gt;=LOOKUP(2,1/($E:$E&lt;&gt;""),$E:$E))*($E83&lt;=$E84)*($E83&gt;INDEX(_xlfn.ANCHORARRAY(Sintesi!$C$14),1,$C83))*($E83&lt;=INDEX(_xlfn.ANCHORARRAY(Sintesi!$C$15),1,$C83))*(INDEX(_xlfn.ANCHORARRAY(Sintesi!$C$15),1,$C83)&gt;0),1,IF(($E83&gt;=LOOKUP(2,1/($E:$E&lt;&gt;""),$E:$E))*($E83&lt;=$E84)*($E83&gt;INDEX(_xlfn.ANCHORARRAY(Sintesi!$C$14),1,$C83))*($E83&lt;INDEX(_xlfn.ANCHORARRAY(Sintesi!$C$16),1,$C83))*(INDEX(_xlfn.ANCHORARRAY(Sintesi!$C$15),1,$C83)&lt;0)+($E83&gt;=LOOKUP(2,1/($E:$E&lt;&gt;""),$E:$E))*($E83&lt;=$E84)*($E83&gt;INDEX(_xlfn.ANCHORARRAY(Sintesi!$C$15),1,$C83))*($E83&lt;INDEX(_xlfn.ANCHORARRAY(Sintesi!$C$16),1,$C83))*(INDEX(_xlfn.ANCHORARRAY(Sintesi!$C$15),1,$C83)&gt;0),2,IF($E83=(INDEX(_xlfn.ANCHORARRAY(Sintesi!$C$16),1,$C83)),3,4)))),0)))</f>
        <v>0</v>
      </c>
      <c r="E83" s="1">
        <f>'Paste cell here'!F83</f>
        <v>0</v>
      </c>
      <c r="F83" s="1">
        <f>'Paste cell here'!C83</f>
        <v>15.574543869999999</v>
      </c>
      <c r="G83" s="1">
        <f>'Paste cell here'!D83</f>
        <v>1.481553892</v>
      </c>
      <c r="H83" s="1">
        <f>'Paste cell here'!E83</f>
        <v>2.7555368919999998</v>
      </c>
      <c r="I83" s="1">
        <f>'Paste cell here'!X83</f>
        <v>0</v>
      </c>
      <c r="J83" s="1">
        <f>'Paste cell here'!Y83+'Paste cell here'!S83</f>
        <v>0</v>
      </c>
      <c r="K83" s="1">
        <f t="shared" si="3"/>
        <v>0</v>
      </c>
      <c r="L83" s="1">
        <f t="shared" si="2"/>
        <v>11.251757832765335</v>
      </c>
      <c r="M83" s="1" cm="1">
        <f t="array" ref="M83">IF(AND(A83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,A83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),IF(L83&lt;_xlfn.IFNA(INDEX(_xlfn.ANCHORARRAY(Sintesi!$C$17)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,1,IF(L83&gt;=_xlfn.IFNA(INDEX(_xlfn.ANCHORARRAY(Sintesi!$C$18)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,0,1-(L83-_xlfn.IFNA(INDEX(_xlfn.ANCHORARRAY(Sintesi!$C$17)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)/(_xlfn.IFNA(INDEX(_xlfn.ANCHORARRAY(Sintesi!$C$18)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-_xlfn.IFNA(INDEX(_xlfn.ANCHORARRAY(Sintesi!$C$17),1,MATCH(1,(_xlfn.ANCHORARRAY(Sintesi!$C$9)&gt;_xlfn.ANCHORARRAY(Sintesi!$C$10))*(A82&gt;=_xlfn.ANCHORARRAY(Sintesi!$C$9))+(_xlfn.ANCHORARRAY(Sintesi!$C$9)&gt;_xlfn.ANCHORARRAY(Sintesi!$C$10))*(A82&lt;=_xlfn.ANCHORARRAY(Sintesi!$C$10))+(_xlfn.ANCHORARRAY(Sintesi!$C$9)&lt;_xlfn.ANCHORARRAY(Sintesi!$C$10))*(A82&gt;=_xlfn.ANCHORARRAY(Sintesi!$C$9))*(A82&lt;=_xlfn.ANCHORARRAY(Sintesi!$C$10)),0)),0)))),0)</f>
        <v>0</v>
      </c>
    </row>
    <row r="84" spans="1:13">
      <c r="A84" s="1">
        <f>'Paste cell here'!A84</f>
        <v>83</v>
      </c>
      <c r="B84" s="2">
        <f>DATE(Sintesi!$C$4-1,12,31)+A84</f>
        <v>44279</v>
      </c>
      <c r="C84" s="34" cm="1">
        <f t="array" ref="C84">_xlfn.IFNA(MATCH(1,(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)*(_xlfn.ANCHORARRAY(Sintesi!$C$15)&gt;=0)+(_xlfn.ANCHORARRAY(Sintesi!$C$15)&lt;0),0),0)</f>
        <v>0</v>
      </c>
      <c r="D84" s="1" cm="1">
        <f t="array" ref="D84">IF(ISBLANK($E85),IF(ISNUMBER($E83),IF($C84&gt;0,IF(($E84=INDEX(_xlfn.ANCHORARRAY(Sintesi!$C$14),1,$C84))*(INDEX(_xlfn.ANCHORARRAY(Sintesi!$C$15),1,$C84)&gt;0),0,IF(($E84=INDEX(_xlfn.ANCHORARRAY(Sintesi!$C$14),1,$C84))*(INDEX(_xlfn.ANCHORARRAY(Sintesi!$C$15),1,$C84)&lt;0)+($E84&gt;=$E83)*($E84&lt;=INDEX($E:$E,MATCH(TRUE,INDEX((ISNUMBER($E:$E)),0),0)))*($E84&gt;INDEX(_xlfn.ANCHORARRAY(Sintesi!$C$14),1,$C84))*($E84&lt;=INDEX(_xlfn.ANCHORARRAY(Sintesi!$C$15),1,$C84))*(INDEX(_xlfn.ANCHORARRAY(Sintesi!$C$15),1,$C84)&gt;0),1,IF(($E84&gt;=$E83)*($E84&lt;=INDEX($E:$E,MATCH(TRUE,INDEX((ISNUMBER($E:$E)),0),0)))*($E84&gt;INDEX(_xlfn.ANCHORARRAY(Sintesi!$C$14),1,$C84))*($E84&lt;INDEX(_xlfn.ANCHORARRAY(Sintesi!$C$16),1,$C84))*(INDEX(_xlfn.ANCHORARRAY(Sintesi!$C$15),1,$C84)&lt;0)+($E84&gt;=$E83)*($E84&lt;=INDEX($E:$E,MATCH(TRUE,INDEX((ISNUMBER($E:$E)),0),0)))*($E84&gt;INDEX(_xlfn.ANCHORARRAY(Sintesi!$C$15),1,$C84))*($E84&lt;INDEX(_xlfn.ANCHORARRAY(Sintesi!$C$16),1,$C84))*(INDEX(_xlfn.ANCHORARRAY(Sintesi!$C$15),1,$C84)&gt;0),2,IF($E84=(INDEX(_xlfn.ANCHORARRAY(Sintesi!$C$16),1,$C84)),3,4)))),0),IF($C84&gt;0,IF(($E84=INDEX(_xlfn.ANCHORARRAY(Sintesi!$C$14),1,$C84))*(INDEX(_xlfn.ANCHORARRAY(Sintesi!$C$15),1,$C84)&gt;0),0,IF(($E84=INDEX(_xlfn.ANCHORARRAY(Sintesi!$C$14),1,$C84))*(INDEX(_xlfn.ANCHORARRAY(Sintesi!$C$15),1,$C84)&lt;0)+($E84&gt;=LOOKUP(2,1/($E:$E&lt;&gt;""),$E:$E))*($E84&lt;=INDEX($E:$E,MATCH(TRUE,INDEX((ISNUMBER($E:$E)),0),0)))*($E84&gt;INDEX(_xlfn.ANCHORARRAY(Sintesi!$C$14),1,$C84))*($E84&lt;=INDEX(_xlfn.ANCHORARRAY(Sintesi!$C$15),1,$C84))*(INDEX(_xlfn.ANCHORARRAY(Sintesi!$C$15),1,$C84)&gt;0),1,IF(($E84&gt;=LOOKUP(2,1/($E:$E&lt;&gt;""),$E:$E))*($E84&lt;=INDEX($E:$E,MATCH(TRUE,INDEX((ISNUMBER($E:$E)),0),0)))*($E84&gt;INDEX(_xlfn.ANCHORARRAY(Sintesi!$C$14),1,$C84))*($E84&lt;INDEX(_xlfn.ANCHORARRAY(Sintesi!$C$16),1,$C84))*(INDEX(_xlfn.ANCHORARRAY(Sintesi!$C$15),1,$C84)&lt;0)+($E84&gt;=LOOKUP(2,1/($E:$E&lt;&gt;""),$E:$E))*($E84&lt;=INDEX($E:$E,MATCH(TRUE,INDEX((ISNUMBER($E:$E)),0),0)))*($E84&gt;INDEX(_xlfn.ANCHORARRAY(Sintesi!$C$15),1,$C84))*($E84&lt;INDEX(_xlfn.ANCHORARRAY(Sintesi!$C$16),1,$C84))*(INDEX(_xlfn.ANCHORARRAY(Sintesi!$C$15),1,$C84)&gt;0),2,IF($E84=(INDEX(_xlfn.ANCHORARRAY(Sintesi!$C$16),1,$C84)),3,4)))),0)),IF(ISNUMBER($E83),IF($C84&gt;0,IF(($E84=INDEX(_xlfn.ANCHORARRAY(Sintesi!$C$14),1,$C84))*(INDEX(_xlfn.ANCHORARRAY(Sintesi!$C$15),1,$C84)&gt;0),0,IF(($E84=INDEX(_xlfn.ANCHORARRAY(Sintesi!$C$14),1,$C84))*(INDEX(_xlfn.ANCHORARRAY(Sintesi!$C$15),1,$C84)&lt;0)+($E84&gt;=$E83)*($E84&lt;=$E85)*($E84&gt;INDEX(_xlfn.ANCHORARRAY(Sintesi!$C$14),1,$C84))*($E84&lt;=INDEX(_xlfn.ANCHORARRAY(Sintesi!$C$15),1,$C84))*(INDEX(_xlfn.ANCHORARRAY(Sintesi!$C$15),1,$C84)&gt;0),1,IF(($E84&gt;=$E83)*($E84&lt;=$E85)*($E84&gt;INDEX(_xlfn.ANCHORARRAY(Sintesi!$C$14),1,$C84))*($E84&lt;INDEX(_xlfn.ANCHORARRAY(Sintesi!$C$16),1,$C84))*(INDEX(_xlfn.ANCHORARRAY(Sintesi!$C$15),1,$C84)&lt;0)+($E84&gt;=$E83)*($E84&lt;=$E85)*($E84&gt;INDEX(_xlfn.ANCHORARRAY(Sintesi!$C$15),1,$C84))*($E84&lt;INDEX(_xlfn.ANCHORARRAY(Sintesi!$C$16),1,$C84))*(INDEX(_xlfn.ANCHORARRAY(Sintesi!$C$15),1,$C84)&gt;0),2,IF($E84=(INDEX(_xlfn.ANCHORARRAY(Sintesi!$C$16),1,$C84)),3,4)))),0),IF($C84&gt;0,IF(($E84=INDEX(_xlfn.ANCHORARRAY(Sintesi!$C$14),1,$C84))*(INDEX(_xlfn.ANCHORARRAY(Sintesi!$C$15),1,$C84)&gt;0),0,IF(($E84=INDEX(_xlfn.ANCHORARRAY(Sintesi!$C$14),1,$C84))*(INDEX(_xlfn.ANCHORARRAY(Sintesi!$C$15),1,$C84)&lt;0)+($E84&gt;=LOOKUP(2,1/($E:$E&lt;&gt;""),$E:$E))*($E84&lt;=$E85)*($E84&gt;INDEX(_xlfn.ANCHORARRAY(Sintesi!$C$14),1,$C84))*($E84&lt;=INDEX(_xlfn.ANCHORARRAY(Sintesi!$C$15),1,$C84))*(INDEX(_xlfn.ANCHORARRAY(Sintesi!$C$15),1,$C84)&gt;0),1,IF(($E84&gt;=LOOKUP(2,1/($E:$E&lt;&gt;""),$E:$E))*($E84&lt;=$E85)*($E84&gt;INDEX(_xlfn.ANCHORARRAY(Sintesi!$C$14),1,$C84))*($E84&lt;INDEX(_xlfn.ANCHORARRAY(Sintesi!$C$16),1,$C84))*(INDEX(_xlfn.ANCHORARRAY(Sintesi!$C$15),1,$C84)&lt;0)+($E84&gt;=LOOKUP(2,1/($E:$E&lt;&gt;""),$E:$E))*($E84&lt;=$E85)*($E84&gt;INDEX(_xlfn.ANCHORARRAY(Sintesi!$C$15),1,$C84))*($E84&lt;INDEX(_xlfn.ANCHORARRAY(Sintesi!$C$16),1,$C84))*(INDEX(_xlfn.ANCHORARRAY(Sintesi!$C$15),1,$C84)&gt;0),2,IF($E84=(INDEX(_xlfn.ANCHORARRAY(Sintesi!$C$16),1,$C84)),3,4)))),0)))</f>
        <v>0</v>
      </c>
      <c r="E84" s="1">
        <f>'Paste cell here'!F84</f>
        <v>0</v>
      </c>
      <c r="F84" s="1">
        <f>'Paste cell here'!C84</f>
        <v>18.846074699999999</v>
      </c>
      <c r="G84" s="1">
        <f>'Paste cell here'!D84</f>
        <v>0.37666004199999997</v>
      </c>
      <c r="H84" s="1">
        <f>'Paste cell here'!E84</f>
        <v>2.6206451240000002</v>
      </c>
      <c r="I84" s="1">
        <f>'Paste cell here'!X84</f>
        <v>0</v>
      </c>
      <c r="J84" s="1">
        <f>'Paste cell here'!Y84+'Paste cell here'!S84</f>
        <v>0</v>
      </c>
      <c r="K84" s="1">
        <f t="shared" si="3"/>
        <v>0</v>
      </c>
      <c r="L84" s="1">
        <f t="shared" si="2"/>
        <v>13.180894498769915</v>
      </c>
      <c r="M84" s="1" cm="1">
        <f t="array" ref="M84">IF(AND(A84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,A84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),IF(L84&lt;_xlfn.IFNA(INDEX(_xlfn.ANCHORARRAY(Sintesi!$C$17)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,1,IF(L84&gt;=_xlfn.IFNA(INDEX(_xlfn.ANCHORARRAY(Sintesi!$C$18)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,0,1-(L84-_xlfn.IFNA(INDEX(_xlfn.ANCHORARRAY(Sintesi!$C$17)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)/(_xlfn.IFNA(INDEX(_xlfn.ANCHORARRAY(Sintesi!$C$18)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-_xlfn.IFNA(INDEX(_xlfn.ANCHORARRAY(Sintesi!$C$17),1,MATCH(1,(_xlfn.ANCHORARRAY(Sintesi!$C$9)&gt;_xlfn.ANCHORARRAY(Sintesi!$C$10))*(A83&gt;=_xlfn.ANCHORARRAY(Sintesi!$C$9))+(_xlfn.ANCHORARRAY(Sintesi!$C$9)&gt;_xlfn.ANCHORARRAY(Sintesi!$C$10))*(A83&lt;=_xlfn.ANCHORARRAY(Sintesi!$C$10))+(_xlfn.ANCHORARRAY(Sintesi!$C$9)&lt;_xlfn.ANCHORARRAY(Sintesi!$C$10))*(A83&gt;=_xlfn.ANCHORARRAY(Sintesi!$C$9))*(A83&lt;=_xlfn.ANCHORARRAY(Sintesi!$C$10)),0)),0)))),0)</f>
        <v>0</v>
      </c>
    </row>
    <row r="85" spans="1:13">
      <c r="A85" s="1">
        <f>'Paste cell here'!A85</f>
        <v>84</v>
      </c>
      <c r="B85" s="2">
        <f>DATE(Sintesi!$C$4-1,12,31)+A85</f>
        <v>44280</v>
      </c>
      <c r="C85" s="34" cm="1">
        <f t="array" ref="C85">_xlfn.IFNA(MATCH(1,(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)*(_xlfn.ANCHORARRAY(Sintesi!$C$15)&gt;=0)+(_xlfn.ANCHORARRAY(Sintesi!$C$15)&lt;0),0),0)</f>
        <v>0</v>
      </c>
      <c r="D85" s="1" cm="1">
        <f t="array" ref="D85">IF(ISBLANK($E86),IF(ISNUMBER($E84),IF($C85&gt;0,IF(($E85=INDEX(_xlfn.ANCHORARRAY(Sintesi!$C$14),1,$C85))*(INDEX(_xlfn.ANCHORARRAY(Sintesi!$C$15),1,$C85)&gt;0),0,IF(($E85=INDEX(_xlfn.ANCHORARRAY(Sintesi!$C$14),1,$C85))*(INDEX(_xlfn.ANCHORARRAY(Sintesi!$C$15),1,$C85)&lt;0)+($E85&gt;=$E84)*($E85&lt;=INDEX($E:$E,MATCH(TRUE,INDEX((ISNUMBER($E:$E)),0),0)))*($E85&gt;INDEX(_xlfn.ANCHORARRAY(Sintesi!$C$14),1,$C85))*($E85&lt;=INDEX(_xlfn.ANCHORARRAY(Sintesi!$C$15),1,$C85))*(INDEX(_xlfn.ANCHORARRAY(Sintesi!$C$15),1,$C85)&gt;0),1,IF(($E85&gt;=$E84)*($E85&lt;=INDEX($E:$E,MATCH(TRUE,INDEX((ISNUMBER($E:$E)),0),0)))*($E85&gt;INDEX(_xlfn.ANCHORARRAY(Sintesi!$C$14),1,$C85))*($E85&lt;INDEX(_xlfn.ANCHORARRAY(Sintesi!$C$16),1,$C85))*(INDEX(_xlfn.ANCHORARRAY(Sintesi!$C$15),1,$C85)&lt;0)+($E85&gt;=$E84)*($E85&lt;=INDEX($E:$E,MATCH(TRUE,INDEX((ISNUMBER($E:$E)),0),0)))*($E85&gt;INDEX(_xlfn.ANCHORARRAY(Sintesi!$C$15),1,$C85))*($E85&lt;INDEX(_xlfn.ANCHORARRAY(Sintesi!$C$16),1,$C85))*(INDEX(_xlfn.ANCHORARRAY(Sintesi!$C$15),1,$C85)&gt;0),2,IF($E85=(INDEX(_xlfn.ANCHORARRAY(Sintesi!$C$16),1,$C85)),3,4)))),0),IF($C85&gt;0,IF(($E85=INDEX(_xlfn.ANCHORARRAY(Sintesi!$C$14),1,$C85))*(INDEX(_xlfn.ANCHORARRAY(Sintesi!$C$15),1,$C85)&gt;0),0,IF(($E85=INDEX(_xlfn.ANCHORARRAY(Sintesi!$C$14),1,$C85))*(INDEX(_xlfn.ANCHORARRAY(Sintesi!$C$15),1,$C85)&lt;0)+($E85&gt;=LOOKUP(2,1/($E:$E&lt;&gt;""),$E:$E))*($E85&lt;=INDEX($E:$E,MATCH(TRUE,INDEX((ISNUMBER($E:$E)),0),0)))*($E85&gt;INDEX(_xlfn.ANCHORARRAY(Sintesi!$C$14),1,$C85))*($E85&lt;=INDEX(_xlfn.ANCHORARRAY(Sintesi!$C$15),1,$C85))*(INDEX(_xlfn.ANCHORARRAY(Sintesi!$C$15),1,$C85)&gt;0),1,IF(($E85&gt;=LOOKUP(2,1/($E:$E&lt;&gt;""),$E:$E))*($E85&lt;=INDEX($E:$E,MATCH(TRUE,INDEX((ISNUMBER($E:$E)),0),0)))*($E85&gt;INDEX(_xlfn.ANCHORARRAY(Sintesi!$C$14),1,$C85))*($E85&lt;INDEX(_xlfn.ANCHORARRAY(Sintesi!$C$16),1,$C85))*(INDEX(_xlfn.ANCHORARRAY(Sintesi!$C$15),1,$C85)&lt;0)+($E85&gt;=LOOKUP(2,1/($E:$E&lt;&gt;""),$E:$E))*($E85&lt;=INDEX($E:$E,MATCH(TRUE,INDEX((ISNUMBER($E:$E)),0),0)))*($E85&gt;INDEX(_xlfn.ANCHORARRAY(Sintesi!$C$15),1,$C85))*($E85&lt;INDEX(_xlfn.ANCHORARRAY(Sintesi!$C$16),1,$C85))*(INDEX(_xlfn.ANCHORARRAY(Sintesi!$C$15),1,$C85)&gt;0),2,IF($E85=(INDEX(_xlfn.ANCHORARRAY(Sintesi!$C$16),1,$C85)),3,4)))),0)),IF(ISNUMBER($E84),IF($C85&gt;0,IF(($E85=INDEX(_xlfn.ANCHORARRAY(Sintesi!$C$14),1,$C85))*(INDEX(_xlfn.ANCHORARRAY(Sintesi!$C$15),1,$C85)&gt;0),0,IF(($E85=INDEX(_xlfn.ANCHORARRAY(Sintesi!$C$14),1,$C85))*(INDEX(_xlfn.ANCHORARRAY(Sintesi!$C$15),1,$C85)&lt;0)+($E85&gt;=$E84)*($E85&lt;=$E86)*($E85&gt;INDEX(_xlfn.ANCHORARRAY(Sintesi!$C$14),1,$C85))*($E85&lt;=INDEX(_xlfn.ANCHORARRAY(Sintesi!$C$15),1,$C85))*(INDEX(_xlfn.ANCHORARRAY(Sintesi!$C$15),1,$C85)&gt;0),1,IF(($E85&gt;=$E84)*($E85&lt;=$E86)*($E85&gt;INDEX(_xlfn.ANCHORARRAY(Sintesi!$C$14),1,$C85))*($E85&lt;INDEX(_xlfn.ANCHORARRAY(Sintesi!$C$16),1,$C85))*(INDEX(_xlfn.ANCHORARRAY(Sintesi!$C$15),1,$C85)&lt;0)+($E85&gt;=$E84)*($E85&lt;=$E86)*($E85&gt;INDEX(_xlfn.ANCHORARRAY(Sintesi!$C$15),1,$C85))*($E85&lt;INDEX(_xlfn.ANCHORARRAY(Sintesi!$C$16),1,$C85))*(INDEX(_xlfn.ANCHORARRAY(Sintesi!$C$15),1,$C85)&gt;0),2,IF($E85=(INDEX(_xlfn.ANCHORARRAY(Sintesi!$C$16),1,$C85)),3,4)))),0),IF($C85&gt;0,IF(($E85=INDEX(_xlfn.ANCHORARRAY(Sintesi!$C$14),1,$C85))*(INDEX(_xlfn.ANCHORARRAY(Sintesi!$C$15),1,$C85)&gt;0),0,IF(($E85=INDEX(_xlfn.ANCHORARRAY(Sintesi!$C$14),1,$C85))*(INDEX(_xlfn.ANCHORARRAY(Sintesi!$C$15),1,$C85)&lt;0)+($E85&gt;=LOOKUP(2,1/($E:$E&lt;&gt;""),$E:$E))*($E85&lt;=$E86)*($E85&gt;INDEX(_xlfn.ANCHORARRAY(Sintesi!$C$14),1,$C85))*($E85&lt;=INDEX(_xlfn.ANCHORARRAY(Sintesi!$C$15),1,$C85))*(INDEX(_xlfn.ANCHORARRAY(Sintesi!$C$15),1,$C85)&gt;0),1,IF(($E85&gt;=LOOKUP(2,1/($E:$E&lt;&gt;""),$E:$E))*($E85&lt;=$E86)*($E85&gt;INDEX(_xlfn.ANCHORARRAY(Sintesi!$C$14),1,$C85))*($E85&lt;INDEX(_xlfn.ANCHORARRAY(Sintesi!$C$16),1,$C85))*(INDEX(_xlfn.ANCHORARRAY(Sintesi!$C$15),1,$C85)&lt;0)+($E85&gt;=LOOKUP(2,1/($E:$E&lt;&gt;""),$E:$E))*($E85&lt;=$E86)*($E85&gt;INDEX(_xlfn.ANCHORARRAY(Sintesi!$C$15),1,$C85))*($E85&lt;INDEX(_xlfn.ANCHORARRAY(Sintesi!$C$16),1,$C85))*(INDEX(_xlfn.ANCHORARRAY(Sintesi!$C$15),1,$C85)&gt;0),2,IF($E85=(INDEX(_xlfn.ANCHORARRAY(Sintesi!$C$16),1,$C85)),3,4)))),0)))</f>
        <v>0</v>
      </c>
      <c r="E85" s="1">
        <f>'Paste cell here'!F85</f>
        <v>0</v>
      </c>
      <c r="F85" s="1">
        <f>'Paste cell here'!C85</f>
        <v>19.87454387</v>
      </c>
      <c r="G85" s="1">
        <f>'Paste cell here'!D85</f>
        <v>1.938158922</v>
      </c>
      <c r="H85" s="1">
        <f>'Paste cell here'!E85</f>
        <v>2.7149630739999999</v>
      </c>
      <c r="I85" s="1">
        <f>'Paste cell here'!X85</f>
        <v>0</v>
      </c>
      <c r="J85" s="1">
        <f>'Paste cell here'!Y85+'Paste cell here'!S85</f>
        <v>0</v>
      </c>
      <c r="K85" s="1">
        <f t="shared" si="3"/>
        <v>0</v>
      </c>
      <c r="L85" s="1">
        <f t="shared" si="2"/>
        <v>14.372861506447807</v>
      </c>
      <c r="M85" s="1" cm="1">
        <f t="array" ref="M85">IF(AND(A85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,A85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),IF(L85&lt;_xlfn.IFNA(INDEX(_xlfn.ANCHORARRAY(Sintesi!$C$17)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,1,IF(L85&gt;=_xlfn.IFNA(INDEX(_xlfn.ANCHORARRAY(Sintesi!$C$18)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,0,1-(L85-_xlfn.IFNA(INDEX(_xlfn.ANCHORARRAY(Sintesi!$C$17)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)/(_xlfn.IFNA(INDEX(_xlfn.ANCHORARRAY(Sintesi!$C$18)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-_xlfn.IFNA(INDEX(_xlfn.ANCHORARRAY(Sintesi!$C$17),1,MATCH(1,(_xlfn.ANCHORARRAY(Sintesi!$C$9)&gt;_xlfn.ANCHORARRAY(Sintesi!$C$10))*(A84&gt;=_xlfn.ANCHORARRAY(Sintesi!$C$9))+(_xlfn.ANCHORARRAY(Sintesi!$C$9)&gt;_xlfn.ANCHORARRAY(Sintesi!$C$10))*(A84&lt;=_xlfn.ANCHORARRAY(Sintesi!$C$10))+(_xlfn.ANCHORARRAY(Sintesi!$C$9)&lt;_xlfn.ANCHORARRAY(Sintesi!$C$10))*(A84&gt;=_xlfn.ANCHORARRAY(Sintesi!$C$9))*(A84&lt;=_xlfn.ANCHORARRAY(Sintesi!$C$10)),0)),0)))),0)</f>
        <v>0</v>
      </c>
    </row>
    <row r="86" spans="1:13">
      <c r="A86" s="1">
        <f>'Paste cell here'!A86</f>
        <v>85</v>
      </c>
      <c r="B86" s="2">
        <f>DATE(Sintesi!$C$4-1,12,31)+A86</f>
        <v>44281</v>
      </c>
      <c r="C86" s="34" cm="1">
        <f t="array" ref="C86">_xlfn.IFNA(MATCH(1,(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)*(_xlfn.ANCHORARRAY(Sintesi!$C$15)&gt;=0)+(_xlfn.ANCHORARRAY(Sintesi!$C$15)&lt;0),0),0)</f>
        <v>0</v>
      </c>
      <c r="D86" s="1" cm="1">
        <f t="array" ref="D86">IF(ISBLANK($E87),IF(ISNUMBER($E85),IF($C86&gt;0,IF(($E86=INDEX(_xlfn.ANCHORARRAY(Sintesi!$C$14),1,$C86))*(INDEX(_xlfn.ANCHORARRAY(Sintesi!$C$15),1,$C86)&gt;0),0,IF(($E86=INDEX(_xlfn.ANCHORARRAY(Sintesi!$C$14),1,$C86))*(INDEX(_xlfn.ANCHORARRAY(Sintesi!$C$15),1,$C86)&lt;0)+($E86&gt;=$E85)*($E86&lt;=INDEX($E:$E,MATCH(TRUE,INDEX((ISNUMBER($E:$E)),0),0)))*($E86&gt;INDEX(_xlfn.ANCHORARRAY(Sintesi!$C$14),1,$C86))*($E86&lt;=INDEX(_xlfn.ANCHORARRAY(Sintesi!$C$15),1,$C86))*(INDEX(_xlfn.ANCHORARRAY(Sintesi!$C$15),1,$C86)&gt;0),1,IF(($E86&gt;=$E85)*($E86&lt;=INDEX($E:$E,MATCH(TRUE,INDEX((ISNUMBER($E:$E)),0),0)))*($E86&gt;INDEX(_xlfn.ANCHORARRAY(Sintesi!$C$14),1,$C86))*($E86&lt;INDEX(_xlfn.ANCHORARRAY(Sintesi!$C$16),1,$C86))*(INDEX(_xlfn.ANCHORARRAY(Sintesi!$C$15),1,$C86)&lt;0)+($E86&gt;=$E85)*($E86&lt;=INDEX($E:$E,MATCH(TRUE,INDEX((ISNUMBER($E:$E)),0),0)))*($E86&gt;INDEX(_xlfn.ANCHORARRAY(Sintesi!$C$15),1,$C86))*($E86&lt;INDEX(_xlfn.ANCHORARRAY(Sintesi!$C$16),1,$C86))*(INDEX(_xlfn.ANCHORARRAY(Sintesi!$C$15),1,$C86)&gt;0),2,IF($E86=(INDEX(_xlfn.ANCHORARRAY(Sintesi!$C$16),1,$C86)),3,4)))),0),IF($C86&gt;0,IF(($E86=INDEX(_xlfn.ANCHORARRAY(Sintesi!$C$14),1,$C86))*(INDEX(_xlfn.ANCHORARRAY(Sintesi!$C$15),1,$C86)&gt;0),0,IF(($E86=INDEX(_xlfn.ANCHORARRAY(Sintesi!$C$14),1,$C86))*(INDEX(_xlfn.ANCHORARRAY(Sintesi!$C$15),1,$C86)&lt;0)+($E86&gt;=LOOKUP(2,1/($E:$E&lt;&gt;""),$E:$E))*($E86&lt;=INDEX($E:$E,MATCH(TRUE,INDEX((ISNUMBER($E:$E)),0),0)))*($E86&gt;INDEX(_xlfn.ANCHORARRAY(Sintesi!$C$14),1,$C86))*($E86&lt;=INDEX(_xlfn.ANCHORARRAY(Sintesi!$C$15),1,$C86))*(INDEX(_xlfn.ANCHORARRAY(Sintesi!$C$15),1,$C86)&gt;0),1,IF(($E86&gt;=LOOKUP(2,1/($E:$E&lt;&gt;""),$E:$E))*($E86&lt;=INDEX($E:$E,MATCH(TRUE,INDEX((ISNUMBER($E:$E)),0),0)))*($E86&gt;INDEX(_xlfn.ANCHORARRAY(Sintesi!$C$14),1,$C86))*($E86&lt;INDEX(_xlfn.ANCHORARRAY(Sintesi!$C$16),1,$C86))*(INDEX(_xlfn.ANCHORARRAY(Sintesi!$C$15),1,$C86)&lt;0)+($E86&gt;=LOOKUP(2,1/($E:$E&lt;&gt;""),$E:$E))*($E86&lt;=INDEX($E:$E,MATCH(TRUE,INDEX((ISNUMBER($E:$E)),0),0)))*($E86&gt;INDEX(_xlfn.ANCHORARRAY(Sintesi!$C$15),1,$C86))*($E86&lt;INDEX(_xlfn.ANCHORARRAY(Sintesi!$C$16),1,$C86))*(INDEX(_xlfn.ANCHORARRAY(Sintesi!$C$15),1,$C86)&gt;0),2,IF($E86=(INDEX(_xlfn.ANCHORARRAY(Sintesi!$C$16),1,$C86)),3,4)))),0)),IF(ISNUMBER($E85),IF($C86&gt;0,IF(($E86=INDEX(_xlfn.ANCHORARRAY(Sintesi!$C$14),1,$C86))*(INDEX(_xlfn.ANCHORARRAY(Sintesi!$C$15),1,$C86)&gt;0),0,IF(($E86=INDEX(_xlfn.ANCHORARRAY(Sintesi!$C$14),1,$C86))*(INDEX(_xlfn.ANCHORARRAY(Sintesi!$C$15),1,$C86)&lt;0)+($E86&gt;=$E85)*($E86&lt;=$E87)*($E86&gt;INDEX(_xlfn.ANCHORARRAY(Sintesi!$C$14),1,$C86))*($E86&lt;=INDEX(_xlfn.ANCHORARRAY(Sintesi!$C$15),1,$C86))*(INDEX(_xlfn.ANCHORARRAY(Sintesi!$C$15),1,$C86)&gt;0),1,IF(($E86&gt;=$E85)*($E86&lt;=$E87)*($E86&gt;INDEX(_xlfn.ANCHORARRAY(Sintesi!$C$14),1,$C86))*($E86&lt;INDEX(_xlfn.ANCHORARRAY(Sintesi!$C$16),1,$C86))*(INDEX(_xlfn.ANCHORARRAY(Sintesi!$C$15),1,$C86)&lt;0)+($E86&gt;=$E85)*($E86&lt;=$E87)*($E86&gt;INDEX(_xlfn.ANCHORARRAY(Sintesi!$C$15),1,$C86))*($E86&lt;INDEX(_xlfn.ANCHORARRAY(Sintesi!$C$16),1,$C86))*(INDEX(_xlfn.ANCHORARRAY(Sintesi!$C$15),1,$C86)&gt;0),2,IF($E86=(INDEX(_xlfn.ANCHORARRAY(Sintesi!$C$16),1,$C86)),3,4)))),0),IF($C86&gt;0,IF(($E86=INDEX(_xlfn.ANCHORARRAY(Sintesi!$C$14),1,$C86))*(INDEX(_xlfn.ANCHORARRAY(Sintesi!$C$15),1,$C86)&gt;0),0,IF(($E86=INDEX(_xlfn.ANCHORARRAY(Sintesi!$C$14),1,$C86))*(INDEX(_xlfn.ANCHORARRAY(Sintesi!$C$15),1,$C86)&lt;0)+($E86&gt;=LOOKUP(2,1/($E:$E&lt;&gt;""),$E:$E))*($E86&lt;=$E87)*($E86&gt;INDEX(_xlfn.ANCHORARRAY(Sintesi!$C$14),1,$C86))*($E86&lt;=INDEX(_xlfn.ANCHORARRAY(Sintesi!$C$15),1,$C86))*(INDEX(_xlfn.ANCHORARRAY(Sintesi!$C$15),1,$C86)&gt;0),1,IF(($E86&gt;=LOOKUP(2,1/($E:$E&lt;&gt;""),$E:$E))*($E86&lt;=$E87)*($E86&gt;INDEX(_xlfn.ANCHORARRAY(Sintesi!$C$14),1,$C86))*($E86&lt;INDEX(_xlfn.ANCHORARRAY(Sintesi!$C$16),1,$C86))*(INDEX(_xlfn.ANCHORARRAY(Sintesi!$C$15),1,$C86)&lt;0)+($E86&gt;=LOOKUP(2,1/($E:$E&lt;&gt;""),$E:$E))*($E86&lt;=$E87)*($E86&gt;INDEX(_xlfn.ANCHORARRAY(Sintesi!$C$15),1,$C86))*($E86&lt;INDEX(_xlfn.ANCHORARRAY(Sintesi!$C$16),1,$C86))*(INDEX(_xlfn.ANCHORARRAY(Sintesi!$C$15),1,$C86)&gt;0),2,IF($E86=(INDEX(_xlfn.ANCHORARRAY(Sintesi!$C$16),1,$C86)),3,4)))),0)))</f>
        <v>0</v>
      </c>
      <c r="E86" s="1">
        <f>'Paste cell here'!F86</f>
        <v>0</v>
      </c>
      <c r="F86" s="1">
        <f>'Paste cell here'!C86</f>
        <v>19.984715430000001</v>
      </c>
      <c r="G86" s="1">
        <f>'Paste cell here'!D86</f>
        <v>3.0914597700000002</v>
      </c>
      <c r="H86" s="1">
        <f>'Paste cell here'!E86</f>
        <v>2.6231582809999998</v>
      </c>
      <c r="I86" s="1">
        <f>'Paste cell here'!X86</f>
        <v>0</v>
      </c>
      <c r="J86" s="1">
        <f>'Paste cell here'!Y86+'Paste cell here'!S86</f>
        <v>0</v>
      </c>
      <c r="K86" s="1">
        <f t="shared" si="3"/>
        <v>0</v>
      </c>
      <c r="L86" s="1">
        <f t="shared" si="2"/>
        <v>14.802995312091642</v>
      </c>
      <c r="M86" s="1" cm="1">
        <f t="array" ref="M86">IF(AND(A86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,A86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),IF(L86&lt;_xlfn.IFNA(INDEX(_xlfn.ANCHORARRAY(Sintesi!$C$17)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,1,IF(L86&gt;=_xlfn.IFNA(INDEX(_xlfn.ANCHORARRAY(Sintesi!$C$18)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,0,1-(L86-_xlfn.IFNA(INDEX(_xlfn.ANCHORARRAY(Sintesi!$C$17)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)/(_xlfn.IFNA(INDEX(_xlfn.ANCHORARRAY(Sintesi!$C$18)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-_xlfn.IFNA(INDEX(_xlfn.ANCHORARRAY(Sintesi!$C$17),1,MATCH(1,(_xlfn.ANCHORARRAY(Sintesi!$C$9)&gt;_xlfn.ANCHORARRAY(Sintesi!$C$10))*(A85&gt;=_xlfn.ANCHORARRAY(Sintesi!$C$9))+(_xlfn.ANCHORARRAY(Sintesi!$C$9)&gt;_xlfn.ANCHORARRAY(Sintesi!$C$10))*(A85&lt;=_xlfn.ANCHORARRAY(Sintesi!$C$10))+(_xlfn.ANCHORARRAY(Sintesi!$C$9)&lt;_xlfn.ANCHORARRAY(Sintesi!$C$10))*(A85&gt;=_xlfn.ANCHORARRAY(Sintesi!$C$9))*(A85&lt;=_xlfn.ANCHORARRAY(Sintesi!$C$10)),0)),0)))),0)</f>
        <v>0</v>
      </c>
    </row>
    <row r="87" spans="1:13">
      <c r="A87" s="1">
        <f>'Paste cell here'!A87</f>
        <v>86</v>
      </c>
      <c r="B87" s="2">
        <f>DATE(Sintesi!$C$4-1,12,31)+A87</f>
        <v>44282</v>
      </c>
      <c r="C87" s="34" cm="1">
        <f t="array" ref="C87">_xlfn.IFNA(MATCH(1,(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)*(_xlfn.ANCHORARRAY(Sintesi!$C$15)&gt;=0)+(_xlfn.ANCHORARRAY(Sintesi!$C$15)&lt;0),0),0)</f>
        <v>0</v>
      </c>
      <c r="D87" s="1" cm="1">
        <f t="array" ref="D87">IF(ISBLANK($E88),IF(ISNUMBER($E86),IF($C87&gt;0,IF(($E87=INDEX(_xlfn.ANCHORARRAY(Sintesi!$C$14),1,$C87))*(INDEX(_xlfn.ANCHORARRAY(Sintesi!$C$15),1,$C87)&gt;0),0,IF(($E87=INDEX(_xlfn.ANCHORARRAY(Sintesi!$C$14),1,$C87))*(INDEX(_xlfn.ANCHORARRAY(Sintesi!$C$15),1,$C87)&lt;0)+($E87&gt;=$E86)*($E87&lt;=INDEX($E:$E,MATCH(TRUE,INDEX((ISNUMBER($E:$E)),0),0)))*($E87&gt;INDEX(_xlfn.ANCHORARRAY(Sintesi!$C$14),1,$C87))*($E87&lt;=INDEX(_xlfn.ANCHORARRAY(Sintesi!$C$15),1,$C87))*(INDEX(_xlfn.ANCHORARRAY(Sintesi!$C$15),1,$C87)&gt;0),1,IF(($E87&gt;=$E86)*($E87&lt;=INDEX($E:$E,MATCH(TRUE,INDEX((ISNUMBER($E:$E)),0),0)))*($E87&gt;INDEX(_xlfn.ANCHORARRAY(Sintesi!$C$14),1,$C87))*($E87&lt;INDEX(_xlfn.ANCHORARRAY(Sintesi!$C$16),1,$C87))*(INDEX(_xlfn.ANCHORARRAY(Sintesi!$C$15),1,$C87)&lt;0)+($E87&gt;=$E86)*($E87&lt;=INDEX($E:$E,MATCH(TRUE,INDEX((ISNUMBER($E:$E)),0),0)))*($E87&gt;INDEX(_xlfn.ANCHORARRAY(Sintesi!$C$15),1,$C87))*($E87&lt;INDEX(_xlfn.ANCHORARRAY(Sintesi!$C$16),1,$C87))*(INDEX(_xlfn.ANCHORARRAY(Sintesi!$C$15),1,$C87)&gt;0),2,IF($E87=(INDEX(_xlfn.ANCHORARRAY(Sintesi!$C$16),1,$C87)),3,4)))),0),IF($C87&gt;0,IF(($E87=INDEX(_xlfn.ANCHORARRAY(Sintesi!$C$14),1,$C87))*(INDEX(_xlfn.ANCHORARRAY(Sintesi!$C$15),1,$C87)&gt;0),0,IF(($E87=INDEX(_xlfn.ANCHORARRAY(Sintesi!$C$14),1,$C87))*(INDEX(_xlfn.ANCHORARRAY(Sintesi!$C$15),1,$C87)&lt;0)+($E87&gt;=LOOKUP(2,1/($E:$E&lt;&gt;""),$E:$E))*($E87&lt;=INDEX($E:$E,MATCH(TRUE,INDEX((ISNUMBER($E:$E)),0),0)))*($E87&gt;INDEX(_xlfn.ANCHORARRAY(Sintesi!$C$14),1,$C87))*($E87&lt;=INDEX(_xlfn.ANCHORARRAY(Sintesi!$C$15),1,$C87))*(INDEX(_xlfn.ANCHORARRAY(Sintesi!$C$15),1,$C87)&gt;0),1,IF(($E87&gt;=LOOKUP(2,1/($E:$E&lt;&gt;""),$E:$E))*($E87&lt;=INDEX($E:$E,MATCH(TRUE,INDEX((ISNUMBER($E:$E)),0),0)))*($E87&gt;INDEX(_xlfn.ANCHORARRAY(Sintesi!$C$14),1,$C87))*($E87&lt;INDEX(_xlfn.ANCHORARRAY(Sintesi!$C$16),1,$C87))*(INDEX(_xlfn.ANCHORARRAY(Sintesi!$C$15),1,$C87)&lt;0)+($E87&gt;=LOOKUP(2,1/($E:$E&lt;&gt;""),$E:$E))*($E87&lt;=INDEX($E:$E,MATCH(TRUE,INDEX((ISNUMBER($E:$E)),0),0)))*($E87&gt;INDEX(_xlfn.ANCHORARRAY(Sintesi!$C$15),1,$C87))*($E87&lt;INDEX(_xlfn.ANCHORARRAY(Sintesi!$C$16),1,$C87))*(INDEX(_xlfn.ANCHORARRAY(Sintesi!$C$15),1,$C87)&gt;0),2,IF($E87=(INDEX(_xlfn.ANCHORARRAY(Sintesi!$C$16),1,$C87)),3,4)))),0)),IF(ISNUMBER($E86),IF($C87&gt;0,IF(($E87=INDEX(_xlfn.ANCHORARRAY(Sintesi!$C$14),1,$C87))*(INDEX(_xlfn.ANCHORARRAY(Sintesi!$C$15),1,$C87)&gt;0),0,IF(($E87=INDEX(_xlfn.ANCHORARRAY(Sintesi!$C$14),1,$C87))*(INDEX(_xlfn.ANCHORARRAY(Sintesi!$C$15),1,$C87)&lt;0)+($E87&gt;=$E86)*($E87&lt;=$E88)*($E87&gt;INDEX(_xlfn.ANCHORARRAY(Sintesi!$C$14),1,$C87))*($E87&lt;=INDEX(_xlfn.ANCHORARRAY(Sintesi!$C$15),1,$C87))*(INDEX(_xlfn.ANCHORARRAY(Sintesi!$C$15),1,$C87)&gt;0),1,IF(($E87&gt;=$E86)*($E87&lt;=$E88)*($E87&gt;INDEX(_xlfn.ANCHORARRAY(Sintesi!$C$14),1,$C87))*($E87&lt;INDEX(_xlfn.ANCHORARRAY(Sintesi!$C$16),1,$C87))*(INDEX(_xlfn.ANCHORARRAY(Sintesi!$C$15),1,$C87)&lt;0)+($E87&gt;=$E86)*($E87&lt;=$E88)*($E87&gt;INDEX(_xlfn.ANCHORARRAY(Sintesi!$C$15),1,$C87))*($E87&lt;INDEX(_xlfn.ANCHORARRAY(Sintesi!$C$16),1,$C87))*(INDEX(_xlfn.ANCHORARRAY(Sintesi!$C$15),1,$C87)&gt;0),2,IF($E87=(INDEX(_xlfn.ANCHORARRAY(Sintesi!$C$16),1,$C87)),3,4)))),0),IF($C87&gt;0,IF(($E87=INDEX(_xlfn.ANCHORARRAY(Sintesi!$C$14),1,$C87))*(INDEX(_xlfn.ANCHORARRAY(Sintesi!$C$15),1,$C87)&gt;0),0,IF(($E87=INDEX(_xlfn.ANCHORARRAY(Sintesi!$C$14),1,$C87))*(INDEX(_xlfn.ANCHORARRAY(Sintesi!$C$15),1,$C87)&lt;0)+($E87&gt;=LOOKUP(2,1/($E:$E&lt;&gt;""),$E:$E))*($E87&lt;=$E88)*($E87&gt;INDEX(_xlfn.ANCHORARRAY(Sintesi!$C$14),1,$C87))*($E87&lt;=INDEX(_xlfn.ANCHORARRAY(Sintesi!$C$15),1,$C87))*(INDEX(_xlfn.ANCHORARRAY(Sintesi!$C$15),1,$C87)&gt;0),1,IF(($E87&gt;=LOOKUP(2,1/($E:$E&lt;&gt;""),$E:$E))*($E87&lt;=$E88)*($E87&gt;INDEX(_xlfn.ANCHORARRAY(Sintesi!$C$14),1,$C87))*($E87&lt;INDEX(_xlfn.ANCHORARRAY(Sintesi!$C$16),1,$C87))*(INDEX(_xlfn.ANCHORARRAY(Sintesi!$C$15),1,$C87)&lt;0)+($E87&gt;=LOOKUP(2,1/($E:$E&lt;&gt;""),$E:$E))*($E87&lt;=$E88)*($E87&gt;INDEX(_xlfn.ANCHORARRAY(Sintesi!$C$15),1,$C87))*($E87&lt;INDEX(_xlfn.ANCHORARRAY(Sintesi!$C$16),1,$C87))*(INDEX(_xlfn.ANCHORARRAY(Sintesi!$C$15),1,$C87)&gt;0),2,IF($E87=(INDEX(_xlfn.ANCHORARRAY(Sintesi!$C$16),1,$C87)),3,4)))),0)))</f>
        <v>0</v>
      </c>
      <c r="E87" s="1">
        <f>'Paste cell here'!F87</f>
        <v>0</v>
      </c>
      <c r="F87" s="1">
        <f>'Paste cell here'!C87</f>
        <v>17.0926759</v>
      </c>
      <c r="G87" s="1">
        <f>'Paste cell here'!D87</f>
        <v>7.4067188809999998</v>
      </c>
      <c r="H87" s="1">
        <f>'Paste cell here'!E87</f>
        <v>1.679757446</v>
      </c>
      <c r="I87" s="1">
        <f>'Paste cell here'!X87</f>
        <v>0</v>
      </c>
      <c r="J87" s="1">
        <f>'Paste cell here'!Y87+'Paste cell here'!S87</f>
        <v>0</v>
      </c>
      <c r="K87" s="1">
        <f t="shared" si="3"/>
        <v>0</v>
      </c>
      <c r="L87" s="1">
        <f t="shared" si="2"/>
        <v>14.121672598049857</v>
      </c>
      <c r="M87" s="1" cm="1">
        <f t="array" ref="M87">IF(AND(A87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,A87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),IF(L87&lt;_xlfn.IFNA(INDEX(_xlfn.ANCHORARRAY(Sintesi!$C$17)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,1,IF(L87&gt;=_xlfn.IFNA(INDEX(_xlfn.ANCHORARRAY(Sintesi!$C$18)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,0,1-(L87-_xlfn.IFNA(INDEX(_xlfn.ANCHORARRAY(Sintesi!$C$17)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)/(_xlfn.IFNA(INDEX(_xlfn.ANCHORARRAY(Sintesi!$C$18)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-_xlfn.IFNA(INDEX(_xlfn.ANCHORARRAY(Sintesi!$C$17),1,MATCH(1,(_xlfn.ANCHORARRAY(Sintesi!$C$9)&gt;_xlfn.ANCHORARRAY(Sintesi!$C$10))*(A86&gt;=_xlfn.ANCHORARRAY(Sintesi!$C$9))+(_xlfn.ANCHORARRAY(Sintesi!$C$9)&gt;_xlfn.ANCHORARRAY(Sintesi!$C$10))*(A86&lt;=_xlfn.ANCHORARRAY(Sintesi!$C$10))+(_xlfn.ANCHORARRAY(Sintesi!$C$9)&lt;_xlfn.ANCHORARRAY(Sintesi!$C$10))*(A86&gt;=_xlfn.ANCHORARRAY(Sintesi!$C$9))*(A86&lt;=_xlfn.ANCHORARRAY(Sintesi!$C$10)),0)),0)))),0)</f>
        <v>0</v>
      </c>
    </row>
    <row r="88" spans="1:13">
      <c r="A88" s="1">
        <f>'Paste cell here'!A88</f>
        <v>87</v>
      </c>
      <c r="B88" s="2">
        <f>DATE(Sintesi!$C$4-1,12,31)+A88</f>
        <v>44283</v>
      </c>
      <c r="C88" s="34" cm="1">
        <f t="array" ref="C88">_xlfn.IFNA(MATCH(1,(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)*(_xlfn.ANCHORARRAY(Sintesi!$C$15)&gt;=0)+(_xlfn.ANCHORARRAY(Sintesi!$C$15)&lt;0),0),0)</f>
        <v>0</v>
      </c>
      <c r="D88" s="1" cm="1">
        <f t="array" ref="D88">IF(ISBLANK($E89),IF(ISNUMBER($E87),IF($C88&gt;0,IF(($E88=INDEX(_xlfn.ANCHORARRAY(Sintesi!$C$14),1,$C88))*(INDEX(_xlfn.ANCHORARRAY(Sintesi!$C$15),1,$C88)&gt;0),0,IF(($E88=INDEX(_xlfn.ANCHORARRAY(Sintesi!$C$14),1,$C88))*(INDEX(_xlfn.ANCHORARRAY(Sintesi!$C$15),1,$C88)&lt;0)+($E88&gt;=$E87)*($E88&lt;=INDEX($E:$E,MATCH(TRUE,INDEX((ISNUMBER($E:$E)),0),0)))*($E88&gt;INDEX(_xlfn.ANCHORARRAY(Sintesi!$C$14),1,$C88))*($E88&lt;=INDEX(_xlfn.ANCHORARRAY(Sintesi!$C$15),1,$C88))*(INDEX(_xlfn.ANCHORARRAY(Sintesi!$C$15),1,$C88)&gt;0),1,IF(($E88&gt;=$E87)*($E88&lt;=INDEX($E:$E,MATCH(TRUE,INDEX((ISNUMBER($E:$E)),0),0)))*($E88&gt;INDEX(_xlfn.ANCHORARRAY(Sintesi!$C$14),1,$C88))*($E88&lt;INDEX(_xlfn.ANCHORARRAY(Sintesi!$C$16),1,$C88))*(INDEX(_xlfn.ANCHORARRAY(Sintesi!$C$15),1,$C88)&lt;0)+($E88&gt;=$E87)*($E88&lt;=INDEX($E:$E,MATCH(TRUE,INDEX((ISNUMBER($E:$E)),0),0)))*($E88&gt;INDEX(_xlfn.ANCHORARRAY(Sintesi!$C$15),1,$C88))*($E88&lt;INDEX(_xlfn.ANCHORARRAY(Sintesi!$C$16),1,$C88))*(INDEX(_xlfn.ANCHORARRAY(Sintesi!$C$15),1,$C88)&gt;0),2,IF($E88=(INDEX(_xlfn.ANCHORARRAY(Sintesi!$C$16),1,$C88)),3,4)))),0),IF($C88&gt;0,IF(($E88=INDEX(_xlfn.ANCHORARRAY(Sintesi!$C$14),1,$C88))*(INDEX(_xlfn.ANCHORARRAY(Sintesi!$C$15),1,$C88)&gt;0),0,IF(($E88=INDEX(_xlfn.ANCHORARRAY(Sintesi!$C$14),1,$C88))*(INDEX(_xlfn.ANCHORARRAY(Sintesi!$C$15),1,$C88)&lt;0)+($E88&gt;=LOOKUP(2,1/($E:$E&lt;&gt;""),$E:$E))*($E88&lt;=INDEX($E:$E,MATCH(TRUE,INDEX((ISNUMBER($E:$E)),0),0)))*($E88&gt;INDEX(_xlfn.ANCHORARRAY(Sintesi!$C$14),1,$C88))*($E88&lt;=INDEX(_xlfn.ANCHORARRAY(Sintesi!$C$15),1,$C88))*(INDEX(_xlfn.ANCHORARRAY(Sintesi!$C$15),1,$C88)&gt;0),1,IF(($E88&gt;=LOOKUP(2,1/($E:$E&lt;&gt;""),$E:$E))*($E88&lt;=INDEX($E:$E,MATCH(TRUE,INDEX((ISNUMBER($E:$E)),0),0)))*($E88&gt;INDEX(_xlfn.ANCHORARRAY(Sintesi!$C$14),1,$C88))*($E88&lt;INDEX(_xlfn.ANCHORARRAY(Sintesi!$C$16),1,$C88))*(INDEX(_xlfn.ANCHORARRAY(Sintesi!$C$15),1,$C88)&lt;0)+($E88&gt;=LOOKUP(2,1/($E:$E&lt;&gt;""),$E:$E))*($E88&lt;=INDEX($E:$E,MATCH(TRUE,INDEX((ISNUMBER($E:$E)),0),0)))*($E88&gt;INDEX(_xlfn.ANCHORARRAY(Sintesi!$C$15),1,$C88))*($E88&lt;INDEX(_xlfn.ANCHORARRAY(Sintesi!$C$16),1,$C88))*(INDEX(_xlfn.ANCHORARRAY(Sintesi!$C$15),1,$C88)&gt;0),2,IF($E88=(INDEX(_xlfn.ANCHORARRAY(Sintesi!$C$16),1,$C88)),3,4)))),0)),IF(ISNUMBER($E87),IF($C88&gt;0,IF(($E88=INDEX(_xlfn.ANCHORARRAY(Sintesi!$C$14),1,$C88))*(INDEX(_xlfn.ANCHORARRAY(Sintesi!$C$15),1,$C88)&gt;0),0,IF(($E88=INDEX(_xlfn.ANCHORARRAY(Sintesi!$C$14),1,$C88))*(INDEX(_xlfn.ANCHORARRAY(Sintesi!$C$15),1,$C88)&lt;0)+($E88&gt;=$E87)*($E88&lt;=$E89)*($E88&gt;INDEX(_xlfn.ANCHORARRAY(Sintesi!$C$14),1,$C88))*($E88&lt;=INDEX(_xlfn.ANCHORARRAY(Sintesi!$C$15),1,$C88))*(INDEX(_xlfn.ANCHORARRAY(Sintesi!$C$15),1,$C88)&gt;0),1,IF(($E88&gt;=$E87)*($E88&lt;=$E89)*($E88&gt;INDEX(_xlfn.ANCHORARRAY(Sintesi!$C$14),1,$C88))*($E88&lt;INDEX(_xlfn.ANCHORARRAY(Sintesi!$C$16),1,$C88))*(INDEX(_xlfn.ANCHORARRAY(Sintesi!$C$15),1,$C88)&lt;0)+($E88&gt;=$E87)*($E88&lt;=$E89)*($E88&gt;INDEX(_xlfn.ANCHORARRAY(Sintesi!$C$15),1,$C88))*($E88&lt;INDEX(_xlfn.ANCHORARRAY(Sintesi!$C$16),1,$C88))*(INDEX(_xlfn.ANCHORARRAY(Sintesi!$C$15),1,$C88)&gt;0),2,IF($E88=(INDEX(_xlfn.ANCHORARRAY(Sintesi!$C$16),1,$C88)),3,4)))),0),IF($C88&gt;0,IF(($E88=INDEX(_xlfn.ANCHORARRAY(Sintesi!$C$14),1,$C88))*(INDEX(_xlfn.ANCHORARRAY(Sintesi!$C$15),1,$C88)&gt;0),0,IF(($E88=INDEX(_xlfn.ANCHORARRAY(Sintesi!$C$14),1,$C88))*(INDEX(_xlfn.ANCHORARRAY(Sintesi!$C$15),1,$C88)&lt;0)+($E88&gt;=LOOKUP(2,1/($E:$E&lt;&gt;""),$E:$E))*($E88&lt;=$E89)*($E88&gt;INDEX(_xlfn.ANCHORARRAY(Sintesi!$C$14),1,$C88))*($E88&lt;=INDEX(_xlfn.ANCHORARRAY(Sintesi!$C$15),1,$C88))*(INDEX(_xlfn.ANCHORARRAY(Sintesi!$C$15),1,$C88)&gt;0),1,IF(($E88&gt;=LOOKUP(2,1/($E:$E&lt;&gt;""),$E:$E))*($E88&lt;=$E89)*($E88&gt;INDEX(_xlfn.ANCHORARRAY(Sintesi!$C$14),1,$C88))*($E88&lt;INDEX(_xlfn.ANCHORARRAY(Sintesi!$C$16),1,$C88))*(INDEX(_xlfn.ANCHORARRAY(Sintesi!$C$15),1,$C88)&lt;0)+($E88&gt;=LOOKUP(2,1/($E:$E&lt;&gt;""),$E:$E))*($E88&lt;=$E89)*($E88&gt;INDEX(_xlfn.ANCHORARRAY(Sintesi!$C$15),1,$C88))*($E88&lt;INDEX(_xlfn.ANCHORARRAY(Sintesi!$C$16),1,$C88))*(INDEX(_xlfn.ANCHORARRAY(Sintesi!$C$15),1,$C88)&gt;0),2,IF($E88=(INDEX(_xlfn.ANCHORARRAY(Sintesi!$C$16),1,$C88)),3,4)))),0)))</f>
        <v>0</v>
      </c>
      <c r="E88" s="1">
        <f>'Paste cell here'!F88</f>
        <v>0</v>
      </c>
      <c r="F88" s="1">
        <f>'Paste cell here'!C88</f>
        <v>20.910488669999999</v>
      </c>
      <c r="G88" s="1">
        <f>'Paste cell here'!D88</f>
        <v>5.4895113320000002</v>
      </c>
      <c r="H88" s="1">
        <f>'Paste cell here'!E88</f>
        <v>2.640461561</v>
      </c>
      <c r="I88" s="1">
        <f>'Paste cell here'!X88</f>
        <v>0</v>
      </c>
      <c r="J88" s="1">
        <f>'Paste cell here'!Y88+'Paste cell here'!S88</f>
        <v>0</v>
      </c>
      <c r="K88" s="1">
        <f t="shared" si="3"/>
        <v>0</v>
      </c>
      <c r="L88" s="1">
        <f t="shared" si="2"/>
        <v>16.180364997075994</v>
      </c>
      <c r="M88" s="1" cm="1">
        <f t="array" ref="M88">IF(AND(A88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,A88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),IF(L88&lt;_xlfn.IFNA(INDEX(_xlfn.ANCHORARRAY(Sintesi!$C$17)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,1,IF(L88&gt;=_xlfn.IFNA(INDEX(_xlfn.ANCHORARRAY(Sintesi!$C$18)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,0,1-(L88-_xlfn.IFNA(INDEX(_xlfn.ANCHORARRAY(Sintesi!$C$17)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)/(_xlfn.IFNA(INDEX(_xlfn.ANCHORARRAY(Sintesi!$C$18)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-_xlfn.IFNA(INDEX(_xlfn.ANCHORARRAY(Sintesi!$C$17),1,MATCH(1,(_xlfn.ANCHORARRAY(Sintesi!$C$9)&gt;_xlfn.ANCHORARRAY(Sintesi!$C$10))*(A87&gt;=_xlfn.ANCHORARRAY(Sintesi!$C$9))+(_xlfn.ANCHORARRAY(Sintesi!$C$9)&gt;_xlfn.ANCHORARRAY(Sintesi!$C$10))*(A87&lt;=_xlfn.ANCHORARRAY(Sintesi!$C$10))+(_xlfn.ANCHORARRAY(Sintesi!$C$9)&lt;_xlfn.ANCHORARRAY(Sintesi!$C$10))*(A87&gt;=_xlfn.ANCHORARRAY(Sintesi!$C$9))*(A87&lt;=_xlfn.ANCHORARRAY(Sintesi!$C$10)),0)),0)))),0)</f>
        <v>0</v>
      </c>
    </row>
    <row r="89" spans="1:13">
      <c r="A89" s="1">
        <f>'Paste cell here'!A89</f>
        <v>88</v>
      </c>
      <c r="B89" s="2">
        <f>DATE(Sintesi!$C$4-1,12,31)+A89</f>
        <v>44284</v>
      </c>
      <c r="C89" s="34" cm="1">
        <f t="array" ref="C89">_xlfn.IFNA(MATCH(1,(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)*(_xlfn.ANCHORARRAY(Sintesi!$C$15)&gt;=0)+(_xlfn.ANCHORARRAY(Sintesi!$C$15)&lt;0),0),0)</f>
        <v>0</v>
      </c>
      <c r="D89" s="1" cm="1">
        <f t="array" ref="D89">IF(ISBLANK($E90),IF(ISNUMBER($E88),IF($C89&gt;0,IF(($E89=INDEX(_xlfn.ANCHORARRAY(Sintesi!$C$14),1,$C89))*(INDEX(_xlfn.ANCHORARRAY(Sintesi!$C$15),1,$C89)&gt;0),0,IF(($E89=INDEX(_xlfn.ANCHORARRAY(Sintesi!$C$14),1,$C89))*(INDEX(_xlfn.ANCHORARRAY(Sintesi!$C$15),1,$C89)&lt;0)+($E89&gt;=$E88)*($E89&lt;=INDEX($E:$E,MATCH(TRUE,INDEX((ISNUMBER($E:$E)),0),0)))*($E89&gt;INDEX(_xlfn.ANCHORARRAY(Sintesi!$C$14),1,$C89))*($E89&lt;=INDEX(_xlfn.ANCHORARRAY(Sintesi!$C$15),1,$C89))*(INDEX(_xlfn.ANCHORARRAY(Sintesi!$C$15),1,$C89)&gt;0),1,IF(($E89&gt;=$E88)*($E89&lt;=INDEX($E:$E,MATCH(TRUE,INDEX((ISNUMBER($E:$E)),0),0)))*($E89&gt;INDEX(_xlfn.ANCHORARRAY(Sintesi!$C$14),1,$C89))*($E89&lt;INDEX(_xlfn.ANCHORARRAY(Sintesi!$C$16),1,$C89))*(INDEX(_xlfn.ANCHORARRAY(Sintesi!$C$15),1,$C89)&lt;0)+($E89&gt;=$E88)*($E89&lt;=INDEX($E:$E,MATCH(TRUE,INDEX((ISNUMBER($E:$E)),0),0)))*($E89&gt;INDEX(_xlfn.ANCHORARRAY(Sintesi!$C$15),1,$C89))*($E89&lt;INDEX(_xlfn.ANCHORARRAY(Sintesi!$C$16),1,$C89))*(INDEX(_xlfn.ANCHORARRAY(Sintesi!$C$15),1,$C89)&gt;0),2,IF($E89=(INDEX(_xlfn.ANCHORARRAY(Sintesi!$C$16),1,$C89)),3,4)))),0),IF($C89&gt;0,IF(($E89=INDEX(_xlfn.ANCHORARRAY(Sintesi!$C$14),1,$C89))*(INDEX(_xlfn.ANCHORARRAY(Sintesi!$C$15),1,$C89)&gt;0),0,IF(($E89=INDEX(_xlfn.ANCHORARRAY(Sintesi!$C$14),1,$C89))*(INDEX(_xlfn.ANCHORARRAY(Sintesi!$C$15),1,$C89)&lt;0)+($E89&gt;=LOOKUP(2,1/($E:$E&lt;&gt;""),$E:$E))*($E89&lt;=INDEX($E:$E,MATCH(TRUE,INDEX((ISNUMBER($E:$E)),0),0)))*($E89&gt;INDEX(_xlfn.ANCHORARRAY(Sintesi!$C$14),1,$C89))*($E89&lt;=INDEX(_xlfn.ANCHORARRAY(Sintesi!$C$15),1,$C89))*(INDEX(_xlfn.ANCHORARRAY(Sintesi!$C$15),1,$C89)&gt;0),1,IF(($E89&gt;=LOOKUP(2,1/($E:$E&lt;&gt;""),$E:$E))*($E89&lt;=INDEX($E:$E,MATCH(TRUE,INDEX((ISNUMBER($E:$E)),0),0)))*($E89&gt;INDEX(_xlfn.ANCHORARRAY(Sintesi!$C$14),1,$C89))*($E89&lt;INDEX(_xlfn.ANCHORARRAY(Sintesi!$C$16),1,$C89))*(INDEX(_xlfn.ANCHORARRAY(Sintesi!$C$15),1,$C89)&lt;0)+($E89&gt;=LOOKUP(2,1/($E:$E&lt;&gt;""),$E:$E))*($E89&lt;=INDEX($E:$E,MATCH(TRUE,INDEX((ISNUMBER($E:$E)),0),0)))*($E89&gt;INDEX(_xlfn.ANCHORARRAY(Sintesi!$C$15),1,$C89))*($E89&lt;INDEX(_xlfn.ANCHORARRAY(Sintesi!$C$16),1,$C89))*(INDEX(_xlfn.ANCHORARRAY(Sintesi!$C$15),1,$C89)&gt;0),2,IF($E89=(INDEX(_xlfn.ANCHORARRAY(Sintesi!$C$16),1,$C89)),3,4)))),0)),IF(ISNUMBER($E88),IF($C89&gt;0,IF(($E89=INDEX(_xlfn.ANCHORARRAY(Sintesi!$C$14),1,$C89))*(INDEX(_xlfn.ANCHORARRAY(Sintesi!$C$15),1,$C89)&gt;0),0,IF(($E89=INDEX(_xlfn.ANCHORARRAY(Sintesi!$C$14),1,$C89))*(INDEX(_xlfn.ANCHORARRAY(Sintesi!$C$15),1,$C89)&lt;0)+($E89&gt;=$E88)*($E89&lt;=$E90)*($E89&gt;INDEX(_xlfn.ANCHORARRAY(Sintesi!$C$14),1,$C89))*($E89&lt;=INDEX(_xlfn.ANCHORARRAY(Sintesi!$C$15),1,$C89))*(INDEX(_xlfn.ANCHORARRAY(Sintesi!$C$15),1,$C89)&gt;0),1,IF(($E89&gt;=$E88)*($E89&lt;=$E90)*($E89&gt;INDEX(_xlfn.ANCHORARRAY(Sintesi!$C$14),1,$C89))*($E89&lt;INDEX(_xlfn.ANCHORARRAY(Sintesi!$C$16),1,$C89))*(INDEX(_xlfn.ANCHORARRAY(Sintesi!$C$15),1,$C89)&lt;0)+($E89&gt;=$E88)*($E89&lt;=$E90)*($E89&gt;INDEX(_xlfn.ANCHORARRAY(Sintesi!$C$15),1,$C89))*($E89&lt;INDEX(_xlfn.ANCHORARRAY(Sintesi!$C$16),1,$C89))*(INDEX(_xlfn.ANCHORARRAY(Sintesi!$C$15),1,$C89)&gt;0),2,IF($E89=(INDEX(_xlfn.ANCHORARRAY(Sintesi!$C$16),1,$C89)),3,4)))),0),IF($C89&gt;0,IF(($E89=INDEX(_xlfn.ANCHORARRAY(Sintesi!$C$14),1,$C89))*(INDEX(_xlfn.ANCHORARRAY(Sintesi!$C$15),1,$C89)&gt;0),0,IF(($E89=INDEX(_xlfn.ANCHORARRAY(Sintesi!$C$14),1,$C89))*(INDEX(_xlfn.ANCHORARRAY(Sintesi!$C$15),1,$C89)&lt;0)+($E89&gt;=LOOKUP(2,1/($E:$E&lt;&gt;""),$E:$E))*($E89&lt;=$E90)*($E89&gt;INDEX(_xlfn.ANCHORARRAY(Sintesi!$C$14),1,$C89))*($E89&lt;=INDEX(_xlfn.ANCHORARRAY(Sintesi!$C$15),1,$C89))*(INDEX(_xlfn.ANCHORARRAY(Sintesi!$C$15),1,$C89)&gt;0),1,IF(($E89&gt;=LOOKUP(2,1/($E:$E&lt;&gt;""),$E:$E))*($E89&lt;=$E90)*($E89&gt;INDEX(_xlfn.ANCHORARRAY(Sintesi!$C$14),1,$C89))*($E89&lt;INDEX(_xlfn.ANCHORARRAY(Sintesi!$C$16),1,$C89))*(INDEX(_xlfn.ANCHORARRAY(Sintesi!$C$15),1,$C89)&lt;0)+($E89&gt;=LOOKUP(2,1/($E:$E&lt;&gt;""),$E:$E))*($E89&lt;=$E90)*($E89&gt;INDEX(_xlfn.ANCHORARRAY(Sintesi!$C$15),1,$C89))*($E89&lt;INDEX(_xlfn.ANCHORARRAY(Sintesi!$C$16),1,$C89))*(INDEX(_xlfn.ANCHORARRAY(Sintesi!$C$15),1,$C89)&gt;0),2,IF($E89=(INDEX(_xlfn.ANCHORARRAY(Sintesi!$C$16),1,$C89)),3,4)))),0)))</f>
        <v>0</v>
      </c>
      <c r="E89" s="1">
        <f>'Paste cell here'!F89</f>
        <v>0</v>
      </c>
      <c r="F89" s="1">
        <f>'Paste cell here'!C89</f>
        <v>23.55660503</v>
      </c>
      <c r="G89" s="1">
        <f>'Paste cell here'!D89</f>
        <v>4.5275306369999999</v>
      </c>
      <c r="H89" s="1">
        <f>'Paste cell here'!E89</f>
        <v>3.0207005539999998</v>
      </c>
      <c r="I89" s="1">
        <f>'Paste cell here'!X89</f>
        <v>0</v>
      </c>
      <c r="J89" s="1">
        <f>'Paste cell here'!Y89+'Paste cell here'!S89</f>
        <v>0</v>
      </c>
      <c r="K89" s="1">
        <f t="shared" si="3"/>
        <v>0</v>
      </c>
      <c r="L89" s="1">
        <f t="shared" si="2"/>
        <v>17.719758681853104</v>
      </c>
      <c r="M89" s="1" cm="1">
        <f t="array" ref="M89">IF(AND(A89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,A89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),IF(L89&lt;_xlfn.IFNA(INDEX(_xlfn.ANCHORARRAY(Sintesi!$C$17)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,1,IF(L89&gt;=_xlfn.IFNA(INDEX(_xlfn.ANCHORARRAY(Sintesi!$C$18)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,0,1-(L89-_xlfn.IFNA(INDEX(_xlfn.ANCHORARRAY(Sintesi!$C$17)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)/(_xlfn.IFNA(INDEX(_xlfn.ANCHORARRAY(Sintesi!$C$18)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-_xlfn.IFNA(INDEX(_xlfn.ANCHORARRAY(Sintesi!$C$17),1,MATCH(1,(_xlfn.ANCHORARRAY(Sintesi!$C$9)&gt;_xlfn.ANCHORARRAY(Sintesi!$C$10))*(A88&gt;=_xlfn.ANCHORARRAY(Sintesi!$C$9))+(_xlfn.ANCHORARRAY(Sintesi!$C$9)&gt;_xlfn.ANCHORARRAY(Sintesi!$C$10))*(A88&lt;=_xlfn.ANCHORARRAY(Sintesi!$C$10))+(_xlfn.ANCHORARRAY(Sintesi!$C$9)&lt;_xlfn.ANCHORARRAY(Sintesi!$C$10))*(A88&gt;=_xlfn.ANCHORARRAY(Sintesi!$C$9))*(A88&lt;=_xlfn.ANCHORARRAY(Sintesi!$C$10)),0)),0)))),0)</f>
        <v>0</v>
      </c>
    </row>
    <row r="90" spans="1:13">
      <c r="A90" s="1">
        <f>'Paste cell here'!A90</f>
        <v>89</v>
      </c>
      <c r="B90" s="2">
        <f>DATE(Sintesi!$C$4-1,12,31)+A90</f>
        <v>44285</v>
      </c>
      <c r="C90" s="34" cm="1">
        <f t="array" ref="C90">_xlfn.IFNA(MATCH(1,(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)*(_xlfn.ANCHORARRAY(Sintesi!$C$15)&gt;=0)+(_xlfn.ANCHORARRAY(Sintesi!$C$15)&lt;0),0),0)</f>
        <v>0</v>
      </c>
      <c r="D90" s="1" cm="1">
        <f t="array" ref="D90">IF(ISBLANK($E91),IF(ISNUMBER($E89),IF($C90&gt;0,IF(($E90=INDEX(_xlfn.ANCHORARRAY(Sintesi!$C$14),1,$C90))*(INDEX(_xlfn.ANCHORARRAY(Sintesi!$C$15),1,$C90)&gt;0),0,IF(($E90=INDEX(_xlfn.ANCHORARRAY(Sintesi!$C$14),1,$C90))*(INDEX(_xlfn.ANCHORARRAY(Sintesi!$C$15),1,$C90)&lt;0)+($E90&gt;=$E89)*($E90&lt;=INDEX($E:$E,MATCH(TRUE,INDEX((ISNUMBER($E:$E)),0),0)))*($E90&gt;INDEX(_xlfn.ANCHORARRAY(Sintesi!$C$14),1,$C90))*($E90&lt;=INDEX(_xlfn.ANCHORARRAY(Sintesi!$C$15),1,$C90))*(INDEX(_xlfn.ANCHORARRAY(Sintesi!$C$15),1,$C90)&gt;0),1,IF(($E90&gt;=$E89)*($E90&lt;=INDEX($E:$E,MATCH(TRUE,INDEX((ISNUMBER($E:$E)),0),0)))*($E90&gt;INDEX(_xlfn.ANCHORARRAY(Sintesi!$C$14),1,$C90))*($E90&lt;INDEX(_xlfn.ANCHORARRAY(Sintesi!$C$16),1,$C90))*(INDEX(_xlfn.ANCHORARRAY(Sintesi!$C$15),1,$C90)&lt;0)+($E90&gt;=$E89)*($E90&lt;=INDEX($E:$E,MATCH(TRUE,INDEX((ISNUMBER($E:$E)),0),0)))*($E90&gt;INDEX(_xlfn.ANCHORARRAY(Sintesi!$C$15),1,$C90))*($E90&lt;INDEX(_xlfn.ANCHORARRAY(Sintesi!$C$16),1,$C90))*(INDEX(_xlfn.ANCHORARRAY(Sintesi!$C$15),1,$C90)&gt;0),2,IF($E90=(INDEX(_xlfn.ANCHORARRAY(Sintesi!$C$16),1,$C90)),3,4)))),0),IF($C90&gt;0,IF(($E90=INDEX(_xlfn.ANCHORARRAY(Sintesi!$C$14),1,$C90))*(INDEX(_xlfn.ANCHORARRAY(Sintesi!$C$15),1,$C90)&gt;0),0,IF(($E90=INDEX(_xlfn.ANCHORARRAY(Sintesi!$C$14),1,$C90))*(INDEX(_xlfn.ANCHORARRAY(Sintesi!$C$15),1,$C90)&lt;0)+($E90&gt;=LOOKUP(2,1/($E:$E&lt;&gt;""),$E:$E))*($E90&lt;=INDEX($E:$E,MATCH(TRUE,INDEX((ISNUMBER($E:$E)),0),0)))*($E90&gt;INDEX(_xlfn.ANCHORARRAY(Sintesi!$C$14),1,$C90))*($E90&lt;=INDEX(_xlfn.ANCHORARRAY(Sintesi!$C$15),1,$C90))*(INDEX(_xlfn.ANCHORARRAY(Sintesi!$C$15),1,$C90)&gt;0),1,IF(($E90&gt;=LOOKUP(2,1/($E:$E&lt;&gt;""),$E:$E))*($E90&lt;=INDEX($E:$E,MATCH(TRUE,INDEX((ISNUMBER($E:$E)),0),0)))*($E90&gt;INDEX(_xlfn.ANCHORARRAY(Sintesi!$C$14),1,$C90))*($E90&lt;INDEX(_xlfn.ANCHORARRAY(Sintesi!$C$16),1,$C90))*(INDEX(_xlfn.ANCHORARRAY(Sintesi!$C$15),1,$C90)&lt;0)+($E90&gt;=LOOKUP(2,1/($E:$E&lt;&gt;""),$E:$E))*($E90&lt;=INDEX($E:$E,MATCH(TRUE,INDEX((ISNUMBER($E:$E)),0),0)))*($E90&gt;INDEX(_xlfn.ANCHORARRAY(Sintesi!$C$15),1,$C90))*($E90&lt;INDEX(_xlfn.ANCHORARRAY(Sintesi!$C$16),1,$C90))*(INDEX(_xlfn.ANCHORARRAY(Sintesi!$C$15),1,$C90)&gt;0),2,IF($E90=(INDEX(_xlfn.ANCHORARRAY(Sintesi!$C$16),1,$C90)),3,4)))),0)),IF(ISNUMBER($E89),IF($C90&gt;0,IF(($E90=INDEX(_xlfn.ANCHORARRAY(Sintesi!$C$14),1,$C90))*(INDEX(_xlfn.ANCHORARRAY(Sintesi!$C$15),1,$C90)&gt;0),0,IF(($E90=INDEX(_xlfn.ANCHORARRAY(Sintesi!$C$14),1,$C90))*(INDEX(_xlfn.ANCHORARRAY(Sintesi!$C$15),1,$C90)&lt;0)+($E90&gt;=$E89)*($E90&lt;=$E91)*($E90&gt;INDEX(_xlfn.ANCHORARRAY(Sintesi!$C$14),1,$C90))*($E90&lt;=INDEX(_xlfn.ANCHORARRAY(Sintesi!$C$15),1,$C90))*(INDEX(_xlfn.ANCHORARRAY(Sintesi!$C$15),1,$C90)&gt;0),1,IF(($E90&gt;=$E89)*($E90&lt;=$E91)*($E90&gt;INDEX(_xlfn.ANCHORARRAY(Sintesi!$C$14),1,$C90))*($E90&lt;INDEX(_xlfn.ANCHORARRAY(Sintesi!$C$16),1,$C90))*(INDEX(_xlfn.ANCHORARRAY(Sintesi!$C$15),1,$C90)&lt;0)+($E90&gt;=$E89)*($E90&lt;=$E91)*($E90&gt;INDEX(_xlfn.ANCHORARRAY(Sintesi!$C$15),1,$C90))*($E90&lt;INDEX(_xlfn.ANCHORARRAY(Sintesi!$C$16),1,$C90))*(INDEX(_xlfn.ANCHORARRAY(Sintesi!$C$15),1,$C90)&gt;0),2,IF($E90=(INDEX(_xlfn.ANCHORARRAY(Sintesi!$C$16),1,$C90)),3,4)))),0),IF($C90&gt;0,IF(($E90=INDEX(_xlfn.ANCHORARRAY(Sintesi!$C$14),1,$C90))*(INDEX(_xlfn.ANCHORARRAY(Sintesi!$C$15),1,$C90)&gt;0),0,IF(($E90=INDEX(_xlfn.ANCHORARRAY(Sintesi!$C$14),1,$C90))*(INDEX(_xlfn.ANCHORARRAY(Sintesi!$C$15),1,$C90)&lt;0)+($E90&gt;=LOOKUP(2,1/($E:$E&lt;&gt;""),$E:$E))*($E90&lt;=$E91)*($E90&gt;INDEX(_xlfn.ANCHORARRAY(Sintesi!$C$14),1,$C90))*($E90&lt;=INDEX(_xlfn.ANCHORARRAY(Sintesi!$C$15),1,$C90))*(INDEX(_xlfn.ANCHORARRAY(Sintesi!$C$15),1,$C90)&gt;0),1,IF(($E90&gt;=LOOKUP(2,1/($E:$E&lt;&gt;""),$E:$E))*($E90&lt;=$E91)*($E90&gt;INDEX(_xlfn.ANCHORARRAY(Sintesi!$C$14),1,$C90))*($E90&lt;INDEX(_xlfn.ANCHORARRAY(Sintesi!$C$16),1,$C90))*(INDEX(_xlfn.ANCHORARRAY(Sintesi!$C$15),1,$C90)&lt;0)+($E90&gt;=LOOKUP(2,1/($E:$E&lt;&gt;""),$E:$E))*($E90&lt;=$E91)*($E90&gt;INDEX(_xlfn.ANCHORARRAY(Sintesi!$C$15),1,$C90))*($E90&lt;INDEX(_xlfn.ANCHORARRAY(Sintesi!$C$16),1,$C90))*(INDEX(_xlfn.ANCHORARRAY(Sintesi!$C$15),1,$C90)&gt;0),2,IF($E90=(INDEX(_xlfn.ANCHORARRAY(Sintesi!$C$16),1,$C90)),3,4)))),0)))</f>
        <v>0</v>
      </c>
      <c r="E90" s="1">
        <f>'Paste cell here'!F90</f>
        <v>0</v>
      </c>
      <c r="F90" s="1">
        <f>'Paste cell here'!C90</f>
        <v>25.0926759</v>
      </c>
      <c r="G90" s="1">
        <f>'Paste cell here'!D90</f>
        <v>7.5815538919999996</v>
      </c>
      <c r="H90" s="1">
        <f>'Paste cell here'!E90</f>
        <v>3.3609293180000002</v>
      </c>
      <c r="I90" s="1">
        <f>'Paste cell here'!X90</f>
        <v>0</v>
      </c>
      <c r="J90" s="1">
        <f>'Paste cell here'!Y90+'Paste cell here'!S90</f>
        <v>0</v>
      </c>
      <c r="K90" s="1">
        <f t="shared" si="3"/>
        <v>0</v>
      </c>
      <c r="L90" s="1">
        <f t="shared" si="2"/>
        <v>19.721435742257579</v>
      </c>
      <c r="M90" s="1" cm="1">
        <f t="array" ref="M90">IF(AND(A90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,A90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),IF(L90&lt;_xlfn.IFNA(INDEX(_xlfn.ANCHORARRAY(Sintesi!$C$17)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,1,IF(L90&gt;=_xlfn.IFNA(INDEX(_xlfn.ANCHORARRAY(Sintesi!$C$18)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,0,1-(L90-_xlfn.IFNA(INDEX(_xlfn.ANCHORARRAY(Sintesi!$C$17)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)/(_xlfn.IFNA(INDEX(_xlfn.ANCHORARRAY(Sintesi!$C$18)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-_xlfn.IFNA(INDEX(_xlfn.ANCHORARRAY(Sintesi!$C$17),1,MATCH(1,(_xlfn.ANCHORARRAY(Sintesi!$C$9)&gt;_xlfn.ANCHORARRAY(Sintesi!$C$10))*(A89&gt;=_xlfn.ANCHORARRAY(Sintesi!$C$9))+(_xlfn.ANCHORARRAY(Sintesi!$C$9)&gt;_xlfn.ANCHORARRAY(Sintesi!$C$10))*(A89&lt;=_xlfn.ANCHORARRAY(Sintesi!$C$10))+(_xlfn.ANCHORARRAY(Sintesi!$C$9)&lt;_xlfn.ANCHORARRAY(Sintesi!$C$10))*(A89&gt;=_xlfn.ANCHORARRAY(Sintesi!$C$9))*(A89&lt;=_xlfn.ANCHORARRAY(Sintesi!$C$10)),0)),0)))),0)</f>
        <v>0</v>
      </c>
    </row>
    <row r="91" spans="1:13">
      <c r="A91" s="1">
        <f>'Paste cell here'!A91</f>
        <v>90</v>
      </c>
      <c r="B91" s="2">
        <f>DATE(Sintesi!$C$4-1,12,31)+A91</f>
        <v>44286</v>
      </c>
      <c r="C91" s="34" cm="1">
        <f t="array" ref="C91">_xlfn.IFNA(MATCH(1,(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)*(_xlfn.ANCHORARRAY(Sintesi!$C$15)&gt;=0)+(_xlfn.ANCHORARRAY(Sintesi!$C$15)&lt;0),0),0)</f>
        <v>0</v>
      </c>
      <c r="D91" s="1" cm="1">
        <f t="array" ref="D91">IF(ISBLANK($E92),IF(ISNUMBER($E90),IF($C91&gt;0,IF(($E91=INDEX(_xlfn.ANCHORARRAY(Sintesi!$C$14),1,$C91))*(INDEX(_xlfn.ANCHORARRAY(Sintesi!$C$15),1,$C91)&gt;0),0,IF(($E91=INDEX(_xlfn.ANCHORARRAY(Sintesi!$C$14),1,$C91))*(INDEX(_xlfn.ANCHORARRAY(Sintesi!$C$15),1,$C91)&lt;0)+($E91&gt;=$E90)*($E91&lt;=INDEX($E:$E,MATCH(TRUE,INDEX((ISNUMBER($E:$E)),0),0)))*($E91&gt;INDEX(_xlfn.ANCHORARRAY(Sintesi!$C$14),1,$C91))*($E91&lt;=INDEX(_xlfn.ANCHORARRAY(Sintesi!$C$15),1,$C91))*(INDEX(_xlfn.ANCHORARRAY(Sintesi!$C$15),1,$C91)&gt;0),1,IF(($E91&gt;=$E90)*($E91&lt;=INDEX($E:$E,MATCH(TRUE,INDEX((ISNUMBER($E:$E)),0),0)))*($E91&gt;INDEX(_xlfn.ANCHORARRAY(Sintesi!$C$14),1,$C91))*($E91&lt;INDEX(_xlfn.ANCHORARRAY(Sintesi!$C$16),1,$C91))*(INDEX(_xlfn.ANCHORARRAY(Sintesi!$C$15),1,$C91)&lt;0)+($E91&gt;=$E90)*($E91&lt;=INDEX($E:$E,MATCH(TRUE,INDEX((ISNUMBER($E:$E)),0),0)))*($E91&gt;INDEX(_xlfn.ANCHORARRAY(Sintesi!$C$15),1,$C91))*($E91&lt;INDEX(_xlfn.ANCHORARRAY(Sintesi!$C$16),1,$C91))*(INDEX(_xlfn.ANCHORARRAY(Sintesi!$C$15),1,$C91)&gt;0),2,IF($E91=(INDEX(_xlfn.ANCHORARRAY(Sintesi!$C$16),1,$C91)),3,4)))),0),IF($C91&gt;0,IF(($E91=INDEX(_xlfn.ANCHORARRAY(Sintesi!$C$14),1,$C91))*(INDEX(_xlfn.ANCHORARRAY(Sintesi!$C$15),1,$C91)&gt;0),0,IF(($E91=INDEX(_xlfn.ANCHORARRAY(Sintesi!$C$14),1,$C91))*(INDEX(_xlfn.ANCHORARRAY(Sintesi!$C$15),1,$C91)&lt;0)+($E91&gt;=LOOKUP(2,1/($E:$E&lt;&gt;""),$E:$E))*($E91&lt;=INDEX($E:$E,MATCH(TRUE,INDEX((ISNUMBER($E:$E)),0),0)))*($E91&gt;INDEX(_xlfn.ANCHORARRAY(Sintesi!$C$14),1,$C91))*($E91&lt;=INDEX(_xlfn.ANCHORARRAY(Sintesi!$C$15),1,$C91))*(INDEX(_xlfn.ANCHORARRAY(Sintesi!$C$15),1,$C91)&gt;0),1,IF(($E91&gt;=LOOKUP(2,1/($E:$E&lt;&gt;""),$E:$E))*($E91&lt;=INDEX($E:$E,MATCH(TRUE,INDEX((ISNUMBER($E:$E)),0),0)))*($E91&gt;INDEX(_xlfn.ANCHORARRAY(Sintesi!$C$14),1,$C91))*($E91&lt;INDEX(_xlfn.ANCHORARRAY(Sintesi!$C$16),1,$C91))*(INDEX(_xlfn.ANCHORARRAY(Sintesi!$C$15),1,$C91)&lt;0)+($E91&gt;=LOOKUP(2,1/($E:$E&lt;&gt;""),$E:$E))*($E91&lt;=INDEX($E:$E,MATCH(TRUE,INDEX((ISNUMBER($E:$E)),0),0)))*($E91&gt;INDEX(_xlfn.ANCHORARRAY(Sintesi!$C$15),1,$C91))*($E91&lt;INDEX(_xlfn.ANCHORARRAY(Sintesi!$C$16),1,$C91))*(INDEX(_xlfn.ANCHORARRAY(Sintesi!$C$15),1,$C91)&gt;0),2,IF($E91=(INDEX(_xlfn.ANCHORARRAY(Sintesi!$C$16),1,$C91)),3,4)))),0)),IF(ISNUMBER($E90),IF($C91&gt;0,IF(($E91=INDEX(_xlfn.ANCHORARRAY(Sintesi!$C$14),1,$C91))*(INDEX(_xlfn.ANCHORARRAY(Sintesi!$C$15),1,$C91)&gt;0),0,IF(($E91=INDEX(_xlfn.ANCHORARRAY(Sintesi!$C$14),1,$C91))*(INDEX(_xlfn.ANCHORARRAY(Sintesi!$C$15),1,$C91)&lt;0)+($E91&gt;=$E90)*($E91&lt;=$E92)*($E91&gt;INDEX(_xlfn.ANCHORARRAY(Sintesi!$C$14),1,$C91))*($E91&lt;=INDEX(_xlfn.ANCHORARRAY(Sintesi!$C$15),1,$C91))*(INDEX(_xlfn.ANCHORARRAY(Sintesi!$C$15),1,$C91)&gt;0),1,IF(($E91&gt;=$E90)*($E91&lt;=$E92)*($E91&gt;INDEX(_xlfn.ANCHORARRAY(Sintesi!$C$14),1,$C91))*($E91&lt;INDEX(_xlfn.ANCHORARRAY(Sintesi!$C$16),1,$C91))*(INDEX(_xlfn.ANCHORARRAY(Sintesi!$C$15),1,$C91)&lt;0)+($E91&gt;=$E90)*($E91&lt;=$E92)*($E91&gt;INDEX(_xlfn.ANCHORARRAY(Sintesi!$C$15),1,$C91))*($E91&lt;INDEX(_xlfn.ANCHORARRAY(Sintesi!$C$16),1,$C91))*(INDEX(_xlfn.ANCHORARRAY(Sintesi!$C$15),1,$C91)&gt;0),2,IF($E91=(INDEX(_xlfn.ANCHORARRAY(Sintesi!$C$16),1,$C91)),3,4)))),0),IF($C91&gt;0,IF(($E91=INDEX(_xlfn.ANCHORARRAY(Sintesi!$C$14),1,$C91))*(INDEX(_xlfn.ANCHORARRAY(Sintesi!$C$15),1,$C91)&gt;0),0,IF(($E91=INDEX(_xlfn.ANCHORARRAY(Sintesi!$C$14),1,$C91))*(INDEX(_xlfn.ANCHORARRAY(Sintesi!$C$15),1,$C91)&lt;0)+($E91&gt;=LOOKUP(2,1/($E:$E&lt;&gt;""),$E:$E))*($E91&lt;=$E92)*($E91&gt;INDEX(_xlfn.ANCHORARRAY(Sintesi!$C$14),1,$C91))*($E91&lt;=INDEX(_xlfn.ANCHORARRAY(Sintesi!$C$15),1,$C91))*(INDEX(_xlfn.ANCHORARRAY(Sintesi!$C$15),1,$C91)&gt;0),1,IF(($E91&gt;=LOOKUP(2,1/($E:$E&lt;&gt;""),$E:$E))*($E91&lt;=$E92)*($E91&gt;INDEX(_xlfn.ANCHORARRAY(Sintesi!$C$14),1,$C91))*($E91&lt;INDEX(_xlfn.ANCHORARRAY(Sintesi!$C$16),1,$C91))*(INDEX(_xlfn.ANCHORARRAY(Sintesi!$C$15),1,$C91)&lt;0)+($E91&gt;=LOOKUP(2,1/($E:$E&lt;&gt;""),$E:$E))*($E91&lt;=$E92)*($E91&gt;INDEX(_xlfn.ANCHORARRAY(Sintesi!$C$15),1,$C91))*($E91&lt;INDEX(_xlfn.ANCHORARRAY(Sintesi!$C$16),1,$C91))*(INDEX(_xlfn.ANCHORARRAY(Sintesi!$C$15),1,$C91)&gt;0),2,IF($E91=(INDEX(_xlfn.ANCHORARRAY(Sintesi!$C$16),1,$C91)),3,4)))),0)))</f>
        <v>0</v>
      </c>
      <c r="E91" s="1">
        <f>'Paste cell here'!F91</f>
        <v>0</v>
      </c>
      <c r="F91" s="1">
        <f>'Paste cell here'!C91</f>
        <v>26.456605029999999</v>
      </c>
      <c r="G91" s="1">
        <f>'Paste cell here'!D91</f>
        <v>8.1839841440000001</v>
      </c>
      <c r="H91" s="1">
        <f>'Paste cell here'!E91</f>
        <v>3.516176626</v>
      </c>
      <c r="I91" s="1">
        <f>'Paste cell here'!X91</f>
        <v>0</v>
      </c>
      <c r="J91" s="1">
        <f>'Paste cell here'!Y91+'Paste cell here'!S91</f>
        <v>0</v>
      </c>
      <c r="K91" s="1">
        <f t="shared" si="3"/>
        <v>0</v>
      </c>
      <c r="L91" s="1">
        <f t="shared" si="2"/>
        <v>20.851787985995195</v>
      </c>
      <c r="M91" s="1" cm="1">
        <f t="array" ref="M91">IF(AND(A91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,A91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),IF(L91&lt;_xlfn.IFNA(INDEX(_xlfn.ANCHORARRAY(Sintesi!$C$17)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,1,IF(L91&gt;=_xlfn.IFNA(INDEX(_xlfn.ANCHORARRAY(Sintesi!$C$18)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,0,1-(L91-_xlfn.IFNA(INDEX(_xlfn.ANCHORARRAY(Sintesi!$C$17)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)/(_xlfn.IFNA(INDEX(_xlfn.ANCHORARRAY(Sintesi!$C$18)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-_xlfn.IFNA(INDEX(_xlfn.ANCHORARRAY(Sintesi!$C$17),1,MATCH(1,(_xlfn.ANCHORARRAY(Sintesi!$C$9)&gt;_xlfn.ANCHORARRAY(Sintesi!$C$10))*(A90&gt;=_xlfn.ANCHORARRAY(Sintesi!$C$9))+(_xlfn.ANCHORARRAY(Sintesi!$C$9)&gt;_xlfn.ANCHORARRAY(Sintesi!$C$10))*(A90&lt;=_xlfn.ANCHORARRAY(Sintesi!$C$10))+(_xlfn.ANCHORARRAY(Sintesi!$C$9)&lt;_xlfn.ANCHORARRAY(Sintesi!$C$10))*(A90&gt;=_xlfn.ANCHORARRAY(Sintesi!$C$9))*(A90&lt;=_xlfn.ANCHORARRAY(Sintesi!$C$10)),0)),0)))),0)</f>
        <v>0</v>
      </c>
    </row>
    <row r="92" spans="1:13">
      <c r="A92" s="1">
        <f>'Paste cell here'!A92</f>
        <v>91</v>
      </c>
      <c r="B92" s="2">
        <f>DATE(Sintesi!$C$4-1,12,31)+A92</f>
        <v>44287</v>
      </c>
      <c r="C92" s="34" cm="1">
        <f t="array" ref="C92">_xlfn.IFNA(MATCH(1,(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)*(_xlfn.ANCHORARRAY(Sintesi!$C$15)&gt;=0)+(_xlfn.ANCHORARRAY(Sintesi!$C$15)&lt;0),0),0)</f>
        <v>0</v>
      </c>
      <c r="D92" s="1" cm="1">
        <f t="array" ref="D92">IF(ISBLANK($E93),IF(ISNUMBER($E91),IF($C92&gt;0,IF(($E92=INDEX(_xlfn.ANCHORARRAY(Sintesi!$C$14),1,$C92))*(INDEX(_xlfn.ANCHORARRAY(Sintesi!$C$15),1,$C92)&gt;0),0,IF(($E92=INDEX(_xlfn.ANCHORARRAY(Sintesi!$C$14),1,$C92))*(INDEX(_xlfn.ANCHORARRAY(Sintesi!$C$15),1,$C92)&lt;0)+($E92&gt;=$E91)*($E92&lt;=INDEX($E:$E,MATCH(TRUE,INDEX((ISNUMBER($E:$E)),0),0)))*($E92&gt;INDEX(_xlfn.ANCHORARRAY(Sintesi!$C$14),1,$C92))*($E92&lt;=INDEX(_xlfn.ANCHORARRAY(Sintesi!$C$15),1,$C92))*(INDEX(_xlfn.ANCHORARRAY(Sintesi!$C$15),1,$C92)&gt;0),1,IF(($E92&gt;=$E91)*($E92&lt;=INDEX($E:$E,MATCH(TRUE,INDEX((ISNUMBER($E:$E)),0),0)))*($E92&gt;INDEX(_xlfn.ANCHORARRAY(Sintesi!$C$14),1,$C92))*($E92&lt;INDEX(_xlfn.ANCHORARRAY(Sintesi!$C$16),1,$C92))*(INDEX(_xlfn.ANCHORARRAY(Sintesi!$C$15),1,$C92)&lt;0)+($E92&gt;=$E91)*($E92&lt;=INDEX($E:$E,MATCH(TRUE,INDEX((ISNUMBER($E:$E)),0),0)))*($E92&gt;INDEX(_xlfn.ANCHORARRAY(Sintesi!$C$15),1,$C92))*($E92&lt;INDEX(_xlfn.ANCHORARRAY(Sintesi!$C$16),1,$C92))*(INDEX(_xlfn.ANCHORARRAY(Sintesi!$C$15),1,$C92)&gt;0),2,IF($E92=(INDEX(_xlfn.ANCHORARRAY(Sintesi!$C$16),1,$C92)),3,4)))),0),IF($C92&gt;0,IF(($E92=INDEX(_xlfn.ANCHORARRAY(Sintesi!$C$14),1,$C92))*(INDEX(_xlfn.ANCHORARRAY(Sintesi!$C$15),1,$C92)&gt;0),0,IF(($E92=INDEX(_xlfn.ANCHORARRAY(Sintesi!$C$14),1,$C92))*(INDEX(_xlfn.ANCHORARRAY(Sintesi!$C$15),1,$C92)&lt;0)+($E92&gt;=LOOKUP(2,1/($E:$E&lt;&gt;""),$E:$E))*($E92&lt;=INDEX($E:$E,MATCH(TRUE,INDEX((ISNUMBER($E:$E)),0),0)))*($E92&gt;INDEX(_xlfn.ANCHORARRAY(Sintesi!$C$14),1,$C92))*($E92&lt;=INDEX(_xlfn.ANCHORARRAY(Sintesi!$C$15),1,$C92))*(INDEX(_xlfn.ANCHORARRAY(Sintesi!$C$15),1,$C92)&gt;0),1,IF(($E92&gt;=LOOKUP(2,1/($E:$E&lt;&gt;""),$E:$E))*($E92&lt;=INDEX($E:$E,MATCH(TRUE,INDEX((ISNUMBER($E:$E)),0),0)))*($E92&gt;INDEX(_xlfn.ANCHORARRAY(Sintesi!$C$14),1,$C92))*($E92&lt;INDEX(_xlfn.ANCHORARRAY(Sintesi!$C$16),1,$C92))*(INDEX(_xlfn.ANCHORARRAY(Sintesi!$C$15),1,$C92)&lt;0)+($E92&gt;=LOOKUP(2,1/($E:$E&lt;&gt;""),$E:$E))*($E92&lt;=INDEX($E:$E,MATCH(TRUE,INDEX((ISNUMBER($E:$E)),0),0)))*($E92&gt;INDEX(_xlfn.ANCHORARRAY(Sintesi!$C$15),1,$C92))*($E92&lt;INDEX(_xlfn.ANCHORARRAY(Sintesi!$C$16),1,$C92))*(INDEX(_xlfn.ANCHORARRAY(Sintesi!$C$15),1,$C92)&gt;0),2,IF($E92=(INDEX(_xlfn.ANCHORARRAY(Sintesi!$C$16),1,$C92)),3,4)))),0)),IF(ISNUMBER($E91),IF($C92&gt;0,IF(($E92=INDEX(_xlfn.ANCHORARRAY(Sintesi!$C$14),1,$C92))*(INDEX(_xlfn.ANCHORARRAY(Sintesi!$C$15),1,$C92)&gt;0),0,IF(($E92=INDEX(_xlfn.ANCHORARRAY(Sintesi!$C$14),1,$C92))*(INDEX(_xlfn.ANCHORARRAY(Sintesi!$C$15),1,$C92)&lt;0)+($E92&gt;=$E91)*($E92&lt;=$E93)*($E92&gt;INDEX(_xlfn.ANCHORARRAY(Sintesi!$C$14),1,$C92))*($E92&lt;=INDEX(_xlfn.ANCHORARRAY(Sintesi!$C$15),1,$C92))*(INDEX(_xlfn.ANCHORARRAY(Sintesi!$C$15),1,$C92)&gt;0),1,IF(($E92&gt;=$E91)*($E92&lt;=$E93)*($E92&gt;INDEX(_xlfn.ANCHORARRAY(Sintesi!$C$14),1,$C92))*($E92&lt;INDEX(_xlfn.ANCHORARRAY(Sintesi!$C$16),1,$C92))*(INDEX(_xlfn.ANCHORARRAY(Sintesi!$C$15),1,$C92)&lt;0)+($E92&gt;=$E91)*($E92&lt;=$E93)*($E92&gt;INDEX(_xlfn.ANCHORARRAY(Sintesi!$C$15),1,$C92))*($E92&lt;INDEX(_xlfn.ANCHORARRAY(Sintesi!$C$16),1,$C92))*(INDEX(_xlfn.ANCHORARRAY(Sintesi!$C$15),1,$C92)&gt;0),2,IF($E92=(INDEX(_xlfn.ANCHORARRAY(Sintesi!$C$16),1,$C92)),3,4)))),0),IF($C92&gt;0,IF(($E92=INDEX(_xlfn.ANCHORARRAY(Sintesi!$C$14),1,$C92))*(INDEX(_xlfn.ANCHORARRAY(Sintesi!$C$15),1,$C92)&gt;0),0,IF(($E92=INDEX(_xlfn.ANCHORARRAY(Sintesi!$C$14),1,$C92))*(INDEX(_xlfn.ANCHORARRAY(Sintesi!$C$15),1,$C92)&lt;0)+($E92&gt;=LOOKUP(2,1/($E:$E&lt;&gt;""),$E:$E))*($E92&lt;=$E93)*($E92&gt;INDEX(_xlfn.ANCHORARRAY(Sintesi!$C$14),1,$C92))*($E92&lt;=INDEX(_xlfn.ANCHORARRAY(Sintesi!$C$15),1,$C92))*(INDEX(_xlfn.ANCHORARRAY(Sintesi!$C$15),1,$C92)&gt;0),1,IF(($E92&gt;=LOOKUP(2,1/($E:$E&lt;&gt;""),$E:$E))*($E92&lt;=$E93)*($E92&gt;INDEX(_xlfn.ANCHORARRAY(Sintesi!$C$14),1,$C92))*($E92&lt;INDEX(_xlfn.ANCHORARRAY(Sintesi!$C$16),1,$C92))*(INDEX(_xlfn.ANCHORARRAY(Sintesi!$C$15),1,$C92)&lt;0)+($E92&gt;=LOOKUP(2,1/($E:$E&lt;&gt;""),$E:$E))*($E92&lt;=$E93)*($E92&gt;INDEX(_xlfn.ANCHORARRAY(Sintesi!$C$15),1,$C92))*($E92&lt;INDEX(_xlfn.ANCHORARRAY(Sintesi!$C$16),1,$C92))*(INDEX(_xlfn.ANCHORARRAY(Sintesi!$C$15),1,$C92)&gt;0),2,IF($E92=(INDEX(_xlfn.ANCHORARRAY(Sintesi!$C$16),1,$C92)),3,4)))),0)))</f>
        <v>0</v>
      </c>
      <c r="E92" s="1">
        <f>'Paste cell here'!F92</f>
        <v>0</v>
      </c>
      <c r="F92" s="1">
        <f>'Paste cell here'!C92</f>
        <v>27.692675900000001</v>
      </c>
      <c r="G92" s="1">
        <f>'Paste cell here'!D92</f>
        <v>8.4300588390000009</v>
      </c>
      <c r="H92" s="1">
        <f>'Paste cell here'!E92</f>
        <v>4.000641355</v>
      </c>
      <c r="I92" s="1">
        <f>'Paste cell here'!X92</f>
        <v>0</v>
      </c>
      <c r="J92" s="1">
        <f>'Paste cell here'!Y92+'Paste cell here'!S92</f>
        <v>0</v>
      </c>
      <c r="K92" s="1">
        <f t="shared" si="3"/>
        <v>0</v>
      </c>
      <c r="L92" s="1">
        <f t="shared" si="2"/>
        <v>20.483054657732005</v>
      </c>
      <c r="M92" s="1" cm="1">
        <f t="array" ref="M92">IF(AND(A92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,A92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),IF(L92&lt;_xlfn.IFNA(INDEX(_xlfn.ANCHORARRAY(Sintesi!$C$17)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,1,IF(L92&gt;=_xlfn.IFNA(INDEX(_xlfn.ANCHORARRAY(Sintesi!$C$18)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,0,1-(L92-_xlfn.IFNA(INDEX(_xlfn.ANCHORARRAY(Sintesi!$C$17)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)/(_xlfn.IFNA(INDEX(_xlfn.ANCHORARRAY(Sintesi!$C$18)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-_xlfn.IFNA(INDEX(_xlfn.ANCHORARRAY(Sintesi!$C$17),1,MATCH(1,(_xlfn.ANCHORARRAY(Sintesi!$C$9)&gt;_xlfn.ANCHORARRAY(Sintesi!$C$10))*(A91&gt;=_xlfn.ANCHORARRAY(Sintesi!$C$9))+(_xlfn.ANCHORARRAY(Sintesi!$C$9)&gt;_xlfn.ANCHORARRAY(Sintesi!$C$10))*(A91&lt;=_xlfn.ANCHORARRAY(Sintesi!$C$10))+(_xlfn.ANCHORARRAY(Sintesi!$C$9)&lt;_xlfn.ANCHORARRAY(Sintesi!$C$10))*(A91&gt;=_xlfn.ANCHORARRAY(Sintesi!$C$9))*(A91&lt;=_xlfn.ANCHORARRAY(Sintesi!$C$10)),0)),0)))),0)</f>
        <v>0</v>
      </c>
    </row>
    <row r="93" spans="1:13">
      <c r="A93" s="1">
        <f>'Paste cell here'!A93</f>
        <v>92</v>
      </c>
      <c r="B93" s="2">
        <f>DATE(Sintesi!$C$4-1,12,31)+A93</f>
        <v>44288</v>
      </c>
      <c r="C93" s="34" cm="1">
        <f t="array" ref="C93">_xlfn.IFNA(MATCH(1,(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)*(_xlfn.ANCHORARRAY(Sintesi!$C$15)&gt;=0)+(_xlfn.ANCHORARRAY(Sintesi!$C$15)&lt;0),0),0)</f>
        <v>0</v>
      </c>
      <c r="D93" s="1" cm="1">
        <f t="array" ref="D93">IF(ISBLANK($E94),IF(ISNUMBER($E92),IF($C93&gt;0,IF(($E93=INDEX(_xlfn.ANCHORARRAY(Sintesi!$C$14),1,$C93))*(INDEX(_xlfn.ANCHORARRAY(Sintesi!$C$15),1,$C93)&gt;0),0,IF(($E93=INDEX(_xlfn.ANCHORARRAY(Sintesi!$C$14),1,$C93))*(INDEX(_xlfn.ANCHORARRAY(Sintesi!$C$15),1,$C93)&lt;0)+($E93&gt;=$E92)*($E93&lt;=INDEX($E:$E,MATCH(TRUE,INDEX((ISNUMBER($E:$E)),0),0)))*($E93&gt;INDEX(_xlfn.ANCHORARRAY(Sintesi!$C$14),1,$C93))*($E93&lt;=INDEX(_xlfn.ANCHORARRAY(Sintesi!$C$15),1,$C93))*(INDEX(_xlfn.ANCHORARRAY(Sintesi!$C$15),1,$C93)&gt;0),1,IF(($E93&gt;=$E92)*($E93&lt;=INDEX($E:$E,MATCH(TRUE,INDEX((ISNUMBER($E:$E)),0),0)))*($E93&gt;INDEX(_xlfn.ANCHORARRAY(Sintesi!$C$14),1,$C93))*($E93&lt;INDEX(_xlfn.ANCHORARRAY(Sintesi!$C$16),1,$C93))*(INDEX(_xlfn.ANCHORARRAY(Sintesi!$C$15),1,$C93)&lt;0)+($E93&gt;=$E92)*($E93&lt;=INDEX($E:$E,MATCH(TRUE,INDEX((ISNUMBER($E:$E)),0),0)))*($E93&gt;INDEX(_xlfn.ANCHORARRAY(Sintesi!$C$15),1,$C93))*($E93&lt;INDEX(_xlfn.ANCHORARRAY(Sintesi!$C$16),1,$C93))*(INDEX(_xlfn.ANCHORARRAY(Sintesi!$C$15),1,$C93)&gt;0),2,IF($E93=(INDEX(_xlfn.ANCHORARRAY(Sintesi!$C$16),1,$C93)),3,4)))),0),IF($C93&gt;0,IF(($E93=INDEX(_xlfn.ANCHORARRAY(Sintesi!$C$14),1,$C93))*(INDEX(_xlfn.ANCHORARRAY(Sintesi!$C$15),1,$C93)&gt;0),0,IF(($E93=INDEX(_xlfn.ANCHORARRAY(Sintesi!$C$14),1,$C93))*(INDEX(_xlfn.ANCHORARRAY(Sintesi!$C$15),1,$C93)&lt;0)+($E93&gt;=LOOKUP(2,1/($E:$E&lt;&gt;""),$E:$E))*($E93&lt;=INDEX($E:$E,MATCH(TRUE,INDEX((ISNUMBER($E:$E)),0),0)))*($E93&gt;INDEX(_xlfn.ANCHORARRAY(Sintesi!$C$14),1,$C93))*($E93&lt;=INDEX(_xlfn.ANCHORARRAY(Sintesi!$C$15),1,$C93))*(INDEX(_xlfn.ANCHORARRAY(Sintesi!$C$15),1,$C93)&gt;0),1,IF(($E93&gt;=LOOKUP(2,1/($E:$E&lt;&gt;""),$E:$E))*($E93&lt;=INDEX($E:$E,MATCH(TRUE,INDEX((ISNUMBER($E:$E)),0),0)))*($E93&gt;INDEX(_xlfn.ANCHORARRAY(Sintesi!$C$14),1,$C93))*($E93&lt;INDEX(_xlfn.ANCHORARRAY(Sintesi!$C$16),1,$C93))*(INDEX(_xlfn.ANCHORARRAY(Sintesi!$C$15),1,$C93)&lt;0)+($E93&gt;=LOOKUP(2,1/($E:$E&lt;&gt;""),$E:$E))*($E93&lt;=INDEX($E:$E,MATCH(TRUE,INDEX((ISNUMBER($E:$E)),0),0)))*($E93&gt;INDEX(_xlfn.ANCHORARRAY(Sintesi!$C$15),1,$C93))*($E93&lt;INDEX(_xlfn.ANCHORARRAY(Sintesi!$C$16),1,$C93))*(INDEX(_xlfn.ANCHORARRAY(Sintesi!$C$15),1,$C93)&gt;0),2,IF($E93=(INDEX(_xlfn.ANCHORARRAY(Sintesi!$C$16),1,$C93)),3,4)))),0)),IF(ISNUMBER($E92),IF($C93&gt;0,IF(($E93=INDEX(_xlfn.ANCHORARRAY(Sintesi!$C$14),1,$C93))*(INDEX(_xlfn.ANCHORARRAY(Sintesi!$C$15),1,$C93)&gt;0),0,IF(($E93=INDEX(_xlfn.ANCHORARRAY(Sintesi!$C$14),1,$C93))*(INDEX(_xlfn.ANCHORARRAY(Sintesi!$C$15),1,$C93)&lt;0)+($E93&gt;=$E92)*($E93&lt;=$E94)*($E93&gt;INDEX(_xlfn.ANCHORARRAY(Sintesi!$C$14),1,$C93))*($E93&lt;=INDEX(_xlfn.ANCHORARRAY(Sintesi!$C$15),1,$C93))*(INDEX(_xlfn.ANCHORARRAY(Sintesi!$C$15),1,$C93)&gt;0),1,IF(($E93&gt;=$E92)*($E93&lt;=$E94)*($E93&gt;INDEX(_xlfn.ANCHORARRAY(Sintesi!$C$14),1,$C93))*($E93&lt;INDEX(_xlfn.ANCHORARRAY(Sintesi!$C$16),1,$C93))*(INDEX(_xlfn.ANCHORARRAY(Sintesi!$C$15),1,$C93)&lt;0)+($E93&gt;=$E92)*($E93&lt;=$E94)*($E93&gt;INDEX(_xlfn.ANCHORARRAY(Sintesi!$C$15),1,$C93))*($E93&lt;INDEX(_xlfn.ANCHORARRAY(Sintesi!$C$16),1,$C93))*(INDEX(_xlfn.ANCHORARRAY(Sintesi!$C$15),1,$C93)&gt;0),2,IF($E93=(INDEX(_xlfn.ANCHORARRAY(Sintesi!$C$16),1,$C93)),3,4)))),0),IF($C93&gt;0,IF(($E93=INDEX(_xlfn.ANCHORARRAY(Sintesi!$C$14),1,$C93))*(INDEX(_xlfn.ANCHORARRAY(Sintesi!$C$15),1,$C93)&gt;0),0,IF(($E93=INDEX(_xlfn.ANCHORARRAY(Sintesi!$C$14),1,$C93))*(INDEX(_xlfn.ANCHORARRAY(Sintesi!$C$15),1,$C93)&lt;0)+($E93&gt;=LOOKUP(2,1/($E:$E&lt;&gt;""),$E:$E))*($E93&lt;=$E94)*($E93&gt;INDEX(_xlfn.ANCHORARRAY(Sintesi!$C$14),1,$C93))*($E93&lt;=INDEX(_xlfn.ANCHORARRAY(Sintesi!$C$15),1,$C93))*(INDEX(_xlfn.ANCHORARRAY(Sintesi!$C$15),1,$C93)&gt;0),1,IF(($E93&gt;=LOOKUP(2,1/($E:$E&lt;&gt;""),$E:$E))*($E93&lt;=$E94)*($E93&gt;INDEX(_xlfn.ANCHORARRAY(Sintesi!$C$14),1,$C93))*($E93&lt;INDEX(_xlfn.ANCHORARRAY(Sintesi!$C$16),1,$C93))*(INDEX(_xlfn.ANCHORARRAY(Sintesi!$C$15),1,$C93)&lt;0)+($E93&gt;=LOOKUP(2,1/($E:$E&lt;&gt;""),$E:$E))*($E93&lt;=$E94)*($E93&gt;INDEX(_xlfn.ANCHORARRAY(Sintesi!$C$15),1,$C93))*($E93&lt;INDEX(_xlfn.ANCHORARRAY(Sintesi!$C$16),1,$C93))*(INDEX(_xlfn.ANCHORARRAY(Sintesi!$C$15),1,$C93)&gt;0),2,IF($E93=(INDEX(_xlfn.ANCHORARRAY(Sintesi!$C$16),1,$C93)),3,4)))),0)))</f>
        <v>0</v>
      </c>
      <c r="E93" s="1">
        <f>'Paste cell here'!F93</f>
        <v>0</v>
      </c>
      <c r="F93" s="1">
        <f>'Paste cell here'!C93</f>
        <v>27.992675899999998</v>
      </c>
      <c r="G93" s="1">
        <f>'Paste cell here'!D93</f>
        <v>8.0992687120000006</v>
      </c>
      <c r="H93" s="1">
        <f>'Paste cell here'!E93</f>
        <v>4.5240761129999996</v>
      </c>
      <c r="I93" s="1">
        <f>'Paste cell here'!X93</f>
        <v>0</v>
      </c>
      <c r="J93" s="1">
        <f>'Paste cell here'!Y93+'Paste cell here'!S93</f>
        <v>0</v>
      </c>
      <c r="K93" s="1">
        <f t="shared" si="3"/>
        <v>0</v>
      </c>
      <c r="L93" s="1">
        <f t="shared" si="2"/>
        <v>20.546962236612355</v>
      </c>
      <c r="M93" s="1" cm="1">
        <f t="array" ref="M93">IF(AND(A93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,A93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),IF(L93&lt;_xlfn.IFNA(INDEX(_xlfn.ANCHORARRAY(Sintesi!$C$17)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,1,IF(L93&gt;=_xlfn.IFNA(INDEX(_xlfn.ANCHORARRAY(Sintesi!$C$18)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,0,1-(L93-_xlfn.IFNA(INDEX(_xlfn.ANCHORARRAY(Sintesi!$C$17)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)/(_xlfn.IFNA(INDEX(_xlfn.ANCHORARRAY(Sintesi!$C$18)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-_xlfn.IFNA(INDEX(_xlfn.ANCHORARRAY(Sintesi!$C$17),1,MATCH(1,(_xlfn.ANCHORARRAY(Sintesi!$C$9)&gt;_xlfn.ANCHORARRAY(Sintesi!$C$10))*(A92&gt;=_xlfn.ANCHORARRAY(Sintesi!$C$9))+(_xlfn.ANCHORARRAY(Sintesi!$C$9)&gt;_xlfn.ANCHORARRAY(Sintesi!$C$10))*(A92&lt;=_xlfn.ANCHORARRAY(Sintesi!$C$10))+(_xlfn.ANCHORARRAY(Sintesi!$C$9)&lt;_xlfn.ANCHORARRAY(Sintesi!$C$10))*(A92&gt;=_xlfn.ANCHORARRAY(Sintesi!$C$9))*(A92&lt;=_xlfn.ANCHORARRAY(Sintesi!$C$10)),0)),0)))),0)</f>
        <v>0</v>
      </c>
    </row>
    <row r="94" spans="1:13">
      <c r="A94" s="1">
        <f>'Paste cell here'!A94</f>
        <v>93</v>
      </c>
      <c r="B94" s="2">
        <f>DATE(Sintesi!$C$4-1,12,31)+A94</f>
        <v>44289</v>
      </c>
      <c r="C94" s="34" cm="1">
        <f t="array" ref="C94">_xlfn.IFNA(MATCH(1,(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)*(_xlfn.ANCHORARRAY(Sintesi!$C$15)&gt;=0)+(_xlfn.ANCHORARRAY(Sintesi!$C$15)&lt;0),0),0)</f>
        <v>1</v>
      </c>
      <c r="D94" s="1" cm="1">
        <f t="array" ref="D94">IF(ISBLANK($E95),IF(ISNUMBER($E93),IF($C94&gt;0,IF(($E94=INDEX(_xlfn.ANCHORARRAY(Sintesi!$C$14),1,$C94))*(INDEX(_xlfn.ANCHORARRAY(Sintesi!$C$15),1,$C94)&gt;0),0,IF(($E94=INDEX(_xlfn.ANCHORARRAY(Sintesi!$C$14),1,$C94))*(INDEX(_xlfn.ANCHORARRAY(Sintesi!$C$15),1,$C94)&lt;0)+($E94&gt;=$E93)*($E94&lt;=INDEX($E:$E,MATCH(TRUE,INDEX((ISNUMBER($E:$E)),0),0)))*($E94&gt;INDEX(_xlfn.ANCHORARRAY(Sintesi!$C$14),1,$C94))*($E94&lt;=INDEX(_xlfn.ANCHORARRAY(Sintesi!$C$15),1,$C94))*(INDEX(_xlfn.ANCHORARRAY(Sintesi!$C$15),1,$C94)&gt;0),1,IF(($E94&gt;=$E93)*($E94&lt;=INDEX($E:$E,MATCH(TRUE,INDEX((ISNUMBER($E:$E)),0),0)))*($E94&gt;INDEX(_xlfn.ANCHORARRAY(Sintesi!$C$14),1,$C94))*($E94&lt;INDEX(_xlfn.ANCHORARRAY(Sintesi!$C$16),1,$C94))*(INDEX(_xlfn.ANCHORARRAY(Sintesi!$C$15),1,$C94)&lt;0)+($E94&gt;=$E93)*($E94&lt;=INDEX($E:$E,MATCH(TRUE,INDEX((ISNUMBER($E:$E)),0),0)))*($E94&gt;INDEX(_xlfn.ANCHORARRAY(Sintesi!$C$15),1,$C94))*($E94&lt;INDEX(_xlfn.ANCHORARRAY(Sintesi!$C$16),1,$C94))*(INDEX(_xlfn.ANCHORARRAY(Sintesi!$C$15),1,$C94)&gt;0),2,IF($E94=(INDEX(_xlfn.ANCHORARRAY(Sintesi!$C$16),1,$C94)),3,4)))),0),IF($C94&gt;0,IF(($E94=INDEX(_xlfn.ANCHORARRAY(Sintesi!$C$14),1,$C94))*(INDEX(_xlfn.ANCHORARRAY(Sintesi!$C$15),1,$C94)&gt;0),0,IF(($E94=INDEX(_xlfn.ANCHORARRAY(Sintesi!$C$14),1,$C94))*(INDEX(_xlfn.ANCHORARRAY(Sintesi!$C$15),1,$C94)&lt;0)+($E94&gt;=LOOKUP(2,1/($E:$E&lt;&gt;""),$E:$E))*($E94&lt;=INDEX($E:$E,MATCH(TRUE,INDEX((ISNUMBER($E:$E)),0),0)))*($E94&gt;INDEX(_xlfn.ANCHORARRAY(Sintesi!$C$14),1,$C94))*($E94&lt;=INDEX(_xlfn.ANCHORARRAY(Sintesi!$C$15),1,$C94))*(INDEX(_xlfn.ANCHORARRAY(Sintesi!$C$15),1,$C94)&gt;0),1,IF(($E94&gt;=LOOKUP(2,1/($E:$E&lt;&gt;""),$E:$E))*($E94&lt;=INDEX($E:$E,MATCH(TRUE,INDEX((ISNUMBER($E:$E)),0),0)))*($E94&gt;INDEX(_xlfn.ANCHORARRAY(Sintesi!$C$14),1,$C94))*($E94&lt;INDEX(_xlfn.ANCHORARRAY(Sintesi!$C$16),1,$C94))*(INDEX(_xlfn.ANCHORARRAY(Sintesi!$C$15),1,$C94)&lt;0)+($E94&gt;=LOOKUP(2,1/($E:$E&lt;&gt;""),$E:$E))*($E94&lt;=INDEX($E:$E,MATCH(TRUE,INDEX((ISNUMBER($E:$E)),0),0)))*($E94&gt;INDEX(_xlfn.ANCHORARRAY(Sintesi!$C$15),1,$C94))*($E94&lt;INDEX(_xlfn.ANCHORARRAY(Sintesi!$C$16),1,$C94))*(INDEX(_xlfn.ANCHORARRAY(Sintesi!$C$15),1,$C94)&gt;0),2,IF($E94=(INDEX(_xlfn.ANCHORARRAY(Sintesi!$C$16),1,$C94)),3,4)))),0)),IF(ISNUMBER($E93),IF($C94&gt;0,IF(($E94=INDEX(_xlfn.ANCHORARRAY(Sintesi!$C$14),1,$C94))*(INDEX(_xlfn.ANCHORARRAY(Sintesi!$C$15),1,$C94)&gt;0),0,IF(($E94=INDEX(_xlfn.ANCHORARRAY(Sintesi!$C$14),1,$C94))*(INDEX(_xlfn.ANCHORARRAY(Sintesi!$C$15),1,$C94)&lt;0)+($E94&gt;=$E93)*($E94&lt;=$E95)*($E94&gt;INDEX(_xlfn.ANCHORARRAY(Sintesi!$C$14),1,$C94))*($E94&lt;=INDEX(_xlfn.ANCHORARRAY(Sintesi!$C$15),1,$C94))*(INDEX(_xlfn.ANCHORARRAY(Sintesi!$C$15),1,$C94)&gt;0),1,IF(($E94&gt;=$E93)*($E94&lt;=$E95)*($E94&gt;INDEX(_xlfn.ANCHORARRAY(Sintesi!$C$14),1,$C94))*($E94&lt;INDEX(_xlfn.ANCHORARRAY(Sintesi!$C$16),1,$C94))*(INDEX(_xlfn.ANCHORARRAY(Sintesi!$C$15),1,$C94)&lt;0)+($E94&gt;=$E93)*($E94&lt;=$E95)*($E94&gt;INDEX(_xlfn.ANCHORARRAY(Sintesi!$C$15),1,$C94))*($E94&lt;INDEX(_xlfn.ANCHORARRAY(Sintesi!$C$16),1,$C94))*(INDEX(_xlfn.ANCHORARRAY(Sintesi!$C$15),1,$C94)&gt;0),2,IF($E94=(INDEX(_xlfn.ANCHORARRAY(Sintesi!$C$16),1,$C94)),3,4)))),0),IF($C94&gt;0,IF(($E94=INDEX(_xlfn.ANCHORARRAY(Sintesi!$C$14),1,$C94))*(INDEX(_xlfn.ANCHORARRAY(Sintesi!$C$15),1,$C94)&gt;0),0,IF(($E94=INDEX(_xlfn.ANCHORARRAY(Sintesi!$C$14),1,$C94))*(INDEX(_xlfn.ANCHORARRAY(Sintesi!$C$15),1,$C94)&lt;0)+($E94&gt;=LOOKUP(2,1/($E:$E&lt;&gt;""),$E:$E))*($E94&lt;=$E95)*($E94&gt;INDEX(_xlfn.ANCHORARRAY(Sintesi!$C$14),1,$C94))*($E94&lt;=INDEX(_xlfn.ANCHORARRAY(Sintesi!$C$15),1,$C94))*(INDEX(_xlfn.ANCHORARRAY(Sintesi!$C$15),1,$C94)&gt;0),1,IF(($E94&gt;=LOOKUP(2,1/($E:$E&lt;&gt;""),$E:$E))*($E94&lt;=$E95)*($E94&gt;INDEX(_xlfn.ANCHORARRAY(Sintesi!$C$14),1,$C94))*($E94&lt;INDEX(_xlfn.ANCHORARRAY(Sintesi!$C$16),1,$C94))*(INDEX(_xlfn.ANCHORARRAY(Sintesi!$C$15),1,$C94)&lt;0)+($E94&gt;=LOOKUP(2,1/($E:$E&lt;&gt;""),$E:$E))*($E94&lt;=$E95)*($E94&gt;INDEX(_xlfn.ANCHORARRAY(Sintesi!$C$15),1,$C94))*($E94&lt;INDEX(_xlfn.ANCHORARRAY(Sintesi!$C$16),1,$C94))*(INDEX(_xlfn.ANCHORARRAY(Sintesi!$C$15),1,$C94)&gt;0),2,IF($E94=(INDEX(_xlfn.ANCHORARRAY(Sintesi!$C$16),1,$C94)),3,4)))),0)))</f>
        <v>1</v>
      </c>
      <c r="E94" s="1">
        <f>'Paste cell here'!F94</f>
        <v>7.4999999999999997E-2</v>
      </c>
      <c r="F94" s="1">
        <f>'Paste cell here'!C94</f>
        <v>21.049280929999998</v>
      </c>
      <c r="G94" s="1">
        <f>'Paste cell here'!D94</f>
        <v>11.464055200000001</v>
      </c>
      <c r="H94" s="1">
        <f>'Paste cell here'!E94</f>
        <v>3.695703655</v>
      </c>
      <c r="I94" s="1">
        <f>'Paste cell here'!X94</f>
        <v>0.27717724999999999</v>
      </c>
      <c r="J94" s="1">
        <f>'Paste cell here'!Y94+'Paste cell here'!S94</f>
        <v>0.27717724999999999</v>
      </c>
      <c r="K94" s="1">
        <f t="shared" si="3"/>
        <v>7.4999858179916751E-2</v>
      </c>
      <c r="L94" s="1">
        <f t="shared" si="2"/>
        <v>17.461718200797606</v>
      </c>
      <c r="M94" s="1" cm="1">
        <f t="array" ref="M94">IF(AND(A94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,A94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),IF(L94&lt;_xlfn.IFNA(INDEX(_xlfn.ANCHORARRAY(Sintesi!$C$17)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,1,IF(L94&gt;=_xlfn.IFNA(INDEX(_xlfn.ANCHORARRAY(Sintesi!$C$18)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,0,1-(L94-_xlfn.IFNA(INDEX(_xlfn.ANCHORARRAY(Sintesi!$C$17)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)/(_xlfn.IFNA(INDEX(_xlfn.ANCHORARRAY(Sintesi!$C$18)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-_xlfn.IFNA(INDEX(_xlfn.ANCHORARRAY(Sintesi!$C$17),1,MATCH(1,(_xlfn.ANCHORARRAY(Sintesi!$C$9)&gt;_xlfn.ANCHORARRAY(Sintesi!$C$10))*(A93&gt;=_xlfn.ANCHORARRAY(Sintesi!$C$9))+(_xlfn.ANCHORARRAY(Sintesi!$C$9)&gt;_xlfn.ANCHORARRAY(Sintesi!$C$10))*(A93&lt;=_xlfn.ANCHORARRAY(Sintesi!$C$10))+(_xlfn.ANCHORARRAY(Sintesi!$C$9)&lt;_xlfn.ANCHORARRAY(Sintesi!$C$10))*(A93&gt;=_xlfn.ANCHORARRAY(Sintesi!$C$9))*(A93&lt;=_xlfn.ANCHORARRAY(Sintesi!$C$10)),0)),0)))),0)</f>
        <v>0</v>
      </c>
    </row>
    <row r="95" spans="1:13">
      <c r="A95" s="1">
        <f>'Paste cell here'!A95</f>
        <v>94</v>
      </c>
      <c r="B95" s="2">
        <f>DATE(Sintesi!$C$4-1,12,31)+A95</f>
        <v>44290</v>
      </c>
      <c r="C95" s="34" cm="1">
        <f t="array" ref="C95">_xlfn.IFNA(MATCH(1,(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)*(_xlfn.ANCHORARRAY(Sintesi!$C$15)&gt;=0)+(_xlfn.ANCHORARRAY(Sintesi!$C$15)&lt;0),0),0)</f>
        <v>1</v>
      </c>
      <c r="D95" s="1" cm="1">
        <f t="array" ref="D95">IF(ISBLANK($E96),IF(ISNUMBER($E94),IF($C95&gt;0,IF(($E95=INDEX(_xlfn.ANCHORARRAY(Sintesi!$C$14),1,$C95))*(INDEX(_xlfn.ANCHORARRAY(Sintesi!$C$15),1,$C95)&gt;0),0,IF(($E95=INDEX(_xlfn.ANCHORARRAY(Sintesi!$C$14),1,$C95))*(INDEX(_xlfn.ANCHORARRAY(Sintesi!$C$15),1,$C95)&lt;0)+($E95&gt;=$E94)*($E95&lt;=INDEX($E:$E,MATCH(TRUE,INDEX((ISNUMBER($E:$E)),0),0)))*($E95&gt;INDEX(_xlfn.ANCHORARRAY(Sintesi!$C$14),1,$C95))*($E95&lt;=INDEX(_xlfn.ANCHORARRAY(Sintesi!$C$15),1,$C95))*(INDEX(_xlfn.ANCHORARRAY(Sintesi!$C$15),1,$C95)&gt;0),1,IF(($E95&gt;=$E94)*($E95&lt;=INDEX($E:$E,MATCH(TRUE,INDEX((ISNUMBER($E:$E)),0),0)))*($E95&gt;INDEX(_xlfn.ANCHORARRAY(Sintesi!$C$14),1,$C95))*($E95&lt;INDEX(_xlfn.ANCHORARRAY(Sintesi!$C$16),1,$C95))*(INDEX(_xlfn.ANCHORARRAY(Sintesi!$C$15),1,$C95)&lt;0)+($E95&gt;=$E94)*($E95&lt;=INDEX($E:$E,MATCH(TRUE,INDEX((ISNUMBER($E:$E)),0),0)))*($E95&gt;INDEX(_xlfn.ANCHORARRAY(Sintesi!$C$15),1,$C95))*($E95&lt;INDEX(_xlfn.ANCHORARRAY(Sintesi!$C$16),1,$C95))*(INDEX(_xlfn.ANCHORARRAY(Sintesi!$C$15),1,$C95)&gt;0),2,IF($E95=(INDEX(_xlfn.ANCHORARRAY(Sintesi!$C$16),1,$C95)),3,4)))),0),IF($C95&gt;0,IF(($E95=INDEX(_xlfn.ANCHORARRAY(Sintesi!$C$14),1,$C95))*(INDEX(_xlfn.ANCHORARRAY(Sintesi!$C$15),1,$C95)&gt;0),0,IF(($E95=INDEX(_xlfn.ANCHORARRAY(Sintesi!$C$14),1,$C95))*(INDEX(_xlfn.ANCHORARRAY(Sintesi!$C$15),1,$C95)&lt;0)+($E95&gt;=LOOKUP(2,1/($E:$E&lt;&gt;""),$E:$E))*($E95&lt;=INDEX($E:$E,MATCH(TRUE,INDEX((ISNUMBER($E:$E)),0),0)))*($E95&gt;INDEX(_xlfn.ANCHORARRAY(Sintesi!$C$14),1,$C95))*($E95&lt;=INDEX(_xlfn.ANCHORARRAY(Sintesi!$C$15),1,$C95))*(INDEX(_xlfn.ANCHORARRAY(Sintesi!$C$15),1,$C95)&gt;0),1,IF(($E95&gt;=LOOKUP(2,1/($E:$E&lt;&gt;""),$E:$E))*($E95&lt;=INDEX($E:$E,MATCH(TRUE,INDEX((ISNUMBER($E:$E)),0),0)))*($E95&gt;INDEX(_xlfn.ANCHORARRAY(Sintesi!$C$14),1,$C95))*($E95&lt;INDEX(_xlfn.ANCHORARRAY(Sintesi!$C$16),1,$C95))*(INDEX(_xlfn.ANCHORARRAY(Sintesi!$C$15),1,$C95)&lt;0)+($E95&gt;=LOOKUP(2,1/($E:$E&lt;&gt;""),$E:$E))*($E95&lt;=INDEX($E:$E,MATCH(TRUE,INDEX((ISNUMBER($E:$E)),0),0)))*($E95&gt;INDEX(_xlfn.ANCHORARRAY(Sintesi!$C$15),1,$C95))*($E95&lt;INDEX(_xlfn.ANCHORARRAY(Sintesi!$C$16),1,$C95))*(INDEX(_xlfn.ANCHORARRAY(Sintesi!$C$15),1,$C95)&gt;0),2,IF($E95=(INDEX(_xlfn.ANCHORARRAY(Sintesi!$C$16),1,$C95)),3,4)))),0)),IF(ISNUMBER($E94),IF($C95&gt;0,IF(($E95=INDEX(_xlfn.ANCHORARRAY(Sintesi!$C$14),1,$C95))*(INDEX(_xlfn.ANCHORARRAY(Sintesi!$C$15),1,$C95)&gt;0),0,IF(($E95=INDEX(_xlfn.ANCHORARRAY(Sintesi!$C$14),1,$C95))*(INDEX(_xlfn.ANCHORARRAY(Sintesi!$C$15),1,$C95)&lt;0)+($E95&gt;=$E94)*($E95&lt;=$E96)*($E95&gt;INDEX(_xlfn.ANCHORARRAY(Sintesi!$C$14),1,$C95))*($E95&lt;=INDEX(_xlfn.ANCHORARRAY(Sintesi!$C$15),1,$C95))*(INDEX(_xlfn.ANCHORARRAY(Sintesi!$C$15),1,$C95)&gt;0),1,IF(($E95&gt;=$E94)*($E95&lt;=$E96)*($E95&gt;INDEX(_xlfn.ANCHORARRAY(Sintesi!$C$14),1,$C95))*($E95&lt;INDEX(_xlfn.ANCHORARRAY(Sintesi!$C$16),1,$C95))*(INDEX(_xlfn.ANCHORARRAY(Sintesi!$C$15),1,$C95)&lt;0)+($E95&gt;=$E94)*($E95&lt;=$E96)*($E95&gt;INDEX(_xlfn.ANCHORARRAY(Sintesi!$C$15),1,$C95))*($E95&lt;INDEX(_xlfn.ANCHORARRAY(Sintesi!$C$16),1,$C95))*(INDEX(_xlfn.ANCHORARRAY(Sintesi!$C$15),1,$C95)&gt;0),2,IF($E95=(INDEX(_xlfn.ANCHORARRAY(Sintesi!$C$16),1,$C95)),3,4)))),0),IF($C95&gt;0,IF(($E95=INDEX(_xlfn.ANCHORARRAY(Sintesi!$C$14),1,$C95))*(INDEX(_xlfn.ANCHORARRAY(Sintesi!$C$15),1,$C95)&gt;0),0,IF(($E95=INDEX(_xlfn.ANCHORARRAY(Sintesi!$C$14),1,$C95))*(INDEX(_xlfn.ANCHORARRAY(Sintesi!$C$15),1,$C95)&lt;0)+($E95&gt;=LOOKUP(2,1/($E:$E&lt;&gt;""),$E:$E))*($E95&lt;=$E96)*($E95&gt;INDEX(_xlfn.ANCHORARRAY(Sintesi!$C$14),1,$C95))*($E95&lt;=INDEX(_xlfn.ANCHORARRAY(Sintesi!$C$15),1,$C95))*(INDEX(_xlfn.ANCHORARRAY(Sintesi!$C$15),1,$C95)&gt;0),1,IF(($E95&gt;=LOOKUP(2,1/($E:$E&lt;&gt;""),$E:$E))*($E95&lt;=$E96)*($E95&gt;INDEX(_xlfn.ANCHORARRAY(Sintesi!$C$14),1,$C95))*($E95&lt;INDEX(_xlfn.ANCHORARRAY(Sintesi!$C$16),1,$C95))*(INDEX(_xlfn.ANCHORARRAY(Sintesi!$C$15),1,$C95)&lt;0)+($E95&gt;=LOOKUP(2,1/($E:$E&lt;&gt;""),$E:$E))*($E95&lt;=$E96)*($E95&gt;INDEX(_xlfn.ANCHORARRAY(Sintesi!$C$15),1,$C95))*($E95&lt;INDEX(_xlfn.ANCHORARRAY(Sintesi!$C$16),1,$C95))*(INDEX(_xlfn.ANCHORARRAY(Sintesi!$C$15),1,$C95)&gt;0),2,IF($E95=(INDEX(_xlfn.ANCHORARRAY(Sintesi!$C$16),1,$C95)),3,4)))),0)))</f>
        <v>1</v>
      </c>
      <c r="E95" s="1">
        <f>'Paste cell here'!F95</f>
        <v>0.15</v>
      </c>
      <c r="F95" s="1">
        <f>'Paste cell here'!C95</f>
        <v>17.138750590000001</v>
      </c>
      <c r="G95" s="1">
        <f>'Paste cell here'!D95</f>
        <v>6.2121200009999997</v>
      </c>
      <c r="H95" s="1">
        <f>'Paste cell here'!E95</f>
        <v>3.2711809449999998</v>
      </c>
      <c r="I95" s="1">
        <f>'Paste cell here'!X95</f>
        <v>0.490676116</v>
      </c>
      <c r="J95" s="1">
        <f>'Paste cell here'!Y95+'Paste cell here'!S95</f>
        <v>0.490676116</v>
      </c>
      <c r="K95" s="1">
        <f t="shared" si="3"/>
        <v>0.14999968642822967</v>
      </c>
      <c r="L95" s="1">
        <f t="shared" si="2"/>
        <v>13.049126228398324</v>
      </c>
      <c r="M95" s="1" cm="1">
        <f t="array" ref="M95">IF(AND(A95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,A95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),IF(L95&lt;_xlfn.IFNA(INDEX(_xlfn.ANCHORARRAY(Sintesi!$C$17)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,1,IF(L95&gt;=_xlfn.IFNA(INDEX(_xlfn.ANCHORARRAY(Sintesi!$C$18)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,0,1-(L95-_xlfn.IFNA(INDEX(_xlfn.ANCHORARRAY(Sintesi!$C$17)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)/(_xlfn.IFNA(INDEX(_xlfn.ANCHORARRAY(Sintesi!$C$18)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-_xlfn.IFNA(INDEX(_xlfn.ANCHORARRAY(Sintesi!$C$17),1,MATCH(1,(_xlfn.ANCHORARRAY(Sintesi!$C$9)&gt;_xlfn.ANCHORARRAY(Sintesi!$C$10))*(A94&gt;=_xlfn.ANCHORARRAY(Sintesi!$C$9))+(_xlfn.ANCHORARRAY(Sintesi!$C$9)&gt;_xlfn.ANCHORARRAY(Sintesi!$C$10))*(A94&lt;=_xlfn.ANCHORARRAY(Sintesi!$C$10))+(_xlfn.ANCHORARRAY(Sintesi!$C$9)&lt;_xlfn.ANCHORARRAY(Sintesi!$C$10))*(A94&gt;=_xlfn.ANCHORARRAY(Sintesi!$C$9))*(A94&lt;=_xlfn.ANCHORARRAY(Sintesi!$C$10)),0)),0)))),0)</f>
        <v>0</v>
      </c>
    </row>
    <row r="96" spans="1:13">
      <c r="A96" s="1">
        <f>'Paste cell here'!A96</f>
        <v>95</v>
      </c>
      <c r="B96" s="2">
        <f>DATE(Sintesi!$C$4-1,12,31)+A96</f>
        <v>44291</v>
      </c>
      <c r="C96" s="34" cm="1">
        <f t="array" ref="C96">_xlfn.IFNA(MATCH(1,(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)*(_xlfn.ANCHORARRAY(Sintesi!$C$15)&gt;=0)+(_xlfn.ANCHORARRAY(Sintesi!$C$15)&lt;0),0),0)</f>
        <v>1</v>
      </c>
      <c r="D96" s="1" cm="1">
        <f t="array" ref="D96">IF(ISBLANK($E97),IF(ISNUMBER($E95),IF($C96&gt;0,IF(($E96=INDEX(_xlfn.ANCHORARRAY(Sintesi!$C$14),1,$C96))*(INDEX(_xlfn.ANCHORARRAY(Sintesi!$C$15),1,$C96)&gt;0),0,IF(($E96=INDEX(_xlfn.ANCHORARRAY(Sintesi!$C$14),1,$C96))*(INDEX(_xlfn.ANCHORARRAY(Sintesi!$C$15),1,$C96)&lt;0)+($E96&gt;=$E95)*($E96&lt;=INDEX($E:$E,MATCH(TRUE,INDEX((ISNUMBER($E:$E)),0),0)))*($E96&gt;INDEX(_xlfn.ANCHORARRAY(Sintesi!$C$14),1,$C96))*($E96&lt;=INDEX(_xlfn.ANCHORARRAY(Sintesi!$C$15),1,$C96))*(INDEX(_xlfn.ANCHORARRAY(Sintesi!$C$15),1,$C96)&gt;0),1,IF(($E96&gt;=$E95)*($E96&lt;=INDEX($E:$E,MATCH(TRUE,INDEX((ISNUMBER($E:$E)),0),0)))*($E96&gt;INDEX(_xlfn.ANCHORARRAY(Sintesi!$C$14),1,$C96))*($E96&lt;INDEX(_xlfn.ANCHORARRAY(Sintesi!$C$16),1,$C96))*(INDEX(_xlfn.ANCHORARRAY(Sintesi!$C$15),1,$C96)&lt;0)+($E96&gt;=$E95)*($E96&lt;=INDEX($E:$E,MATCH(TRUE,INDEX((ISNUMBER($E:$E)),0),0)))*($E96&gt;INDEX(_xlfn.ANCHORARRAY(Sintesi!$C$15),1,$C96))*($E96&lt;INDEX(_xlfn.ANCHORARRAY(Sintesi!$C$16),1,$C96))*(INDEX(_xlfn.ANCHORARRAY(Sintesi!$C$15),1,$C96)&gt;0),2,IF($E96=(INDEX(_xlfn.ANCHORARRAY(Sintesi!$C$16),1,$C96)),3,4)))),0),IF($C96&gt;0,IF(($E96=INDEX(_xlfn.ANCHORARRAY(Sintesi!$C$14),1,$C96))*(INDEX(_xlfn.ANCHORARRAY(Sintesi!$C$15),1,$C96)&gt;0),0,IF(($E96=INDEX(_xlfn.ANCHORARRAY(Sintesi!$C$14),1,$C96))*(INDEX(_xlfn.ANCHORARRAY(Sintesi!$C$15),1,$C96)&lt;0)+($E96&gt;=LOOKUP(2,1/($E:$E&lt;&gt;""),$E:$E))*($E96&lt;=INDEX($E:$E,MATCH(TRUE,INDEX((ISNUMBER($E:$E)),0),0)))*($E96&gt;INDEX(_xlfn.ANCHORARRAY(Sintesi!$C$14),1,$C96))*($E96&lt;=INDEX(_xlfn.ANCHORARRAY(Sintesi!$C$15),1,$C96))*(INDEX(_xlfn.ANCHORARRAY(Sintesi!$C$15),1,$C96)&gt;0),1,IF(($E96&gt;=LOOKUP(2,1/($E:$E&lt;&gt;""),$E:$E))*($E96&lt;=INDEX($E:$E,MATCH(TRUE,INDEX((ISNUMBER($E:$E)),0),0)))*($E96&gt;INDEX(_xlfn.ANCHORARRAY(Sintesi!$C$14),1,$C96))*($E96&lt;INDEX(_xlfn.ANCHORARRAY(Sintesi!$C$16),1,$C96))*(INDEX(_xlfn.ANCHORARRAY(Sintesi!$C$15),1,$C96)&lt;0)+($E96&gt;=LOOKUP(2,1/($E:$E&lt;&gt;""),$E:$E))*($E96&lt;=INDEX($E:$E,MATCH(TRUE,INDEX((ISNUMBER($E:$E)),0),0)))*($E96&gt;INDEX(_xlfn.ANCHORARRAY(Sintesi!$C$15),1,$C96))*($E96&lt;INDEX(_xlfn.ANCHORARRAY(Sintesi!$C$16),1,$C96))*(INDEX(_xlfn.ANCHORARRAY(Sintesi!$C$15),1,$C96)&gt;0),2,IF($E96=(INDEX(_xlfn.ANCHORARRAY(Sintesi!$C$16),1,$C96)),3,4)))),0)),IF(ISNUMBER($E95),IF($C96&gt;0,IF(($E96=INDEX(_xlfn.ANCHORARRAY(Sintesi!$C$14),1,$C96))*(INDEX(_xlfn.ANCHORARRAY(Sintesi!$C$15),1,$C96)&gt;0),0,IF(($E96=INDEX(_xlfn.ANCHORARRAY(Sintesi!$C$14),1,$C96))*(INDEX(_xlfn.ANCHORARRAY(Sintesi!$C$15),1,$C96)&lt;0)+($E96&gt;=$E95)*($E96&lt;=$E97)*($E96&gt;INDEX(_xlfn.ANCHORARRAY(Sintesi!$C$14),1,$C96))*($E96&lt;=INDEX(_xlfn.ANCHORARRAY(Sintesi!$C$15),1,$C96))*(INDEX(_xlfn.ANCHORARRAY(Sintesi!$C$15),1,$C96)&gt;0),1,IF(($E96&gt;=$E95)*($E96&lt;=$E97)*($E96&gt;INDEX(_xlfn.ANCHORARRAY(Sintesi!$C$14),1,$C96))*($E96&lt;INDEX(_xlfn.ANCHORARRAY(Sintesi!$C$16),1,$C96))*(INDEX(_xlfn.ANCHORARRAY(Sintesi!$C$15),1,$C96)&lt;0)+($E96&gt;=$E95)*($E96&lt;=$E97)*($E96&gt;INDEX(_xlfn.ANCHORARRAY(Sintesi!$C$15),1,$C96))*($E96&lt;INDEX(_xlfn.ANCHORARRAY(Sintesi!$C$16),1,$C96))*(INDEX(_xlfn.ANCHORARRAY(Sintesi!$C$15),1,$C96)&gt;0),2,IF($E96=(INDEX(_xlfn.ANCHORARRAY(Sintesi!$C$16),1,$C96)),3,4)))),0),IF($C96&gt;0,IF(($E96=INDEX(_xlfn.ANCHORARRAY(Sintesi!$C$14),1,$C96))*(INDEX(_xlfn.ANCHORARRAY(Sintesi!$C$15),1,$C96)&gt;0),0,IF(($E96=INDEX(_xlfn.ANCHORARRAY(Sintesi!$C$14),1,$C96))*(INDEX(_xlfn.ANCHORARRAY(Sintesi!$C$15),1,$C96)&lt;0)+($E96&gt;=LOOKUP(2,1/($E:$E&lt;&gt;""),$E:$E))*($E96&lt;=$E97)*($E96&gt;INDEX(_xlfn.ANCHORARRAY(Sintesi!$C$14),1,$C96))*($E96&lt;=INDEX(_xlfn.ANCHORARRAY(Sintesi!$C$15),1,$C96))*(INDEX(_xlfn.ANCHORARRAY(Sintesi!$C$15),1,$C96)&gt;0),1,IF(($E96&gt;=LOOKUP(2,1/($E:$E&lt;&gt;""),$E:$E))*($E96&lt;=$E97)*($E96&gt;INDEX(_xlfn.ANCHORARRAY(Sintesi!$C$14),1,$C96))*($E96&lt;INDEX(_xlfn.ANCHORARRAY(Sintesi!$C$16),1,$C96))*(INDEX(_xlfn.ANCHORARRAY(Sintesi!$C$15),1,$C96)&lt;0)+($E96&gt;=LOOKUP(2,1/($E:$E&lt;&gt;""),$E:$E))*($E96&lt;=$E97)*($E96&gt;INDEX(_xlfn.ANCHORARRAY(Sintesi!$C$15),1,$C96))*($E96&lt;INDEX(_xlfn.ANCHORARRAY(Sintesi!$C$16),1,$C96))*(INDEX(_xlfn.ANCHORARRAY(Sintesi!$C$15),1,$C96)&gt;0),2,IF($E96=(INDEX(_xlfn.ANCHORARRAY(Sintesi!$C$16),1,$C96)),3,4)))),0)))</f>
        <v>1</v>
      </c>
      <c r="E96" s="1">
        <f>'Paste cell here'!F96</f>
        <v>0.15</v>
      </c>
      <c r="F96" s="1">
        <f>'Paste cell here'!C96</f>
        <v>17.864055199999999</v>
      </c>
      <c r="G96" s="1">
        <f>'Paste cell here'!D96</f>
        <v>4.430058839</v>
      </c>
      <c r="H96" s="1">
        <f>'Paste cell here'!E96</f>
        <v>3.2545668499999998</v>
      </c>
      <c r="I96" s="1">
        <f>'Paste cell here'!X96</f>
        <v>0.4881839</v>
      </c>
      <c r="J96" s="1">
        <f>'Paste cell here'!Y96+'Paste cell here'!S96</f>
        <v>0.4881839</v>
      </c>
      <c r="K96" s="1">
        <f t="shared" si="3"/>
        <v>0.14999965356373002</v>
      </c>
      <c r="L96" s="1">
        <f t="shared" si="2"/>
        <v>12.835972815031045</v>
      </c>
      <c r="M96" s="1" cm="1">
        <f t="array" ref="M96">IF(AND(A96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,A96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),IF(L96&lt;_xlfn.IFNA(INDEX(_xlfn.ANCHORARRAY(Sintesi!$C$17)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,1,IF(L96&gt;=_xlfn.IFNA(INDEX(_xlfn.ANCHORARRAY(Sintesi!$C$18)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,0,1-(L96-_xlfn.IFNA(INDEX(_xlfn.ANCHORARRAY(Sintesi!$C$17)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)/(_xlfn.IFNA(INDEX(_xlfn.ANCHORARRAY(Sintesi!$C$18)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-_xlfn.IFNA(INDEX(_xlfn.ANCHORARRAY(Sintesi!$C$17),1,MATCH(1,(_xlfn.ANCHORARRAY(Sintesi!$C$9)&gt;_xlfn.ANCHORARRAY(Sintesi!$C$10))*(A95&gt;=_xlfn.ANCHORARRAY(Sintesi!$C$9))+(_xlfn.ANCHORARRAY(Sintesi!$C$9)&gt;_xlfn.ANCHORARRAY(Sintesi!$C$10))*(A95&lt;=_xlfn.ANCHORARRAY(Sintesi!$C$10))+(_xlfn.ANCHORARRAY(Sintesi!$C$9)&lt;_xlfn.ANCHORARRAY(Sintesi!$C$10))*(A95&gt;=_xlfn.ANCHORARRAY(Sintesi!$C$9))*(A95&lt;=_xlfn.ANCHORARRAY(Sintesi!$C$10)),0)),0)))),0)</f>
        <v>0</v>
      </c>
    </row>
    <row r="97" spans="1:13">
      <c r="A97" s="1">
        <f>'Paste cell here'!A97</f>
        <v>96</v>
      </c>
      <c r="B97" s="2">
        <f>DATE(Sintesi!$C$4-1,12,31)+A97</f>
        <v>44292</v>
      </c>
      <c r="C97" s="34" cm="1">
        <f t="array" ref="C97">_xlfn.IFNA(MATCH(1,(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)*(_xlfn.ANCHORARRAY(Sintesi!$C$15)&gt;=0)+(_xlfn.ANCHORARRAY(Sintesi!$C$15)&lt;0),0),0)</f>
        <v>1</v>
      </c>
      <c r="D97" s="1" cm="1">
        <f t="array" ref="D97">IF(ISBLANK($E98),IF(ISNUMBER($E96),IF($C97&gt;0,IF(($E97=INDEX(_xlfn.ANCHORARRAY(Sintesi!$C$14),1,$C97))*(INDEX(_xlfn.ANCHORARRAY(Sintesi!$C$15),1,$C97)&gt;0),0,IF(($E97=INDEX(_xlfn.ANCHORARRAY(Sintesi!$C$14),1,$C97))*(INDEX(_xlfn.ANCHORARRAY(Sintesi!$C$15),1,$C97)&lt;0)+($E97&gt;=$E96)*($E97&lt;=INDEX($E:$E,MATCH(TRUE,INDEX((ISNUMBER($E:$E)),0),0)))*($E97&gt;INDEX(_xlfn.ANCHORARRAY(Sintesi!$C$14),1,$C97))*($E97&lt;=INDEX(_xlfn.ANCHORARRAY(Sintesi!$C$15),1,$C97))*(INDEX(_xlfn.ANCHORARRAY(Sintesi!$C$15),1,$C97)&gt;0),1,IF(($E97&gt;=$E96)*($E97&lt;=INDEX($E:$E,MATCH(TRUE,INDEX((ISNUMBER($E:$E)),0),0)))*($E97&gt;INDEX(_xlfn.ANCHORARRAY(Sintesi!$C$14),1,$C97))*($E97&lt;INDEX(_xlfn.ANCHORARRAY(Sintesi!$C$16),1,$C97))*(INDEX(_xlfn.ANCHORARRAY(Sintesi!$C$15),1,$C97)&lt;0)+($E97&gt;=$E96)*($E97&lt;=INDEX($E:$E,MATCH(TRUE,INDEX((ISNUMBER($E:$E)),0),0)))*($E97&gt;INDEX(_xlfn.ANCHORARRAY(Sintesi!$C$15),1,$C97))*($E97&lt;INDEX(_xlfn.ANCHORARRAY(Sintesi!$C$16),1,$C97))*(INDEX(_xlfn.ANCHORARRAY(Sintesi!$C$15),1,$C97)&gt;0),2,IF($E97=(INDEX(_xlfn.ANCHORARRAY(Sintesi!$C$16),1,$C97)),3,4)))),0),IF($C97&gt;0,IF(($E97=INDEX(_xlfn.ANCHORARRAY(Sintesi!$C$14),1,$C97))*(INDEX(_xlfn.ANCHORARRAY(Sintesi!$C$15),1,$C97)&gt;0),0,IF(($E97=INDEX(_xlfn.ANCHORARRAY(Sintesi!$C$14),1,$C97))*(INDEX(_xlfn.ANCHORARRAY(Sintesi!$C$15),1,$C97)&lt;0)+($E97&gt;=LOOKUP(2,1/($E:$E&lt;&gt;""),$E:$E))*($E97&lt;=INDEX($E:$E,MATCH(TRUE,INDEX((ISNUMBER($E:$E)),0),0)))*($E97&gt;INDEX(_xlfn.ANCHORARRAY(Sintesi!$C$14),1,$C97))*($E97&lt;=INDEX(_xlfn.ANCHORARRAY(Sintesi!$C$15),1,$C97))*(INDEX(_xlfn.ANCHORARRAY(Sintesi!$C$15),1,$C97)&gt;0),1,IF(($E97&gt;=LOOKUP(2,1/($E:$E&lt;&gt;""),$E:$E))*($E97&lt;=INDEX($E:$E,MATCH(TRUE,INDEX((ISNUMBER($E:$E)),0),0)))*($E97&gt;INDEX(_xlfn.ANCHORARRAY(Sintesi!$C$14),1,$C97))*($E97&lt;INDEX(_xlfn.ANCHORARRAY(Sintesi!$C$16),1,$C97))*(INDEX(_xlfn.ANCHORARRAY(Sintesi!$C$15),1,$C97)&lt;0)+($E97&gt;=LOOKUP(2,1/($E:$E&lt;&gt;""),$E:$E))*($E97&lt;=INDEX($E:$E,MATCH(TRUE,INDEX((ISNUMBER($E:$E)),0),0)))*($E97&gt;INDEX(_xlfn.ANCHORARRAY(Sintesi!$C$15),1,$C97))*($E97&lt;INDEX(_xlfn.ANCHORARRAY(Sintesi!$C$16),1,$C97))*(INDEX(_xlfn.ANCHORARRAY(Sintesi!$C$15),1,$C97)&gt;0),2,IF($E97=(INDEX(_xlfn.ANCHORARRAY(Sintesi!$C$16),1,$C97)),3,4)))),0)),IF(ISNUMBER($E96),IF($C97&gt;0,IF(($E97=INDEX(_xlfn.ANCHORARRAY(Sintesi!$C$14),1,$C97))*(INDEX(_xlfn.ANCHORARRAY(Sintesi!$C$15),1,$C97)&gt;0),0,IF(($E97=INDEX(_xlfn.ANCHORARRAY(Sintesi!$C$14),1,$C97))*(INDEX(_xlfn.ANCHORARRAY(Sintesi!$C$15),1,$C97)&lt;0)+($E97&gt;=$E96)*($E97&lt;=$E98)*($E97&gt;INDEX(_xlfn.ANCHORARRAY(Sintesi!$C$14),1,$C97))*($E97&lt;=INDEX(_xlfn.ANCHORARRAY(Sintesi!$C$15),1,$C97))*(INDEX(_xlfn.ANCHORARRAY(Sintesi!$C$15),1,$C97)&gt;0),1,IF(($E97&gt;=$E96)*($E97&lt;=$E98)*($E97&gt;INDEX(_xlfn.ANCHORARRAY(Sintesi!$C$14),1,$C97))*($E97&lt;INDEX(_xlfn.ANCHORARRAY(Sintesi!$C$16),1,$C97))*(INDEX(_xlfn.ANCHORARRAY(Sintesi!$C$15),1,$C97)&lt;0)+($E97&gt;=$E96)*($E97&lt;=$E98)*($E97&gt;INDEX(_xlfn.ANCHORARRAY(Sintesi!$C$15),1,$C97))*($E97&lt;INDEX(_xlfn.ANCHORARRAY(Sintesi!$C$16),1,$C97))*(INDEX(_xlfn.ANCHORARRAY(Sintesi!$C$15),1,$C97)&gt;0),2,IF($E97=(INDEX(_xlfn.ANCHORARRAY(Sintesi!$C$16),1,$C97)),3,4)))),0),IF($C97&gt;0,IF(($E97=INDEX(_xlfn.ANCHORARRAY(Sintesi!$C$14),1,$C97))*(INDEX(_xlfn.ANCHORARRAY(Sintesi!$C$15),1,$C97)&gt;0),0,IF(($E97=INDEX(_xlfn.ANCHORARRAY(Sintesi!$C$14),1,$C97))*(INDEX(_xlfn.ANCHORARRAY(Sintesi!$C$15),1,$C97)&lt;0)+($E97&gt;=LOOKUP(2,1/($E:$E&lt;&gt;""),$E:$E))*($E97&lt;=$E98)*($E97&gt;INDEX(_xlfn.ANCHORARRAY(Sintesi!$C$14),1,$C97))*($E97&lt;=INDEX(_xlfn.ANCHORARRAY(Sintesi!$C$15),1,$C97))*(INDEX(_xlfn.ANCHORARRAY(Sintesi!$C$15),1,$C97)&gt;0),1,IF(($E97&gt;=LOOKUP(2,1/($E:$E&lt;&gt;""),$E:$E))*($E97&lt;=$E98)*($E97&gt;INDEX(_xlfn.ANCHORARRAY(Sintesi!$C$14),1,$C97))*($E97&lt;INDEX(_xlfn.ANCHORARRAY(Sintesi!$C$16),1,$C97))*(INDEX(_xlfn.ANCHORARRAY(Sintesi!$C$15),1,$C97)&lt;0)+($E97&gt;=LOOKUP(2,1/($E:$E&lt;&gt;""),$E:$E))*($E97&lt;=$E98)*($E97&gt;INDEX(_xlfn.ANCHORARRAY(Sintesi!$C$15),1,$C97))*($E97&lt;INDEX(_xlfn.ANCHORARRAY(Sintesi!$C$16),1,$C97))*(INDEX(_xlfn.ANCHORARRAY(Sintesi!$C$15),1,$C97)&gt;0),2,IF($E97=(INDEX(_xlfn.ANCHORARRAY(Sintesi!$C$16),1,$C97)),3,4)))),0)))</f>
        <v>1</v>
      </c>
      <c r="E97" s="1">
        <f>'Paste cell here'!F97</f>
        <v>0.15</v>
      </c>
      <c r="F97" s="1">
        <f>'Paste cell here'!C97</f>
        <v>16.561841080000001</v>
      </c>
      <c r="G97" s="1">
        <f>'Paste cell here'!D97</f>
        <v>0.51992894300000003</v>
      </c>
      <c r="H97" s="1">
        <f>'Paste cell here'!E97</f>
        <v>3.327481202</v>
      </c>
      <c r="I97" s="1">
        <f>'Paste cell here'!X97</f>
        <v>0.499120909</v>
      </c>
      <c r="J97" s="1">
        <f>'Paste cell here'!Y97+'Paste cell here'!S97</f>
        <v>0.499120909</v>
      </c>
      <c r="K97" s="1">
        <f t="shared" si="3"/>
        <v>0.14999961793923908</v>
      </c>
      <c r="L97" s="1">
        <f t="shared" si="2"/>
        <v>10.557666769559349</v>
      </c>
      <c r="M97" s="1" cm="1">
        <f t="array" ref="M97">IF(AND(A97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,A97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),IF(L97&lt;_xlfn.IFNA(INDEX(_xlfn.ANCHORARRAY(Sintesi!$C$17)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,1,IF(L97&gt;=_xlfn.IFNA(INDEX(_xlfn.ANCHORARRAY(Sintesi!$C$18)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,0,1-(L97-_xlfn.IFNA(INDEX(_xlfn.ANCHORARRAY(Sintesi!$C$17)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)/(_xlfn.IFNA(INDEX(_xlfn.ANCHORARRAY(Sintesi!$C$18)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-_xlfn.IFNA(INDEX(_xlfn.ANCHORARRAY(Sintesi!$C$17),1,MATCH(1,(_xlfn.ANCHORARRAY(Sintesi!$C$9)&gt;_xlfn.ANCHORARRAY(Sintesi!$C$10))*(A96&gt;=_xlfn.ANCHORARRAY(Sintesi!$C$9))+(_xlfn.ANCHORARRAY(Sintesi!$C$9)&gt;_xlfn.ANCHORARRAY(Sintesi!$C$10))*(A96&lt;=_xlfn.ANCHORARRAY(Sintesi!$C$10))+(_xlfn.ANCHORARRAY(Sintesi!$C$9)&lt;_xlfn.ANCHORARRAY(Sintesi!$C$10))*(A96&gt;=_xlfn.ANCHORARRAY(Sintesi!$C$9))*(A96&lt;=_xlfn.ANCHORARRAY(Sintesi!$C$10)),0)),0)))),0)</f>
        <v>0</v>
      </c>
    </row>
    <row r="98" spans="1:13">
      <c r="A98" s="1">
        <f>'Paste cell here'!A98</f>
        <v>97</v>
      </c>
      <c r="B98" s="2">
        <f>DATE(Sintesi!$C$4-1,12,31)+A98</f>
        <v>44293</v>
      </c>
      <c r="C98" s="34" cm="1">
        <f t="array" ref="C98">_xlfn.IFNA(MATCH(1,(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)*(_xlfn.ANCHORARRAY(Sintesi!$C$15)&gt;=0)+(_xlfn.ANCHORARRAY(Sintesi!$C$15)&lt;0),0),0)</f>
        <v>1</v>
      </c>
      <c r="D98" s="1" cm="1">
        <f t="array" ref="D98">IF(ISBLANK($E99),IF(ISNUMBER($E97),IF($C98&gt;0,IF(($E98=INDEX(_xlfn.ANCHORARRAY(Sintesi!$C$14),1,$C98))*(INDEX(_xlfn.ANCHORARRAY(Sintesi!$C$15),1,$C98)&gt;0),0,IF(($E98=INDEX(_xlfn.ANCHORARRAY(Sintesi!$C$14),1,$C98))*(INDEX(_xlfn.ANCHORARRAY(Sintesi!$C$15),1,$C98)&lt;0)+($E98&gt;=$E97)*($E98&lt;=INDEX($E:$E,MATCH(TRUE,INDEX((ISNUMBER($E:$E)),0),0)))*($E98&gt;INDEX(_xlfn.ANCHORARRAY(Sintesi!$C$14),1,$C98))*($E98&lt;=INDEX(_xlfn.ANCHORARRAY(Sintesi!$C$15),1,$C98))*(INDEX(_xlfn.ANCHORARRAY(Sintesi!$C$15),1,$C98)&gt;0),1,IF(($E98&gt;=$E97)*($E98&lt;=INDEX($E:$E,MATCH(TRUE,INDEX((ISNUMBER($E:$E)),0),0)))*($E98&gt;INDEX(_xlfn.ANCHORARRAY(Sintesi!$C$14),1,$C98))*($E98&lt;INDEX(_xlfn.ANCHORARRAY(Sintesi!$C$16),1,$C98))*(INDEX(_xlfn.ANCHORARRAY(Sintesi!$C$15),1,$C98)&lt;0)+($E98&gt;=$E97)*($E98&lt;=INDEX($E:$E,MATCH(TRUE,INDEX((ISNUMBER($E:$E)),0),0)))*($E98&gt;INDEX(_xlfn.ANCHORARRAY(Sintesi!$C$15),1,$C98))*($E98&lt;INDEX(_xlfn.ANCHORARRAY(Sintesi!$C$16),1,$C98))*(INDEX(_xlfn.ANCHORARRAY(Sintesi!$C$15),1,$C98)&gt;0),2,IF($E98=(INDEX(_xlfn.ANCHORARRAY(Sintesi!$C$16),1,$C98)),3,4)))),0),IF($C98&gt;0,IF(($E98=INDEX(_xlfn.ANCHORARRAY(Sintesi!$C$14),1,$C98))*(INDEX(_xlfn.ANCHORARRAY(Sintesi!$C$15),1,$C98)&gt;0),0,IF(($E98=INDEX(_xlfn.ANCHORARRAY(Sintesi!$C$14),1,$C98))*(INDEX(_xlfn.ANCHORARRAY(Sintesi!$C$15),1,$C98)&lt;0)+($E98&gt;=LOOKUP(2,1/($E:$E&lt;&gt;""),$E:$E))*($E98&lt;=INDEX($E:$E,MATCH(TRUE,INDEX((ISNUMBER($E:$E)),0),0)))*($E98&gt;INDEX(_xlfn.ANCHORARRAY(Sintesi!$C$14),1,$C98))*($E98&lt;=INDEX(_xlfn.ANCHORARRAY(Sintesi!$C$15),1,$C98))*(INDEX(_xlfn.ANCHORARRAY(Sintesi!$C$15),1,$C98)&gt;0),1,IF(($E98&gt;=LOOKUP(2,1/($E:$E&lt;&gt;""),$E:$E))*($E98&lt;=INDEX($E:$E,MATCH(TRUE,INDEX((ISNUMBER($E:$E)),0),0)))*($E98&gt;INDEX(_xlfn.ANCHORARRAY(Sintesi!$C$14),1,$C98))*($E98&lt;INDEX(_xlfn.ANCHORARRAY(Sintesi!$C$16),1,$C98))*(INDEX(_xlfn.ANCHORARRAY(Sintesi!$C$15),1,$C98)&lt;0)+($E98&gt;=LOOKUP(2,1/($E:$E&lt;&gt;""),$E:$E))*($E98&lt;=INDEX($E:$E,MATCH(TRUE,INDEX((ISNUMBER($E:$E)),0),0)))*($E98&gt;INDEX(_xlfn.ANCHORARRAY(Sintesi!$C$15),1,$C98))*($E98&lt;INDEX(_xlfn.ANCHORARRAY(Sintesi!$C$16),1,$C98))*(INDEX(_xlfn.ANCHORARRAY(Sintesi!$C$15),1,$C98)&gt;0),2,IF($E98=(INDEX(_xlfn.ANCHORARRAY(Sintesi!$C$16),1,$C98)),3,4)))),0)),IF(ISNUMBER($E97),IF($C98&gt;0,IF(($E98=INDEX(_xlfn.ANCHORARRAY(Sintesi!$C$14),1,$C98))*(INDEX(_xlfn.ANCHORARRAY(Sintesi!$C$15),1,$C98)&gt;0),0,IF(($E98=INDEX(_xlfn.ANCHORARRAY(Sintesi!$C$14),1,$C98))*(INDEX(_xlfn.ANCHORARRAY(Sintesi!$C$15),1,$C98)&lt;0)+($E98&gt;=$E97)*($E98&lt;=$E99)*($E98&gt;INDEX(_xlfn.ANCHORARRAY(Sintesi!$C$14),1,$C98))*($E98&lt;=INDEX(_xlfn.ANCHORARRAY(Sintesi!$C$15),1,$C98))*(INDEX(_xlfn.ANCHORARRAY(Sintesi!$C$15),1,$C98)&gt;0),1,IF(($E98&gt;=$E97)*($E98&lt;=$E99)*($E98&gt;INDEX(_xlfn.ANCHORARRAY(Sintesi!$C$14),1,$C98))*($E98&lt;INDEX(_xlfn.ANCHORARRAY(Sintesi!$C$16),1,$C98))*(INDEX(_xlfn.ANCHORARRAY(Sintesi!$C$15),1,$C98)&lt;0)+($E98&gt;=$E97)*($E98&lt;=$E99)*($E98&gt;INDEX(_xlfn.ANCHORARRAY(Sintesi!$C$15),1,$C98))*($E98&lt;INDEX(_xlfn.ANCHORARRAY(Sintesi!$C$16),1,$C98))*(INDEX(_xlfn.ANCHORARRAY(Sintesi!$C$15),1,$C98)&gt;0),2,IF($E98=(INDEX(_xlfn.ANCHORARRAY(Sintesi!$C$16),1,$C98)),3,4)))),0),IF($C98&gt;0,IF(($E98=INDEX(_xlfn.ANCHORARRAY(Sintesi!$C$14),1,$C98))*(INDEX(_xlfn.ANCHORARRAY(Sintesi!$C$15),1,$C98)&gt;0),0,IF(($E98=INDEX(_xlfn.ANCHORARRAY(Sintesi!$C$14),1,$C98))*(INDEX(_xlfn.ANCHORARRAY(Sintesi!$C$15),1,$C98)&lt;0)+($E98&gt;=LOOKUP(2,1/($E:$E&lt;&gt;""),$E:$E))*($E98&lt;=$E99)*($E98&gt;INDEX(_xlfn.ANCHORARRAY(Sintesi!$C$14),1,$C98))*($E98&lt;=INDEX(_xlfn.ANCHORARRAY(Sintesi!$C$15),1,$C98))*(INDEX(_xlfn.ANCHORARRAY(Sintesi!$C$15),1,$C98)&gt;0),1,IF(($E98&gt;=LOOKUP(2,1/($E:$E&lt;&gt;""),$E:$E))*($E98&lt;=$E99)*($E98&gt;INDEX(_xlfn.ANCHORARRAY(Sintesi!$C$14),1,$C98))*($E98&lt;INDEX(_xlfn.ANCHORARRAY(Sintesi!$C$16),1,$C98))*(INDEX(_xlfn.ANCHORARRAY(Sintesi!$C$15),1,$C98)&lt;0)+($E98&gt;=LOOKUP(2,1/($E:$E&lt;&gt;""),$E:$E))*($E98&lt;=$E99)*($E98&gt;INDEX(_xlfn.ANCHORARRAY(Sintesi!$C$15),1,$C98))*($E98&lt;INDEX(_xlfn.ANCHORARRAY(Sintesi!$C$16),1,$C98))*(INDEX(_xlfn.ANCHORARRAY(Sintesi!$C$15),1,$C98)&gt;0),2,IF($E98=(INDEX(_xlfn.ANCHORARRAY(Sintesi!$C$16),1,$C98)),3,4)))),0)))</f>
        <v>1</v>
      </c>
      <c r="E98" s="1">
        <f>'Paste cell here'!F98</f>
        <v>0.15</v>
      </c>
      <c r="F98" s="1">
        <f>'Paste cell here'!C98</f>
        <v>12.6952041</v>
      </c>
      <c r="G98" s="1">
        <f>'Paste cell here'!D98</f>
        <v>0.39732027399999997</v>
      </c>
      <c r="H98" s="1">
        <f>'Paste cell here'!E98</f>
        <v>3.625501045</v>
      </c>
      <c r="I98" s="1">
        <f>'Paste cell here'!X98</f>
        <v>0.54382363099999997</v>
      </c>
      <c r="J98" s="1">
        <f>'Paste cell here'!Y98+'Paste cell here'!S98</f>
        <v>0.54382363099999997</v>
      </c>
      <c r="K98" s="1">
        <f t="shared" si="3"/>
        <v>0.14999957916161627</v>
      </c>
      <c r="L98" s="1">
        <f t="shared" si="2"/>
        <v>8.0923464412457751</v>
      </c>
      <c r="M98" s="1" cm="1">
        <f t="array" ref="M98">IF(AND(A98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,A98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),IF(L98&lt;_xlfn.IFNA(INDEX(_xlfn.ANCHORARRAY(Sintesi!$C$17)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,1,IF(L98&gt;=_xlfn.IFNA(INDEX(_xlfn.ANCHORARRAY(Sintesi!$C$18)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,0,1-(L98-_xlfn.IFNA(INDEX(_xlfn.ANCHORARRAY(Sintesi!$C$17)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)/(_xlfn.IFNA(INDEX(_xlfn.ANCHORARRAY(Sintesi!$C$18)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-_xlfn.IFNA(INDEX(_xlfn.ANCHORARRAY(Sintesi!$C$17),1,MATCH(1,(_xlfn.ANCHORARRAY(Sintesi!$C$9)&gt;_xlfn.ANCHORARRAY(Sintesi!$C$10))*(A97&gt;=_xlfn.ANCHORARRAY(Sintesi!$C$9))+(_xlfn.ANCHORARRAY(Sintesi!$C$9)&gt;_xlfn.ANCHORARRAY(Sintesi!$C$10))*(A97&lt;=_xlfn.ANCHORARRAY(Sintesi!$C$10))+(_xlfn.ANCHORARRAY(Sintesi!$C$9)&lt;_xlfn.ANCHORARRAY(Sintesi!$C$10))*(A97&gt;=_xlfn.ANCHORARRAY(Sintesi!$C$9))*(A97&lt;=_xlfn.ANCHORARRAY(Sintesi!$C$10)),0)),0)))),0)</f>
        <v>0</v>
      </c>
    </row>
    <row r="99" spans="1:13">
      <c r="A99" s="1">
        <f>'Paste cell here'!A99</f>
        <v>98</v>
      </c>
      <c r="B99" s="2">
        <f>DATE(Sintesi!$C$4-1,12,31)+A99</f>
        <v>44294</v>
      </c>
      <c r="C99" s="34" cm="1">
        <f t="array" ref="C99">_xlfn.IFNA(MATCH(1,(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)*(_xlfn.ANCHORARRAY(Sintesi!$C$15)&gt;=0)+(_xlfn.ANCHORARRAY(Sintesi!$C$15)&lt;0),0),0)</f>
        <v>1</v>
      </c>
      <c r="D99" s="1" cm="1">
        <f t="array" ref="D99">IF(ISBLANK($E100),IF(ISNUMBER($E98),IF($C99&gt;0,IF(($E99=INDEX(_xlfn.ANCHORARRAY(Sintesi!$C$14),1,$C99))*(INDEX(_xlfn.ANCHORARRAY(Sintesi!$C$15),1,$C99)&gt;0),0,IF(($E99=INDEX(_xlfn.ANCHORARRAY(Sintesi!$C$14),1,$C99))*(INDEX(_xlfn.ANCHORARRAY(Sintesi!$C$15),1,$C99)&lt;0)+($E99&gt;=$E98)*($E99&lt;=INDEX($E:$E,MATCH(TRUE,INDEX((ISNUMBER($E:$E)),0),0)))*($E99&gt;INDEX(_xlfn.ANCHORARRAY(Sintesi!$C$14),1,$C99))*($E99&lt;=INDEX(_xlfn.ANCHORARRAY(Sintesi!$C$15),1,$C99))*(INDEX(_xlfn.ANCHORARRAY(Sintesi!$C$15),1,$C99)&gt;0),1,IF(($E99&gt;=$E98)*($E99&lt;=INDEX($E:$E,MATCH(TRUE,INDEX((ISNUMBER($E:$E)),0),0)))*($E99&gt;INDEX(_xlfn.ANCHORARRAY(Sintesi!$C$14),1,$C99))*($E99&lt;INDEX(_xlfn.ANCHORARRAY(Sintesi!$C$16),1,$C99))*(INDEX(_xlfn.ANCHORARRAY(Sintesi!$C$15),1,$C99)&lt;0)+($E99&gt;=$E98)*($E99&lt;=INDEX($E:$E,MATCH(TRUE,INDEX((ISNUMBER($E:$E)),0),0)))*($E99&gt;INDEX(_xlfn.ANCHORARRAY(Sintesi!$C$15),1,$C99))*($E99&lt;INDEX(_xlfn.ANCHORARRAY(Sintesi!$C$16),1,$C99))*(INDEX(_xlfn.ANCHORARRAY(Sintesi!$C$15),1,$C99)&gt;0),2,IF($E99=(INDEX(_xlfn.ANCHORARRAY(Sintesi!$C$16),1,$C99)),3,4)))),0),IF($C99&gt;0,IF(($E99=INDEX(_xlfn.ANCHORARRAY(Sintesi!$C$14),1,$C99))*(INDEX(_xlfn.ANCHORARRAY(Sintesi!$C$15),1,$C99)&gt;0),0,IF(($E99=INDEX(_xlfn.ANCHORARRAY(Sintesi!$C$14),1,$C99))*(INDEX(_xlfn.ANCHORARRAY(Sintesi!$C$15),1,$C99)&lt;0)+($E99&gt;=LOOKUP(2,1/($E:$E&lt;&gt;""),$E:$E))*($E99&lt;=INDEX($E:$E,MATCH(TRUE,INDEX((ISNUMBER($E:$E)),0),0)))*($E99&gt;INDEX(_xlfn.ANCHORARRAY(Sintesi!$C$14),1,$C99))*($E99&lt;=INDEX(_xlfn.ANCHORARRAY(Sintesi!$C$15),1,$C99))*(INDEX(_xlfn.ANCHORARRAY(Sintesi!$C$15),1,$C99)&gt;0),1,IF(($E99&gt;=LOOKUP(2,1/($E:$E&lt;&gt;""),$E:$E))*($E99&lt;=INDEX($E:$E,MATCH(TRUE,INDEX((ISNUMBER($E:$E)),0),0)))*($E99&gt;INDEX(_xlfn.ANCHORARRAY(Sintesi!$C$14),1,$C99))*($E99&lt;INDEX(_xlfn.ANCHORARRAY(Sintesi!$C$16),1,$C99))*(INDEX(_xlfn.ANCHORARRAY(Sintesi!$C$15),1,$C99)&lt;0)+($E99&gt;=LOOKUP(2,1/($E:$E&lt;&gt;""),$E:$E))*($E99&lt;=INDEX($E:$E,MATCH(TRUE,INDEX((ISNUMBER($E:$E)),0),0)))*($E99&gt;INDEX(_xlfn.ANCHORARRAY(Sintesi!$C$15),1,$C99))*($E99&lt;INDEX(_xlfn.ANCHORARRAY(Sintesi!$C$16),1,$C99))*(INDEX(_xlfn.ANCHORARRAY(Sintesi!$C$15),1,$C99)&gt;0),2,IF($E99=(INDEX(_xlfn.ANCHORARRAY(Sintesi!$C$16),1,$C99)),3,4)))),0)),IF(ISNUMBER($E98),IF($C99&gt;0,IF(($E99=INDEX(_xlfn.ANCHORARRAY(Sintesi!$C$14),1,$C99))*(INDEX(_xlfn.ANCHORARRAY(Sintesi!$C$15),1,$C99)&gt;0),0,IF(($E99=INDEX(_xlfn.ANCHORARRAY(Sintesi!$C$14),1,$C99))*(INDEX(_xlfn.ANCHORARRAY(Sintesi!$C$15),1,$C99)&lt;0)+($E99&gt;=$E98)*($E99&lt;=$E100)*($E99&gt;INDEX(_xlfn.ANCHORARRAY(Sintesi!$C$14),1,$C99))*($E99&lt;=INDEX(_xlfn.ANCHORARRAY(Sintesi!$C$15),1,$C99))*(INDEX(_xlfn.ANCHORARRAY(Sintesi!$C$15),1,$C99)&gt;0),1,IF(($E99&gt;=$E98)*($E99&lt;=$E100)*($E99&gt;INDEX(_xlfn.ANCHORARRAY(Sintesi!$C$14),1,$C99))*($E99&lt;INDEX(_xlfn.ANCHORARRAY(Sintesi!$C$16),1,$C99))*(INDEX(_xlfn.ANCHORARRAY(Sintesi!$C$15),1,$C99)&lt;0)+($E99&gt;=$E98)*($E99&lt;=$E100)*($E99&gt;INDEX(_xlfn.ANCHORARRAY(Sintesi!$C$15),1,$C99))*($E99&lt;INDEX(_xlfn.ANCHORARRAY(Sintesi!$C$16),1,$C99))*(INDEX(_xlfn.ANCHORARRAY(Sintesi!$C$15),1,$C99)&gt;0),2,IF($E99=(INDEX(_xlfn.ANCHORARRAY(Sintesi!$C$16),1,$C99)),3,4)))),0),IF($C99&gt;0,IF(($E99=INDEX(_xlfn.ANCHORARRAY(Sintesi!$C$14),1,$C99))*(INDEX(_xlfn.ANCHORARRAY(Sintesi!$C$15),1,$C99)&gt;0),0,IF(($E99=INDEX(_xlfn.ANCHORARRAY(Sintesi!$C$14),1,$C99))*(INDEX(_xlfn.ANCHORARRAY(Sintesi!$C$15),1,$C99)&lt;0)+($E99&gt;=LOOKUP(2,1/($E:$E&lt;&gt;""),$E:$E))*($E99&lt;=$E100)*($E99&gt;INDEX(_xlfn.ANCHORARRAY(Sintesi!$C$14),1,$C99))*($E99&lt;=INDEX(_xlfn.ANCHORARRAY(Sintesi!$C$15),1,$C99))*(INDEX(_xlfn.ANCHORARRAY(Sintesi!$C$15),1,$C99)&gt;0),1,IF(($E99&gt;=LOOKUP(2,1/($E:$E&lt;&gt;""),$E:$E))*($E99&lt;=$E100)*($E99&gt;INDEX(_xlfn.ANCHORARRAY(Sintesi!$C$14),1,$C99))*($E99&lt;INDEX(_xlfn.ANCHORARRAY(Sintesi!$C$16),1,$C99))*(INDEX(_xlfn.ANCHORARRAY(Sintesi!$C$15),1,$C99)&lt;0)+($E99&gt;=LOOKUP(2,1/($E:$E&lt;&gt;""),$E:$E))*($E99&lt;=$E100)*($E99&gt;INDEX(_xlfn.ANCHORARRAY(Sintesi!$C$15),1,$C99))*($E99&lt;INDEX(_xlfn.ANCHORARRAY(Sintesi!$C$16),1,$C99))*(INDEX(_xlfn.ANCHORARRAY(Sintesi!$C$15),1,$C99)&gt;0),2,IF($E99=(INDEX(_xlfn.ANCHORARRAY(Sintesi!$C$16),1,$C99)),3,4)))),0)))</f>
        <v>1</v>
      </c>
      <c r="E99" s="1">
        <f>'Paste cell here'!F99</f>
        <v>0.15</v>
      </c>
      <c r="F99" s="1">
        <f>'Paste cell here'!C99</f>
        <v>17.456605029999999</v>
      </c>
      <c r="G99" s="1">
        <f>'Paste cell here'!D99</f>
        <v>-2.5724693630000002</v>
      </c>
      <c r="H99" s="1">
        <f>'Paste cell here'!E99</f>
        <v>3.4518915410000002</v>
      </c>
      <c r="I99" s="1">
        <f>'Paste cell here'!X99</f>
        <v>0.51778213399999995</v>
      </c>
      <c r="J99" s="1">
        <f>'Paste cell here'!Y99+'Paste cell here'!S99</f>
        <v>0.51778213399999995</v>
      </c>
      <c r="K99" s="1">
        <f t="shared" si="3"/>
        <v>0.14999953731165042</v>
      </c>
      <c r="L99" s="1">
        <f t="shared" si="2"/>
        <v>9.9601137822400094</v>
      </c>
      <c r="M99" s="1" cm="1">
        <f t="array" ref="M99">IF(AND(A99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,A99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),IF(L99&lt;_xlfn.IFNA(INDEX(_xlfn.ANCHORARRAY(Sintesi!$C$17)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,1,IF(L99&gt;=_xlfn.IFNA(INDEX(_xlfn.ANCHORARRAY(Sintesi!$C$18)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,0,1-(L99-_xlfn.IFNA(INDEX(_xlfn.ANCHORARRAY(Sintesi!$C$17)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)/(_xlfn.IFNA(INDEX(_xlfn.ANCHORARRAY(Sintesi!$C$18)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-_xlfn.IFNA(INDEX(_xlfn.ANCHORARRAY(Sintesi!$C$17),1,MATCH(1,(_xlfn.ANCHORARRAY(Sintesi!$C$9)&gt;_xlfn.ANCHORARRAY(Sintesi!$C$10))*(A98&gt;=_xlfn.ANCHORARRAY(Sintesi!$C$9))+(_xlfn.ANCHORARRAY(Sintesi!$C$9)&gt;_xlfn.ANCHORARRAY(Sintesi!$C$10))*(A98&lt;=_xlfn.ANCHORARRAY(Sintesi!$C$10))+(_xlfn.ANCHORARRAY(Sintesi!$C$9)&lt;_xlfn.ANCHORARRAY(Sintesi!$C$10))*(A98&gt;=_xlfn.ANCHORARRAY(Sintesi!$C$9))*(A98&lt;=_xlfn.ANCHORARRAY(Sintesi!$C$10)),0)),0)))),0)</f>
        <v>0</v>
      </c>
    </row>
    <row r="100" spans="1:13">
      <c r="A100" s="1">
        <f>'Paste cell here'!A100</f>
        <v>99</v>
      </c>
      <c r="B100" s="2">
        <f>DATE(Sintesi!$C$4-1,12,31)+A100</f>
        <v>44295</v>
      </c>
      <c r="C100" s="34" cm="1">
        <f t="array" ref="C100">_xlfn.IFNA(MATCH(1,(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)*(_xlfn.ANCHORARRAY(Sintesi!$C$15)&gt;=0)+(_xlfn.ANCHORARRAY(Sintesi!$C$15)&lt;0),0),0)</f>
        <v>1</v>
      </c>
      <c r="D100" s="1" cm="1">
        <f t="array" ref="D100">IF(ISBLANK($E101),IF(ISNUMBER($E99),IF($C100&gt;0,IF(($E100=INDEX(_xlfn.ANCHORARRAY(Sintesi!$C$14),1,$C100))*(INDEX(_xlfn.ANCHORARRAY(Sintesi!$C$15),1,$C100)&gt;0),0,IF(($E100=INDEX(_xlfn.ANCHORARRAY(Sintesi!$C$14),1,$C100))*(INDEX(_xlfn.ANCHORARRAY(Sintesi!$C$15),1,$C100)&lt;0)+($E100&gt;=$E99)*($E100&lt;=INDEX($E:$E,MATCH(TRUE,INDEX((ISNUMBER($E:$E)),0),0)))*($E100&gt;INDEX(_xlfn.ANCHORARRAY(Sintesi!$C$14),1,$C100))*($E100&lt;=INDEX(_xlfn.ANCHORARRAY(Sintesi!$C$15),1,$C100))*(INDEX(_xlfn.ANCHORARRAY(Sintesi!$C$15),1,$C100)&gt;0),1,IF(($E100&gt;=$E99)*($E100&lt;=INDEX($E:$E,MATCH(TRUE,INDEX((ISNUMBER($E:$E)),0),0)))*($E100&gt;INDEX(_xlfn.ANCHORARRAY(Sintesi!$C$14),1,$C100))*($E100&lt;INDEX(_xlfn.ANCHORARRAY(Sintesi!$C$16),1,$C100))*(INDEX(_xlfn.ANCHORARRAY(Sintesi!$C$15),1,$C100)&lt;0)+($E100&gt;=$E99)*($E100&lt;=INDEX($E:$E,MATCH(TRUE,INDEX((ISNUMBER($E:$E)),0),0)))*($E100&gt;INDEX(_xlfn.ANCHORARRAY(Sintesi!$C$15),1,$C100))*($E100&lt;INDEX(_xlfn.ANCHORARRAY(Sintesi!$C$16),1,$C100))*(INDEX(_xlfn.ANCHORARRAY(Sintesi!$C$15),1,$C100)&gt;0),2,IF($E100=(INDEX(_xlfn.ANCHORARRAY(Sintesi!$C$16),1,$C100)),3,4)))),0),IF($C100&gt;0,IF(($E100=INDEX(_xlfn.ANCHORARRAY(Sintesi!$C$14),1,$C100))*(INDEX(_xlfn.ANCHORARRAY(Sintesi!$C$15),1,$C100)&gt;0),0,IF(($E100=INDEX(_xlfn.ANCHORARRAY(Sintesi!$C$14),1,$C100))*(INDEX(_xlfn.ANCHORARRAY(Sintesi!$C$15),1,$C100)&lt;0)+($E100&gt;=LOOKUP(2,1/($E:$E&lt;&gt;""),$E:$E))*($E100&lt;=INDEX($E:$E,MATCH(TRUE,INDEX((ISNUMBER($E:$E)),0),0)))*($E100&gt;INDEX(_xlfn.ANCHORARRAY(Sintesi!$C$14),1,$C100))*($E100&lt;=INDEX(_xlfn.ANCHORARRAY(Sintesi!$C$15),1,$C100))*(INDEX(_xlfn.ANCHORARRAY(Sintesi!$C$15),1,$C100)&gt;0),1,IF(($E100&gt;=LOOKUP(2,1/($E:$E&lt;&gt;""),$E:$E))*($E100&lt;=INDEX($E:$E,MATCH(TRUE,INDEX((ISNUMBER($E:$E)),0),0)))*($E100&gt;INDEX(_xlfn.ANCHORARRAY(Sintesi!$C$14),1,$C100))*($E100&lt;INDEX(_xlfn.ANCHORARRAY(Sintesi!$C$16),1,$C100))*(INDEX(_xlfn.ANCHORARRAY(Sintesi!$C$15),1,$C100)&lt;0)+($E100&gt;=LOOKUP(2,1/($E:$E&lt;&gt;""),$E:$E))*($E100&lt;=INDEX($E:$E,MATCH(TRUE,INDEX((ISNUMBER($E:$E)),0),0)))*($E100&gt;INDEX(_xlfn.ANCHORARRAY(Sintesi!$C$15),1,$C100))*($E100&lt;INDEX(_xlfn.ANCHORARRAY(Sintesi!$C$16),1,$C100))*(INDEX(_xlfn.ANCHORARRAY(Sintesi!$C$15),1,$C100)&gt;0),2,IF($E100=(INDEX(_xlfn.ANCHORARRAY(Sintesi!$C$16),1,$C100)),3,4)))),0)),IF(ISNUMBER($E99),IF($C100&gt;0,IF(($E100=INDEX(_xlfn.ANCHORARRAY(Sintesi!$C$14),1,$C100))*(INDEX(_xlfn.ANCHORARRAY(Sintesi!$C$15),1,$C100)&gt;0),0,IF(($E100=INDEX(_xlfn.ANCHORARRAY(Sintesi!$C$14),1,$C100))*(INDEX(_xlfn.ANCHORARRAY(Sintesi!$C$15),1,$C100)&lt;0)+($E100&gt;=$E99)*($E100&lt;=$E101)*($E100&gt;INDEX(_xlfn.ANCHORARRAY(Sintesi!$C$14),1,$C100))*($E100&lt;=INDEX(_xlfn.ANCHORARRAY(Sintesi!$C$15),1,$C100))*(INDEX(_xlfn.ANCHORARRAY(Sintesi!$C$15),1,$C100)&gt;0),1,IF(($E100&gt;=$E99)*($E100&lt;=$E101)*($E100&gt;INDEX(_xlfn.ANCHORARRAY(Sintesi!$C$14),1,$C100))*($E100&lt;INDEX(_xlfn.ANCHORARRAY(Sintesi!$C$16),1,$C100))*(INDEX(_xlfn.ANCHORARRAY(Sintesi!$C$15),1,$C100)&lt;0)+($E100&gt;=$E99)*($E100&lt;=$E101)*($E100&gt;INDEX(_xlfn.ANCHORARRAY(Sintesi!$C$15),1,$C100))*($E100&lt;INDEX(_xlfn.ANCHORARRAY(Sintesi!$C$16),1,$C100))*(INDEX(_xlfn.ANCHORARRAY(Sintesi!$C$15),1,$C100)&gt;0),2,IF($E100=(INDEX(_xlfn.ANCHORARRAY(Sintesi!$C$16),1,$C100)),3,4)))),0),IF($C100&gt;0,IF(($E100=INDEX(_xlfn.ANCHORARRAY(Sintesi!$C$14),1,$C100))*(INDEX(_xlfn.ANCHORARRAY(Sintesi!$C$15),1,$C100)&gt;0),0,IF(($E100=INDEX(_xlfn.ANCHORARRAY(Sintesi!$C$14),1,$C100))*(INDEX(_xlfn.ANCHORARRAY(Sintesi!$C$15),1,$C100)&lt;0)+($E100&gt;=LOOKUP(2,1/($E:$E&lt;&gt;""),$E:$E))*($E100&lt;=$E101)*($E100&gt;INDEX(_xlfn.ANCHORARRAY(Sintesi!$C$14),1,$C100))*($E100&lt;=INDEX(_xlfn.ANCHORARRAY(Sintesi!$C$15),1,$C100))*(INDEX(_xlfn.ANCHORARRAY(Sintesi!$C$15),1,$C100)&gt;0),1,IF(($E100&gt;=LOOKUP(2,1/($E:$E&lt;&gt;""),$E:$E))*($E100&lt;=$E101)*($E100&gt;INDEX(_xlfn.ANCHORARRAY(Sintesi!$C$14),1,$C100))*($E100&lt;INDEX(_xlfn.ANCHORARRAY(Sintesi!$C$16),1,$C100))*(INDEX(_xlfn.ANCHORARRAY(Sintesi!$C$15),1,$C100)&lt;0)+($E100&gt;=LOOKUP(2,1/($E:$E&lt;&gt;""),$E:$E))*($E100&lt;=$E101)*($E100&gt;INDEX(_xlfn.ANCHORARRAY(Sintesi!$C$15),1,$C100))*($E100&lt;INDEX(_xlfn.ANCHORARRAY(Sintesi!$C$16),1,$C100))*(INDEX(_xlfn.ANCHORARRAY(Sintesi!$C$15),1,$C100)&gt;0),2,IF($E100=(INDEX(_xlfn.ANCHORARRAY(Sintesi!$C$16),1,$C100)),3,4)))),0)))</f>
        <v>1</v>
      </c>
      <c r="E100" s="1">
        <f>'Paste cell here'!F100</f>
        <v>0.15</v>
      </c>
      <c r="F100" s="1">
        <f>'Paste cell here'!C100</f>
        <v>16.302679730000001</v>
      </c>
      <c r="G100" s="1">
        <f>'Paste cell here'!D100</f>
        <v>2.5321468930000002</v>
      </c>
      <c r="H100" s="1">
        <f>'Paste cell here'!E100</f>
        <v>2.3014525190000001</v>
      </c>
      <c r="I100" s="1">
        <f>'Paste cell here'!X100</f>
        <v>0.34521670799999998</v>
      </c>
      <c r="J100" s="1">
        <f>'Paste cell here'!Y100+'Paste cell here'!S100</f>
        <v>0.34521670799999998</v>
      </c>
      <c r="K100" s="1">
        <f t="shared" si="3"/>
        <v>0.14999949169057786</v>
      </c>
      <c r="L100" s="1">
        <f t="shared" si="2"/>
        <v>11.148638316801177</v>
      </c>
      <c r="M100" s="1" cm="1">
        <f t="array" ref="M100">IF(AND(A100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,A100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),IF(L100&lt;_xlfn.IFNA(INDEX(_xlfn.ANCHORARRAY(Sintesi!$C$17)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,1,IF(L100&gt;=_xlfn.IFNA(INDEX(_xlfn.ANCHORARRAY(Sintesi!$C$18)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,0,1-(L100-_xlfn.IFNA(INDEX(_xlfn.ANCHORARRAY(Sintesi!$C$17)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)/(_xlfn.IFNA(INDEX(_xlfn.ANCHORARRAY(Sintesi!$C$18)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-_xlfn.IFNA(INDEX(_xlfn.ANCHORARRAY(Sintesi!$C$17),1,MATCH(1,(_xlfn.ANCHORARRAY(Sintesi!$C$9)&gt;_xlfn.ANCHORARRAY(Sintesi!$C$10))*(A99&gt;=_xlfn.ANCHORARRAY(Sintesi!$C$9))+(_xlfn.ANCHORARRAY(Sintesi!$C$9)&gt;_xlfn.ANCHORARRAY(Sintesi!$C$10))*(A99&lt;=_xlfn.ANCHORARRAY(Sintesi!$C$10))+(_xlfn.ANCHORARRAY(Sintesi!$C$9)&lt;_xlfn.ANCHORARRAY(Sintesi!$C$10))*(A99&gt;=_xlfn.ANCHORARRAY(Sintesi!$C$9))*(A99&lt;=_xlfn.ANCHORARRAY(Sintesi!$C$10)),0)),0)))),0)</f>
        <v>0</v>
      </c>
    </row>
    <row r="101" spans="1:13">
      <c r="A101" s="1">
        <f>'Paste cell here'!A101</f>
        <v>100</v>
      </c>
      <c r="B101" s="2">
        <f>DATE(Sintesi!$C$4-1,12,31)+A101</f>
        <v>44296</v>
      </c>
      <c r="C101" s="34" cm="1">
        <f t="array" ref="C101">_xlfn.IFNA(MATCH(1,(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)*(_xlfn.ANCHORARRAY(Sintesi!$C$15)&gt;=0)+(_xlfn.ANCHORARRAY(Sintesi!$C$15)&lt;0),0),0)</f>
        <v>1</v>
      </c>
      <c r="D101" s="1" cm="1">
        <f t="array" ref="D101">IF(ISBLANK($E102),IF(ISNUMBER($E100),IF($C101&gt;0,IF(($E101=INDEX(_xlfn.ANCHORARRAY(Sintesi!$C$14),1,$C101))*(INDEX(_xlfn.ANCHORARRAY(Sintesi!$C$15),1,$C101)&gt;0),0,IF(($E101=INDEX(_xlfn.ANCHORARRAY(Sintesi!$C$14),1,$C101))*(INDEX(_xlfn.ANCHORARRAY(Sintesi!$C$15),1,$C101)&lt;0)+($E101&gt;=$E100)*($E101&lt;=INDEX($E:$E,MATCH(TRUE,INDEX((ISNUMBER($E:$E)),0),0)))*($E101&gt;INDEX(_xlfn.ANCHORARRAY(Sintesi!$C$14),1,$C101))*($E101&lt;=INDEX(_xlfn.ANCHORARRAY(Sintesi!$C$15),1,$C101))*(INDEX(_xlfn.ANCHORARRAY(Sintesi!$C$15),1,$C101)&gt;0),1,IF(($E101&gt;=$E100)*($E101&lt;=INDEX($E:$E,MATCH(TRUE,INDEX((ISNUMBER($E:$E)),0),0)))*($E101&gt;INDEX(_xlfn.ANCHORARRAY(Sintesi!$C$14),1,$C101))*($E101&lt;INDEX(_xlfn.ANCHORARRAY(Sintesi!$C$16),1,$C101))*(INDEX(_xlfn.ANCHORARRAY(Sintesi!$C$15),1,$C101)&lt;0)+($E101&gt;=$E100)*($E101&lt;=INDEX($E:$E,MATCH(TRUE,INDEX((ISNUMBER($E:$E)),0),0)))*($E101&gt;INDEX(_xlfn.ANCHORARRAY(Sintesi!$C$15),1,$C101))*($E101&lt;INDEX(_xlfn.ANCHORARRAY(Sintesi!$C$16),1,$C101))*(INDEX(_xlfn.ANCHORARRAY(Sintesi!$C$15),1,$C101)&gt;0),2,IF($E101=(INDEX(_xlfn.ANCHORARRAY(Sintesi!$C$16),1,$C101)),3,4)))),0),IF($C101&gt;0,IF(($E101=INDEX(_xlfn.ANCHORARRAY(Sintesi!$C$14),1,$C101))*(INDEX(_xlfn.ANCHORARRAY(Sintesi!$C$15),1,$C101)&gt;0),0,IF(($E101=INDEX(_xlfn.ANCHORARRAY(Sintesi!$C$14),1,$C101))*(INDEX(_xlfn.ANCHORARRAY(Sintesi!$C$15),1,$C101)&lt;0)+($E101&gt;=LOOKUP(2,1/($E:$E&lt;&gt;""),$E:$E))*($E101&lt;=INDEX($E:$E,MATCH(TRUE,INDEX((ISNUMBER($E:$E)),0),0)))*($E101&gt;INDEX(_xlfn.ANCHORARRAY(Sintesi!$C$14),1,$C101))*($E101&lt;=INDEX(_xlfn.ANCHORARRAY(Sintesi!$C$15),1,$C101))*(INDEX(_xlfn.ANCHORARRAY(Sintesi!$C$15),1,$C101)&gt;0),1,IF(($E101&gt;=LOOKUP(2,1/($E:$E&lt;&gt;""),$E:$E))*($E101&lt;=INDEX($E:$E,MATCH(TRUE,INDEX((ISNUMBER($E:$E)),0),0)))*($E101&gt;INDEX(_xlfn.ANCHORARRAY(Sintesi!$C$14),1,$C101))*($E101&lt;INDEX(_xlfn.ANCHORARRAY(Sintesi!$C$16),1,$C101))*(INDEX(_xlfn.ANCHORARRAY(Sintesi!$C$15),1,$C101)&lt;0)+($E101&gt;=LOOKUP(2,1/($E:$E&lt;&gt;""),$E:$E))*($E101&lt;=INDEX($E:$E,MATCH(TRUE,INDEX((ISNUMBER($E:$E)),0),0)))*($E101&gt;INDEX(_xlfn.ANCHORARRAY(Sintesi!$C$15),1,$C101))*($E101&lt;INDEX(_xlfn.ANCHORARRAY(Sintesi!$C$16),1,$C101))*(INDEX(_xlfn.ANCHORARRAY(Sintesi!$C$15),1,$C101)&gt;0),2,IF($E101=(INDEX(_xlfn.ANCHORARRAY(Sintesi!$C$16),1,$C101)),3,4)))),0)),IF(ISNUMBER($E100),IF($C101&gt;0,IF(($E101=INDEX(_xlfn.ANCHORARRAY(Sintesi!$C$14),1,$C101))*(INDEX(_xlfn.ANCHORARRAY(Sintesi!$C$15),1,$C101)&gt;0),0,IF(($E101=INDEX(_xlfn.ANCHORARRAY(Sintesi!$C$14),1,$C101))*(INDEX(_xlfn.ANCHORARRAY(Sintesi!$C$15),1,$C101)&lt;0)+($E101&gt;=$E100)*($E101&lt;=$E102)*($E101&gt;INDEX(_xlfn.ANCHORARRAY(Sintesi!$C$14),1,$C101))*($E101&lt;=INDEX(_xlfn.ANCHORARRAY(Sintesi!$C$15),1,$C101))*(INDEX(_xlfn.ANCHORARRAY(Sintesi!$C$15),1,$C101)&gt;0),1,IF(($E101&gt;=$E100)*($E101&lt;=$E102)*($E101&gt;INDEX(_xlfn.ANCHORARRAY(Sintesi!$C$14),1,$C101))*($E101&lt;INDEX(_xlfn.ANCHORARRAY(Sintesi!$C$16),1,$C101))*(INDEX(_xlfn.ANCHORARRAY(Sintesi!$C$15),1,$C101)&lt;0)+($E101&gt;=$E100)*($E101&lt;=$E102)*($E101&gt;INDEX(_xlfn.ANCHORARRAY(Sintesi!$C$15),1,$C101))*($E101&lt;INDEX(_xlfn.ANCHORARRAY(Sintesi!$C$16),1,$C101))*(INDEX(_xlfn.ANCHORARRAY(Sintesi!$C$15),1,$C101)&gt;0),2,IF($E101=(INDEX(_xlfn.ANCHORARRAY(Sintesi!$C$16),1,$C101)),3,4)))),0),IF($C101&gt;0,IF(($E101=INDEX(_xlfn.ANCHORARRAY(Sintesi!$C$14),1,$C101))*(INDEX(_xlfn.ANCHORARRAY(Sintesi!$C$15),1,$C101)&gt;0),0,IF(($E101=INDEX(_xlfn.ANCHORARRAY(Sintesi!$C$14),1,$C101))*(INDEX(_xlfn.ANCHORARRAY(Sintesi!$C$15),1,$C101)&lt;0)+($E101&gt;=LOOKUP(2,1/($E:$E&lt;&gt;""),$E:$E))*($E101&lt;=$E102)*($E101&gt;INDEX(_xlfn.ANCHORARRAY(Sintesi!$C$14),1,$C101))*($E101&lt;=INDEX(_xlfn.ANCHORARRAY(Sintesi!$C$15),1,$C101))*(INDEX(_xlfn.ANCHORARRAY(Sintesi!$C$15),1,$C101)&gt;0),1,IF(($E101&gt;=LOOKUP(2,1/($E:$E&lt;&gt;""),$E:$E))*($E101&lt;=$E102)*($E101&gt;INDEX(_xlfn.ANCHORARRAY(Sintesi!$C$14),1,$C101))*($E101&lt;INDEX(_xlfn.ANCHORARRAY(Sintesi!$C$16),1,$C101))*(INDEX(_xlfn.ANCHORARRAY(Sintesi!$C$15),1,$C101)&lt;0)+($E101&gt;=LOOKUP(2,1/($E:$E&lt;&gt;""),$E:$E))*($E101&lt;=$E102)*($E101&gt;INDEX(_xlfn.ANCHORARRAY(Sintesi!$C$15),1,$C101))*($E101&lt;INDEX(_xlfn.ANCHORARRAY(Sintesi!$C$16),1,$C101))*(INDEX(_xlfn.ANCHORARRAY(Sintesi!$C$15),1,$C101)&gt;0),2,IF($E101=(INDEX(_xlfn.ANCHORARRAY(Sintesi!$C$16),1,$C101)),3,4)))),0)))</f>
        <v>1</v>
      </c>
      <c r="E101" s="1">
        <f>'Paste cell here'!F101</f>
        <v>0.15</v>
      </c>
      <c r="F101" s="1">
        <f>'Paste cell here'!C101</f>
        <v>15.913336129999999</v>
      </c>
      <c r="G101" s="1">
        <f>'Paste cell here'!D101</f>
        <v>7.2047958999999997</v>
      </c>
      <c r="H101" s="1">
        <f>'Paste cell here'!E101</f>
        <v>1.9480087340000001</v>
      </c>
      <c r="I101" s="1">
        <f>'Paste cell here'!X101</f>
        <v>0.29220022400000001</v>
      </c>
      <c r="J101" s="1">
        <f>'Paste cell here'!Y101+'Paste cell here'!S101</f>
        <v>0.29220022400000001</v>
      </c>
      <c r="K101" s="1">
        <f t="shared" si="3"/>
        <v>0.14999944245629857</v>
      </c>
      <c r="L101" s="1">
        <f t="shared" si="2"/>
        <v>12.653899656101993</v>
      </c>
      <c r="M101" s="1" cm="1">
        <f t="array" ref="M101">IF(AND(A101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,A101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),IF(L101&lt;_xlfn.IFNA(INDEX(_xlfn.ANCHORARRAY(Sintesi!$C$17)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,1,IF(L101&gt;=_xlfn.IFNA(INDEX(_xlfn.ANCHORARRAY(Sintesi!$C$18)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,0,1-(L101-_xlfn.IFNA(INDEX(_xlfn.ANCHORARRAY(Sintesi!$C$17)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)/(_xlfn.IFNA(INDEX(_xlfn.ANCHORARRAY(Sintesi!$C$18)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-_xlfn.IFNA(INDEX(_xlfn.ANCHORARRAY(Sintesi!$C$17),1,MATCH(1,(_xlfn.ANCHORARRAY(Sintesi!$C$9)&gt;_xlfn.ANCHORARRAY(Sintesi!$C$10))*(A100&gt;=_xlfn.ANCHORARRAY(Sintesi!$C$9))+(_xlfn.ANCHORARRAY(Sintesi!$C$9)&gt;_xlfn.ANCHORARRAY(Sintesi!$C$10))*(A100&lt;=_xlfn.ANCHORARRAY(Sintesi!$C$10))+(_xlfn.ANCHORARRAY(Sintesi!$C$9)&lt;_xlfn.ANCHORARRAY(Sintesi!$C$10))*(A100&gt;=_xlfn.ANCHORARRAY(Sintesi!$C$9))*(A100&lt;=_xlfn.ANCHORARRAY(Sintesi!$C$10)),0)),0)))),0)</f>
        <v>0</v>
      </c>
    </row>
    <row r="102" spans="1:13">
      <c r="A102" s="1">
        <f>'Paste cell here'!A102</f>
        <v>101</v>
      </c>
      <c r="B102" s="2">
        <f>DATE(Sintesi!$C$4-1,12,31)+A102</f>
        <v>44297</v>
      </c>
      <c r="C102" s="34" cm="1">
        <f t="array" ref="C102">_xlfn.IFNA(MATCH(1,(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)*(_xlfn.ANCHORARRAY(Sintesi!$C$15)&gt;=0)+(_xlfn.ANCHORARRAY(Sintesi!$C$15)&lt;0),0),0)</f>
        <v>1</v>
      </c>
      <c r="D102" s="1" cm="1">
        <f t="array" ref="D102">IF(ISBLANK($E103),IF(ISNUMBER($E101),IF($C102&gt;0,IF(($E102=INDEX(_xlfn.ANCHORARRAY(Sintesi!$C$14),1,$C102))*(INDEX(_xlfn.ANCHORARRAY(Sintesi!$C$15),1,$C102)&gt;0),0,IF(($E102=INDEX(_xlfn.ANCHORARRAY(Sintesi!$C$14),1,$C102))*(INDEX(_xlfn.ANCHORARRAY(Sintesi!$C$15),1,$C102)&lt;0)+($E102&gt;=$E101)*($E102&lt;=INDEX($E:$E,MATCH(TRUE,INDEX((ISNUMBER($E:$E)),0),0)))*($E102&gt;INDEX(_xlfn.ANCHORARRAY(Sintesi!$C$14),1,$C102))*($E102&lt;=INDEX(_xlfn.ANCHORARRAY(Sintesi!$C$15),1,$C102))*(INDEX(_xlfn.ANCHORARRAY(Sintesi!$C$15),1,$C102)&gt;0),1,IF(($E102&gt;=$E101)*($E102&lt;=INDEX($E:$E,MATCH(TRUE,INDEX((ISNUMBER($E:$E)),0),0)))*($E102&gt;INDEX(_xlfn.ANCHORARRAY(Sintesi!$C$14),1,$C102))*($E102&lt;INDEX(_xlfn.ANCHORARRAY(Sintesi!$C$16),1,$C102))*(INDEX(_xlfn.ANCHORARRAY(Sintesi!$C$15),1,$C102)&lt;0)+($E102&gt;=$E101)*($E102&lt;=INDEX($E:$E,MATCH(TRUE,INDEX((ISNUMBER($E:$E)),0),0)))*($E102&gt;INDEX(_xlfn.ANCHORARRAY(Sintesi!$C$15),1,$C102))*($E102&lt;INDEX(_xlfn.ANCHORARRAY(Sintesi!$C$16),1,$C102))*(INDEX(_xlfn.ANCHORARRAY(Sintesi!$C$15),1,$C102)&gt;0),2,IF($E102=(INDEX(_xlfn.ANCHORARRAY(Sintesi!$C$16),1,$C102)),3,4)))),0),IF($C102&gt;0,IF(($E102=INDEX(_xlfn.ANCHORARRAY(Sintesi!$C$14),1,$C102))*(INDEX(_xlfn.ANCHORARRAY(Sintesi!$C$15),1,$C102)&gt;0),0,IF(($E102=INDEX(_xlfn.ANCHORARRAY(Sintesi!$C$14),1,$C102))*(INDEX(_xlfn.ANCHORARRAY(Sintesi!$C$15),1,$C102)&lt;0)+($E102&gt;=LOOKUP(2,1/($E:$E&lt;&gt;""),$E:$E))*($E102&lt;=INDEX($E:$E,MATCH(TRUE,INDEX((ISNUMBER($E:$E)),0),0)))*($E102&gt;INDEX(_xlfn.ANCHORARRAY(Sintesi!$C$14),1,$C102))*($E102&lt;=INDEX(_xlfn.ANCHORARRAY(Sintesi!$C$15),1,$C102))*(INDEX(_xlfn.ANCHORARRAY(Sintesi!$C$15),1,$C102)&gt;0),1,IF(($E102&gt;=LOOKUP(2,1/($E:$E&lt;&gt;""),$E:$E))*($E102&lt;=INDEX($E:$E,MATCH(TRUE,INDEX((ISNUMBER($E:$E)),0),0)))*($E102&gt;INDEX(_xlfn.ANCHORARRAY(Sintesi!$C$14),1,$C102))*($E102&lt;INDEX(_xlfn.ANCHORARRAY(Sintesi!$C$16),1,$C102))*(INDEX(_xlfn.ANCHORARRAY(Sintesi!$C$15),1,$C102)&lt;0)+($E102&gt;=LOOKUP(2,1/($E:$E&lt;&gt;""),$E:$E))*($E102&lt;=INDEX($E:$E,MATCH(TRUE,INDEX((ISNUMBER($E:$E)),0),0)))*($E102&gt;INDEX(_xlfn.ANCHORARRAY(Sintesi!$C$15),1,$C102))*($E102&lt;INDEX(_xlfn.ANCHORARRAY(Sintesi!$C$16),1,$C102))*(INDEX(_xlfn.ANCHORARRAY(Sintesi!$C$15),1,$C102)&gt;0),2,IF($E102=(INDEX(_xlfn.ANCHORARRAY(Sintesi!$C$16),1,$C102)),3,4)))),0)),IF(ISNUMBER($E101),IF($C102&gt;0,IF(($E102=INDEX(_xlfn.ANCHORARRAY(Sintesi!$C$14),1,$C102))*(INDEX(_xlfn.ANCHORARRAY(Sintesi!$C$15),1,$C102)&gt;0),0,IF(($E102=INDEX(_xlfn.ANCHORARRAY(Sintesi!$C$14),1,$C102))*(INDEX(_xlfn.ANCHORARRAY(Sintesi!$C$15),1,$C102)&lt;0)+($E102&gt;=$E101)*($E102&lt;=$E103)*($E102&gt;INDEX(_xlfn.ANCHORARRAY(Sintesi!$C$14),1,$C102))*($E102&lt;=INDEX(_xlfn.ANCHORARRAY(Sintesi!$C$15),1,$C102))*(INDEX(_xlfn.ANCHORARRAY(Sintesi!$C$15),1,$C102)&gt;0),1,IF(($E102&gt;=$E101)*($E102&lt;=$E103)*($E102&gt;INDEX(_xlfn.ANCHORARRAY(Sintesi!$C$14),1,$C102))*($E102&lt;INDEX(_xlfn.ANCHORARRAY(Sintesi!$C$16),1,$C102))*(INDEX(_xlfn.ANCHORARRAY(Sintesi!$C$15),1,$C102)&lt;0)+($E102&gt;=$E101)*($E102&lt;=$E103)*($E102&gt;INDEX(_xlfn.ANCHORARRAY(Sintesi!$C$15),1,$C102))*($E102&lt;INDEX(_xlfn.ANCHORARRAY(Sintesi!$C$16),1,$C102))*(INDEX(_xlfn.ANCHORARRAY(Sintesi!$C$15),1,$C102)&gt;0),2,IF($E102=(INDEX(_xlfn.ANCHORARRAY(Sintesi!$C$16),1,$C102)),3,4)))),0),IF($C102&gt;0,IF(($E102=INDEX(_xlfn.ANCHORARRAY(Sintesi!$C$14),1,$C102))*(INDEX(_xlfn.ANCHORARRAY(Sintesi!$C$15),1,$C102)&gt;0),0,IF(($E102=INDEX(_xlfn.ANCHORARRAY(Sintesi!$C$14),1,$C102))*(INDEX(_xlfn.ANCHORARRAY(Sintesi!$C$15),1,$C102)&lt;0)+($E102&gt;=LOOKUP(2,1/($E:$E&lt;&gt;""),$E:$E))*($E102&lt;=$E103)*($E102&gt;INDEX(_xlfn.ANCHORARRAY(Sintesi!$C$14),1,$C102))*($E102&lt;=INDEX(_xlfn.ANCHORARRAY(Sintesi!$C$15),1,$C102))*(INDEX(_xlfn.ANCHORARRAY(Sintesi!$C$15),1,$C102)&gt;0),1,IF(($E102&gt;=LOOKUP(2,1/($E:$E&lt;&gt;""),$E:$E))*($E102&lt;=$E103)*($E102&gt;INDEX(_xlfn.ANCHORARRAY(Sintesi!$C$14),1,$C102))*($E102&lt;INDEX(_xlfn.ANCHORARRAY(Sintesi!$C$16),1,$C102))*(INDEX(_xlfn.ANCHORARRAY(Sintesi!$C$15),1,$C102)&lt;0)+($E102&gt;=LOOKUP(2,1/($E:$E&lt;&gt;""),$E:$E))*($E102&lt;=$E103)*($E102&gt;INDEX(_xlfn.ANCHORARRAY(Sintesi!$C$15),1,$C102))*($E102&lt;INDEX(_xlfn.ANCHORARRAY(Sintesi!$C$16),1,$C102))*(INDEX(_xlfn.ANCHORARRAY(Sintesi!$C$15),1,$C102)&gt;0),2,IF($E102=(INDEX(_xlfn.ANCHORARRAY(Sintesi!$C$16),1,$C102)),3,4)))),0)))</f>
        <v>1</v>
      </c>
      <c r="E102" s="1">
        <f>'Paste cell here'!F102</f>
        <v>0.15</v>
      </c>
      <c r="F102" s="1">
        <f>'Paste cell here'!C102</f>
        <v>12.135944800000001</v>
      </c>
      <c r="G102" s="1">
        <f>'Paste cell here'!D102</f>
        <v>8.710488668</v>
      </c>
      <c r="H102" s="1">
        <f>'Paste cell here'!E102</f>
        <v>1.079877679</v>
      </c>
      <c r="I102" s="1">
        <f>'Paste cell here'!X102</f>
        <v>0.16198099199999999</v>
      </c>
      <c r="J102" s="1">
        <f>'Paste cell here'!Y102+'Paste cell here'!S102</f>
        <v>0.16198099199999999</v>
      </c>
      <c r="K102" s="1">
        <f t="shared" si="3"/>
        <v>0.14999938895857109</v>
      </c>
      <c r="L102" s="1">
        <f t="shared" si="2"/>
        <v>10.853863491135403</v>
      </c>
      <c r="M102" s="1" cm="1">
        <f t="array" ref="M102">IF(AND(A102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,A102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),IF(L102&lt;_xlfn.IFNA(INDEX(_xlfn.ANCHORARRAY(Sintesi!$C$17)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,1,IF(L102&gt;=_xlfn.IFNA(INDEX(_xlfn.ANCHORARRAY(Sintesi!$C$18)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,0,1-(L102-_xlfn.IFNA(INDEX(_xlfn.ANCHORARRAY(Sintesi!$C$17)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)/(_xlfn.IFNA(INDEX(_xlfn.ANCHORARRAY(Sintesi!$C$18)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-_xlfn.IFNA(INDEX(_xlfn.ANCHORARRAY(Sintesi!$C$17),1,MATCH(1,(_xlfn.ANCHORARRAY(Sintesi!$C$9)&gt;_xlfn.ANCHORARRAY(Sintesi!$C$10))*(A101&gt;=_xlfn.ANCHORARRAY(Sintesi!$C$9))+(_xlfn.ANCHORARRAY(Sintesi!$C$9)&gt;_xlfn.ANCHORARRAY(Sintesi!$C$10))*(A101&lt;=_xlfn.ANCHORARRAY(Sintesi!$C$10))+(_xlfn.ANCHORARRAY(Sintesi!$C$9)&lt;_xlfn.ANCHORARRAY(Sintesi!$C$10))*(A101&gt;=_xlfn.ANCHORARRAY(Sintesi!$C$9))*(A101&lt;=_xlfn.ANCHORARRAY(Sintesi!$C$10)),0)),0)))),0)</f>
        <v>0</v>
      </c>
    </row>
    <row r="103" spans="1:13">
      <c r="A103" s="1">
        <f>'Paste cell here'!A103</f>
        <v>102</v>
      </c>
      <c r="B103" s="2">
        <f>DATE(Sintesi!$C$4-1,12,31)+A103</f>
        <v>44298</v>
      </c>
      <c r="C103" s="34" cm="1">
        <f t="array" ref="C103">_xlfn.IFNA(MATCH(1,(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)*(_xlfn.ANCHORARRAY(Sintesi!$C$15)&gt;=0)+(_xlfn.ANCHORARRAY(Sintesi!$C$15)&lt;0),0),0)</f>
        <v>1</v>
      </c>
      <c r="D103" s="1" cm="1">
        <f t="array" ref="D103">IF(ISBLANK($E104),IF(ISNUMBER($E102),IF($C103&gt;0,IF(($E103=INDEX(_xlfn.ANCHORARRAY(Sintesi!$C$14),1,$C103))*(INDEX(_xlfn.ANCHORARRAY(Sintesi!$C$15),1,$C103)&gt;0),0,IF(($E103=INDEX(_xlfn.ANCHORARRAY(Sintesi!$C$14),1,$C103))*(INDEX(_xlfn.ANCHORARRAY(Sintesi!$C$15),1,$C103)&lt;0)+($E103&gt;=$E102)*($E103&lt;=INDEX($E:$E,MATCH(TRUE,INDEX((ISNUMBER($E:$E)),0),0)))*($E103&gt;INDEX(_xlfn.ANCHORARRAY(Sintesi!$C$14),1,$C103))*($E103&lt;=INDEX(_xlfn.ANCHORARRAY(Sintesi!$C$15),1,$C103))*(INDEX(_xlfn.ANCHORARRAY(Sintesi!$C$15),1,$C103)&gt;0),1,IF(($E103&gt;=$E102)*($E103&lt;=INDEX($E:$E,MATCH(TRUE,INDEX((ISNUMBER($E:$E)),0),0)))*($E103&gt;INDEX(_xlfn.ANCHORARRAY(Sintesi!$C$14),1,$C103))*($E103&lt;INDEX(_xlfn.ANCHORARRAY(Sintesi!$C$16),1,$C103))*(INDEX(_xlfn.ANCHORARRAY(Sintesi!$C$15),1,$C103)&lt;0)+($E103&gt;=$E102)*($E103&lt;=INDEX($E:$E,MATCH(TRUE,INDEX((ISNUMBER($E:$E)),0),0)))*($E103&gt;INDEX(_xlfn.ANCHORARRAY(Sintesi!$C$15),1,$C103))*($E103&lt;INDEX(_xlfn.ANCHORARRAY(Sintesi!$C$16),1,$C103))*(INDEX(_xlfn.ANCHORARRAY(Sintesi!$C$15),1,$C103)&gt;0),2,IF($E103=(INDEX(_xlfn.ANCHORARRAY(Sintesi!$C$16),1,$C103)),3,4)))),0),IF($C103&gt;0,IF(($E103=INDEX(_xlfn.ANCHORARRAY(Sintesi!$C$14),1,$C103))*(INDEX(_xlfn.ANCHORARRAY(Sintesi!$C$15),1,$C103)&gt;0),0,IF(($E103=INDEX(_xlfn.ANCHORARRAY(Sintesi!$C$14),1,$C103))*(INDEX(_xlfn.ANCHORARRAY(Sintesi!$C$15),1,$C103)&lt;0)+($E103&gt;=LOOKUP(2,1/($E:$E&lt;&gt;""),$E:$E))*($E103&lt;=INDEX($E:$E,MATCH(TRUE,INDEX((ISNUMBER($E:$E)),0),0)))*($E103&gt;INDEX(_xlfn.ANCHORARRAY(Sintesi!$C$14),1,$C103))*($E103&lt;=INDEX(_xlfn.ANCHORARRAY(Sintesi!$C$15),1,$C103))*(INDEX(_xlfn.ANCHORARRAY(Sintesi!$C$15),1,$C103)&gt;0),1,IF(($E103&gt;=LOOKUP(2,1/($E:$E&lt;&gt;""),$E:$E))*($E103&lt;=INDEX($E:$E,MATCH(TRUE,INDEX((ISNUMBER($E:$E)),0),0)))*($E103&gt;INDEX(_xlfn.ANCHORARRAY(Sintesi!$C$14),1,$C103))*($E103&lt;INDEX(_xlfn.ANCHORARRAY(Sintesi!$C$16),1,$C103))*(INDEX(_xlfn.ANCHORARRAY(Sintesi!$C$15),1,$C103)&lt;0)+($E103&gt;=LOOKUP(2,1/($E:$E&lt;&gt;""),$E:$E))*($E103&lt;=INDEX($E:$E,MATCH(TRUE,INDEX((ISNUMBER($E:$E)),0),0)))*($E103&gt;INDEX(_xlfn.ANCHORARRAY(Sintesi!$C$15),1,$C103))*($E103&lt;INDEX(_xlfn.ANCHORARRAY(Sintesi!$C$16),1,$C103))*(INDEX(_xlfn.ANCHORARRAY(Sintesi!$C$15),1,$C103)&gt;0),2,IF($E103=(INDEX(_xlfn.ANCHORARRAY(Sintesi!$C$16),1,$C103)),3,4)))),0)),IF(ISNUMBER($E102),IF($C103&gt;0,IF(($E103=INDEX(_xlfn.ANCHORARRAY(Sintesi!$C$14),1,$C103))*(INDEX(_xlfn.ANCHORARRAY(Sintesi!$C$15),1,$C103)&gt;0),0,IF(($E103=INDEX(_xlfn.ANCHORARRAY(Sintesi!$C$14),1,$C103))*(INDEX(_xlfn.ANCHORARRAY(Sintesi!$C$15),1,$C103)&lt;0)+($E103&gt;=$E102)*($E103&lt;=$E104)*($E103&gt;INDEX(_xlfn.ANCHORARRAY(Sintesi!$C$14),1,$C103))*($E103&lt;=INDEX(_xlfn.ANCHORARRAY(Sintesi!$C$15),1,$C103))*(INDEX(_xlfn.ANCHORARRAY(Sintesi!$C$15),1,$C103)&gt;0),1,IF(($E103&gt;=$E102)*($E103&lt;=$E104)*($E103&gt;INDEX(_xlfn.ANCHORARRAY(Sintesi!$C$14),1,$C103))*($E103&lt;INDEX(_xlfn.ANCHORARRAY(Sintesi!$C$16),1,$C103))*(INDEX(_xlfn.ANCHORARRAY(Sintesi!$C$15),1,$C103)&lt;0)+($E103&gt;=$E102)*($E103&lt;=$E104)*($E103&gt;INDEX(_xlfn.ANCHORARRAY(Sintesi!$C$15),1,$C103))*($E103&lt;INDEX(_xlfn.ANCHORARRAY(Sintesi!$C$16),1,$C103))*(INDEX(_xlfn.ANCHORARRAY(Sintesi!$C$15),1,$C103)&gt;0),2,IF($E103=(INDEX(_xlfn.ANCHORARRAY(Sintesi!$C$16),1,$C103)),3,4)))),0),IF($C103&gt;0,IF(($E103=INDEX(_xlfn.ANCHORARRAY(Sintesi!$C$14),1,$C103))*(INDEX(_xlfn.ANCHORARRAY(Sintesi!$C$15),1,$C103)&gt;0),0,IF(($E103=INDEX(_xlfn.ANCHORARRAY(Sintesi!$C$14),1,$C103))*(INDEX(_xlfn.ANCHORARRAY(Sintesi!$C$15),1,$C103)&lt;0)+($E103&gt;=LOOKUP(2,1/($E:$E&lt;&gt;""),$E:$E))*($E103&lt;=$E104)*($E103&gt;INDEX(_xlfn.ANCHORARRAY(Sintesi!$C$14),1,$C103))*($E103&lt;=INDEX(_xlfn.ANCHORARRAY(Sintesi!$C$15),1,$C103))*(INDEX(_xlfn.ANCHORARRAY(Sintesi!$C$15),1,$C103)&gt;0),1,IF(($E103&gt;=LOOKUP(2,1/($E:$E&lt;&gt;""),$E:$E))*($E103&lt;=$E104)*($E103&gt;INDEX(_xlfn.ANCHORARRAY(Sintesi!$C$14),1,$C103))*($E103&lt;INDEX(_xlfn.ANCHORARRAY(Sintesi!$C$16),1,$C103))*(INDEX(_xlfn.ANCHORARRAY(Sintesi!$C$15),1,$C103)&lt;0)+($E103&gt;=LOOKUP(2,1/($E:$E&lt;&gt;""),$E:$E))*($E103&lt;=$E104)*($E103&gt;INDEX(_xlfn.ANCHORARRAY(Sintesi!$C$15),1,$C103))*($E103&lt;INDEX(_xlfn.ANCHORARRAY(Sintesi!$C$16),1,$C103))*(INDEX(_xlfn.ANCHORARRAY(Sintesi!$C$15),1,$C103)&gt;0),2,IF($E103=(INDEX(_xlfn.ANCHORARRAY(Sintesi!$C$16),1,$C103)),3,4)))),0)))</f>
        <v>1</v>
      </c>
      <c r="E103" s="1">
        <f>'Paste cell here'!F103</f>
        <v>0.15</v>
      </c>
      <c r="F103" s="1">
        <f>'Paste cell here'!C103</f>
        <v>12.2</v>
      </c>
      <c r="G103" s="1">
        <f>'Paste cell here'!D103</f>
        <v>9.374543869</v>
      </c>
      <c r="H103" s="1">
        <f>'Paste cell here'!E103</f>
        <v>1.052353168</v>
      </c>
      <c r="I103" s="1">
        <f>'Paste cell here'!X103</f>
        <v>0.15785227199999999</v>
      </c>
      <c r="J103" s="1">
        <f>'Paste cell here'!Y103+'Paste cell here'!S103</f>
        <v>0.15785227199999999</v>
      </c>
      <c r="K103" s="1">
        <f t="shared" si="3"/>
        <v>0.14999933178326308</v>
      </c>
      <c r="L103" s="1">
        <f t="shared" si="2"/>
        <v>11.142486969623823</v>
      </c>
      <c r="M103" s="1" cm="1">
        <f t="array" ref="M103">IF(AND(A103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,A103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),IF(L103&lt;_xlfn.IFNA(INDEX(_xlfn.ANCHORARRAY(Sintesi!$C$17)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,1,IF(L103&gt;=_xlfn.IFNA(INDEX(_xlfn.ANCHORARRAY(Sintesi!$C$18)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,0,1-(L103-_xlfn.IFNA(INDEX(_xlfn.ANCHORARRAY(Sintesi!$C$17)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)/(_xlfn.IFNA(INDEX(_xlfn.ANCHORARRAY(Sintesi!$C$18)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-_xlfn.IFNA(INDEX(_xlfn.ANCHORARRAY(Sintesi!$C$17),1,MATCH(1,(_xlfn.ANCHORARRAY(Sintesi!$C$9)&gt;_xlfn.ANCHORARRAY(Sintesi!$C$10))*(A102&gt;=_xlfn.ANCHORARRAY(Sintesi!$C$9))+(_xlfn.ANCHORARRAY(Sintesi!$C$9)&gt;_xlfn.ANCHORARRAY(Sintesi!$C$10))*(A102&lt;=_xlfn.ANCHORARRAY(Sintesi!$C$10))+(_xlfn.ANCHORARRAY(Sintesi!$C$9)&lt;_xlfn.ANCHORARRAY(Sintesi!$C$10))*(A102&gt;=_xlfn.ANCHORARRAY(Sintesi!$C$9))*(A102&lt;=_xlfn.ANCHORARRAY(Sintesi!$C$10)),0)),0)))),0)</f>
        <v>0</v>
      </c>
    </row>
    <row r="104" spans="1:13">
      <c r="A104" s="1">
        <f>'Paste cell here'!A104</f>
        <v>103</v>
      </c>
      <c r="B104" s="2">
        <f>DATE(Sintesi!$C$4-1,12,31)+A104</f>
        <v>44299</v>
      </c>
      <c r="C104" s="34" cm="1">
        <f t="array" ref="C104">_xlfn.IFNA(MATCH(1,(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)*(_xlfn.ANCHORARRAY(Sintesi!$C$15)&gt;=0)+(_xlfn.ANCHORARRAY(Sintesi!$C$15)&lt;0),0),0)</f>
        <v>1</v>
      </c>
      <c r="D104" s="1" cm="1">
        <f t="array" ref="D104">IF(ISBLANK($E105),IF(ISNUMBER($E103),IF($C104&gt;0,IF(($E104=INDEX(_xlfn.ANCHORARRAY(Sintesi!$C$14),1,$C104))*(INDEX(_xlfn.ANCHORARRAY(Sintesi!$C$15),1,$C104)&gt;0),0,IF(($E104=INDEX(_xlfn.ANCHORARRAY(Sintesi!$C$14),1,$C104))*(INDEX(_xlfn.ANCHORARRAY(Sintesi!$C$15),1,$C104)&lt;0)+($E104&gt;=$E103)*($E104&lt;=INDEX($E:$E,MATCH(TRUE,INDEX((ISNUMBER($E:$E)),0),0)))*($E104&gt;INDEX(_xlfn.ANCHORARRAY(Sintesi!$C$14),1,$C104))*($E104&lt;=INDEX(_xlfn.ANCHORARRAY(Sintesi!$C$15),1,$C104))*(INDEX(_xlfn.ANCHORARRAY(Sintesi!$C$15),1,$C104)&gt;0),1,IF(($E104&gt;=$E103)*($E104&lt;=INDEX($E:$E,MATCH(TRUE,INDEX((ISNUMBER($E:$E)),0),0)))*($E104&gt;INDEX(_xlfn.ANCHORARRAY(Sintesi!$C$14),1,$C104))*($E104&lt;INDEX(_xlfn.ANCHORARRAY(Sintesi!$C$16),1,$C104))*(INDEX(_xlfn.ANCHORARRAY(Sintesi!$C$15),1,$C104)&lt;0)+($E104&gt;=$E103)*($E104&lt;=INDEX($E:$E,MATCH(TRUE,INDEX((ISNUMBER($E:$E)),0),0)))*($E104&gt;INDEX(_xlfn.ANCHORARRAY(Sintesi!$C$15),1,$C104))*($E104&lt;INDEX(_xlfn.ANCHORARRAY(Sintesi!$C$16),1,$C104))*(INDEX(_xlfn.ANCHORARRAY(Sintesi!$C$15),1,$C104)&gt;0),2,IF($E104=(INDEX(_xlfn.ANCHORARRAY(Sintesi!$C$16),1,$C104)),3,4)))),0),IF($C104&gt;0,IF(($E104=INDEX(_xlfn.ANCHORARRAY(Sintesi!$C$14),1,$C104))*(INDEX(_xlfn.ANCHORARRAY(Sintesi!$C$15),1,$C104)&gt;0),0,IF(($E104=INDEX(_xlfn.ANCHORARRAY(Sintesi!$C$14),1,$C104))*(INDEX(_xlfn.ANCHORARRAY(Sintesi!$C$15),1,$C104)&lt;0)+($E104&gt;=LOOKUP(2,1/($E:$E&lt;&gt;""),$E:$E))*($E104&lt;=INDEX($E:$E,MATCH(TRUE,INDEX((ISNUMBER($E:$E)),0),0)))*($E104&gt;INDEX(_xlfn.ANCHORARRAY(Sintesi!$C$14),1,$C104))*($E104&lt;=INDEX(_xlfn.ANCHORARRAY(Sintesi!$C$15),1,$C104))*(INDEX(_xlfn.ANCHORARRAY(Sintesi!$C$15),1,$C104)&gt;0),1,IF(($E104&gt;=LOOKUP(2,1/($E:$E&lt;&gt;""),$E:$E))*($E104&lt;=INDEX($E:$E,MATCH(TRUE,INDEX((ISNUMBER($E:$E)),0),0)))*($E104&gt;INDEX(_xlfn.ANCHORARRAY(Sintesi!$C$14),1,$C104))*($E104&lt;INDEX(_xlfn.ANCHORARRAY(Sintesi!$C$16),1,$C104))*(INDEX(_xlfn.ANCHORARRAY(Sintesi!$C$15),1,$C104)&lt;0)+($E104&gt;=LOOKUP(2,1/($E:$E&lt;&gt;""),$E:$E))*($E104&lt;=INDEX($E:$E,MATCH(TRUE,INDEX((ISNUMBER($E:$E)),0),0)))*($E104&gt;INDEX(_xlfn.ANCHORARRAY(Sintesi!$C$15),1,$C104))*($E104&lt;INDEX(_xlfn.ANCHORARRAY(Sintesi!$C$16),1,$C104))*(INDEX(_xlfn.ANCHORARRAY(Sintesi!$C$15),1,$C104)&gt;0),2,IF($E104=(INDEX(_xlfn.ANCHORARRAY(Sintesi!$C$16),1,$C104)),3,4)))),0)),IF(ISNUMBER($E103),IF($C104&gt;0,IF(($E104=INDEX(_xlfn.ANCHORARRAY(Sintesi!$C$14),1,$C104))*(INDEX(_xlfn.ANCHORARRAY(Sintesi!$C$15),1,$C104)&gt;0),0,IF(($E104=INDEX(_xlfn.ANCHORARRAY(Sintesi!$C$14),1,$C104))*(INDEX(_xlfn.ANCHORARRAY(Sintesi!$C$15),1,$C104)&lt;0)+($E104&gt;=$E103)*($E104&lt;=$E105)*($E104&gt;INDEX(_xlfn.ANCHORARRAY(Sintesi!$C$14),1,$C104))*($E104&lt;=INDEX(_xlfn.ANCHORARRAY(Sintesi!$C$15),1,$C104))*(INDEX(_xlfn.ANCHORARRAY(Sintesi!$C$15),1,$C104)&gt;0),1,IF(($E104&gt;=$E103)*($E104&lt;=$E105)*($E104&gt;INDEX(_xlfn.ANCHORARRAY(Sintesi!$C$14),1,$C104))*($E104&lt;INDEX(_xlfn.ANCHORARRAY(Sintesi!$C$16),1,$C104))*(INDEX(_xlfn.ANCHORARRAY(Sintesi!$C$15),1,$C104)&lt;0)+($E104&gt;=$E103)*($E104&lt;=$E105)*($E104&gt;INDEX(_xlfn.ANCHORARRAY(Sintesi!$C$15),1,$C104))*($E104&lt;INDEX(_xlfn.ANCHORARRAY(Sintesi!$C$16),1,$C104))*(INDEX(_xlfn.ANCHORARRAY(Sintesi!$C$15),1,$C104)&gt;0),2,IF($E104=(INDEX(_xlfn.ANCHORARRAY(Sintesi!$C$16),1,$C104)),3,4)))),0),IF($C104&gt;0,IF(($E104=INDEX(_xlfn.ANCHORARRAY(Sintesi!$C$14),1,$C104))*(INDEX(_xlfn.ANCHORARRAY(Sintesi!$C$15),1,$C104)&gt;0),0,IF(($E104=INDEX(_xlfn.ANCHORARRAY(Sintesi!$C$14),1,$C104))*(INDEX(_xlfn.ANCHORARRAY(Sintesi!$C$15),1,$C104)&lt;0)+($E104&gt;=LOOKUP(2,1/($E:$E&lt;&gt;""),$E:$E))*($E104&lt;=$E105)*($E104&gt;INDEX(_xlfn.ANCHORARRAY(Sintesi!$C$14),1,$C104))*($E104&lt;=INDEX(_xlfn.ANCHORARRAY(Sintesi!$C$15),1,$C104))*(INDEX(_xlfn.ANCHORARRAY(Sintesi!$C$15),1,$C104)&gt;0),1,IF(($E104&gt;=LOOKUP(2,1/($E:$E&lt;&gt;""),$E:$E))*($E104&lt;=$E105)*($E104&gt;INDEX(_xlfn.ANCHORARRAY(Sintesi!$C$14),1,$C104))*($E104&lt;INDEX(_xlfn.ANCHORARRAY(Sintesi!$C$16),1,$C104))*(INDEX(_xlfn.ANCHORARRAY(Sintesi!$C$15),1,$C104)&lt;0)+($E104&gt;=LOOKUP(2,1/($E:$E&lt;&gt;""),$E:$E))*($E104&lt;=$E105)*($E104&gt;INDEX(_xlfn.ANCHORARRAY(Sintesi!$C$15),1,$C104))*($E104&lt;INDEX(_xlfn.ANCHORARRAY(Sintesi!$C$16),1,$C104))*(INDEX(_xlfn.ANCHORARRAY(Sintesi!$C$15),1,$C104)&gt;0),2,IF($E104=(INDEX(_xlfn.ANCHORARRAY(Sintesi!$C$16),1,$C104)),3,4)))),0)))</f>
        <v>1</v>
      </c>
      <c r="E104" s="1">
        <f>'Paste cell here'!F104</f>
        <v>0.15</v>
      </c>
      <c r="F104" s="1">
        <f>'Paste cell here'!C104</f>
        <v>15.410488669999999</v>
      </c>
      <c r="G104" s="1">
        <f>'Paste cell here'!D104</f>
        <v>5.782019494</v>
      </c>
      <c r="H104" s="1">
        <f>'Paste cell here'!E104</f>
        <v>2.6665198640000001</v>
      </c>
      <c r="I104" s="1">
        <f>'Paste cell here'!X104</f>
        <v>0.39997603300000001</v>
      </c>
      <c r="J104" s="1">
        <f>'Paste cell here'!Y104+'Paste cell here'!S104</f>
        <v>0.39997603300000001</v>
      </c>
      <c r="K104" s="1">
        <f t="shared" si="3"/>
        <v>0.14999926998481194</v>
      </c>
      <c r="L104" s="1">
        <f t="shared" si="2"/>
        <v>11.806740763784367</v>
      </c>
      <c r="M104" s="1" cm="1">
        <f t="array" ref="M104">IF(AND(A104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,A104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),IF(L104&lt;_xlfn.IFNA(INDEX(_xlfn.ANCHORARRAY(Sintesi!$C$17)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,1,IF(L104&gt;=_xlfn.IFNA(INDEX(_xlfn.ANCHORARRAY(Sintesi!$C$18)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,0,1-(L104-_xlfn.IFNA(INDEX(_xlfn.ANCHORARRAY(Sintesi!$C$17)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)/(_xlfn.IFNA(INDEX(_xlfn.ANCHORARRAY(Sintesi!$C$18)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-_xlfn.IFNA(INDEX(_xlfn.ANCHORARRAY(Sintesi!$C$17),1,MATCH(1,(_xlfn.ANCHORARRAY(Sintesi!$C$9)&gt;_xlfn.ANCHORARRAY(Sintesi!$C$10))*(A103&gt;=_xlfn.ANCHORARRAY(Sintesi!$C$9))+(_xlfn.ANCHORARRAY(Sintesi!$C$9)&gt;_xlfn.ANCHORARRAY(Sintesi!$C$10))*(A103&lt;=_xlfn.ANCHORARRAY(Sintesi!$C$10))+(_xlfn.ANCHORARRAY(Sintesi!$C$9)&lt;_xlfn.ANCHORARRAY(Sintesi!$C$10))*(A103&gt;=_xlfn.ANCHORARRAY(Sintesi!$C$9))*(A103&lt;=_xlfn.ANCHORARRAY(Sintesi!$C$10)),0)),0)))),0)</f>
        <v>0</v>
      </c>
    </row>
    <row r="105" spans="1:13">
      <c r="A105" s="1">
        <f>'Paste cell here'!A105</f>
        <v>104</v>
      </c>
      <c r="B105" s="2">
        <f>DATE(Sintesi!$C$4-1,12,31)+A105</f>
        <v>44300</v>
      </c>
      <c r="C105" s="34" cm="1">
        <f t="array" ref="C105">_xlfn.IFNA(MATCH(1,(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)*(_xlfn.ANCHORARRAY(Sintesi!$C$15)&gt;=0)+(_xlfn.ANCHORARRAY(Sintesi!$C$15)&lt;0),0),0)</f>
        <v>1</v>
      </c>
      <c r="D105" s="1" cm="1">
        <f t="array" ref="D105">IF(ISBLANK($E106),IF(ISNUMBER($E104),IF($C105&gt;0,IF(($E105=INDEX(_xlfn.ANCHORARRAY(Sintesi!$C$14),1,$C105))*(INDEX(_xlfn.ANCHORARRAY(Sintesi!$C$15),1,$C105)&gt;0),0,IF(($E105=INDEX(_xlfn.ANCHORARRAY(Sintesi!$C$14),1,$C105))*(INDEX(_xlfn.ANCHORARRAY(Sintesi!$C$15),1,$C105)&lt;0)+($E105&gt;=$E104)*($E105&lt;=INDEX($E:$E,MATCH(TRUE,INDEX((ISNUMBER($E:$E)),0),0)))*($E105&gt;INDEX(_xlfn.ANCHORARRAY(Sintesi!$C$14),1,$C105))*($E105&lt;=INDEX(_xlfn.ANCHORARRAY(Sintesi!$C$15),1,$C105))*(INDEX(_xlfn.ANCHORARRAY(Sintesi!$C$15),1,$C105)&gt;0),1,IF(($E105&gt;=$E104)*($E105&lt;=INDEX($E:$E,MATCH(TRUE,INDEX((ISNUMBER($E:$E)),0),0)))*($E105&gt;INDEX(_xlfn.ANCHORARRAY(Sintesi!$C$14),1,$C105))*($E105&lt;INDEX(_xlfn.ANCHORARRAY(Sintesi!$C$16),1,$C105))*(INDEX(_xlfn.ANCHORARRAY(Sintesi!$C$15),1,$C105)&lt;0)+($E105&gt;=$E104)*($E105&lt;=INDEX($E:$E,MATCH(TRUE,INDEX((ISNUMBER($E:$E)),0),0)))*($E105&gt;INDEX(_xlfn.ANCHORARRAY(Sintesi!$C$15),1,$C105))*($E105&lt;INDEX(_xlfn.ANCHORARRAY(Sintesi!$C$16),1,$C105))*(INDEX(_xlfn.ANCHORARRAY(Sintesi!$C$15),1,$C105)&gt;0),2,IF($E105=(INDEX(_xlfn.ANCHORARRAY(Sintesi!$C$16),1,$C105)),3,4)))),0),IF($C105&gt;0,IF(($E105=INDEX(_xlfn.ANCHORARRAY(Sintesi!$C$14),1,$C105))*(INDEX(_xlfn.ANCHORARRAY(Sintesi!$C$15),1,$C105)&gt;0),0,IF(($E105=INDEX(_xlfn.ANCHORARRAY(Sintesi!$C$14),1,$C105))*(INDEX(_xlfn.ANCHORARRAY(Sintesi!$C$15),1,$C105)&lt;0)+($E105&gt;=LOOKUP(2,1/($E:$E&lt;&gt;""),$E:$E))*($E105&lt;=INDEX($E:$E,MATCH(TRUE,INDEX((ISNUMBER($E:$E)),0),0)))*($E105&gt;INDEX(_xlfn.ANCHORARRAY(Sintesi!$C$14),1,$C105))*($E105&lt;=INDEX(_xlfn.ANCHORARRAY(Sintesi!$C$15),1,$C105))*(INDEX(_xlfn.ANCHORARRAY(Sintesi!$C$15),1,$C105)&gt;0),1,IF(($E105&gt;=LOOKUP(2,1/($E:$E&lt;&gt;""),$E:$E))*($E105&lt;=INDEX($E:$E,MATCH(TRUE,INDEX((ISNUMBER($E:$E)),0),0)))*($E105&gt;INDEX(_xlfn.ANCHORARRAY(Sintesi!$C$14),1,$C105))*($E105&lt;INDEX(_xlfn.ANCHORARRAY(Sintesi!$C$16),1,$C105))*(INDEX(_xlfn.ANCHORARRAY(Sintesi!$C$15),1,$C105)&lt;0)+($E105&gt;=LOOKUP(2,1/($E:$E&lt;&gt;""),$E:$E))*($E105&lt;=INDEX($E:$E,MATCH(TRUE,INDEX((ISNUMBER($E:$E)),0),0)))*($E105&gt;INDEX(_xlfn.ANCHORARRAY(Sintesi!$C$15),1,$C105))*($E105&lt;INDEX(_xlfn.ANCHORARRAY(Sintesi!$C$16),1,$C105))*(INDEX(_xlfn.ANCHORARRAY(Sintesi!$C$15),1,$C105)&gt;0),2,IF($E105=(INDEX(_xlfn.ANCHORARRAY(Sintesi!$C$16),1,$C105)),3,4)))),0)),IF(ISNUMBER($E104),IF($C105&gt;0,IF(($E105=INDEX(_xlfn.ANCHORARRAY(Sintesi!$C$14),1,$C105))*(INDEX(_xlfn.ANCHORARRAY(Sintesi!$C$15),1,$C105)&gt;0),0,IF(($E105=INDEX(_xlfn.ANCHORARRAY(Sintesi!$C$14),1,$C105))*(INDEX(_xlfn.ANCHORARRAY(Sintesi!$C$15),1,$C105)&lt;0)+($E105&gt;=$E104)*($E105&lt;=$E106)*($E105&gt;INDEX(_xlfn.ANCHORARRAY(Sintesi!$C$14),1,$C105))*($E105&lt;=INDEX(_xlfn.ANCHORARRAY(Sintesi!$C$15),1,$C105))*(INDEX(_xlfn.ANCHORARRAY(Sintesi!$C$15),1,$C105)&gt;0),1,IF(($E105&gt;=$E104)*($E105&lt;=$E106)*($E105&gt;INDEX(_xlfn.ANCHORARRAY(Sintesi!$C$14),1,$C105))*($E105&lt;INDEX(_xlfn.ANCHORARRAY(Sintesi!$C$16),1,$C105))*(INDEX(_xlfn.ANCHORARRAY(Sintesi!$C$15),1,$C105)&lt;0)+($E105&gt;=$E104)*($E105&lt;=$E106)*($E105&gt;INDEX(_xlfn.ANCHORARRAY(Sintesi!$C$15),1,$C105))*($E105&lt;INDEX(_xlfn.ANCHORARRAY(Sintesi!$C$16),1,$C105))*(INDEX(_xlfn.ANCHORARRAY(Sintesi!$C$15),1,$C105)&gt;0),2,IF($E105=(INDEX(_xlfn.ANCHORARRAY(Sintesi!$C$16),1,$C105)),3,4)))),0),IF($C105&gt;0,IF(($E105=INDEX(_xlfn.ANCHORARRAY(Sintesi!$C$14),1,$C105))*(INDEX(_xlfn.ANCHORARRAY(Sintesi!$C$15),1,$C105)&gt;0),0,IF(($E105=INDEX(_xlfn.ANCHORARRAY(Sintesi!$C$14),1,$C105))*(INDEX(_xlfn.ANCHORARRAY(Sintesi!$C$15),1,$C105)&lt;0)+($E105&gt;=LOOKUP(2,1/($E:$E&lt;&gt;""),$E:$E))*($E105&lt;=$E106)*($E105&gt;INDEX(_xlfn.ANCHORARRAY(Sintesi!$C$14),1,$C105))*($E105&lt;=INDEX(_xlfn.ANCHORARRAY(Sintesi!$C$15),1,$C105))*(INDEX(_xlfn.ANCHORARRAY(Sintesi!$C$15),1,$C105)&gt;0),1,IF(($E105&gt;=LOOKUP(2,1/($E:$E&lt;&gt;""),$E:$E))*($E105&lt;=$E106)*($E105&gt;INDEX(_xlfn.ANCHORARRAY(Sintesi!$C$14),1,$C105))*($E105&lt;INDEX(_xlfn.ANCHORARRAY(Sintesi!$C$16),1,$C105))*(INDEX(_xlfn.ANCHORARRAY(Sintesi!$C$15),1,$C105)&lt;0)+($E105&gt;=LOOKUP(2,1/($E:$E&lt;&gt;""),$E:$E))*($E105&lt;=$E106)*($E105&gt;INDEX(_xlfn.ANCHORARRAY(Sintesi!$C$15),1,$C105))*($E105&lt;INDEX(_xlfn.ANCHORARRAY(Sintesi!$C$16),1,$C105))*(INDEX(_xlfn.ANCHORARRAY(Sintesi!$C$15),1,$C105)&gt;0),2,IF($E105=(INDEX(_xlfn.ANCHORARRAY(Sintesi!$C$16),1,$C105)),3,4)))),0)))</f>
        <v>1</v>
      </c>
      <c r="E105" s="1">
        <f>'Paste cell here'!F105</f>
        <v>0.15</v>
      </c>
      <c r="F105" s="1">
        <f>'Paste cell here'!C105</f>
        <v>15.584715429999999</v>
      </c>
      <c r="G105" s="1">
        <f>'Paste cell here'!D105</f>
        <v>2.5973202739999999</v>
      </c>
      <c r="H105" s="1">
        <f>'Paste cell here'!E105</f>
        <v>3.1070125270000002</v>
      </c>
      <c r="I105" s="1">
        <f>'Paste cell here'!X105</f>
        <v>0.46604940500000003</v>
      </c>
      <c r="J105" s="1">
        <f>'Paste cell here'!Y105+'Paste cell here'!S105</f>
        <v>0.46604940500000003</v>
      </c>
      <c r="K105" s="1">
        <f t="shared" si="3"/>
        <v>0.14999920372062278</v>
      </c>
      <c r="L105" s="1">
        <f t="shared" si="2"/>
        <v>10.723787151048628</v>
      </c>
      <c r="M105" s="1" cm="1">
        <f t="array" ref="M105">IF(AND(A105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,A105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),IF(L105&lt;_xlfn.IFNA(INDEX(_xlfn.ANCHORARRAY(Sintesi!$C$17)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,1,IF(L105&gt;=_xlfn.IFNA(INDEX(_xlfn.ANCHORARRAY(Sintesi!$C$18)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,0,1-(L105-_xlfn.IFNA(INDEX(_xlfn.ANCHORARRAY(Sintesi!$C$17)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)/(_xlfn.IFNA(INDEX(_xlfn.ANCHORARRAY(Sintesi!$C$18)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-_xlfn.IFNA(INDEX(_xlfn.ANCHORARRAY(Sintesi!$C$17),1,MATCH(1,(_xlfn.ANCHORARRAY(Sintesi!$C$9)&gt;_xlfn.ANCHORARRAY(Sintesi!$C$10))*(A104&gt;=_xlfn.ANCHORARRAY(Sintesi!$C$9))+(_xlfn.ANCHORARRAY(Sintesi!$C$9)&gt;_xlfn.ANCHORARRAY(Sintesi!$C$10))*(A104&lt;=_xlfn.ANCHORARRAY(Sintesi!$C$10))+(_xlfn.ANCHORARRAY(Sintesi!$C$9)&lt;_xlfn.ANCHORARRAY(Sintesi!$C$10))*(A104&gt;=_xlfn.ANCHORARRAY(Sintesi!$C$9))*(A104&lt;=_xlfn.ANCHORARRAY(Sintesi!$C$10)),0)),0)))),0)</f>
        <v>0</v>
      </c>
    </row>
    <row r="106" spans="1:13">
      <c r="A106" s="1">
        <f>'Paste cell here'!A106</f>
        <v>105</v>
      </c>
      <c r="B106" s="2">
        <f>DATE(Sintesi!$C$4-1,12,31)+A106</f>
        <v>44301</v>
      </c>
      <c r="C106" s="34" cm="1">
        <f t="array" ref="C106">_xlfn.IFNA(MATCH(1,(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)*(_xlfn.ANCHORARRAY(Sintesi!$C$15)&gt;=0)+(_xlfn.ANCHORARRAY(Sintesi!$C$15)&lt;0),0),0)</f>
        <v>1</v>
      </c>
      <c r="D106" s="1" cm="1">
        <f t="array" ref="D106">IF(ISBLANK($E107),IF(ISNUMBER($E105),IF($C106&gt;0,IF(($E106=INDEX(_xlfn.ANCHORARRAY(Sintesi!$C$14),1,$C106))*(INDEX(_xlfn.ANCHORARRAY(Sintesi!$C$15),1,$C106)&gt;0),0,IF(($E106=INDEX(_xlfn.ANCHORARRAY(Sintesi!$C$14),1,$C106))*(INDEX(_xlfn.ANCHORARRAY(Sintesi!$C$15),1,$C106)&lt;0)+($E106&gt;=$E105)*($E106&lt;=INDEX($E:$E,MATCH(TRUE,INDEX((ISNUMBER($E:$E)),0),0)))*($E106&gt;INDEX(_xlfn.ANCHORARRAY(Sintesi!$C$14),1,$C106))*($E106&lt;=INDEX(_xlfn.ANCHORARRAY(Sintesi!$C$15),1,$C106))*(INDEX(_xlfn.ANCHORARRAY(Sintesi!$C$15),1,$C106)&gt;0),1,IF(($E106&gt;=$E105)*($E106&lt;=INDEX($E:$E,MATCH(TRUE,INDEX((ISNUMBER($E:$E)),0),0)))*($E106&gt;INDEX(_xlfn.ANCHORARRAY(Sintesi!$C$14),1,$C106))*($E106&lt;INDEX(_xlfn.ANCHORARRAY(Sintesi!$C$16),1,$C106))*(INDEX(_xlfn.ANCHORARRAY(Sintesi!$C$15),1,$C106)&lt;0)+($E106&gt;=$E105)*($E106&lt;=INDEX($E:$E,MATCH(TRUE,INDEX((ISNUMBER($E:$E)),0),0)))*($E106&gt;INDEX(_xlfn.ANCHORARRAY(Sintesi!$C$15),1,$C106))*($E106&lt;INDEX(_xlfn.ANCHORARRAY(Sintesi!$C$16),1,$C106))*(INDEX(_xlfn.ANCHORARRAY(Sintesi!$C$15),1,$C106)&gt;0),2,IF($E106=(INDEX(_xlfn.ANCHORARRAY(Sintesi!$C$16),1,$C106)),3,4)))),0),IF($C106&gt;0,IF(($E106=INDEX(_xlfn.ANCHORARRAY(Sintesi!$C$14),1,$C106))*(INDEX(_xlfn.ANCHORARRAY(Sintesi!$C$15),1,$C106)&gt;0),0,IF(($E106=INDEX(_xlfn.ANCHORARRAY(Sintesi!$C$14),1,$C106))*(INDEX(_xlfn.ANCHORARRAY(Sintesi!$C$15),1,$C106)&lt;0)+($E106&gt;=LOOKUP(2,1/($E:$E&lt;&gt;""),$E:$E))*($E106&lt;=INDEX($E:$E,MATCH(TRUE,INDEX((ISNUMBER($E:$E)),0),0)))*($E106&gt;INDEX(_xlfn.ANCHORARRAY(Sintesi!$C$14),1,$C106))*($E106&lt;=INDEX(_xlfn.ANCHORARRAY(Sintesi!$C$15),1,$C106))*(INDEX(_xlfn.ANCHORARRAY(Sintesi!$C$15),1,$C106)&gt;0),1,IF(($E106&gt;=LOOKUP(2,1/($E:$E&lt;&gt;""),$E:$E))*($E106&lt;=INDEX($E:$E,MATCH(TRUE,INDEX((ISNUMBER($E:$E)),0),0)))*($E106&gt;INDEX(_xlfn.ANCHORARRAY(Sintesi!$C$14),1,$C106))*($E106&lt;INDEX(_xlfn.ANCHORARRAY(Sintesi!$C$16),1,$C106))*(INDEX(_xlfn.ANCHORARRAY(Sintesi!$C$15),1,$C106)&lt;0)+($E106&gt;=LOOKUP(2,1/($E:$E&lt;&gt;""),$E:$E))*($E106&lt;=INDEX($E:$E,MATCH(TRUE,INDEX((ISNUMBER($E:$E)),0),0)))*($E106&gt;INDEX(_xlfn.ANCHORARRAY(Sintesi!$C$15),1,$C106))*($E106&lt;INDEX(_xlfn.ANCHORARRAY(Sintesi!$C$16),1,$C106))*(INDEX(_xlfn.ANCHORARRAY(Sintesi!$C$15),1,$C106)&gt;0),2,IF($E106=(INDEX(_xlfn.ANCHORARRAY(Sintesi!$C$16),1,$C106)),3,4)))),0)),IF(ISNUMBER($E105),IF($C106&gt;0,IF(($E106=INDEX(_xlfn.ANCHORARRAY(Sintesi!$C$14),1,$C106))*(INDEX(_xlfn.ANCHORARRAY(Sintesi!$C$15),1,$C106)&gt;0),0,IF(($E106=INDEX(_xlfn.ANCHORARRAY(Sintesi!$C$14),1,$C106))*(INDEX(_xlfn.ANCHORARRAY(Sintesi!$C$15),1,$C106)&lt;0)+($E106&gt;=$E105)*($E106&lt;=$E107)*($E106&gt;INDEX(_xlfn.ANCHORARRAY(Sintesi!$C$14),1,$C106))*($E106&lt;=INDEX(_xlfn.ANCHORARRAY(Sintesi!$C$15),1,$C106))*(INDEX(_xlfn.ANCHORARRAY(Sintesi!$C$15),1,$C106)&gt;0),1,IF(($E106&gt;=$E105)*($E106&lt;=$E107)*($E106&gt;INDEX(_xlfn.ANCHORARRAY(Sintesi!$C$14),1,$C106))*($E106&lt;INDEX(_xlfn.ANCHORARRAY(Sintesi!$C$16),1,$C106))*(INDEX(_xlfn.ANCHORARRAY(Sintesi!$C$15),1,$C106)&lt;0)+($E106&gt;=$E105)*($E106&lt;=$E107)*($E106&gt;INDEX(_xlfn.ANCHORARRAY(Sintesi!$C$15),1,$C106))*($E106&lt;INDEX(_xlfn.ANCHORARRAY(Sintesi!$C$16),1,$C106))*(INDEX(_xlfn.ANCHORARRAY(Sintesi!$C$15),1,$C106)&gt;0),2,IF($E106=(INDEX(_xlfn.ANCHORARRAY(Sintesi!$C$16),1,$C106)),3,4)))),0),IF($C106&gt;0,IF(($E106=INDEX(_xlfn.ANCHORARRAY(Sintesi!$C$14),1,$C106))*(INDEX(_xlfn.ANCHORARRAY(Sintesi!$C$15),1,$C106)&gt;0),0,IF(($E106=INDEX(_xlfn.ANCHORARRAY(Sintesi!$C$14),1,$C106))*(INDEX(_xlfn.ANCHORARRAY(Sintesi!$C$15),1,$C106)&lt;0)+($E106&gt;=LOOKUP(2,1/($E:$E&lt;&gt;""),$E:$E))*($E106&lt;=$E107)*($E106&gt;INDEX(_xlfn.ANCHORARRAY(Sintesi!$C$14),1,$C106))*($E106&lt;=INDEX(_xlfn.ANCHORARRAY(Sintesi!$C$15),1,$C106))*(INDEX(_xlfn.ANCHORARRAY(Sintesi!$C$15),1,$C106)&gt;0),1,IF(($E106&gt;=LOOKUP(2,1/($E:$E&lt;&gt;""),$E:$E))*($E106&lt;=$E107)*($E106&gt;INDEX(_xlfn.ANCHORARRAY(Sintesi!$C$14),1,$C106))*($E106&lt;INDEX(_xlfn.ANCHORARRAY(Sintesi!$C$16),1,$C106))*(INDEX(_xlfn.ANCHORARRAY(Sintesi!$C$15),1,$C106)&lt;0)+($E106&gt;=LOOKUP(2,1/($E:$E&lt;&gt;""),$E:$E))*($E106&lt;=$E107)*($E106&gt;INDEX(_xlfn.ANCHORARRAY(Sintesi!$C$15),1,$C106))*($E106&lt;INDEX(_xlfn.ANCHORARRAY(Sintesi!$C$16),1,$C106))*(INDEX(_xlfn.ANCHORARRAY(Sintesi!$C$15),1,$C106)&gt;0),2,IF($E106=(INDEX(_xlfn.ANCHORARRAY(Sintesi!$C$16),1,$C106)),3,4)))),0)))</f>
        <v>1</v>
      </c>
      <c r="E106" s="1">
        <f>'Paste cell here'!F106</f>
        <v>0.15</v>
      </c>
      <c r="F106" s="1">
        <f>'Paste cell here'!C106</f>
        <v>11.856605030000001</v>
      </c>
      <c r="G106" s="1">
        <f>'Paste cell here'!D106</f>
        <v>3.3047958999999998</v>
      </c>
      <c r="H106" s="1">
        <f>'Paste cell here'!E106</f>
        <v>2.4919289099999999</v>
      </c>
      <c r="I106" s="1">
        <f>'Paste cell here'!X106</f>
        <v>0.373787174</v>
      </c>
      <c r="J106" s="1">
        <f>'Paste cell here'!Y106+'Paste cell here'!S106</f>
        <v>0.373787174</v>
      </c>
      <c r="K106" s="1">
        <f t="shared" si="3"/>
        <v>0.14999913219835795</v>
      </c>
      <c r="L106" s="1">
        <f t="shared" si="2"/>
        <v>8.6558299448585529</v>
      </c>
      <c r="M106" s="1" cm="1">
        <f t="array" ref="M106">IF(AND(A106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,A106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),IF(L106&lt;_xlfn.IFNA(INDEX(_xlfn.ANCHORARRAY(Sintesi!$C$17)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,1,IF(L106&gt;=_xlfn.IFNA(INDEX(_xlfn.ANCHORARRAY(Sintesi!$C$18)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,0,1-(L106-_xlfn.IFNA(INDEX(_xlfn.ANCHORARRAY(Sintesi!$C$17)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)/(_xlfn.IFNA(INDEX(_xlfn.ANCHORARRAY(Sintesi!$C$18)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-_xlfn.IFNA(INDEX(_xlfn.ANCHORARRAY(Sintesi!$C$17),1,MATCH(1,(_xlfn.ANCHORARRAY(Sintesi!$C$9)&gt;_xlfn.ANCHORARRAY(Sintesi!$C$10))*(A105&gt;=_xlfn.ANCHORARRAY(Sintesi!$C$9))+(_xlfn.ANCHORARRAY(Sintesi!$C$9)&gt;_xlfn.ANCHORARRAY(Sintesi!$C$10))*(A105&lt;=_xlfn.ANCHORARRAY(Sintesi!$C$10))+(_xlfn.ANCHORARRAY(Sintesi!$C$9)&lt;_xlfn.ANCHORARRAY(Sintesi!$C$10))*(A105&gt;=_xlfn.ANCHORARRAY(Sintesi!$C$9))*(A105&lt;=_xlfn.ANCHORARRAY(Sintesi!$C$10)),0)),0)))),0)</f>
        <v>0</v>
      </c>
    </row>
    <row r="107" spans="1:13">
      <c r="A107" s="1">
        <f>'Paste cell here'!A107</f>
        <v>106</v>
      </c>
      <c r="B107" s="2">
        <f>DATE(Sintesi!$C$4-1,12,31)+A107</f>
        <v>44302</v>
      </c>
      <c r="C107" s="34" cm="1">
        <f t="array" ref="C107">_xlfn.IFNA(MATCH(1,(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)*(_xlfn.ANCHORARRAY(Sintesi!$C$15)&gt;=0)+(_xlfn.ANCHORARRAY(Sintesi!$C$15)&lt;0),0),0)</f>
        <v>1</v>
      </c>
      <c r="D107" s="1" cm="1">
        <f t="array" ref="D107">IF(ISBLANK($E108),IF(ISNUMBER($E106),IF($C107&gt;0,IF(($E107=INDEX(_xlfn.ANCHORARRAY(Sintesi!$C$14),1,$C107))*(INDEX(_xlfn.ANCHORARRAY(Sintesi!$C$15),1,$C107)&gt;0),0,IF(($E107=INDEX(_xlfn.ANCHORARRAY(Sintesi!$C$14),1,$C107))*(INDEX(_xlfn.ANCHORARRAY(Sintesi!$C$15),1,$C107)&lt;0)+($E107&gt;=$E106)*($E107&lt;=INDEX($E:$E,MATCH(TRUE,INDEX((ISNUMBER($E:$E)),0),0)))*($E107&gt;INDEX(_xlfn.ANCHORARRAY(Sintesi!$C$14),1,$C107))*($E107&lt;=INDEX(_xlfn.ANCHORARRAY(Sintesi!$C$15),1,$C107))*(INDEX(_xlfn.ANCHORARRAY(Sintesi!$C$15),1,$C107)&gt;0),1,IF(($E107&gt;=$E106)*($E107&lt;=INDEX($E:$E,MATCH(TRUE,INDEX((ISNUMBER($E:$E)),0),0)))*($E107&gt;INDEX(_xlfn.ANCHORARRAY(Sintesi!$C$14),1,$C107))*($E107&lt;INDEX(_xlfn.ANCHORARRAY(Sintesi!$C$16),1,$C107))*(INDEX(_xlfn.ANCHORARRAY(Sintesi!$C$15),1,$C107)&lt;0)+($E107&gt;=$E106)*($E107&lt;=INDEX($E:$E,MATCH(TRUE,INDEX((ISNUMBER($E:$E)),0),0)))*($E107&gt;INDEX(_xlfn.ANCHORARRAY(Sintesi!$C$15),1,$C107))*($E107&lt;INDEX(_xlfn.ANCHORARRAY(Sintesi!$C$16),1,$C107))*(INDEX(_xlfn.ANCHORARRAY(Sintesi!$C$15),1,$C107)&gt;0),2,IF($E107=(INDEX(_xlfn.ANCHORARRAY(Sintesi!$C$16),1,$C107)),3,4)))),0),IF($C107&gt;0,IF(($E107=INDEX(_xlfn.ANCHORARRAY(Sintesi!$C$14),1,$C107))*(INDEX(_xlfn.ANCHORARRAY(Sintesi!$C$15),1,$C107)&gt;0),0,IF(($E107=INDEX(_xlfn.ANCHORARRAY(Sintesi!$C$14),1,$C107))*(INDEX(_xlfn.ANCHORARRAY(Sintesi!$C$15),1,$C107)&lt;0)+($E107&gt;=LOOKUP(2,1/($E:$E&lt;&gt;""),$E:$E))*($E107&lt;=INDEX($E:$E,MATCH(TRUE,INDEX((ISNUMBER($E:$E)),0),0)))*($E107&gt;INDEX(_xlfn.ANCHORARRAY(Sintesi!$C$14),1,$C107))*($E107&lt;=INDEX(_xlfn.ANCHORARRAY(Sintesi!$C$15),1,$C107))*(INDEX(_xlfn.ANCHORARRAY(Sintesi!$C$15),1,$C107)&gt;0),1,IF(($E107&gt;=LOOKUP(2,1/($E:$E&lt;&gt;""),$E:$E))*($E107&lt;=INDEX($E:$E,MATCH(TRUE,INDEX((ISNUMBER($E:$E)),0),0)))*($E107&gt;INDEX(_xlfn.ANCHORARRAY(Sintesi!$C$14),1,$C107))*($E107&lt;INDEX(_xlfn.ANCHORARRAY(Sintesi!$C$16),1,$C107))*(INDEX(_xlfn.ANCHORARRAY(Sintesi!$C$15),1,$C107)&lt;0)+($E107&gt;=LOOKUP(2,1/($E:$E&lt;&gt;""),$E:$E))*($E107&lt;=INDEX($E:$E,MATCH(TRUE,INDEX((ISNUMBER($E:$E)),0),0)))*($E107&gt;INDEX(_xlfn.ANCHORARRAY(Sintesi!$C$15),1,$C107))*($E107&lt;INDEX(_xlfn.ANCHORARRAY(Sintesi!$C$16),1,$C107))*(INDEX(_xlfn.ANCHORARRAY(Sintesi!$C$15),1,$C107)&gt;0),2,IF($E107=(INDEX(_xlfn.ANCHORARRAY(Sintesi!$C$16),1,$C107)),3,4)))),0)),IF(ISNUMBER($E106),IF($C107&gt;0,IF(($E107=INDEX(_xlfn.ANCHORARRAY(Sintesi!$C$14),1,$C107))*(INDEX(_xlfn.ANCHORARRAY(Sintesi!$C$15),1,$C107)&gt;0),0,IF(($E107=INDEX(_xlfn.ANCHORARRAY(Sintesi!$C$14),1,$C107))*(INDEX(_xlfn.ANCHORARRAY(Sintesi!$C$15),1,$C107)&lt;0)+($E107&gt;=$E106)*($E107&lt;=$E108)*($E107&gt;INDEX(_xlfn.ANCHORARRAY(Sintesi!$C$14),1,$C107))*($E107&lt;=INDEX(_xlfn.ANCHORARRAY(Sintesi!$C$15),1,$C107))*(INDEX(_xlfn.ANCHORARRAY(Sintesi!$C$15),1,$C107)&gt;0),1,IF(($E107&gt;=$E106)*($E107&lt;=$E108)*($E107&gt;INDEX(_xlfn.ANCHORARRAY(Sintesi!$C$14),1,$C107))*($E107&lt;INDEX(_xlfn.ANCHORARRAY(Sintesi!$C$16),1,$C107))*(INDEX(_xlfn.ANCHORARRAY(Sintesi!$C$15),1,$C107)&lt;0)+($E107&gt;=$E106)*($E107&lt;=$E108)*($E107&gt;INDEX(_xlfn.ANCHORARRAY(Sintesi!$C$15),1,$C107))*($E107&lt;INDEX(_xlfn.ANCHORARRAY(Sintesi!$C$16),1,$C107))*(INDEX(_xlfn.ANCHORARRAY(Sintesi!$C$15),1,$C107)&gt;0),2,IF($E107=(INDEX(_xlfn.ANCHORARRAY(Sintesi!$C$16),1,$C107)),3,4)))),0),IF($C107&gt;0,IF(($E107=INDEX(_xlfn.ANCHORARRAY(Sintesi!$C$14),1,$C107))*(INDEX(_xlfn.ANCHORARRAY(Sintesi!$C$15),1,$C107)&gt;0),0,IF(($E107=INDEX(_xlfn.ANCHORARRAY(Sintesi!$C$14),1,$C107))*(INDEX(_xlfn.ANCHORARRAY(Sintesi!$C$15),1,$C107)&lt;0)+($E107&gt;=LOOKUP(2,1/($E:$E&lt;&gt;""),$E:$E))*($E107&lt;=$E108)*($E107&gt;INDEX(_xlfn.ANCHORARRAY(Sintesi!$C$14),1,$C107))*($E107&lt;=INDEX(_xlfn.ANCHORARRAY(Sintesi!$C$15),1,$C107))*(INDEX(_xlfn.ANCHORARRAY(Sintesi!$C$15),1,$C107)&gt;0),1,IF(($E107&gt;=LOOKUP(2,1/($E:$E&lt;&gt;""),$E:$E))*($E107&lt;=$E108)*($E107&gt;INDEX(_xlfn.ANCHORARRAY(Sintesi!$C$14),1,$C107))*($E107&lt;INDEX(_xlfn.ANCHORARRAY(Sintesi!$C$16),1,$C107))*(INDEX(_xlfn.ANCHORARRAY(Sintesi!$C$15),1,$C107)&lt;0)+($E107&gt;=LOOKUP(2,1/($E:$E&lt;&gt;""),$E:$E))*($E107&lt;=$E108)*($E107&gt;INDEX(_xlfn.ANCHORARRAY(Sintesi!$C$15),1,$C107))*($E107&lt;INDEX(_xlfn.ANCHORARRAY(Sintesi!$C$16),1,$C107))*(INDEX(_xlfn.ANCHORARRAY(Sintesi!$C$15),1,$C107)&gt;0),2,IF($E107=(INDEX(_xlfn.ANCHORARRAY(Sintesi!$C$16),1,$C107)),3,4)))),0)))</f>
        <v>1</v>
      </c>
      <c r="E107" s="1">
        <f>'Paste cell here'!F107</f>
        <v>0.15</v>
      </c>
      <c r="F107" s="1">
        <f>'Paste cell here'!C107</f>
        <v>15.37454387</v>
      </c>
      <c r="G107" s="1">
        <f>'Paste cell here'!D107</f>
        <v>2.161249406</v>
      </c>
      <c r="H107" s="1">
        <f>'Paste cell here'!E107</f>
        <v>2.8927464669999998</v>
      </c>
      <c r="I107" s="1">
        <f>'Paste cell here'!X107</f>
        <v>0.433909239</v>
      </c>
      <c r="J107" s="1">
        <f>'Paste cell here'!Y107+'Paste cell here'!S107</f>
        <v>0.433909239</v>
      </c>
      <c r="K107" s="1">
        <f t="shared" si="3"/>
        <v>0.14999905589721355</v>
      </c>
      <c r="L107" s="1">
        <f t="shared" si="2"/>
        <v>10.429065893340734</v>
      </c>
      <c r="M107" s="1" cm="1">
        <f t="array" ref="M107">IF(AND(A107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,A107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),IF(L107&lt;_xlfn.IFNA(INDEX(_xlfn.ANCHORARRAY(Sintesi!$C$17)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,1,IF(L107&gt;=_xlfn.IFNA(INDEX(_xlfn.ANCHORARRAY(Sintesi!$C$18)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,0,1-(L107-_xlfn.IFNA(INDEX(_xlfn.ANCHORARRAY(Sintesi!$C$17)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)/(_xlfn.IFNA(INDEX(_xlfn.ANCHORARRAY(Sintesi!$C$18)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-_xlfn.IFNA(INDEX(_xlfn.ANCHORARRAY(Sintesi!$C$17),1,MATCH(1,(_xlfn.ANCHORARRAY(Sintesi!$C$9)&gt;_xlfn.ANCHORARRAY(Sintesi!$C$10))*(A106&gt;=_xlfn.ANCHORARRAY(Sintesi!$C$9))+(_xlfn.ANCHORARRAY(Sintesi!$C$9)&gt;_xlfn.ANCHORARRAY(Sintesi!$C$10))*(A106&lt;=_xlfn.ANCHORARRAY(Sintesi!$C$10))+(_xlfn.ANCHORARRAY(Sintesi!$C$9)&lt;_xlfn.ANCHORARRAY(Sintesi!$C$10))*(A106&gt;=_xlfn.ANCHORARRAY(Sintesi!$C$9))*(A106&lt;=_xlfn.ANCHORARRAY(Sintesi!$C$10)),0)),0)))),0)</f>
        <v>0</v>
      </c>
    </row>
    <row r="108" spans="1:13">
      <c r="A108" s="1">
        <f>'Paste cell here'!A108</f>
        <v>107</v>
      </c>
      <c r="B108" s="2">
        <f>DATE(Sintesi!$C$4-1,12,31)+A108</f>
        <v>44303</v>
      </c>
      <c r="C108" s="34" cm="1">
        <f t="array" ref="C108">_xlfn.IFNA(MATCH(1,(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)*(_xlfn.ANCHORARRAY(Sintesi!$C$15)&gt;=0)+(_xlfn.ANCHORARRAY(Sintesi!$C$15)&lt;0),0),0)</f>
        <v>1</v>
      </c>
      <c r="D108" s="1" cm="1">
        <f t="array" ref="D108">IF(ISBLANK($E109),IF(ISNUMBER($E107),IF($C108&gt;0,IF(($E108=INDEX(_xlfn.ANCHORARRAY(Sintesi!$C$14),1,$C108))*(INDEX(_xlfn.ANCHORARRAY(Sintesi!$C$15),1,$C108)&gt;0),0,IF(($E108=INDEX(_xlfn.ANCHORARRAY(Sintesi!$C$14),1,$C108))*(INDEX(_xlfn.ANCHORARRAY(Sintesi!$C$15),1,$C108)&lt;0)+($E108&gt;=$E107)*($E108&lt;=INDEX($E:$E,MATCH(TRUE,INDEX((ISNUMBER($E:$E)),0),0)))*($E108&gt;INDEX(_xlfn.ANCHORARRAY(Sintesi!$C$14),1,$C108))*($E108&lt;=INDEX(_xlfn.ANCHORARRAY(Sintesi!$C$15),1,$C108))*(INDEX(_xlfn.ANCHORARRAY(Sintesi!$C$15),1,$C108)&gt;0),1,IF(($E108&gt;=$E107)*($E108&lt;=INDEX($E:$E,MATCH(TRUE,INDEX((ISNUMBER($E:$E)),0),0)))*($E108&gt;INDEX(_xlfn.ANCHORARRAY(Sintesi!$C$14),1,$C108))*($E108&lt;INDEX(_xlfn.ANCHORARRAY(Sintesi!$C$16),1,$C108))*(INDEX(_xlfn.ANCHORARRAY(Sintesi!$C$15),1,$C108)&lt;0)+($E108&gt;=$E107)*($E108&lt;=INDEX($E:$E,MATCH(TRUE,INDEX((ISNUMBER($E:$E)),0),0)))*($E108&gt;INDEX(_xlfn.ANCHORARRAY(Sintesi!$C$15),1,$C108))*($E108&lt;INDEX(_xlfn.ANCHORARRAY(Sintesi!$C$16),1,$C108))*(INDEX(_xlfn.ANCHORARRAY(Sintesi!$C$15),1,$C108)&gt;0),2,IF($E108=(INDEX(_xlfn.ANCHORARRAY(Sintesi!$C$16),1,$C108)),3,4)))),0),IF($C108&gt;0,IF(($E108=INDEX(_xlfn.ANCHORARRAY(Sintesi!$C$14),1,$C108))*(INDEX(_xlfn.ANCHORARRAY(Sintesi!$C$15),1,$C108)&gt;0),0,IF(($E108=INDEX(_xlfn.ANCHORARRAY(Sintesi!$C$14),1,$C108))*(INDEX(_xlfn.ANCHORARRAY(Sintesi!$C$15),1,$C108)&lt;0)+($E108&gt;=LOOKUP(2,1/($E:$E&lt;&gt;""),$E:$E))*($E108&lt;=INDEX($E:$E,MATCH(TRUE,INDEX((ISNUMBER($E:$E)),0),0)))*($E108&gt;INDEX(_xlfn.ANCHORARRAY(Sintesi!$C$14),1,$C108))*($E108&lt;=INDEX(_xlfn.ANCHORARRAY(Sintesi!$C$15),1,$C108))*(INDEX(_xlfn.ANCHORARRAY(Sintesi!$C$15),1,$C108)&gt;0),1,IF(($E108&gt;=LOOKUP(2,1/($E:$E&lt;&gt;""),$E:$E))*($E108&lt;=INDEX($E:$E,MATCH(TRUE,INDEX((ISNUMBER($E:$E)),0),0)))*($E108&gt;INDEX(_xlfn.ANCHORARRAY(Sintesi!$C$14),1,$C108))*($E108&lt;INDEX(_xlfn.ANCHORARRAY(Sintesi!$C$16),1,$C108))*(INDEX(_xlfn.ANCHORARRAY(Sintesi!$C$15),1,$C108)&lt;0)+($E108&gt;=LOOKUP(2,1/($E:$E&lt;&gt;""),$E:$E))*($E108&lt;=INDEX($E:$E,MATCH(TRUE,INDEX((ISNUMBER($E:$E)),0),0)))*($E108&gt;INDEX(_xlfn.ANCHORARRAY(Sintesi!$C$15),1,$C108))*($E108&lt;INDEX(_xlfn.ANCHORARRAY(Sintesi!$C$16),1,$C108))*(INDEX(_xlfn.ANCHORARRAY(Sintesi!$C$15),1,$C108)&gt;0),2,IF($E108=(INDEX(_xlfn.ANCHORARRAY(Sintesi!$C$16),1,$C108)),3,4)))),0)),IF(ISNUMBER($E107),IF($C108&gt;0,IF(($E108=INDEX(_xlfn.ANCHORARRAY(Sintesi!$C$14),1,$C108))*(INDEX(_xlfn.ANCHORARRAY(Sintesi!$C$15),1,$C108)&gt;0),0,IF(($E108=INDEX(_xlfn.ANCHORARRAY(Sintesi!$C$14),1,$C108))*(INDEX(_xlfn.ANCHORARRAY(Sintesi!$C$15),1,$C108)&lt;0)+($E108&gt;=$E107)*($E108&lt;=$E109)*($E108&gt;INDEX(_xlfn.ANCHORARRAY(Sintesi!$C$14),1,$C108))*($E108&lt;=INDEX(_xlfn.ANCHORARRAY(Sintesi!$C$15),1,$C108))*(INDEX(_xlfn.ANCHORARRAY(Sintesi!$C$15),1,$C108)&gt;0),1,IF(($E108&gt;=$E107)*($E108&lt;=$E109)*($E108&gt;INDEX(_xlfn.ANCHORARRAY(Sintesi!$C$14),1,$C108))*($E108&lt;INDEX(_xlfn.ANCHORARRAY(Sintesi!$C$16),1,$C108))*(INDEX(_xlfn.ANCHORARRAY(Sintesi!$C$15),1,$C108)&lt;0)+($E108&gt;=$E107)*($E108&lt;=$E109)*($E108&gt;INDEX(_xlfn.ANCHORARRAY(Sintesi!$C$15),1,$C108))*($E108&lt;INDEX(_xlfn.ANCHORARRAY(Sintesi!$C$16),1,$C108))*(INDEX(_xlfn.ANCHORARRAY(Sintesi!$C$15),1,$C108)&gt;0),2,IF($E108=(INDEX(_xlfn.ANCHORARRAY(Sintesi!$C$16),1,$C108)),3,4)))),0),IF($C108&gt;0,IF(($E108=INDEX(_xlfn.ANCHORARRAY(Sintesi!$C$14),1,$C108))*(INDEX(_xlfn.ANCHORARRAY(Sintesi!$C$15),1,$C108)&gt;0),0,IF(($E108=INDEX(_xlfn.ANCHORARRAY(Sintesi!$C$14),1,$C108))*(INDEX(_xlfn.ANCHORARRAY(Sintesi!$C$15),1,$C108)&lt;0)+($E108&gt;=LOOKUP(2,1/($E:$E&lt;&gt;""),$E:$E))*($E108&lt;=$E109)*($E108&gt;INDEX(_xlfn.ANCHORARRAY(Sintesi!$C$14),1,$C108))*($E108&lt;=INDEX(_xlfn.ANCHORARRAY(Sintesi!$C$15),1,$C108))*(INDEX(_xlfn.ANCHORARRAY(Sintesi!$C$15),1,$C108)&gt;0),1,IF(($E108&gt;=LOOKUP(2,1/($E:$E&lt;&gt;""),$E:$E))*($E108&lt;=$E109)*($E108&gt;INDEX(_xlfn.ANCHORARRAY(Sintesi!$C$14),1,$C108))*($E108&lt;INDEX(_xlfn.ANCHORARRAY(Sintesi!$C$16),1,$C108))*(INDEX(_xlfn.ANCHORARRAY(Sintesi!$C$15),1,$C108)&lt;0)+($E108&gt;=LOOKUP(2,1/($E:$E&lt;&gt;""),$E:$E))*($E108&lt;=$E109)*($E108&gt;INDEX(_xlfn.ANCHORARRAY(Sintesi!$C$15),1,$C108))*($E108&lt;INDEX(_xlfn.ANCHORARRAY(Sintesi!$C$16),1,$C108))*(INDEX(_xlfn.ANCHORARRAY(Sintesi!$C$15),1,$C108)&gt;0),2,IF($E108=(INDEX(_xlfn.ANCHORARRAY(Sintesi!$C$16),1,$C108)),3,4)))),0)))</f>
        <v>1</v>
      </c>
      <c r="E108" s="1">
        <f>'Paste cell here'!F108</f>
        <v>0.15</v>
      </c>
      <c r="F108" s="1">
        <f>'Paste cell here'!C108</f>
        <v>16.5926759</v>
      </c>
      <c r="G108" s="1">
        <f>'Paste cell here'!D108</f>
        <v>1.8179805060000001</v>
      </c>
      <c r="H108" s="1">
        <f>'Paste cell here'!E108</f>
        <v>3.1125543310000001</v>
      </c>
      <c r="I108" s="1">
        <f>'Paste cell here'!X108</f>
        <v>0.46687995700000001</v>
      </c>
      <c r="J108" s="1">
        <f>'Paste cell here'!Y108+'Paste cell here'!S108</f>
        <v>0.46687995700000001</v>
      </c>
      <c r="K108" s="1">
        <f t="shared" si="3"/>
        <v>0.14999897426690093</v>
      </c>
      <c r="L108" s="1">
        <f t="shared" si="2"/>
        <v>11.062796059514211</v>
      </c>
      <c r="M108" s="1" cm="1">
        <f t="array" ref="M108">IF(AND(A108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,A108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),IF(L108&lt;_xlfn.IFNA(INDEX(_xlfn.ANCHORARRAY(Sintesi!$C$17)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,1,IF(L108&gt;=_xlfn.IFNA(INDEX(_xlfn.ANCHORARRAY(Sintesi!$C$18)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,0,1-(L108-_xlfn.IFNA(INDEX(_xlfn.ANCHORARRAY(Sintesi!$C$17)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)/(_xlfn.IFNA(INDEX(_xlfn.ANCHORARRAY(Sintesi!$C$18)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-_xlfn.IFNA(INDEX(_xlfn.ANCHORARRAY(Sintesi!$C$17),1,MATCH(1,(_xlfn.ANCHORARRAY(Sintesi!$C$9)&gt;_xlfn.ANCHORARRAY(Sintesi!$C$10))*(A107&gt;=_xlfn.ANCHORARRAY(Sintesi!$C$9))+(_xlfn.ANCHORARRAY(Sintesi!$C$9)&gt;_xlfn.ANCHORARRAY(Sintesi!$C$10))*(A107&lt;=_xlfn.ANCHORARRAY(Sintesi!$C$10))+(_xlfn.ANCHORARRAY(Sintesi!$C$9)&lt;_xlfn.ANCHORARRAY(Sintesi!$C$10))*(A107&gt;=_xlfn.ANCHORARRAY(Sintesi!$C$9))*(A107&lt;=_xlfn.ANCHORARRAY(Sintesi!$C$10)),0)),0)))),0)</f>
        <v>0</v>
      </c>
    </row>
    <row r="109" spans="1:13">
      <c r="A109" s="1">
        <f>'Paste cell here'!A109</f>
        <v>108</v>
      </c>
      <c r="B109" s="2">
        <f>DATE(Sintesi!$C$4-1,12,31)+A109</f>
        <v>44304</v>
      </c>
      <c r="C109" s="34" cm="1">
        <f t="array" ref="C109">_xlfn.IFNA(MATCH(1,(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)*(_xlfn.ANCHORARRAY(Sintesi!$C$15)&gt;=0)+(_xlfn.ANCHORARRAY(Sintesi!$C$15)&lt;0),0),0)</f>
        <v>1</v>
      </c>
      <c r="D109" s="1" cm="1">
        <f t="array" ref="D109">IF(ISBLANK($E110),IF(ISNUMBER($E108),IF($C109&gt;0,IF(($E109=INDEX(_xlfn.ANCHORARRAY(Sintesi!$C$14),1,$C109))*(INDEX(_xlfn.ANCHORARRAY(Sintesi!$C$15),1,$C109)&gt;0),0,IF(($E109=INDEX(_xlfn.ANCHORARRAY(Sintesi!$C$14),1,$C109))*(INDEX(_xlfn.ANCHORARRAY(Sintesi!$C$15),1,$C109)&lt;0)+($E109&gt;=$E108)*($E109&lt;=INDEX($E:$E,MATCH(TRUE,INDEX((ISNUMBER($E:$E)),0),0)))*($E109&gt;INDEX(_xlfn.ANCHORARRAY(Sintesi!$C$14),1,$C109))*($E109&lt;=INDEX(_xlfn.ANCHORARRAY(Sintesi!$C$15),1,$C109))*(INDEX(_xlfn.ANCHORARRAY(Sintesi!$C$15),1,$C109)&gt;0),1,IF(($E109&gt;=$E108)*($E109&lt;=INDEX($E:$E,MATCH(TRUE,INDEX((ISNUMBER($E:$E)),0),0)))*($E109&gt;INDEX(_xlfn.ANCHORARRAY(Sintesi!$C$14),1,$C109))*($E109&lt;INDEX(_xlfn.ANCHORARRAY(Sintesi!$C$16),1,$C109))*(INDEX(_xlfn.ANCHORARRAY(Sintesi!$C$15),1,$C109)&lt;0)+($E109&gt;=$E108)*($E109&lt;=INDEX($E:$E,MATCH(TRUE,INDEX((ISNUMBER($E:$E)),0),0)))*($E109&gt;INDEX(_xlfn.ANCHORARRAY(Sintesi!$C$15),1,$C109))*($E109&lt;INDEX(_xlfn.ANCHORARRAY(Sintesi!$C$16),1,$C109))*(INDEX(_xlfn.ANCHORARRAY(Sintesi!$C$15),1,$C109)&gt;0),2,IF($E109=(INDEX(_xlfn.ANCHORARRAY(Sintesi!$C$16),1,$C109)),3,4)))),0),IF($C109&gt;0,IF(($E109=INDEX(_xlfn.ANCHORARRAY(Sintesi!$C$14),1,$C109))*(INDEX(_xlfn.ANCHORARRAY(Sintesi!$C$15),1,$C109)&gt;0),0,IF(($E109=INDEX(_xlfn.ANCHORARRAY(Sintesi!$C$14),1,$C109))*(INDEX(_xlfn.ANCHORARRAY(Sintesi!$C$15),1,$C109)&lt;0)+($E109&gt;=LOOKUP(2,1/($E:$E&lt;&gt;""),$E:$E))*($E109&lt;=INDEX($E:$E,MATCH(TRUE,INDEX((ISNUMBER($E:$E)),0),0)))*($E109&gt;INDEX(_xlfn.ANCHORARRAY(Sintesi!$C$14),1,$C109))*($E109&lt;=INDEX(_xlfn.ANCHORARRAY(Sintesi!$C$15),1,$C109))*(INDEX(_xlfn.ANCHORARRAY(Sintesi!$C$15),1,$C109)&gt;0),1,IF(($E109&gt;=LOOKUP(2,1/($E:$E&lt;&gt;""),$E:$E))*($E109&lt;=INDEX($E:$E,MATCH(TRUE,INDEX((ISNUMBER($E:$E)),0),0)))*($E109&gt;INDEX(_xlfn.ANCHORARRAY(Sintesi!$C$14),1,$C109))*($E109&lt;INDEX(_xlfn.ANCHORARRAY(Sintesi!$C$16),1,$C109))*(INDEX(_xlfn.ANCHORARRAY(Sintesi!$C$15),1,$C109)&lt;0)+($E109&gt;=LOOKUP(2,1/($E:$E&lt;&gt;""),$E:$E))*($E109&lt;=INDEX($E:$E,MATCH(TRUE,INDEX((ISNUMBER($E:$E)),0),0)))*($E109&gt;INDEX(_xlfn.ANCHORARRAY(Sintesi!$C$15),1,$C109))*($E109&lt;INDEX(_xlfn.ANCHORARRAY(Sintesi!$C$16),1,$C109))*(INDEX(_xlfn.ANCHORARRAY(Sintesi!$C$15),1,$C109)&gt;0),2,IF($E109=(INDEX(_xlfn.ANCHORARRAY(Sintesi!$C$16),1,$C109)),3,4)))),0)),IF(ISNUMBER($E108),IF($C109&gt;0,IF(($E109=INDEX(_xlfn.ANCHORARRAY(Sintesi!$C$14),1,$C109))*(INDEX(_xlfn.ANCHORARRAY(Sintesi!$C$15),1,$C109)&gt;0),0,IF(($E109=INDEX(_xlfn.ANCHORARRAY(Sintesi!$C$14),1,$C109))*(INDEX(_xlfn.ANCHORARRAY(Sintesi!$C$15),1,$C109)&lt;0)+($E109&gt;=$E108)*($E109&lt;=$E110)*($E109&gt;INDEX(_xlfn.ANCHORARRAY(Sintesi!$C$14),1,$C109))*($E109&lt;=INDEX(_xlfn.ANCHORARRAY(Sintesi!$C$15),1,$C109))*(INDEX(_xlfn.ANCHORARRAY(Sintesi!$C$15),1,$C109)&gt;0),1,IF(($E109&gt;=$E108)*($E109&lt;=$E110)*($E109&gt;INDEX(_xlfn.ANCHORARRAY(Sintesi!$C$14),1,$C109))*($E109&lt;INDEX(_xlfn.ANCHORARRAY(Sintesi!$C$16),1,$C109))*(INDEX(_xlfn.ANCHORARRAY(Sintesi!$C$15),1,$C109)&lt;0)+($E109&gt;=$E108)*($E109&lt;=$E110)*($E109&gt;INDEX(_xlfn.ANCHORARRAY(Sintesi!$C$15),1,$C109))*($E109&lt;INDEX(_xlfn.ANCHORARRAY(Sintesi!$C$16),1,$C109))*(INDEX(_xlfn.ANCHORARRAY(Sintesi!$C$15),1,$C109)&gt;0),2,IF($E109=(INDEX(_xlfn.ANCHORARRAY(Sintesi!$C$16),1,$C109)),3,4)))),0),IF($C109&gt;0,IF(($E109=INDEX(_xlfn.ANCHORARRAY(Sintesi!$C$14),1,$C109))*(INDEX(_xlfn.ANCHORARRAY(Sintesi!$C$15),1,$C109)&gt;0),0,IF(($E109=INDEX(_xlfn.ANCHORARRAY(Sintesi!$C$14),1,$C109))*(INDEX(_xlfn.ANCHORARRAY(Sintesi!$C$15),1,$C109)&lt;0)+($E109&gt;=LOOKUP(2,1/($E:$E&lt;&gt;""),$E:$E))*($E109&lt;=$E110)*($E109&gt;INDEX(_xlfn.ANCHORARRAY(Sintesi!$C$14),1,$C109))*($E109&lt;=INDEX(_xlfn.ANCHORARRAY(Sintesi!$C$15),1,$C109))*(INDEX(_xlfn.ANCHORARRAY(Sintesi!$C$15),1,$C109)&gt;0),1,IF(($E109&gt;=LOOKUP(2,1/($E:$E&lt;&gt;""),$E:$E))*($E109&lt;=$E110)*($E109&gt;INDEX(_xlfn.ANCHORARRAY(Sintesi!$C$14),1,$C109))*($E109&lt;INDEX(_xlfn.ANCHORARRAY(Sintesi!$C$16),1,$C109))*(INDEX(_xlfn.ANCHORARRAY(Sintesi!$C$15),1,$C109)&lt;0)+($E109&gt;=LOOKUP(2,1/($E:$E&lt;&gt;""),$E:$E))*($E109&lt;=$E110)*($E109&gt;INDEX(_xlfn.ANCHORARRAY(Sintesi!$C$15),1,$C109))*($E109&lt;INDEX(_xlfn.ANCHORARRAY(Sintesi!$C$16),1,$C109))*(INDEX(_xlfn.ANCHORARRAY(Sintesi!$C$15),1,$C109)&gt;0),2,IF($E109=(INDEX(_xlfn.ANCHORARRAY(Sintesi!$C$16),1,$C109)),3,4)))),0)))</f>
        <v>1</v>
      </c>
      <c r="E109" s="1">
        <f>'Paste cell here'!F109</f>
        <v>0.15</v>
      </c>
      <c r="F109" s="1">
        <f>'Paste cell here'!C109</f>
        <v>16.538750589999999</v>
      </c>
      <c r="G109" s="1">
        <f>'Paste cell here'!D109</f>
        <v>7.6</v>
      </c>
      <c r="H109" s="1">
        <f>'Paste cell here'!E109</f>
        <v>2.9914836220000001</v>
      </c>
      <c r="I109" s="1">
        <f>'Paste cell here'!X109</f>
        <v>0.44871921399999998</v>
      </c>
      <c r="J109" s="1">
        <f>'Paste cell here'!Y109+'Paste cell here'!S109</f>
        <v>0.44871921399999998</v>
      </c>
      <c r="K109" s="1">
        <f t="shared" si="3"/>
        <v>0.14999888707396705</v>
      </c>
      <c r="L109" s="1">
        <f t="shared" si="2"/>
        <v>13.193150875853267</v>
      </c>
      <c r="M109" s="1" cm="1">
        <f t="array" ref="M109">IF(AND(A109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,A109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),IF(L109&lt;_xlfn.IFNA(INDEX(_xlfn.ANCHORARRAY(Sintesi!$C$17)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,1,IF(L109&gt;=_xlfn.IFNA(INDEX(_xlfn.ANCHORARRAY(Sintesi!$C$18)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,0,1-(L109-_xlfn.IFNA(INDEX(_xlfn.ANCHORARRAY(Sintesi!$C$17)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)/(_xlfn.IFNA(INDEX(_xlfn.ANCHORARRAY(Sintesi!$C$18)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-_xlfn.IFNA(INDEX(_xlfn.ANCHORARRAY(Sintesi!$C$17),1,MATCH(1,(_xlfn.ANCHORARRAY(Sintesi!$C$9)&gt;_xlfn.ANCHORARRAY(Sintesi!$C$10))*(A108&gt;=_xlfn.ANCHORARRAY(Sintesi!$C$9))+(_xlfn.ANCHORARRAY(Sintesi!$C$9)&gt;_xlfn.ANCHORARRAY(Sintesi!$C$10))*(A108&lt;=_xlfn.ANCHORARRAY(Sintesi!$C$10))+(_xlfn.ANCHORARRAY(Sintesi!$C$9)&lt;_xlfn.ANCHORARRAY(Sintesi!$C$10))*(A108&gt;=_xlfn.ANCHORARRAY(Sintesi!$C$9))*(A108&lt;=_xlfn.ANCHORARRAY(Sintesi!$C$10)),0)),0)))),0)</f>
        <v>0</v>
      </c>
    </row>
    <row r="110" spans="1:13">
      <c r="A110" s="1">
        <f>'Paste cell here'!A110</f>
        <v>109</v>
      </c>
      <c r="B110" s="2">
        <f>DATE(Sintesi!$C$4-1,12,31)+A110</f>
        <v>44305</v>
      </c>
      <c r="C110" s="34" cm="1">
        <f t="array" ref="C110">_xlfn.IFNA(MATCH(1,(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)*(_xlfn.ANCHORARRAY(Sintesi!$C$15)&gt;=0)+(_xlfn.ANCHORARRAY(Sintesi!$C$15)&lt;0),0),0)</f>
        <v>1</v>
      </c>
      <c r="D110" s="1" cm="1">
        <f t="array" ref="D110">IF(ISBLANK($E111),IF(ISNUMBER($E109),IF($C110&gt;0,IF(($E110=INDEX(_xlfn.ANCHORARRAY(Sintesi!$C$14),1,$C110))*(INDEX(_xlfn.ANCHORARRAY(Sintesi!$C$15),1,$C110)&gt;0),0,IF(($E110=INDEX(_xlfn.ANCHORARRAY(Sintesi!$C$14),1,$C110))*(INDEX(_xlfn.ANCHORARRAY(Sintesi!$C$15),1,$C110)&lt;0)+($E110&gt;=$E109)*($E110&lt;=INDEX($E:$E,MATCH(TRUE,INDEX((ISNUMBER($E:$E)),0),0)))*($E110&gt;INDEX(_xlfn.ANCHORARRAY(Sintesi!$C$14),1,$C110))*($E110&lt;=INDEX(_xlfn.ANCHORARRAY(Sintesi!$C$15),1,$C110))*(INDEX(_xlfn.ANCHORARRAY(Sintesi!$C$15),1,$C110)&gt;0),1,IF(($E110&gt;=$E109)*($E110&lt;=INDEX($E:$E,MATCH(TRUE,INDEX((ISNUMBER($E:$E)),0),0)))*($E110&gt;INDEX(_xlfn.ANCHORARRAY(Sintesi!$C$14),1,$C110))*($E110&lt;INDEX(_xlfn.ANCHORARRAY(Sintesi!$C$16),1,$C110))*(INDEX(_xlfn.ANCHORARRAY(Sintesi!$C$15),1,$C110)&lt;0)+($E110&gt;=$E109)*($E110&lt;=INDEX($E:$E,MATCH(TRUE,INDEX((ISNUMBER($E:$E)),0),0)))*($E110&gt;INDEX(_xlfn.ANCHORARRAY(Sintesi!$C$15),1,$C110))*($E110&lt;INDEX(_xlfn.ANCHORARRAY(Sintesi!$C$16),1,$C110))*(INDEX(_xlfn.ANCHORARRAY(Sintesi!$C$15),1,$C110)&gt;0),2,IF($E110=(INDEX(_xlfn.ANCHORARRAY(Sintesi!$C$16),1,$C110)),3,4)))),0),IF($C110&gt;0,IF(($E110=INDEX(_xlfn.ANCHORARRAY(Sintesi!$C$14),1,$C110))*(INDEX(_xlfn.ANCHORARRAY(Sintesi!$C$15),1,$C110)&gt;0),0,IF(($E110=INDEX(_xlfn.ANCHORARRAY(Sintesi!$C$14),1,$C110))*(INDEX(_xlfn.ANCHORARRAY(Sintesi!$C$15),1,$C110)&lt;0)+($E110&gt;=LOOKUP(2,1/($E:$E&lt;&gt;""),$E:$E))*($E110&lt;=INDEX($E:$E,MATCH(TRUE,INDEX((ISNUMBER($E:$E)),0),0)))*($E110&gt;INDEX(_xlfn.ANCHORARRAY(Sintesi!$C$14),1,$C110))*($E110&lt;=INDEX(_xlfn.ANCHORARRAY(Sintesi!$C$15),1,$C110))*(INDEX(_xlfn.ANCHORARRAY(Sintesi!$C$15),1,$C110)&gt;0),1,IF(($E110&gt;=LOOKUP(2,1/($E:$E&lt;&gt;""),$E:$E))*($E110&lt;=INDEX($E:$E,MATCH(TRUE,INDEX((ISNUMBER($E:$E)),0),0)))*($E110&gt;INDEX(_xlfn.ANCHORARRAY(Sintesi!$C$14),1,$C110))*($E110&lt;INDEX(_xlfn.ANCHORARRAY(Sintesi!$C$16),1,$C110))*(INDEX(_xlfn.ANCHORARRAY(Sintesi!$C$15),1,$C110)&lt;0)+($E110&gt;=LOOKUP(2,1/($E:$E&lt;&gt;""),$E:$E))*($E110&lt;=INDEX($E:$E,MATCH(TRUE,INDEX((ISNUMBER($E:$E)),0),0)))*($E110&gt;INDEX(_xlfn.ANCHORARRAY(Sintesi!$C$15),1,$C110))*($E110&lt;INDEX(_xlfn.ANCHORARRAY(Sintesi!$C$16),1,$C110))*(INDEX(_xlfn.ANCHORARRAY(Sintesi!$C$15),1,$C110)&gt;0),2,IF($E110=(INDEX(_xlfn.ANCHORARRAY(Sintesi!$C$16),1,$C110)),3,4)))),0)),IF(ISNUMBER($E109),IF($C110&gt;0,IF(($E110=INDEX(_xlfn.ANCHORARRAY(Sintesi!$C$14),1,$C110))*(INDEX(_xlfn.ANCHORARRAY(Sintesi!$C$15),1,$C110)&gt;0),0,IF(($E110=INDEX(_xlfn.ANCHORARRAY(Sintesi!$C$14),1,$C110))*(INDEX(_xlfn.ANCHORARRAY(Sintesi!$C$15),1,$C110)&lt;0)+($E110&gt;=$E109)*($E110&lt;=$E111)*($E110&gt;INDEX(_xlfn.ANCHORARRAY(Sintesi!$C$14),1,$C110))*($E110&lt;=INDEX(_xlfn.ANCHORARRAY(Sintesi!$C$15),1,$C110))*(INDEX(_xlfn.ANCHORARRAY(Sintesi!$C$15),1,$C110)&gt;0),1,IF(($E110&gt;=$E109)*($E110&lt;=$E111)*($E110&gt;INDEX(_xlfn.ANCHORARRAY(Sintesi!$C$14),1,$C110))*($E110&lt;INDEX(_xlfn.ANCHORARRAY(Sintesi!$C$16),1,$C110))*(INDEX(_xlfn.ANCHORARRAY(Sintesi!$C$15),1,$C110)&lt;0)+($E110&gt;=$E109)*($E110&lt;=$E111)*($E110&gt;INDEX(_xlfn.ANCHORARRAY(Sintesi!$C$15),1,$C110))*($E110&lt;INDEX(_xlfn.ANCHORARRAY(Sintesi!$C$16),1,$C110))*(INDEX(_xlfn.ANCHORARRAY(Sintesi!$C$15),1,$C110)&gt;0),2,IF($E110=(INDEX(_xlfn.ANCHORARRAY(Sintesi!$C$16),1,$C110)),3,4)))),0),IF($C110&gt;0,IF(($E110=INDEX(_xlfn.ANCHORARRAY(Sintesi!$C$14),1,$C110))*(INDEX(_xlfn.ANCHORARRAY(Sintesi!$C$15),1,$C110)&gt;0),0,IF(($E110=INDEX(_xlfn.ANCHORARRAY(Sintesi!$C$14),1,$C110))*(INDEX(_xlfn.ANCHORARRAY(Sintesi!$C$15),1,$C110)&lt;0)+($E110&gt;=LOOKUP(2,1/($E:$E&lt;&gt;""),$E:$E))*($E110&lt;=$E111)*($E110&gt;INDEX(_xlfn.ANCHORARRAY(Sintesi!$C$14),1,$C110))*($E110&lt;=INDEX(_xlfn.ANCHORARRAY(Sintesi!$C$15),1,$C110))*(INDEX(_xlfn.ANCHORARRAY(Sintesi!$C$15),1,$C110)&gt;0),1,IF(($E110&gt;=LOOKUP(2,1/($E:$E&lt;&gt;""),$E:$E))*($E110&lt;=$E111)*($E110&gt;INDEX(_xlfn.ANCHORARRAY(Sintesi!$C$14),1,$C110))*($E110&lt;INDEX(_xlfn.ANCHORARRAY(Sintesi!$C$16),1,$C110))*(INDEX(_xlfn.ANCHORARRAY(Sintesi!$C$15),1,$C110)&lt;0)+($E110&gt;=LOOKUP(2,1/($E:$E&lt;&gt;""),$E:$E))*($E110&lt;=$E111)*($E110&gt;INDEX(_xlfn.ANCHORARRAY(Sintesi!$C$15),1,$C110))*($E110&lt;INDEX(_xlfn.ANCHORARRAY(Sintesi!$C$16),1,$C110))*(INDEX(_xlfn.ANCHORARRAY(Sintesi!$C$15),1,$C110)&gt;0),2,IF($E110=(INDEX(_xlfn.ANCHORARRAY(Sintesi!$C$16),1,$C110)),3,4)))),0)))</f>
        <v>1</v>
      </c>
      <c r="E110" s="1">
        <f>'Paste cell here'!F110</f>
        <v>0.15</v>
      </c>
      <c r="F110" s="1">
        <f>'Paste cell here'!C110</f>
        <v>19.102679729999998</v>
      </c>
      <c r="G110" s="1">
        <f>'Paste cell here'!D110</f>
        <v>5.717980506</v>
      </c>
      <c r="H110" s="1">
        <f>'Paste cell here'!E110</f>
        <v>3.251160407</v>
      </c>
      <c r="I110" s="1">
        <f>'Paste cell here'!X110</f>
        <v>0.487670139</v>
      </c>
      <c r="J110" s="1">
        <f>'Paste cell here'!Y110+'Paste cell here'!S110</f>
        <v>0.487670139</v>
      </c>
      <c r="K110" s="1">
        <f t="shared" si="3"/>
        <v>0.14999879364611124</v>
      </c>
      <c r="L110" s="1">
        <f t="shared" si="2"/>
        <v>14.093048300317788</v>
      </c>
      <c r="M110" s="1" cm="1">
        <f t="array" ref="M110">IF(AND(A110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,A110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),IF(L110&lt;_xlfn.IFNA(INDEX(_xlfn.ANCHORARRAY(Sintesi!$C$17)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,1,IF(L110&gt;=_xlfn.IFNA(INDEX(_xlfn.ANCHORARRAY(Sintesi!$C$18)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,0,1-(L110-_xlfn.IFNA(INDEX(_xlfn.ANCHORARRAY(Sintesi!$C$17)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)/(_xlfn.IFNA(INDEX(_xlfn.ANCHORARRAY(Sintesi!$C$18)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-_xlfn.IFNA(INDEX(_xlfn.ANCHORARRAY(Sintesi!$C$17),1,MATCH(1,(_xlfn.ANCHORARRAY(Sintesi!$C$9)&gt;_xlfn.ANCHORARRAY(Sintesi!$C$10))*(A109&gt;=_xlfn.ANCHORARRAY(Sintesi!$C$9))+(_xlfn.ANCHORARRAY(Sintesi!$C$9)&gt;_xlfn.ANCHORARRAY(Sintesi!$C$10))*(A109&lt;=_xlfn.ANCHORARRAY(Sintesi!$C$10))+(_xlfn.ANCHORARRAY(Sintesi!$C$9)&lt;_xlfn.ANCHORARRAY(Sintesi!$C$10))*(A109&gt;=_xlfn.ANCHORARRAY(Sintesi!$C$9))*(A109&lt;=_xlfn.ANCHORARRAY(Sintesi!$C$10)),0)),0)))),0)</f>
        <v>0</v>
      </c>
    </row>
    <row r="111" spans="1:13">
      <c r="A111" s="1">
        <f>'Paste cell here'!A111</f>
        <v>110</v>
      </c>
      <c r="B111" s="2">
        <f>DATE(Sintesi!$C$4-1,12,31)+A111</f>
        <v>44306</v>
      </c>
      <c r="C111" s="34" cm="1">
        <f t="array" ref="C111">_xlfn.IFNA(MATCH(1,(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)*(_xlfn.ANCHORARRAY(Sintesi!$C$15)&gt;=0)+(_xlfn.ANCHORARRAY(Sintesi!$C$15)&lt;0),0),0)</f>
        <v>1</v>
      </c>
      <c r="D111" s="1" cm="1">
        <f t="array" ref="D111">IF(ISBLANK($E112),IF(ISNUMBER($E110),IF($C111&gt;0,IF(($E111=INDEX(_xlfn.ANCHORARRAY(Sintesi!$C$14),1,$C111))*(INDEX(_xlfn.ANCHORARRAY(Sintesi!$C$15),1,$C111)&gt;0),0,IF(($E111=INDEX(_xlfn.ANCHORARRAY(Sintesi!$C$14),1,$C111))*(INDEX(_xlfn.ANCHORARRAY(Sintesi!$C$15),1,$C111)&lt;0)+($E111&gt;=$E110)*($E111&lt;=INDEX($E:$E,MATCH(TRUE,INDEX((ISNUMBER($E:$E)),0),0)))*($E111&gt;INDEX(_xlfn.ANCHORARRAY(Sintesi!$C$14),1,$C111))*($E111&lt;=INDEX(_xlfn.ANCHORARRAY(Sintesi!$C$15),1,$C111))*(INDEX(_xlfn.ANCHORARRAY(Sintesi!$C$15),1,$C111)&gt;0),1,IF(($E111&gt;=$E110)*($E111&lt;=INDEX($E:$E,MATCH(TRUE,INDEX((ISNUMBER($E:$E)),0),0)))*($E111&gt;INDEX(_xlfn.ANCHORARRAY(Sintesi!$C$14),1,$C111))*($E111&lt;INDEX(_xlfn.ANCHORARRAY(Sintesi!$C$16),1,$C111))*(INDEX(_xlfn.ANCHORARRAY(Sintesi!$C$15),1,$C111)&lt;0)+($E111&gt;=$E110)*($E111&lt;=INDEX($E:$E,MATCH(TRUE,INDEX((ISNUMBER($E:$E)),0),0)))*($E111&gt;INDEX(_xlfn.ANCHORARRAY(Sintesi!$C$15),1,$C111))*($E111&lt;INDEX(_xlfn.ANCHORARRAY(Sintesi!$C$16),1,$C111))*(INDEX(_xlfn.ANCHORARRAY(Sintesi!$C$15),1,$C111)&gt;0),2,IF($E111=(INDEX(_xlfn.ANCHORARRAY(Sintesi!$C$16),1,$C111)),3,4)))),0),IF($C111&gt;0,IF(($E111=INDEX(_xlfn.ANCHORARRAY(Sintesi!$C$14),1,$C111))*(INDEX(_xlfn.ANCHORARRAY(Sintesi!$C$15),1,$C111)&gt;0),0,IF(($E111=INDEX(_xlfn.ANCHORARRAY(Sintesi!$C$14),1,$C111))*(INDEX(_xlfn.ANCHORARRAY(Sintesi!$C$15),1,$C111)&lt;0)+($E111&gt;=LOOKUP(2,1/($E:$E&lt;&gt;""),$E:$E))*($E111&lt;=INDEX($E:$E,MATCH(TRUE,INDEX((ISNUMBER($E:$E)),0),0)))*($E111&gt;INDEX(_xlfn.ANCHORARRAY(Sintesi!$C$14),1,$C111))*($E111&lt;=INDEX(_xlfn.ANCHORARRAY(Sintesi!$C$15),1,$C111))*(INDEX(_xlfn.ANCHORARRAY(Sintesi!$C$15),1,$C111)&gt;0),1,IF(($E111&gt;=LOOKUP(2,1/($E:$E&lt;&gt;""),$E:$E))*($E111&lt;=INDEX($E:$E,MATCH(TRUE,INDEX((ISNUMBER($E:$E)),0),0)))*($E111&gt;INDEX(_xlfn.ANCHORARRAY(Sintesi!$C$14),1,$C111))*($E111&lt;INDEX(_xlfn.ANCHORARRAY(Sintesi!$C$16),1,$C111))*(INDEX(_xlfn.ANCHORARRAY(Sintesi!$C$15),1,$C111)&lt;0)+($E111&gt;=LOOKUP(2,1/($E:$E&lt;&gt;""),$E:$E))*($E111&lt;=INDEX($E:$E,MATCH(TRUE,INDEX((ISNUMBER($E:$E)),0),0)))*($E111&gt;INDEX(_xlfn.ANCHORARRAY(Sintesi!$C$15),1,$C111))*($E111&lt;INDEX(_xlfn.ANCHORARRAY(Sintesi!$C$16),1,$C111))*(INDEX(_xlfn.ANCHORARRAY(Sintesi!$C$15),1,$C111)&gt;0),2,IF($E111=(INDEX(_xlfn.ANCHORARRAY(Sintesi!$C$16),1,$C111)),3,4)))),0)),IF(ISNUMBER($E110),IF($C111&gt;0,IF(($E111=INDEX(_xlfn.ANCHORARRAY(Sintesi!$C$14),1,$C111))*(INDEX(_xlfn.ANCHORARRAY(Sintesi!$C$15),1,$C111)&gt;0),0,IF(($E111=INDEX(_xlfn.ANCHORARRAY(Sintesi!$C$14),1,$C111))*(INDEX(_xlfn.ANCHORARRAY(Sintesi!$C$15),1,$C111)&lt;0)+($E111&gt;=$E110)*($E111&lt;=$E112)*($E111&gt;INDEX(_xlfn.ANCHORARRAY(Sintesi!$C$14),1,$C111))*($E111&lt;=INDEX(_xlfn.ANCHORARRAY(Sintesi!$C$15),1,$C111))*(INDEX(_xlfn.ANCHORARRAY(Sintesi!$C$15),1,$C111)&gt;0),1,IF(($E111&gt;=$E110)*($E111&lt;=$E112)*($E111&gt;INDEX(_xlfn.ANCHORARRAY(Sintesi!$C$14),1,$C111))*($E111&lt;INDEX(_xlfn.ANCHORARRAY(Sintesi!$C$16),1,$C111))*(INDEX(_xlfn.ANCHORARRAY(Sintesi!$C$15),1,$C111)&lt;0)+($E111&gt;=$E110)*($E111&lt;=$E112)*($E111&gt;INDEX(_xlfn.ANCHORARRAY(Sintesi!$C$15),1,$C111))*($E111&lt;INDEX(_xlfn.ANCHORARRAY(Sintesi!$C$16),1,$C111))*(INDEX(_xlfn.ANCHORARRAY(Sintesi!$C$15),1,$C111)&gt;0),2,IF($E111=(INDEX(_xlfn.ANCHORARRAY(Sintesi!$C$16),1,$C111)),3,4)))),0),IF($C111&gt;0,IF(($E111=INDEX(_xlfn.ANCHORARRAY(Sintesi!$C$14),1,$C111))*(INDEX(_xlfn.ANCHORARRAY(Sintesi!$C$15),1,$C111)&gt;0),0,IF(($E111=INDEX(_xlfn.ANCHORARRAY(Sintesi!$C$14),1,$C111))*(INDEX(_xlfn.ANCHORARRAY(Sintesi!$C$15),1,$C111)&lt;0)+($E111&gt;=LOOKUP(2,1/($E:$E&lt;&gt;""),$E:$E))*($E111&lt;=$E112)*($E111&gt;INDEX(_xlfn.ANCHORARRAY(Sintesi!$C$14),1,$C111))*($E111&lt;=INDEX(_xlfn.ANCHORARRAY(Sintesi!$C$15),1,$C111))*(INDEX(_xlfn.ANCHORARRAY(Sintesi!$C$15),1,$C111)&gt;0),1,IF(($E111&gt;=LOOKUP(2,1/($E:$E&lt;&gt;""),$E:$E))*($E111&lt;=$E112)*($E111&gt;INDEX(_xlfn.ANCHORARRAY(Sintesi!$C$14),1,$C111))*($E111&lt;INDEX(_xlfn.ANCHORARRAY(Sintesi!$C$16),1,$C111))*(INDEX(_xlfn.ANCHORARRAY(Sintesi!$C$15),1,$C111)&lt;0)+($E111&gt;=LOOKUP(2,1/($E:$E&lt;&gt;""),$E:$E))*($E111&lt;=$E112)*($E111&gt;INDEX(_xlfn.ANCHORARRAY(Sintesi!$C$15),1,$C111))*($E111&lt;INDEX(_xlfn.ANCHORARRAY(Sintesi!$C$16),1,$C111))*(INDEX(_xlfn.ANCHORARRAY(Sintesi!$C$15),1,$C111)&gt;0),2,IF($E111=(INDEX(_xlfn.ANCHORARRAY(Sintesi!$C$16),1,$C111)),3,4)))),0)))</f>
        <v>1</v>
      </c>
      <c r="E111" s="1">
        <f>'Paste cell here'!F111</f>
        <v>0.15</v>
      </c>
      <c r="F111" s="1">
        <f>'Paste cell here'!C111</f>
        <v>21.566734929999999</v>
      </c>
      <c r="G111" s="1">
        <f>'Paste cell here'!D111</f>
        <v>3.8507190699999998</v>
      </c>
      <c r="H111" s="1">
        <f>'Paste cell here'!E111</f>
        <v>3.8039172419999998</v>
      </c>
      <c r="I111" s="1">
        <f>'Paste cell here'!X111</f>
        <v>0.57058262000000004</v>
      </c>
      <c r="J111" s="1">
        <f>'Paste cell here'!Y111+'Paste cell here'!S111</f>
        <v>0.57058262000000004</v>
      </c>
      <c r="K111" s="1">
        <f t="shared" si="3"/>
        <v>0.14999869442480371</v>
      </c>
      <c r="L111" s="1">
        <f t="shared" si="2"/>
        <v>14.935976302128383</v>
      </c>
      <c r="M111" s="1" cm="1">
        <f t="array" ref="M111">IF(AND(A111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,A111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),IF(L111&lt;_xlfn.IFNA(INDEX(_xlfn.ANCHORARRAY(Sintesi!$C$17)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,1,IF(L111&gt;=_xlfn.IFNA(INDEX(_xlfn.ANCHORARRAY(Sintesi!$C$18)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,0,1-(L111-_xlfn.IFNA(INDEX(_xlfn.ANCHORARRAY(Sintesi!$C$17)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)/(_xlfn.IFNA(INDEX(_xlfn.ANCHORARRAY(Sintesi!$C$18)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-_xlfn.IFNA(INDEX(_xlfn.ANCHORARRAY(Sintesi!$C$17),1,MATCH(1,(_xlfn.ANCHORARRAY(Sintesi!$C$9)&gt;_xlfn.ANCHORARRAY(Sintesi!$C$10))*(A110&gt;=_xlfn.ANCHORARRAY(Sintesi!$C$9))+(_xlfn.ANCHORARRAY(Sintesi!$C$9)&gt;_xlfn.ANCHORARRAY(Sintesi!$C$10))*(A110&lt;=_xlfn.ANCHORARRAY(Sintesi!$C$10))+(_xlfn.ANCHORARRAY(Sintesi!$C$9)&lt;_xlfn.ANCHORARRAY(Sintesi!$C$10))*(A110&gt;=_xlfn.ANCHORARRAY(Sintesi!$C$9))*(A110&lt;=_xlfn.ANCHORARRAY(Sintesi!$C$10)),0)),0)))),0)</f>
        <v>0</v>
      </c>
    </row>
    <row r="112" spans="1:13">
      <c r="A112" s="1">
        <f>'Paste cell here'!A112</f>
        <v>111</v>
      </c>
      <c r="B112" s="2">
        <f>DATE(Sintesi!$C$4-1,12,31)+A112</f>
        <v>44307</v>
      </c>
      <c r="C112" s="34" cm="1">
        <f t="array" ref="C112">_xlfn.IFNA(MATCH(1,(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)*(_xlfn.ANCHORARRAY(Sintesi!$C$15)&gt;=0)+(_xlfn.ANCHORARRAY(Sintesi!$C$15)&lt;0),0),0)</f>
        <v>1</v>
      </c>
      <c r="D112" s="1" cm="1">
        <f t="array" ref="D112">IF(ISBLANK($E113),IF(ISNUMBER($E111),IF($C112&gt;0,IF(($E112=INDEX(_xlfn.ANCHORARRAY(Sintesi!$C$14),1,$C112))*(INDEX(_xlfn.ANCHORARRAY(Sintesi!$C$15),1,$C112)&gt;0),0,IF(($E112=INDEX(_xlfn.ANCHORARRAY(Sintesi!$C$14),1,$C112))*(INDEX(_xlfn.ANCHORARRAY(Sintesi!$C$15),1,$C112)&lt;0)+($E112&gt;=$E111)*($E112&lt;=INDEX($E:$E,MATCH(TRUE,INDEX((ISNUMBER($E:$E)),0),0)))*($E112&gt;INDEX(_xlfn.ANCHORARRAY(Sintesi!$C$14),1,$C112))*($E112&lt;=INDEX(_xlfn.ANCHORARRAY(Sintesi!$C$15),1,$C112))*(INDEX(_xlfn.ANCHORARRAY(Sintesi!$C$15),1,$C112)&gt;0),1,IF(($E112&gt;=$E111)*($E112&lt;=INDEX($E:$E,MATCH(TRUE,INDEX((ISNUMBER($E:$E)),0),0)))*($E112&gt;INDEX(_xlfn.ANCHORARRAY(Sintesi!$C$14),1,$C112))*($E112&lt;INDEX(_xlfn.ANCHORARRAY(Sintesi!$C$16),1,$C112))*(INDEX(_xlfn.ANCHORARRAY(Sintesi!$C$15),1,$C112)&lt;0)+($E112&gt;=$E111)*($E112&lt;=INDEX($E:$E,MATCH(TRUE,INDEX((ISNUMBER($E:$E)),0),0)))*($E112&gt;INDEX(_xlfn.ANCHORARRAY(Sintesi!$C$15),1,$C112))*($E112&lt;INDEX(_xlfn.ANCHORARRAY(Sintesi!$C$16),1,$C112))*(INDEX(_xlfn.ANCHORARRAY(Sintesi!$C$15),1,$C112)&gt;0),2,IF($E112=(INDEX(_xlfn.ANCHORARRAY(Sintesi!$C$16),1,$C112)),3,4)))),0),IF($C112&gt;0,IF(($E112=INDEX(_xlfn.ANCHORARRAY(Sintesi!$C$14),1,$C112))*(INDEX(_xlfn.ANCHORARRAY(Sintesi!$C$15),1,$C112)&gt;0),0,IF(($E112=INDEX(_xlfn.ANCHORARRAY(Sintesi!$C$14),1,$C112))*(INDEX(_xlfn.ANCHORARRAY(Sintesi!$C$15),1,$C112)&lt;0)+($E112&gt;=LOOKUP(2,1/($E:$E&lt;&gt;""),$E:$E))*($E112&lt;=INDEX($E:$E,MATCH(TRUE,INDEX((ISNUMBER($E:$E)),0),0)))*($E112&gt;INDEX(_xlfn.ANCHORARRAY(Sintesi!$C$14),1,$C112))*($E112&lt;=INDEX(_xlfn.ANCHORARRAY(Sintesi!$C$15),1,$C112))*(INDEX(_xlfn.ANCHORARRAY(Sintesi!$C$15),1,$C112)&gt;0),1,IF(($E112&gt;=LOOKUP(2,1/($E:$E&lt;&gt;""),$E:$E))*($E112&lt;=INDEX($E:$E,MATCH(TRUE,INDEX((ISNUMBER($E:$E)),0),0)))*($E112&gt;INDEX(_xlfn.ANCHORARRAY(Sintesi!$C$14),1,$C112))*($E112&lt;INDEX(_xlfn.ANCHORARRAY(Sintesi!$C$16),1,$C112))*(INDEX(_xlfn.ANCHORARRAY(Sintesi!$C$15),1,$C112)&lt;0)+($E112&gt;=LOOKUP(2,1/($E:$E&lt;&gt;""),$E:$E))*($E112&lt;=INDEX($E:$E,MATCH(TRUE,INDEX((ISNUMBER($E:$E)),0),0)))*($E112&gt;INDEX(_xlfn.ANCHORARRAY(Sintesi!$C$15),1,$C112))*($E112&lt;INDEX(_xlfn.ANCHORARRAY(Sintesi!$C$16),1,$C112))*(INDEX(_xlfn.ANCHORARRAY(Sintesi!$C$15),1,$C112)&gt;0),2,IF($E112=(INDEX(_xlfn.ANCHORARRAY(Sintesi!$C$16),1,$C112)),3,4)))),0)),IF(ISNUMBER($E111),IF($C112&gt;0,IF(($E112=INDEX(_xlfn.ANCHORARRAY(Sintesi!$C$14),1,$C112))*(INDEX(_xlfn.ANCHORARRAY(Sintesi!$C$15),1,$C112)&gt;0),0,IF(($E112=INDEX(_xlfn.ANCHORARRAY(Sintesi!$C$14),1,$C112))*(INDEX(_xlfn.ANCHORARRAY(Sintesi!$C$15),1,$C112)&lt;0)+($E112&gt;=$E111)*($E112&lt;=$E113)*($E112&gt;INDEX(_xlfn.ANCHORARRAY(Sintesi!$C$14),1,$C112))*($E112&lt;=INDEX(_xlfn.ANCHORARRAY(Sintesi!$C$15),1,$C112))*(INDEX(_xlfn.ANCHORARRAY(Sintesi!$C$15),1,$C112)&gt;0),1,IF(($E112&gt;=$E111)*($E112&lt;=$E113)*($E112&gt;INDEX(_xlfn.ANCHORARRAY(Sintesi!$C$14),1,$C112))*($E112&lt;INDEX(_xlfn.ANCHORARRAY(Sintesi!$C$16),1,$C112))*(INDEX(_xlfn.ANCHORARRAY(Sintesi!$C$15),1,$C112)&lt;0)+($E112&gt;=$E111)*($E112&lt;=$E113)*($E112&gt;INDEX(_xlfn.ANCHORARRAY(Sintesi!$C$15),1,$C112))*($E112&lt;INDEX(_xlfn.ANCHORARRAY(Sintesi!$C$16),1,$C112))*(INDEX(_xlfn.ANCHORARRAY(Sintesi!$C$15),1,$C112)&gt;0),2,IF($E112=(INDEX(_xlfn.ANCHORARRAY(Sintesi!$C$16),1,$C112)),3,4)))),0),IF($C112&gt;0,IF(($E112=INDEX(_xlfn.ANCHORARRAY(Sintesi!$C$14),1,$C112))*(INDEX(_xlfn.ANCHORARRAY(Sintesi!$C$15),1,$C112)&gt;0),0,IF(($E112=INDEX(_xlfn.ANCHORARRAY(Sintesi!$C$14),1,$C112))*(INDEX(_xlfn.ANCHORARRAY(Sintesi!$C$15),1,$C112)&lt;0)+($E112&gt;=LOOKUP(2,1/($E:$E&lt;&gt;""),$E:$E))*($E112&lt;=$E113)*($E112&gt;INDEX(_xlfn.ANCHORARRAY(Sintesi!$C$14),1,$C112))*($E112&lt;=INDEX(_xlfn.ANCHORARRAY(Sintesi!$C$15),1,$C112))*(INDEX(_xlfn.ANCHORARRAY(Sintesi!$C$15),1,$C112)&gt;0),1,IF(($E112&gt;=LOOKUP(2,1/($E:$E&lt;&gt;""),$E:$E))*($E112&lt;=$E113)*($E112&gt;INDEX(_xlfn.ANCHORARRAY(Sintesi!$C$14),1,$C112))*($E112&lt;INDEX(_xlfn.ANCHORARRAY(Sintesi!$C$16),1,$C112))*(INDEX(_xlfn.ANCHORARRAY(Sintesi!$C$15),1,$C112)&lt;0)+($E112&gt;=LOOKUP(2,1/($E:$E&lt;&gt;""),$E:$E))*($E112&lt;=$E113)*($E112&gt;INDEX(_xlfn.ANCHORARRAY(Sintesi!$C$15),1,$C112))*($E112&lt;INDEX(_xlfn.ANCHORARRAY(Sintesi!$C$16),1,$C112))*(INDEX(_xlfn.ANCHORARRAY(Sintesi!$C$15),1,$C112)&gt;0),2,IF($E112=(INDEX(_xlfn.ANCHORARRAY(Sintesi!$C$16),1,$C112)),3,4)))),0)))</f>
        <v>1</v>
      </c>
      <c r="E112" s="1">
        <f>'Paste cell here'!F112</f>
        <v>0.15</v>
      </c>
      <c r="F112" s="1">
        <f>'Paste cell here'!C112</f>
        <v>20.77726526</v>
      </c>
      <c r="G112" s="1">
        <f>'Paste cell here'!D112</f>
        <v>6.2707995380000003</v>
      </c>
      <c r="H112" s="1">
        <f>'Paste cell here'!E112</f>
        <v>3.69034357</v>
      </c>
      <c r="I112" s="1">
        <f>'Paste cell here'!X112</f>
        <v>0.55354632800000003</v>
      </c>
      <c r="J112" s="1">
        <f>'Paste cell here'!Y112+'Paste cell here'!S112</f>
        <v>0.55354632800000003</v>
      </c>
      <c r="K112" s="1">
        <f t="shared" si="3"/>
        <v>0.14999858888477421</v>
      </c>
      <c r="L112" s="1">
        <f t="shared" si="2"/>
        <v>15.347778545481145</v>
      </c>
      <c r="M112" s="1" cm="1">
        <f t="array" ref="M112">IF(AND(A112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,A112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),IF(L112&lt;_xlfn.IFNA(INDEX(_xlfn.ANCHORARRAY(Sintesi!$C$17)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,1,IF(L112&gt;=_xlfn.IFNA(INDEX(_xlfn.ANCHORARRAY(Sintesi!$C$18)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,0,1-(L112-_xlfn.IFNA(INDEX(_xlfn.ANCHORARRAY(Sintesi!$C$17)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)/(_xlfn.IFNA(INDEX(_xlfn.ANCHORARRAY(Sintesi!$C$18)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-_xlfn.IFNA(INDEX(_xlfn.ANCHORARRAY(Sintesi!$C$17),1,MATCH(1,(_xlfn.ANCHORARRAY(Sintesi!$C$9)&gt;_xlfn.ANCHORARRAY(Sintesi!$C$10))*(A111&gt;=_xlfn.ANCHORARRAY(Sintesi!$C$9))+(_xlfn.ANCHORARRAY(Sintesi!$C$9)&gt;_xlfn.ANCHORARRAY(Sintesi!$C$10))*(A111&lt;=_xlfn.ANCHORARRAY(Sintesi!$C$10))+(_xlfn.ANCHORARRAY(Sintesi!$C$9)&lt;_xlfn.ANCHORARRAY(Sintesi!$C$10))*(A111&gt;=_xlfn.ANCHORARRAY(Sintesi!$C$9))*(A111&lt;=_xlfn.ANCHORARRAY(Sintesi!$C$10)),0)),0)))),0)</f>
        <v>0</v>
      </c>
    </row>
    <row r="113" spans="1:13">
      <c r="A113" s="1">
        <f>'Paste cell here'!A113</f>
        <v>112</v>
      </c>
      <c r="B113" s="2">
        <f>DATE(Sintesi!$C$4-1,12,31)+A113</f>
        <v>44308</v>
      </c>
      <c r="C113" s="34" cm="1">
        <f t="array" ref="C113">_xlfn.IFNA(MATCH(1,(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)*(_xlfn.ANCHORARRAY(Sintesi!$C$15)&gt;=0)+(_xlfn.ANCHORARRAY(Sintesi!$C$15)&lt;0),0),0)</f>
        <v>1</v>
      </c>
      <c r="D113" s="1" cm="1">
        <f t="array" ref="D113">IF(ISBLANK($E114),IF(ISNUMBER($E112),IF($C113&gt;0,IF(($E113=INDEX(_xlfn.ANCHORARRAY(Sintesi!$C$14),1,$C113))*(INDEX(_xlfn.ANCHORARRAY(Sintesi!$C$15),1,$C113)&gt;0),0,IF(($E113=INDEX(_xlfn.ANCHORARRAY(Sintesi!$C$14),1,$C113))*(INDEX(_xlfn.ANCHORARRAY(Sintesi!$C$15),1,$C113)&lt;0)+($E113&gt;=$E112)*($E113&lt;=INDEX($E:$E,MATCH(TRUE,INDEX((ISNUMBER($E:$E)),0),0)))*($E113&gt;INDEX(_xlfn.ANCHORARRAY(Sintesi!$C$14),1,$C113))*($E113&lt;=INDEX(_xlfn.ANCHORARRAY(Sintesi!$C$15),1,$C113))*(INDEX(_xlfn.ANCHORARRAY(Sintesi!$C$15),1,$C113)&gt;0),1,IF(($E113&gt;=$E112)*($E113&lt;=INDEX($E:$E,MATCH(TRUE,INDEX((ISNUMBER($E:$E)),0),0)))*($E113&gt;INDEX(_xlfn.ANCHORARRAY(Sintesi!$C$14),1,$C113))*($E113&lt;INDEX(_xlfn.ANCHORARRAY(Sintesi!$C$16),1,$C113))*(INDEX(_xlfn.ANCHORARRAY(Sintesi!$C$15),1,$C113)&lt;0)+($E113&gt;=$E112)*($E113&lt;=INDEX($E:$E,MATCH(TRUE,INDEX((ISNUMBER($E:$E)),0),0)))*($E113&gt;INDEX(_xlfn.ANCHORARRAY(Sintesi!$C$15),1,$C113))*($E113&lt;INDEX(_xlfn.ANCHORARRAY(Sintesi!$C$16),1,$C113))*(INDEX(_xlfn.ANCHORARRAY(Sintesi!$C$15),1,$C113)&gt;0),2,IF($E113=(INDEX(_xlfn.ANCHORARRAY(Sintesi!$C$16),1,$C113)),3,4)))),0),IF($C113&gt;0,IF(($E113=INDEX(_xlfn.ANCHORARRAY(Sintesi!$C$14),1,$C113))*(INDEX(_xlfn.ANCHORARRAY(Sintesi!$C$15),1,$C113)&gt;0),0,IF(($E113=INDEX(_xlfn.ANCHORARRAY(Sintesi!$C$14),1,$C113))*(INDEX(_xlfn.ANCHORARRAY(Sintesi!$C$15),1,$C113)&lt;0)+($E113&gt;=LOOKUP(2,1/($E:$E&lt;&gt;""),$E:$E))*($E113&lt;=INDEX($E:$E,MATCH(TRUE,INDEX((ISNUMBER($E:$E)),0),0)))*($E113&gt;INDEX(_xlfn.ANCHORARRAY(Sintesi!$C$14),1,$C113))*($E113&lt;=INDEX(_xlfn.ANCHORARRAY(Sintesi!$C$15),1,$C113))*(INDEX(_xlfn.ANCHORARRAY(Sintesi!$C$15),1,$C113)&gt;0),1,IF(($E113&gt;=LOOKUP(2,1/($E:$E&lt;&gt;""),$E:$E))*($E113&lt;=INDEX($E:$E,MATCH(TRUE,INDEX((ISNUMBER($E:$E)),0),0)))*($E113&gt;INDEX(_xlfn.ANCHORARRAY(Sintesi!$C$14),1,$C113))*($E113&lt;INDEX(_xlfn.ANCHORARRAY(Sintesi!$C$16),1,$C113))*(INDEX(_xlfn.ANCHORARRAY(Sintesi!$C$15),1,$C113)&lt;0)+($E113&gt;=LOOKUP(2,1/($E:$E&lt;&gt;""),$E:$E))*($E113&lt;=INDEX($E:$E,MATCH(TRUE,INDEX((ISNUMBER($E:$E)),0),0)))*($E113&gt;INDEX(_xlfn.ANCHORARRAY(Sintesi!$C$15),1,$C113))*($E113&lt;INDEX(_xlfn.ANCHORARRAY(Sintesi!$C$16),1,$C113))*(INDEX(_xlfn.ANCHORARRAY(Sintesi!$C$15),1,$C113)&gt;0),2,IF($E113=(INDEX(_xlfn.ANCHORARRAY(Sintesi!$C$16),1,$C113)),3,4)))),0)),IF(ISNUMBER($E112),IF($C113&gt;0,IF(($E113=INDEX(_xlfn.ANCHORARRAY(Sintesi!$C$14),1,$C113))*(INDEX(_xlfn.ANCHORARRAY(Sintesi!$C$15),1,$C113)&gt;0),0,IF(($E113=INDEX(_xlfn.ANCHORARRAY(Sintesi!$C$14),1,$C113))*(INDEX(_xlfn.ANCHORARRAY(Sintesi!$C$15),1,$C113)&lt;0)+($E113&gt;=$E112)*($E113&lt;=$E114)*($E113&gt;INDEX(_xlfn.ANCHORARRAY(Sintesi!$C$14),1,$C113))*($E113&lt;=INDEX(_xlfn.ANCHORARRAY(Sintesi!$C$15),1,$C113))*(INDEX(_xlfn.ANCHORARRAY(Sintesi!$C$15),1,$C113)&gt;0),1,IF(($E113&gt;=$E112)*($E113&lt;=$E114)*($E113&gt;INDEX(_xlfn.ANCHORARRAY(Sintesi!$C$14),1,$C113))*($E113&lt;INDEX(_xlfn.ANCHORARRAY(Sintesi!$C$16),1,$C113))*(INDEX(_xlfn.ANCHORARRAY(Sintesi!$C$15),1,$C113)&lt;0)+($E113&gt;=$E112)*($E113&lt;=$E114)*($E113&gt;INDEX(_xlfn.ANCHORARRAY(Sintesi!$C$15),1,$C113))*($E113&lt;INDEX(_xlfn.ANCHORARRAY(Sintesi!$C$16),1,$C113))*(INDEX(_xlfn.ANCHORARRAY(Sintesi!$C$15),1,$C113)&gt;0),2,IF($E113=(INDEX(_xlfn.ANCHORARRAY(Sintesi!$C$16),1,$C113)),3,4)))),0),IF($C113&gt;0,IF(($E113=INDEX(_xlfn.ANCHORARRAY(Sintesi!$C$14),1,$C113))*(INDEX(_xlfn.ANCHORARRAY(Sintesi!$C$15),1,$C113)&gt;0),0,IF(($E113=INDEX(_xlfn.ANCHORARRAY(Sintesi!$C$14),1,$C113))*(INDEX(_xlfn.ANCHORARRAY(Sintesi!$C$15),1,$C113)&lt;0)+($E113&gt;=LOOKUP(2,1/($E:$E&lt;&gt;""),$E:$E))*($E113&lt;=$E114)*($E113&gt;INDEX(_xlfn.ANCHORARRAY(Sintesi!$C$14),1,$C113))*($E113&lt;=INDEX(_xlfn.ANCHORARRAY(Sintesi!$C$15),1,$C113))*(INDEX(_xlfn.ANCHORARRAY(Sintesi!$C$15),1,$C113)&gt;0),1,IF(($E113&gt;=LOOKUP(2,1/($E:$E&lt;&gt;""),$E:$E))*($E113&lt;=$E114)*($E113&gt;INDEX(_xlfn.ANCHORARRAY(Sintesi!$C$14),1,$C113))*($E113&lt;INDEX(_xlfn.ANCHORARRAY(Sintesi!$C$16),1,$C113))*(INDEX(_xlfn.ANCHORARRAY(Sintesi!$C$15),1,$C113)&lt;0)+($E113&gt;=LOOKUP(2,1/($E:$E&lt;&gt;""),$E:$E))*($E113&lt;=$E114)*($E113&gt;INDEX(_xlfn.ANCHORARRAY(Sintesi!$C$15),1,$C113))*($E113&lt;INDEX(_xlfn.ANCHORARRAY(Sintesi!$C$16),1,$C113))*(INDEX(_xlfn.ANCHORARRAY(Sintesi!$C$15),1,$C113)&gt;0),2,IF($E113=(INDEX(_xlfn.ANCHORARRAY(Sintesi!$C$16),1,$C113)),3,4)))),0)))</f>
        <v>1</v>
      </c>
      <c r="E113" s="1">
        <f>'Paste cell here'!F113</f>
        <v>0.15</v>
      </c>
      <c r="F113" s="1">
        <f>'Paste cell here'!C113</f>
        <v>20.820660230000001</v>
      </c>
      <c r="G113" s="1">
        <f>'Paste cell here'!D113</f>
        <v>7.5539253049999999</v>
      </c>
      <c r="H113" s="1">
        <f>'Paste cell here'!E113</f>
        <v>3.533060925</v>
      </c>
      <c r="I113" s="1">
        <f>'Paste cell here'!X113</f>
        <v>0.52995375600000005</v>
      </c>
      <c r="J113" s="1">
        <f>'Paste cell here'!Y113+'Paste cell here'!S113</f>
        <v>0.52995375600000005</v>
      </c>
      <c r="K113" s="1">
        <f t="shared" si="3"/>
        <v>0.14999847646272901</v>
      </c>
      <c r="L113" s="1">
        <f t="shared" si="2"/>
        <v>15.855180532826738</v>
      </c>
      <c r="M113" s="1" cm="1">
        <f t="array" ref="M113">IF(AND(A113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,A113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),IF(L113&lt;_xlfn.IFNA(INDEX(_xlfn.ANCHORARRAY(Sintesi!$C$17)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,1,IF(L113&gt;=_xlfn.IFNA(INDEX(_xlfn.ANCHORARRAY(Sintesi!$C$18)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,0,1-(L113-_xlfn.IFNA(INDEX(_xlfn.ANCHORARRAY(Sintesi!$C$17)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)/(_xlfn.IFNA(INDEX(_xlfn.ANCHORARRAY(Sintesi!$C$18)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-_xlfn.IFNA(INDEX(_xlfn.ANCHORARRAY(Sintesi!$C$17),1,MATCH(1,(_xlfn.ANCHORARRAY(Sintesi!$C$9)&gt;_xlfn.ANCHORARRAY(Sintesi!$C$10))*(A112&gt;=_xlfn.ANCHORARRAY(Sintesi!$C$9))+(_xlfn.ANCHORARRAY(Sintesi!$C$9)&gt;_xlfn.ANCHORARRAY(Sintesi!$C$10))*(A112&lt;=_xlfn.ANCHORARRAY(Sintesi!$C$10))+(_xlfn.ANCHORARRAY(Sintesi!$C$9)&lt;_xlfn.ANCHORARRAY(Sintesi!$C$10))*(A112&gt;=_xlfn.ANCHORARRAY(Sintesi!$C$9))*(A112&lt;=_xlfn.ANCHORARRAY(Sintesi!$C$10)),0)),0)))),0)</f>
        <v>0</v>
      </c>
    </row>
    <row r="114" spans="1:13">
      <c r="A114" s="1">
        <f>'Paste cell here'!A114</f>
        <v>113</v>
      </c>
      <c r="B114" s="2">
        <f>DATE(Sintesi!$C$4-1,12,31)+A114</f>
        <v>44309</v>
      </c>
      <c r="C114" s="34" cm="1">
        <f t="array" ref="C114">_xlfn.IFNA(MATCH(1,(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)*(_xlfn.ANCHORARRAY(Sintesi!$C$15)&gt;=0)+(_xlfn.ANCHORARRAY(Sintesi!$C$15)&lt;0),0),0)</f>
        <v>1</v>
      </c>
      <c r="D114" s="1" cm="1">
        <f t="array" ref="D114">IF(ISBLANK($E115),IF(ISNUMBER($E113),IF($C114&gt;0,IF(($E114=INDEX(_xlfn.ANCHORARRAY(Sintesi!$C$14),1,$C114))*(INDEX(_xlfn.ANCHORARRAY(Sintesi!$C$15),1,$C114)&gt;0),0,IF(($E114=INDEX(_xlfn.ANCHORARRAY(Sintesi!$C$14),1,$C114))*(INDEX(_xlfn.ANCHORARRAY(Sintesi!$C$15),1,$C114)&lt;0)+($E114&gt;=$E113)*($E114&lt;=INDEX($E:$E,MATCH(TRUE,INDEX((ISNUMBER($E:$E)),0),0)))*($E114&gt;INDEX(_xlfn.ANCHORARRAY(Sintesi!$C$14),1,$C114))*($E114&lt;=INDEX(_xlfn.ANCHORARRAY(Sintesi!$C$15),1,$C114))*(INDEX(_xlfn.ANCHORARRAY(Sintesi!$C$15),1,$C114)&gt;0),1,IF(($E114&gt;=$E113)*($E114&lt;=INDEX($E:$E,MATCH(TRUE,INDEX((ISNUMBER($E:$E)),0),0)))*($E114&gt;INDEX(_xlfn.ANCHORARRAY(Sintesi!$C$14),1,$C114))*($E114&lt;INDEX(_xlfn.ANCHORARRAY(Sintesi!$C$16),1,$C114))*(INDEX(_xlfn.ANCHORARRAY(Sintesi!$C$15),1,$C114)&lt;0)+($E114&gt;=$E113)*($E114&lt;=INDEX($E:$E,MATCH(TRUE,INDEX((ISNUMBER($E:$E)),0),0)))*($E114&gt;INDEX(_xlfn.ANCHORARRAY(Sintesi!$C$15),1,$C114))*($E114&lt;INDEX(_xlfn.ANCHORARRAY(Sintesi!$C$16),1,$C114))*(INDEX(_xlfn.ANCHORARRAY(Sintesi!$C$15),1,$C114)&gt;0),2,IF($E114=(INDEX(_xlfn.ANCHORARRAY(Sintesi!$C$16),1,$C114)),3,4)))),0),IF($C114&gt;0,IF(($E114=INDEX(_xlfn.ANCHORARRAY(Sintesi!$C$14),1,$C114))*(INDEX(_xlfn.ANCHORARRAY(Sintesi!$C$15),1,$C114)&gt;0),0,IF(($E114=INDEX(_xlfn.ANCHORARRAY(Sintesi!$C$14),1,$C114))*(INDEX(_xlfn.ANCHORARRAY(Sintesi!$C$15),1,$C114)&lt;0)+($E114&gt;=LOOKUP(2,1/($E:$E&lt;&gt;""),$E:$E))*($E114&lt;=INDEX($E:$E,MATCH(TRUE,INDEX((ISNUMBER($E:$E)),0),0)))*($E114&gt;INDEX(_xlfn.ANCHORARRAY(Sintesi!$C$14),1,$C114))*($E114&lt;=INDEX(_xlfn.ANCHORARRAY(Sintesi!$C$15),1,$C114))*(INDEX(_xlfn.ANCHORARRAY(Sintesi!$C$15),1,$C114)&gt;0),1,IF(($E114&gt;=LOOKUP(2,1/($E:$E&lt;&gt;""),$E:$E))*($E114&lt;=INDEX($E:$E,MATCH(TRUE,INDEX((ISNUMBER($E:$E)),0),0)))*($E114&gt;INDEX(_xlfn.ANCHORARRAY(Sintesi!$C$14),1,$C114))*($E114&lt;INDEX(_xlfn.ANCHORARRAY(Sintesi!$C$16),1,$C114))*(INDEX(_xlfn.ANCHORARRAY(Sintesi!$C$15),1,$C114)&lt;0)+($E114&gt;=LOOKUP(2,1/($E:$E&lt;&gt;""),$E:$E))*($E114&lt;=INDEX($E:$E,MATCH(TRUE,INDEX((ISNUMBER($E:$E)),0),0)))*($E114&gt;INDEX(_xlfn.ANCHORARRAY(Sintesi!$C$15),1,$C114))*($E114&lt;INDEX(_xlfn.ANCHORARRAY(Sintesi!$C$16),1,$C114))*(INDEX(_xlfn.ANCHORARRAY(Sintesi!$C$15),1,$C114)&gt;0),2,IF($E114=(INDEX(_xlfn.ANCHORARRAY(Sintesi!$C$16),1,$C114)),3,4)))),0)),IF(ISNUMBER($E113),IF($C114&gt;0,IF(($E114=INDEX(_xlfn.ANCHORARRAY(Sintesi!$C$14),1,$C114))*(INDEX(_xlfn.ANCHORARRAY(Sintesi!$C$15),1,$C114)&gt;0),0,IF(($E114=INDEX(_xlfn.ANCHORARRAY(Sintesi!$C$14),1,$C114))*(INDEX(_xlfn.ANCHORARRAY(Sintesi!$C$15),1,$C114)&lt;0)+($E114&gt;=$E113)*($E114&lt;=$E115)*($E114&gt;INDEX(_xlfn.ANCHORARRAY(Sintesi!$C$14),1,$C114))*($E114&lt;=INDEX(_xlfn.ANCHORARRAY(Sintesi!$C$15),1,$C114))*(INDEX(_xlfn.ANCHORARRAY(Sintesi!$C$15),1,$C114)&gt;0),1,IF(($E114&gt;=$E113)*($E114&lt;=$E115)*($E114&gt;INDEX(_xlfn.ANCHORARRAY(Sintesi!$C$14),1,$C114))*($E114&lt;INDEX(_xlfn.ANCHORARRAY(Sintesi!$C$16),1,$C114))*(INDEX(_xlfn.ANCHORARRAY(Sintesi!$C$15),1,$C114)&lt;0)+($E114&gt;=$E113)*($E114&lt;=$E115)*($E114&gt;INDEX(_xlfn.ANCHORARRAY(Sintesi!$C$15),1,$C114))*($E114&lt;INDEX(_xlfn.ANCHORARRAY(Sintesi!$C$16),1,$C114))*(INDEX(_xlfn.ANCHORARRAY(Sintesi!$C$15),1,$C114)&gt;0),2,IF($E114=(INDEX(_xlfn.ANCHORARRAY(Sintesi!$C$16),1,$C114)),3,4)))),0),IF($C114&gt;0,IF(($E114=INDEX(_xlfn.ANCHORARRAY(Sintesi!$C$14),1,$C114))*(INDEX(_xlfn.ANCHORARRAY(Sintesi!$C$15),1,$C114)&gt;0),0,IF(($E114=INDEX(_xlfn.ANCHORARRAY(Sintesi!$C$14),1,$C114))*(INDEX(_xlfn.ANCHORARRAY(Sintesi!$C$15),1,$C114)&lt;0)+($E114&gt;=LOOKUP(2,1/($E:$E&lt;&gt;""),$E:$E))*($E114&lt;=$E115)*($E114&gt;INDEX(_xlfn.ANCHORARRAY(Sintesi!$C$14),1,$C114))*($E114&lt;=INDEX(_xlfn.ANCHORARRAY(Sintesi!$C$15),1,$C114))*(INDEX(_xlfn.ANCHORARRAY(Sintesi!$C$15),1,$C114)&gt;0),1,IF(($E114&gt;=LOOKUP(2,1/($E:$E&lt;&gt;""),$E:$E))*($E114&lt;=$E115)*($E114&gt;INDEX(_xlfn.ANCHORARRAY(Sintesi!$C$14),1,$C114))*($E114&lt;INDEX(_xlfn.ANCHORARRAY(Sintesi!$C$16),1,$C114))*(INDEX(_xlfn.ANCHORARRAY(Sintesi!$C$15),1,$C114)&lt;0)+($E114&gt;=LOOKUP(2,1/($E:$E&lt;&gt;""),$E:$E))*($E114&lt;=$E115)*($E114&gt;INDEX(_xlfn.ANCHORARRAY(Sintesi!$C$15),1,$C114))*($E114&lt;INDEX(_xlfn.ANCHORARRAY(Sintesi!$C$16),1,$C114))*(INDEX(_xlfn.ANCHORARRAY(Sintesi!$C$15),1,$C114)&gt;0),2,IF($E114=(INDEX(_xlfn.ANCHORARRAY(Sintesi!$C$16),1,$C114)),3,4)))),0)))</f>
        <v>1</v>
      </c>
      <c r="E114" s="1">
        <f>'Paste cell here'!F114</f>
        <v>0.15</v>
      </c>
      <c r="F114" s="1">
        <f>'Paste cell here'!C114</f>
        <v>22.549280929999998</v>
      </c>
      <c r="G114" s="1">
        <f>'Paste cell here'!D114</f>
        <v>7.3405891749999999</v>
      </c>
      <c r="H114" s="1">
        <f>'Paste cell here'!E114</f>
        <v>3.8133075490000001</v>
      </c>
      <c r="I114" s="1">
        <f>'Paste cell here'!X114</f>
        <v>0.57198986900000004</v>
      </c>
      <c r="J114" s="1">
        <f>'Paste cell here'!Y114+'Paste cell here'!S114</f>
        <v>0.57198986900000004</v>
      </c>
      <c r="K114" s="1">
        <f t="shared" si="3"/>
        <v>0.14999835750200594</v>
      </c>
      <c r="L114" s="1">
        <f t="shared" si="2"/>
        <v>16.856964730351589</v>
      </c>
      <c r="M114" s="1" cm="1">
        <f t="array" ref="M114">IF(AND(A114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,A114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),IF(L114&lt;_xlfn.IFNA(INDEX(_xlfn.ANCHORARRAY(Sintesi!$C$17)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,1,IF(L114&gt;=_xlfn.IFNA(INDEX(_xlfn.ANCHORARRAY(Sintesi!$C$18)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,0,1-(L114-_xlfn.IFNA(INDEX(_xlfn.ANCHORARRAY(Sintesi!$C$17)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)/(_xlfn.IFNA(INDEX(_xlfn.ANCHORARRAY(Sintesi!$C$18)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-_xlfn.IFNA(INDEX(_xlfn.ANCHORARRAY(Sintesi!$C$17),1,MATCH(1,(_xlfn.ANCHORARRAY(Sintesi!$C$9)&gt;_xlfn.ANCHORARRAY(Sintesi!$C$10))*(A113&gt;=_xlfn.ANCHORARRAY(Sintesi!$C$9))+(_xlfn.ANCHORARRAY(Sintesi!$C$9)&gt;_xlfn.ANCHORARRAY(Sintesi!$C$10))*(A113&lt;=_xlfn.ANCHORARRAY(Sintesi!$C$10))+(_xlfn.ANCHORARRAY(Sintesi!$C$9)&lt;_xlfn.ANCHORARRAY(Sintesi!$C$10))*(A113&gt;=_xlfn.ANCHORARRAY(Sintesi!$C$9))*(A113&lt;=_xlfn.ANCHORARRAY(Sintesi!$C$10)),0)),0)))),0)</f>
        <v>0</v>
      </c>
    </row>
    <row r="115" spans="1:13">
      <c r="A115" s="1">
        <f>'Paste cell here'!A115</f>
        <v>114</v>
      </c>
      <c r="B115" s="2">
        <f>DATE(Sintesi!$C$4-1,12,31)+A115</f>
        <v>44310</v>
      </c>
      <c r="C115" s="34" cm="1">
        <f t="array" ref="C115">_xlfn.IFNA(MATCH(1,(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)*(_xlfn.ANCHORARRAY(Sintesi!$C$15)&gt;=0)+(_xlfn.ANCHORARRAY(Sintesi!$C$15)&lt;0),0),0)</f>
        <v>1</v>
      </c>
      <c r="D115" s="1" cm="1">
        <f t="array" ref="D115">IF(ISBLANK($E116),IF(ISNUMBER($E114),IF($C115&gt;0,IF(($E115=INDEX(_xlfn.ANCHORARRAY(Sintesi!$C$14),1,$C115))*(INDEX(_xlfn.ANCHORARRAY(Sintesi!$C$15),1,$C115)&gt;0),0,IF(($E115=INDEX(_xlfn.ANCHORARRAY(Sintesi!$C$14),1,$C115))*(INDEX(_xlfn.ANCHORARRAY(Sintesi!$C$15),1,$C115)&lt;0)+($E115&gt;=$E114)*($E115&lt;=INDEX($E:$E,MATCH(TRUE,INDEX((ISNUMBER($E:$E)),0),0)))*($E115&gt;INDEX(_xlfn.ANCHORARRAY(Sintesi!$C$14),1,$C115))*($E115&lt;=INDEX(_xlfn.ANCHORARRAY(Sintesi!$C$15),1,$C115))*(INDEX(_xlfn.ANCHORARRAY(Sintesi!$C$15),1,$C115)&gt;0),1,IF(($E115&gt;=$E114)*($E115&lt;=INDEX($E:$E,MATCH(TRUE,INDEX((ISNUMBER($E:$E)),0),0)))*($E115&gt;INDEX(_xlfn.ANCHORARRAY(Sintesi!$C$14),1,$C115))*($E115&lt;INDEX(_xlfn.ANCHORARRAY(Sintesi!$C$16),1,$C115))*(INDEX(_xlfn.ANCHORARRAY(Sintesi!$C$15),1,$C115)&lt;0)+($E115&gt;=$E114)*($E115&lt;=INDEX($E:$E,MATCH(TRUE,INDEX((ISNUMBER($E:$E)),0),0)))*($E115&gt;INDEX(_xlfn.ANCHORARRAY(Sintesi!$C$15),1,$C115))*($E115&lt;INDEX(_xlfn.ANCHORARRAY(Sintesi!$C$16),1,$C115))*(INDEX(_xlfn.ANCHORARRAY(Sintesi!$C$15),1,$C115)&gt;0),2,IF($E115=(INDEX(_xlfn.ANCHORARRAY(Sintesi!$C$16),1,$C115)),3,4)))),0),IF($C115&gt;0,IF(($E115=INDEX(_xlfn.ANCHORARRAY(Sintesi!$C$14),1,$C115))*(INDEX(_xlfn.ANCHORARRAY(Sintesi!$C$15),1,$C115)&gt;0),0,IF(($E115=INDEX(_xlfn.ANCHORARRAY(Sintesi!$C$14),1,$C115))*(INDEX(_xlfn.ANCHORARRAY(Sintesi!$C$15),1,$C115)&lt;0)+($E115&gt;=LOOKUP(2,1/($E:$E&lt;&gt;""),$E:$E))*($E115&lt;=INDEX($E:$E,MATCH(TRUE,INDEX((ISNUMBER($E:$E)),0),0)))*($E115&gt;INDEX(_xlfn.ANCHORARRAY(Sintesi!$C$14),1,$C115))*($E115&lt;=INDEX(_xlfn.ANCHORARRAY(Sintesi!$C$15),1,$C115))*(INDEX(_xlfn.ANCHORARRAY(Sintesi!$C$15),1,$C115)&gt;0),1,IF(($E115&gt;=LOOKUP(2,1/($E:$E&lt;&gt;""),$E:$E))*($E115&lt;=INDEX($E:$E,MATCH(TRUE,INDEX((ISNUMBER($E:$E)),0),0)))*($E115&gt;INDEX(_xlfn.ANCHORARRAY(Sintesi!$C$14),1,$C115))*($E115&lt;INDEX(_xlfn.ANCHORARRAY(Sintesi!$C$16),1,$C115))*(INDEX(_xlfn.ANCHORARRAY(Sintesi!$C$15),1,$C115)&lt;0)+($E115&gt;=LOOKUP(2,1/($E:$E&lt;&gt;""),$E:$E))*($E115&lt;=INDEX($E:$E,MATCH(TRUE,INDEX((ISNUMBER($E:$E)),0),0)))*($E115&gt;INDEX(_xlfn.ANCHORARRAY(Sintesi!$C$15),1,$C115))*($E115&lt;INDEX(_xlfn.ANCHORARRAY(Sintesi!$C$16),1,$C115))*(INDEX(_xlfn.ANCHORARRAY(Sintesi!$C$15),1,$C115)&gt;0),2,IF($E115=(INDEX(_xlfn.ANCHORARRAY(Sintesi!$C$16),1,$C115)),3,4)))),0)),IF(ISNUMBER($E114),IF($C115&gt;0,IF(($E115=INDEX(_xlfn.ANCHORARRAY(Sintesi!$C$14),1,$C115))*(INDEX(_xlfn.ANCHORARRAY(Sintesi!$C$15),1,$C115)&gt;0),0,IF(($E115=INDEX(_xlfn.ANCHORARRAY(Sintesi!$C$14),1,$C115))*(INDEX(_xlfn.ANCHORARRAY(Sintesi!$C$15),1,$C115)&lt;0)+($E115&gt;=$E114)*($E115&lt;=$E116)*($E115&gt;INDEX(_xlfn.ANCHORARRAY(Sintesi!$C$14),1,$C115))*($E115&lt;=INDEX(_xlfn.ANCHORARRAY(Sintesi!$C$15),1,$C115))*(INDEX(_xlfn.ANCHORARRAY(Sintesi!$C$15),1,$C115)&gt;0),1,IF(($E115&gt;=$E114)*($E115&lt;=$E116)*($E115&gt;INDEX(_xlfn.ANCHORARRAY(Sintesi!$C$14),1,$C115))*($E115&lt;INDEX(_xlfn.ANCHORARRAY(Sintesi!$C$16),1,$C115))*(INDEX(_xlfn.ANCHORARRAY(Sintesi!$C$15),1,$C115)&lt;0)+($E115&gt;=$E114)*($E115&lt;=$E116)*($E115&gt;INDEX(_xlfn.ANCHORARRAY(Sintesi!$C$15),1,$C115))*($E115&lt;INDEX(_xlfn.ANCHORARRAY(Sintesi!$C$16),1,$C115))*(INDEX(_xlfn.ANCHORARRAY(Sintesi!$C$15),1,$C115)&gt;0),2,IF($E115=(INDEX(_xlfn.ANCHORARRAY(Sintesi!$C$16),1,$C115)),3,4)))),0),IF($C115&gt;0,IF(($E115=INDEX(_xlfn.ANCHORARRAY(Sintesi!$C$14),1,$C115))*(INDEX(_xlfn.ANCHORARRAY(Sintesi!$C$15),1,$C115)&gt;0),0,IF(($E115=INDEX(_xlfn.ANCHORARRAY(Sintesi!$C$14),1,$C115))*(INDEX(_xlfn.ANCHORARRAY(Sintesi!$C$15),1,$C115)&lt;0)+($E115&gt;=LOOKUP(2,1/($E:$E&lt;&gt;""),$E:$E))*($E115&lt;=$E116)*($E115&gt;INDEX(_xlfn.ANCHORARRAY(Sintesi!$C$14),1,$C115))*($E115&lt;=INDEX(_xlfn.ANCHORARRAY(Sintesi!$C$15),1,$C115))*(INDEX(_xlfn.ANCHORARRAY(Sintesi!$C$15),1,$C115)&gt;0),1,IF(($E115&gt;=LOOKUP(2,1/($E:$E&lt;&gt;""),$E:$E))*($E115&lt;=$E116)*($E115&gt;INDEX(_xlfn.ANCHORARRAY(Sintesi!$C$14),1,$C115))*($E115&lt;INDEX(_xlfn.ANCHORARRAY(Sintesi!$C$16),1,$C115))*(INDEX(_xlfn.ANCHORARRAY(Sintesi!$C$15),1,$C115)&lt;0)+($E115&gt;=LOOKUP(2,1/($E:$E&lt;&gt;""),$E:$E))*($E115&lt;=$E116)*($E115&gt;INDEX(_xlfn.ANCHORARRAY(Sintesi!$C$15),1,$C115))*($E115&lt;INDEX(_xlfn.ANCHORARRAY(Sintesi!$C$16),1,$C115))*(INDEX(_xlfn.ANCHORARRAY(Sintesi!$C$15),1,$C115)&gt;0),2,IF($E115=(INDEX(_xlfn.ANCHORARRAY(Sintesi!$C$16),1,$C115)),3,4)))),0)))</f>
        <v>1</v>
      </c>
      <c r="E115" s="1">
        <f>'Paste cell here'!F115</f>
        <v>0.15</v>
      </c>
      <c r="F115" s="1">
        <f>'Paste cell here'!C115</f>
        <v>24.084715429999999</v>
      </c>
      <c r="G115" s="1">
        <f>'Paste cell here'!D115</f>
        <v>8.5507190699999995</v>
      </c>
      <c r="H115" s="1">
        <f>'Paste cell here'!E115</f>
        <v>4.1925160339999996</v>
      </c>
      <c r="I115" s="1">
        <f>'Paste cell here'!X115</f>
        <v>0.62886999099999996</v>
      </c>
      <c r="J115" s="1">
        <f>'Paste cell here'!Y115+'Paste cell here'!S115</f>
        <v>0.62886999099999996</v>
      </c>
      <c r="K115" s="1">
        <f t="shared" si="3"/>
        <v>0.14999823158696596</v>
      </c>
      <c r="L115" s="1">
        <f t="shared" si="2"/>
        <v>18.270644072005844</v>
      </c>
      <c r="M115" s="1" cm="1">
        <f t="array" ref="M115">IF(AND(A115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,A115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),IF(L115&lt;_xlfn.IFNA(INDEX(_xlfn.ANCHORARRAY(Sintesi!$C$17)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,1,IF(L115&gt;=_xlfn.IFNA(INDEX(_xlfn.ANCHORARRAY(Sintesi!$C$18)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,0,1-(L115-_xlfn.IFNA(INDEX(_xlfn.ANCHORARRAY(Sintesi!$C$17)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)/(_xlfn.IFNA(INDEX(_xlfn.ANCHORARRAY(Sintesi!$C$18)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-_xlfn.IFNA(INDEX(_xlfn.ANCHORARRAY(Sintesi!$C$17),1,MATCH(1,(_xlfn.ANCHORARRAY(Sintesi!$C$9)&gt;_xlfn.ANCHORARRAY(Sintesi!$C$10))*(A114&gt;=_xlfn.ANCHORARRAY(Sintesi!$C$9))+(_xlfn.ANCHORARRAY(Sintesi!$C$9)&gt;_xlfn.ANCHORARRAY(Sintesi!$C$10))*(A114&lt;=_xlfn.ANCHORARRAY(Sintesi!$C$10))+(_xlfn.ANCHORARRAY(Sintesi!$C$9)&lt;_xlfn.ANCHORARRAY(Sintesi!$C$10))*(A114&gt;=_xlfn.ANCHORARRAY(Sintesi!$C$9))*(A114&lt;=_xlfn.ANCHORARRAY(Sintesi!$C$10)),0)),0)))),0)</f>
        <v>0</v>
      </c>
    </row>
    <row r="116" spans="1:13">
      <c r="A116" s="1">
        <f>'Paste cell here'!A116</f>
        <v>115</v>
      </c>
      <c r="B116" s="2">
        <f>DATE(Sintesi!$C$4-1,12,31)+A116</f>
        <v>44311</v>
      </c>
      <c r="C116" s="34" cm="1">
        <f t="array" ref="C116">_xlfn.IFNA(MATCH(1,(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)*(_xlfn.ANCHORARRAY(Sintesi!$C$15)&gt;=0)+(_xlfn.ANCHORARRAY(Sintesi!$C$15)&lt;0),0),0)</f>
        <v>1</v>
      </c>
      <c r="D116" s="1" cm="1">
        <f t="array" ref="D116">IF(ISBLANK($E117),IF(ISNUMBER($E115),IF($C116&gt;0,IF(($E116=INDEX(_xlfn.ANCHORARRAY(Sintesi!$C$14),1,$C116))*(INDEX(_xlfn.ANCHORARRAY(Sintesi!$C$15),1,$C116)&gt;0),0,IF(($E116=INDEX(_xlfn.ANCHORARRAY(Sintesi!$C$14),1,$C116))*(INDEX(_xlfn.ANCHORARRAY(Sintesi!$C$15),1,$C116)&lt;0)+($E116&gt;=$E115)*($E116&lt;=INDEX($E:$E,MATCH(TRUE,INDEX((ISNUMBER($E:$E)),0),0)))*($E116&gt;INDEX(_xlfn.ANCHORARRAY(Sintesi!$C$14),1,$C116))*($E116&lt;=INDEX(_xlfn.ANCHORARRAY(Sintesi!$C$15),1,$C116))*(INDEX(_xlfn.ANCHORARRAY(Sintesi!$C$15),1,$C116)&gt;0),1,IF(($E116&gt;=$E115)*($E116&lt;=INDEX($E:$E,MATCH(TRUE,INDEX((ISNUMBER($E:$E)),0),0)))*($E116&gt;INDEX(_xlfn.ANCHORARRAY(Sintesi!$C$14),1,$C116))*($E116&lt;INDEX(_xlfn.ANCHORARRAY(Sintesi!$C$16),1,$C116))*(INDEX(_xlfn.ANCHORARRAY(Sintesi!$C$15),1,$C116)&lt;0)+($E116&gt;=$E115)*($E116&lt;=INDEX($E:$E,MATCH(TRUE,INDEX((ISNUMBER($E:$E)),0),0)))*($E116&gt;INDEX(_xlfn.ANCHORARRAY(Sintesi!$C$15),1,$C116))*($E116&lt;INDEX(_xlfn.ANCHORARRAY(Sintesi!$C$16),1,$C116))*(INDEX(_xlfn.ANCHORARRAY(Sintesi!$C$15),1,$C116)&gt;0),2,IF($E116=(INDEX(_xlfn.ANCHORARRAY(Sintesi!$C$16),1,$C116)),3,4)))),0),IF($C116&gt;0,IF(($E116=INDEX(_xlfn.ANCHORARRAY(Sintesi!$C$14),1,$C116))*(INDEX(_xlfn.ANCHORARRAY(Sintesi!$C$15),1,$C116)&gt;0),0,IF(($E116=INDEX(_xlfn.ANCHORARRAY(Sintesi!$C$14),1,$C116))*(INDEX(_xlfn.ANCHORARRAY(Sintesi!$C$15),1,$C116)&lt;0)+($E116&gt;=LOOKUP(2,1/($E:$E&lt;&gt;""),$E:$E))*($E116&lt;=INDEX($E:$E,MATCH(TRUE,INDEX((ISNUMBER($E:$E)),0),0)))*($E116&gt;INDEX(_xlfn.ANCHORARRAY(Sintesi!$C$14),1,$C116))*($E116&lt;=INDEX(_xlfn.ANCHORARRAY(Sintesi!$C$15),1,$C116))*(INDEX(_xlfn.ANCHORARRAY(Sintesi!$C$15),1,$C116)&gt;0),1,IF(($E116&gt;=LOOKUP(2,1/($E:$E&lt;&gt;""),$E:$E))*($E116&lt;=INDEX($E:$E,MATCH(TRUE,INDEX((ISNUMBER($E:$E)),0),0)))*($E116&gt;INDEX(_xlfn.ANCHORARRAY(Sintesi!$C$14),1,$C116))*($E116&lt;INDEX(_xlfn.ANCHORARRAY(Sintesi!$C$16),1,$C116))*(INDEX(_xlfn.ANCHORARRAY(Sintesi!$C$15),1,$C116)&lt;0)+($E116&gt;=LOOKUP(2,1/($E:$E&lt;&gt;""),$E:$E))*($E116&lt;=INDEX($E:$E,MATCH(TRUE,INDEX((ISNUMBER($E:$E)),0),0)))*($E116&gt;INDEX(_xlfn.ANCHORARRAY(Sintesi!$C$15),1,$C116))*($E116&lt;INDEX(_xlfn.ANCHORARRAY(Sintesi!$C$16),1,$C116))*(INDEX(_xlfn.ANCHORARRAY(Sintesi!$C$15),1,$C116)&gt;0),2,IF($E116=(INDEX(_xlfn.ANCHORARRAY(Sintesi!$C$16),1,$C116)),3,4)))),0)),IF(ISNUMBER($E115),IF($C116&gt;0,IF(($E116=INDEX(_xlfn.ANCHORARRAY(Sintesi!$C$14),1,$C116))*(INDEX(_xlfn.ANCHORARRAY(Sintesi!$C$15),1,$C116)&gt;0),0,IF(($E116=INDEX(_xlfn.ANCHORARRAY(Sintesi!$C$14),1,$C116))*(INDEX(_xlfn.ANCHORARRAY(Sintesi!$C$15),1,$C116)&lt;0)+($E116&gt;=$E115)*($E116&lt;=$E117)*($E116&gt;INDEX(_xlfn.ANCHORARRAY(Sintesi!$C$14),1,$C116))*($E116&lt;=INDEX(_xlfn.ANCHORARRAY(Sintesi!$C$15),1,$C116))*(INDEX(_xlfn.ANCHORARRAY(Sintesi!$C$15),1,$C116)&gt;0),1,IF(($E116&gt;=$E115)*($E116&lt;=$E117)*($E116&gt;INDEX(_xlfn.ANCHORARRAY(Sintesi!$C$14),1,$C116))*($E116&lt;INDEX(_xlfn.ANCHORARRAY(Sintesi!$C$16),1,$C116))*(INDEX(_xlfn.ANCHORARRAY(Sintesi!$C$15),1,$C116)&lt;0)+($E116&gt;=$E115)*($E116&lt;=$E117)*($E116&gt;INDEX(_xlfn.ANCHORARRAY(Sintesi!$C$15),1,$C116))*($E116&lt;INDEX(_xlfn.ANCHORARRAY(Sintesi!$C$16),1,$C116))*(INDEX(_xlfn.ANCHORARRAY(Sintesi!$C$15),1,$C116)&gt;0),2,IF($E116=(INDEX(_xlfn.ANCHORARRAY(Sintesi!$C$16),1,$C116)),3,4)))),0),IF($C116&gt;0,IF(($E116=INDEX(_xlfn.ANCHORARRAY(Sintesi!$C$14),1,$C116))*(INDEX(_xlfn.ANCHORARRAY(Sintesi!$C$15),1,$C116)&gt;0),0,IF(($E116=INDEX(_xlfn.ANCHORARRAY(Sintesi!$C$14),1,$C116))*(INDEX(_xlfn.ANCHORARRAY(Sintesi!$C$15),1,$C116)&lt;0)+($E116&gt;=LOOKUP(2,1/($E:$E&lt;&gt;""),$E:$E))*($E116&lt;=$E117)*($E116&gt;INDEX(_xlfn.ANCHORARRAY(Sintesi!$C$14),1,$C116))*($E116&lt;=INDEX(_xlfn.ANCHORARRAY(Sintesi!$C$15),1,$C116))*(INDEX(_xlfn.ANCHORARRAY(Sintesi!$C$15),1,$C116)&gt;0),1,IF(($E116&gt;=LOOKUP(2,1/($E:$E&lt;&gt;""),$E:$E))*($E116&lt;=$E117)*($E116&gt;INDEX(_xlfn.ANCHORARRAY(Sintesi!$C$14),1,$C116))*($E116&lt;INDEX(_xlfn.ANCHORARRAY(Sintesi!$C$16),1,$C116))*(INDEX(_xlfn.ANCHORARRAY(Sintesi!$C$15),1,$C116)&lt;0)+($E116&gt;=LOOKUP(2,1/($E:$E&lt;&gt;""),$E:$E))*($E116&lt;=$E117)*($E116&gt;INDEX(_xlfn.ANCHORARRAY(Sintesi!$C$15),1,$C116))*($E116&lt;INDEX(_xlfn.ANCHORARRAY(Sintesi!$C$16),1,$C116))*(INDEX(_xlfn.ANCHORARRAY(Sintesi!$C$15),1,$C116)&gt;0),2,IF($E116=(INDEX(_xlfn.ANCHORARRAY(Sintesi!$C$16),1,$C116)),3,4)))),0)))</f>
        <v>1</v>
      </c>
      <c r="E116" s="1">
        <f>'Paste cell here'!F116</f>
        <v>0.15</v>
      </c>
      <c r="F116" s="1">
        <f>'Paste cell here'!C116</f>
        <v>25.920660229999999</v>
      </c>
      <c r="G116" s="1">
        <f>'Paste cell here'!D116</f>
        <v>8.5586795369999997</v>
      </c>
      <c r="H116" s="1">
        <f>'Paste cell here'!E116</f>
        <v>4.3916991830000001</v>
      </c>
      <c r="I116" s="1">
        <f>'Paste cell here'!X116</f>
        <v>0.65874652600000005</v>
      </c>
      <c r="J116" s="1">
        <f>'Paste cell here'!Y116+'Paste cell here'!S116</f>
        <v>0.65874652600000005</v>
      </c>
      <c r="K116" s="1">
        <f t="shared" si="3"/>
        <v>0.14999809835563596</v>
      </c>
      <c r="L116" s="1">
        <f t="shared" si="2"/>
        <v>19.422410048536786</v>
      </c>
      <c r="M116" s="1" cm="1">
        <f t="array" ref="M116">IF(AND(A116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,A116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),IF(L116&lt;_xlfn.IFNA(INDEX(_xlfn.ANCHORARRAY(Sintesi!$C$17)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,1,IF(L116&gt;=_xlfn.IFNA(INDEX(_xlfn.ANCHORARRAY(Sintesi!$C$18)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,0,1-(L116-_xlfn.IFNA(INDEX(_xlfn.ANCHORARRAY(Sintesi!$C$17)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)/(_xlfn.IFNA(INDEX(_xlfn.ANCHORARRAY(Sintesi!$C$18)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-_xlfn.IFNA(INDEX(_xlfn.ANCHORARRAY(Sintesi!$C$17),1,MATCH(1,(_xlfn.ANCHORARRAY(Sintesi!$C$9)&gt;_xlfn.ANCHORARRAY(Sintesi!$C$10))*(A115&gt;=_xlfn.ANCHORARRAY(Sintesi!$C$9))+(_xlfn.ANCHORARRAY(Sintesi!$C$9)&gt;_xlfn.ANCHORARRAY(Sintesi!$C$10))*(A115&lt;=_xlfn.ANCHORARRAY(Sintesi!$C$10))+(_xlfn.ANCHORARRAY(Sintesi!$C$9)&lt;_xlfn.ANCHORARRAY(Sintesi!$C$10))*(A115&gt;=_xlfn.ANCHORARRAY(Sintesi!$C$9))*(A115&lt;=_xlfn.ANCHORARRAY(Sintesi!$C$10)),0)),0)))),0)</f>
        <v>0</v>
      </c>
    </row>
    <row r="117" spans="1:13">
      <c r="A117" s="1">
        <f>'Paste cell here'!A117</f>
        <v>116</v>
      </c>
      <c r="B117" s="2">
        <f>DATE(Sintesi!$C$4-1,12,31)+A117</f>
        <v>44312</v>
      </c>
      <c r="C117" s="34" cm="1">
        <f t="array" ref="C117">_xlfn.IFNA(MATCH(1,(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)*(_xlfn.ANCHORARRAY(Sintesi!$C$15)&gt;=0)+(_xlfn.ANCHORARRAY(Sintesi!$C$15)&lt;0),0),0)</f>
        <v>1</v>
      </c>
      <c r="D117" s="1" cm="1">
        <f t="array" ref="D117">IF(ISBLANK($E118),IF(ISNUMBER($E116),IF($C117&gt;0,IF(($E117=INDEX(_xlfn.ANCHORARRAY(Sintesi!$C$14),1,$C117))*(INDEX(_xlfn.ANCHORARRAY(Sintesi!$C$15),1,$C117)&gt;0),0,IF(($E117=INDEX(_xlfn.ANCHORARRAY(Sintesi!$C$14),1,$C117))*(INDEX(_xlfn.ANCHORARRAY(Sintesi!$C$15),1,$C117)&lt;0)+($E117&gt;=$E116)*($E117&lt;=INDEX($E:$E,MATCH(TRUE,INDEX((ISNUMBER($E:$E)),0),0)))*($E117&gt;INDEX(_xlfn.ANCHORARRAY(Sintesi!$C$14),1,$C117))*($E117&lt;=INDEX(_xlfn.ANCHORARRAY(Sintesi!$C$15),1,$C117))*(INDEX(_xlfn.ANCHORARRAY(Sintesi!$C$15),1,$C117)&gt;0),1,IF(($E117&gt;=$E116)*($E117&lt;=INDEX($E:$E,MATCH(TRUE,INDEX((ISNUMBER($E:$E)),0),0)))*($E117&gt;INDEX(_xlfn.ANCHORARRAY(Sintesi!$C$14),1,$C117))*($E117&lt;INDEX(_xlfn.ANCHORARRAY(Sintesi!$C$16),1,$C117))*(INDEX(_xlfn.ANCHORARRAY(Sintesi!$C$15),1,$C117)&lt;0)+($E117&gt;=$E116)*($E117&lt;=INDEX($E:$E,MATCH(TRUE,INDEX((ISNUMBER($E:$E)),0),0)))*($E117&gt;INDEX(_xlfn.ANCHORARRAY(Sintesi!$C$15),1,$C117))*($E117&lt;INDEX(_xlfn.ANCHORARRAY(Sintesi!$C$16),1,$C117))*(INDEX(_xlfn.ANCHORARRAY(Sintesi!$C$15),1,$C117)&gt;0),2,IF($E117=(INDEX(_xlfn.ANCHORARRAY(Sintesi!$C$16),1,$C117)),3,4)))),0),IF($C117&gt;0,IF(($E117=INDEX(_xlfn.ANCHORARRAY(Sintesi!$C$14),1,$C117))*(INDEX(_xlfn.ANCHORARRAY(Sintesi!$C$15),1,$C117)&gt;0),0,IF(($E117=INDEX(_xlfn.ANCHORARRAY(Sintesi!$C$14),1,$C117))*(INDEX(_xlfn.ANCHORARRAY(Sintesi!$C$15),1,$C117)&lt;0)+($E117&gt;=LOOKUP(2,1/($E:$E&lt;&gt;""),$E:$E))*($E117&lt;=INDEX($E:$E,MATCH(TRUE,INDEX((ISNUMBER($E:$E)),0),0)))*($E117&gt;INDEX(_xlfn.ANCHORARRAY(Sintesi!$C$14),1,$C117))*($E117&lt;=INDEX(_xlfn.ANCHORARRAY(Sintesi!$C$15),1,$C117))*(INDEX(_xlfn.ANCHORARRAY(Sintesi!$C$15),1,$C117)&gt;0),1,IF(($E117&gt;=LOOKUP(2,1/($E:$E&lt;&gt;""),$E:$E))*($E117&lt;=INDEX($E:$E,MATCH(TRUE,INDEX((ISNUMBER($E:$E)),0),0)))*($E117&gt;INDEX(_xlfn.ANCHORARRAY(Sintesi!$C$14),1,$C117))*($E117&lt;INDEX(_xlfn.ANCHORARRAY(Sintesi!$C$16),1,$C117))*(INDEX(_xlfn.ANCHORARRAY(Sintesi!$C$15),1,$C117)&lt;0)+($E117&gt;=LOOKUP(2,1/($E:$E&lt;&gt;""),$E:$E))*($E117&lt;=INDEX($E:$E,MATCH(TRUE,INDEX((ISNUMBER($E:$E)),0),0)))*($E117&gt;INDEX(_xlfn.ANCHORARRAY(Sintesi!$C$15),1,$C117))*($E117&lt;INDEX(_xlfn.ANCHORARRAY(Sintesi!$C$16),1,$C117))*(INDEX(_xlfn.ANCHORARRAY(Sintesi!$C$15),1,$C117)&gt;0),2,IF($E117=(INDEX(_xlfn.ANCHORARRAY(Sintesi!$C$16),1,$C117)),3,4)))),0)),IF(ISNUMBER($E116),IF($C117&gt;0,IF(($E117=INDEX(_xlfn.ANCHORARRAY(Sintesi!$C$14),1,$C117))*(INDEX(_xlfn.ANCHORARRAY(Sintesi!$C$15),1,$C117)&gt;0),0,IF(($E117=INDEX(_xlfn.ANCHORARRAY(Sintesi!$C$14),1,$C117))*(INDEX(_xlfn.ANCHORARRAY(Sintesi!$C$15),1,$C117)&lt;0)+($E117&gt;=$E116)*($E117&lt;=$E118)*($E117&gt;INDEX(_xlfn.ANCHORARRAY(Sintesi!$C$14),1,$C117))*($E117&lt;=INDEX(_xlfn.ANCHORARRAY(Sintesi!$C$15),1,$C117))*(INDEX(_xlfn.ANCHORARRAY(Sintesi!$C$15),1,$C117)&gt;0),1,IF(($E117&gt;=$E116)*($E117&lt;=$E118)*($E117&gt;INDEX(_xlfn.ANCHORARRAY(Sintesi!$C$14),1,$C117))*($E117&lt;INDEX(_xlfn.ANCHORARRAY(Sintesi!$C$16),1,$C117))*(INDEX(_xlfn.ANCHORARRAY(Sintesi!$C$15),1,$C117)&lt;0)+($E117&gt;=$E116)*($E117&lt;=$E118)*($E117&gt;INDEX(_xlfn.ANCHORARRAY(Sintesi!$C$15),1,$C117))*($E117&lt;INDEX(_xlfn.ANCHORARRAY(Sintesi!$C$16),1,$C117))*(INDEX(_xlfn.ANCHORARRAY(Sintesi!$C$15),1,$C117)&gt;0),2,IF($E117=(INDEX(_xlfn.ANCHORARRAY(Sintesi!$C$16),1,$C117)),3,4)))),0),IF($C117&gt;0,IF(($E117=INDEX(_xlfn.ANCHORARRAY(Sintesi!$C$14),1,$C117))*(INDEX(_xlfn.ANCHORARRAY(Sintesi!$C$15),1,$C117)&gt;0),0,IF(($E117=INDEX(_xlfn.ANCHORARRAY(Sintesi!$C$14),1,$C117))*(INDEX(_xlfn.ANCHORARRAY(Sintesi!$C$15),1,$C117)&lt;0)+($E117&gt;=LOOKUP(2,1/($E:$E&lt;&gt;""),$E:$E))*($E117&lt;=$E118)*($E117&gt;INDEX(_xlfn.ANCHORARRAY(Sintesi!$C$14),1,$C117))*($E117&lt;=INDEX(_xlfn.ANCHORARRAY(Sintesi!$C$15),1,$C117))*(INDEX(_xlfn.ANCHORARRAY(Sintesi!$C$15),1,$C117)&gt;0),1,IF(($E117&gt;=LOOKUP(2,1/($E:$E&lt;&gt;""),$E:$E))*($E117&lt;=$E118)*($E117&gt;INDEX(_xlfn.ANCHORARRAY(Sintesi!$C$14),1,$C117))*($E117&lt;INDEX(_xlfn.ANCHORARRAY(Sintesi!$C$16),1,$C117))*(INDEX(_xlfn.ANCHORARRAY(Sintesi!$C$15),1,$C117)&lt;0)+($E117&gt;=LOOKUP(2,1/($E:$E&lt;&gt;""),$E:$E))*($E117&lt;=$E118)*($E117&gt;INDEX(_xlfn.ANCHORARRAY(Sintesi!$C$15),1,$C117))*($E117&lt;INDEX(_xlfn.ANCHORARRAY(Sintesi!$C$16),1,$C117))*(INDEX(_xlfn.ANCHORARRAY(Sintesi!$C$15),1,$C117)&gt;0),2,IF($E117=(INDEX(_xlfn.ANCHORARRAY(Sintesi!$C$16),1,$C117)),3,4)))),0)))</f>
        <v>1</v>
      </c>
      <c r="E117" s="1">
        <f>'Paste cell here'!F117</f>
        <v>0.15</v>
      </c>
      <c r="F117" s="1">
        <f>'Paste cell here'!C117</f>
        <v>17.346074699999999</v>
      </c>
      <c r="G117" s="1">
        <f>'Paste cell here'!D117</f>
        <v>11.746074699999999</v>
      </c>
      <c r="H117" s="1">
        <f>'Paste cell here'!E117</f>
        <v>1.796859177</v>
      </c>
      <c r="I117" s="1">
        <f>'Paste cell here'!X117</f>
        <v>0.26952520699999999</v>
      </c>
      <c r="J117" s="1">
        <f>'Paste cell here'!Y117+'Paste cell here'!S117</f>
        <v>0.26952520699999999</v>
      </c>
      <c r="K117" s="1">
        <f t="shared" si="3"/>
        <v>0.14999795779766886</v>
      </c>
      <c r="L117" s="1">
        <f t="shared" si="2"/>
        <v>15.250104104268038</v>
      </c>
      <c r="M117" s="1" cm="1">
        <f t="array" ref="M117">IF(AND(A117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,A117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),IF(L117&lt;_xlfn.IFNA(INDEX(_xlfn.ANCHORARRAY(Sintesi!$C$17)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,1,IF(L117&gt;=_xlfn.IFNA(INDEX(_xlfn.ANCHORARRAY(Sintesi!$C$18)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,0,1-(L117-_xlfn.IFNA(INDEX(_xlfn.ANCHORARRAY(Sintesi!$C$17)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)/(_xlfn.IFNA(INDEX(_xlfn.ANCHORARRAY(Sintesi!$C$18)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-_xlfn.IFNA(INDEX(_xlfn.ANCHORARRAY(Sintesi!$C$17),1,MATCH(1,(_xlfn.ANCHORARRAY(Sintesi!$C$9)&gt;_xlfn.ANCHORARRAY(Sintesi!$C$10))*(A116&gt;=_xlfn.ANCHORARRAY(Sintesi!$C$9))+(_xlfn.ANCHORARRAY(Sintesi!$C$9)&gt;_xlfn.ANCHORARRAY(Sintesi!$C$10))*(A116&lt;=_xlfn.ANCHORARRAY(Sintesi!$C$10))+(_xlfn.ANCHORARRAY(Sintesi!$C$9)&lt;_xlfn.ANCHORARRAY(Sintesi!$C$10))*(A116&gt;=_xlfn.ANCHORARRAY(Sintesi!$C$9))*(A116&lt;=_xlfn.ANCHORARRAY(Sintesi!$C$10)),0)),0)))),0)</f>
        <v>0</v>
      </c>
    </row>
    <row r="118" spans="1:13">
      <c r="A118" s="1">
        <f>'Paste cell here'!A118</f>
        <v>117</v>
      </c>
      <c r="B118" s="2">
        <f>DATE(Sintesi!$C$4-1,12,31)+A118</f>
        <v>44313</v>
      </c>
      <c r="C118" s="34" cm="1">
        <f t="array" ref="C118">_xlfn.IFNA(MATCH(1,(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)*(_xlfn.ANCHORARRAY(Sintesi!$C$15)&gt;=0)+(_xlfn.ANCHORARRAY(Sintesi!$C$15)&lt;0),0),0)</f>
        <v>1</v>
      </c>
      <c r="D118" s="1" cm="1">
        <f t="array" ref="D118">IF(ISBLANK($E119),IF(ISNUMBER($E117),IF($C118&gt;0,IF(($E118=INDEX(_xlfn.ANCHORARRAY(Sintesi!$C$14),1,$C118))*(INDEX(_xlfn.ANCHORARRAY(Sintesi!$C$15),1,$C118)&gt;0),0,IF(($E118=INDEX(_xlfn.ANCHORARRAY(Sintesi!$C$14),1,$C118))*(INDEX(_xlfn.ANCHORARRAY(Sintesi!$C$15),1,$C118)&lt;0)+($E118&gt;=$E117)*($E118&lt;=INDEX($E:$E,MATCH(TRUE,INDEX((ISNUMBER($E:$E)),0),0)))*($E118&gt;INDEX(_xlfn.ANCHORARRAY(Sintesi!$C$14),1,$C118))*($E118&lt;=INDEX(_xlfn.ANCHORARRAY(Sintesi!$C$15),1,$C118))*(INDEX(_xlfn.ANCHORARRAY(Sintesi!$C$15),1,$C118)&gt;0),1,IF(($E118&gt;=$E117)*($E118&lt;=INDEX($E:$E,MATCH(TRUE,INDEX((ISNUMBER($E:$E)),0),0)))*($E118&gt;INDEX(_xlfn.ANCHORARRAY(Sintesi!$C$14),1,$C118))*($E118&lt;INDEX(_xlfn.ANCHORARRAY(Sintesi!$C$16),1,$C118))*(INDEX(_xlfn.ANCHORARRAY(Sintesi!$C$15),1,$C118)&lt;0)+($E118&gt;=$E117)*($E118&lt;=INDEX($E:$E,MATCH(TRUE,INDEX((ISNUMBER($E:$E)),0),0)))*($E118&gt;INDEX(_xlfn.ANCHORARRAY(Sintesi!$C$15),1,$C118))*($E118&lt;INDEX(_xlfn.ANCHORARRAY(Sintesi!$C$16),1,$C118))*(INDEX(_xlfn.ANCHORARRAY(Sintesi!$C$15),1,$C118)&gt;0),2,IF($E118=(INDEX(_xlfn.ANCHORARRAY(Sintesi!$C$16),1,$C118)),3,4)))),0),IF($C118&gt;0,IF(($E118=INDEX(_xlfn.ANCHORARRAY(Sintesi!$C$14),1,$C118))*(INDEX(_xlfn.ANCHORARRAY(Sintesi!$C$15),1,$C118)&gt;0),0,IF(($E118=INDEX(_xlfn.ANCHORARRAY(Sintesi!$C$14),1,$C118))*(INDEX(_xlfn.ANCHORARRAY(Sintesi!$C$15),1,$C118)&lt;0)+($E118&gt;=LOOKUP(2,1/($E:$E&lt;&gt;""),$E:$E))*($E118&lt;=INDEX($E:$E,MATCH(TRUE,INDEX((ISNUMBER($E:$E)),0),0)))*($E118&gt;INDEX(_xlfn.ANCHORARRAY(Sintesi!$C$14),1,$C118))*($E118&lt;=INDEX(_xlfn.ANCHORARRAY(Sintesi!$C$15),1,$C118))*(INDEX(_xlfn.ANCHORARRAY(Sintesi!$C$15),1,$C118)&gt;0),1,IF(($E118&gt;=LOOKUP(2,1/($E:$E&lt;&gt;""),$E:$E))*($E118&lt;=INDEX($E:$E,MATCH(TRUE,INDEX((ISNUMBER($E:$E)),0),0)))*($E118&gt;INDEX(_xlfn.ANCHORARRAY(Sintesi!$C$14),1,$C118))*($E118&lt;INDEX(_xlfn.ANCHORARRAY(Sintesi!$C$16),1,$C118))*(INDEX(_xlfn.ANCHORARRAY(Sintesi!$C$15),1,$C118)&lt;0)+($E118&gt;=LOOKUP(2,1/($E:$E&lt;&gt;""),$E:$E))*($E118&lt;=INDEX($E:$E,MATCH(TRUE,INDEX((ISNUMBER($E:$E)),0),0)))*($E118&gt;INDEX(_xlfn.ANCHORARRAY(Sintesi!$C$15),1,$C118))*($E118&lt;INDEX(_xlfn.ANCHORARRAY(Sintesi!$C$16),1,$C118))*(INDEX(_xlfn.ANCHORARRAY(Sintesi!$C$15),1,$C118)&gt;0),2,IF($E118=(INDEX(_xlfn.ANCHORARRAY(Sintesi!$C$16),1,$C118)),3,4)))),0)),IF(ISNUMBER($E117),IF($C118&gt;0,IF(($E118=INDEX(_xlfn.ANCHORARRAY(Sintesi!$C$14),1,$C118))*(INDEX(_xlfn.ANCHORARRAY(Sintesi!$C$15),1,$C118)&gt;0),0,IF(($E118=INDEX(_xlfn.ANCHORARRAY(Sintesi!$C$14),1,$C118))*(INDEX(_xlfn.ANCHORARRAY(Sintesi!$C$15),1,$C118)&lt;0)+($E118&gt;=$E117)*($E118&lt;=$E119)*($E118&gt;INDEX(_xlfn.ANCHORARRAY(Sintesi!$C$14),1,$C118))*($E118&lt;=INDEX(_xlfn.ANCHORARRAY(Sintesi!$C$15),1,$C118))*(INDEX(_xlfn.ANCHORARRAY(Sintesi!$C$15),1,$C118)&gt;0),1,IF(($E118&gt;=$E117)*($E118&lt;=$E119)*($E118&gt;INDEX(_xlfn.ANCHORARRAY(Sintesi!$C$14),1,$C118))*($E118&lt;INDEX(_xlfn.ANCHORARRAY(Sintesi!$C$16),1,$C118))*(INDEX(_xlfn.ANCHORARRAY(Sintesi!$C$15),1,$C118)&lt;0)+($E118&gt;=$E117)*($E118&lt;=$E119)*($E118&gt;INDEX(_xlfn.ANCHORARRAY(Sintesi!$C$15),1,$C118))*($E118&lt;INDEX(_xlfn.ANCHORARRAY(Sintesi!$C$16),1,$C118))*(INDEX(_xlfn.ANCHORARRAY(Sintesi!$C$15),1,$C118)&gt;0),2,IF($E118=(INDEX(_xlfn.ANCHORARRAY(Sintesi!$C$16),1,$C118)),3,4)))),0),IF($C118&gt;0,IF(($E118=INDEX(_xlfn.ANCHORARRAY(Sintesi!$C$14),1,$C118))*(INDEX(_xlfn.ANCHORARRAY(Sintesi!$C$15),1,$C118)&gt;0),0,IF(($E118=INDEX(_xlfn.ANCHORARRAY(Sintesi!$C$14),1,$C118))*(INDEX(_xlfn.ANCHORARRAY(Sintesi!$C$15),1,$C118)&lt;0)+($E118&gt;=LOOKUP(2,1/($E:$E&lt;&gt;""),$E:$E))*($E118&lt;=$E119)*($E118&gt;INDEX(_xlfn.ANCHORARRAY(Sintesi!$C$14),1,$C118))*($E118&lt;=INDEX(_xlfn.ANCHORARRAY(Sintesi!$C$15),1,$C118))*(INDEX(_xlfn.ANCHORARRAY(Sintesi!$C$15),1,$C118)&gt;0),1,IF(($E118&gt;=LOOKUP(2,1/($E:$E&lt;&gt;""),$E:$E))*($E118&lt;=$E119)*($E118&gt;INDEX(_xlfn.ANCHORARRAY(Sintesi!$C$14),1,$C118))*($E118&lt;INDEX(_xlfn.ANCHORARRAY(Sintesi!$C$16),1,$C118))*(INDEX(_xlfn.ANCHORARRAY(Sintesi!$C$15),1,$C118)&lt;0)+($E118&gt;=LOOKUP(2,1/($E:$E&lt;&gt;""),$E:$E))*($E118&lt;=$E119)*($E118&gt;INDEX(_xlfn.ANCHORARRAY(Sintesi!$C$15),1,$C118))*($E118&lt;INDEX(_xlfn.ANCHORARRAY(Sintesi!$C$16),1,$C118))*(INDEX(_xlfn.ANCHORARRAY(Sintesi!$C$15),1,$C118)&gt;0),2,IF($E118=(INDEX(_xlfn.ANCHORARRAY(Sintesi!$C$16),1,$C118)),3,4)))),0)))</f>
        <v>1</v>
      </c>
      <c r="E118" s="1">
        <f>'Paste cell here'!F118</f>
        <v>0.15</v>
      </c>
      <c r="F118" s="1">
        <f>'Paste cell here'!C118</f>
        <v>16.28201949</v>
      </c>
      <c r="G118" s="1">
        <f>'Paste cell here'!D118</f>
        <v>10.292675900000001</v>
      </c>
      <c r="H118" s="1">
        <f>'Paste cell here'!E118</f>
        <v>1.8571452930000001</v>
      </c>
      <c r="I118" s="1">
        <f>'Paste cell here'!X118</f>
        <v>0.27856772600000002</v>
      </c>
      <c r="J118" s="1">
        <f>'Paste cell here'!Y118+'Paste cell here'!S118</f>
        <v>0.27856772600000002</v>
      </c>
      <c r="K118" s="1">
        <f t="shared" si="3"/>
        <v>0.14999780956825762</v>
      </c>
      <c r="L118" s="1">
        <f t="shared" si="2"/>
        <v>14.040325194932914</v>
      </c>
      <c r="M118" s="1" cm="1">
        <f t="array" ref="M118">IF(AND(A118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,A118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),IF(L118&lt;_xlfn.IFNA(INDEX(_xlfn.ANCHORARRAY(Sintesi!$C$17)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,1,IF(L118&gt;=_xlfn.IFNA(INDEX(_xlfn.ANCHORARRAY(Sintesi!$C$18)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,0,1-(L118-_xlfn.IFNA(INDEX(_xlfn.ANCHORARRAY(Sintesi!$C$17)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)/(_xlfn.IFNA(INDEX(_xlfn.ANCHORARRAY(Sintesi!$C$18)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-_xlfn.IFNA(INDEX(_xlfn.ANCHORARRAY(Sintesi!$C$17),1,MATCH(1,(_xlfn.ANCHORARRAY(Sintesi!$C$9)&gt;_xlfn.ANCHORARRAY(Sintesi!$C$10))*(A117&gt;=_xlfn.ANCHORARRAY(Sintesi!$C$9))+(_xlfn.ANCHORARRAY(Sintesi!$C$9)&gt;_xlfn.ANCHORARRAY(Sintesi!$C$10))*(A117&lt;=_xlfn.ANCHORARRAY(Sintesi!$C$10))+(_xlfn.ANCHORARRAY(Sintesi!$C$9)&lt;_xlfn.ANCHORARRAY(Sintesi!$C$10))*(A117&gt;=_xlfn.ANCHORARRAY(Sintesi!$C$9))*(A117&lt;=_xlfn.ANCHORARRAY(Sintesi!$C$10)),0)),0)))),0)</f>
        <v>0</v>
      </c>
    </row>
    <row r="119" spans="1:13">
      <c r="A119" s="1">
        <f>'Paste cell here'!A119</f>
        <v>118</v>
      </c>
      <c r="B119" s="2">
        <f>DATE(Sintesi!$C$4-1,12,31)+A119</f>
        <v>44314</v>
      </c>
      <c r="C119" s="34" cm="1">
        <f t="array" ref="C119">_xlfn.IFNA(MATCH(1,(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)*(_xlfn.ANCHORARRAY(Sintesi!$C$15)&gt;=0)+(_xlfn.ANCHORARRAY(Sintesi!$C$15)&lt;0),0),0)</f>
        <v>1</v>
      </c>
      <c r="D119" s="1" cm="1">
        <f t="array" ref="D119">IF(ISBLANK($E120),IF(ISNUMBER($E118),IF($C119&gt;0,IF(($E119=INDEX(_xlfn.ANCHORARRAY(Sintesi!$C$14),1,$C119))*(INDEX(_xlfn.ANCHORARRAY(Sintesi!$C$15),1,$C119)&gt;0),0,IF(($E119=INDEX(_xlfn.ANCHORARRAY(Sintesi!$C$14),1,$C119))*(INDEX(_xlfn.ANCHORARRAY(Sintesi!$C$15),1,$C119)&lt;0)+($E119&gt;=$E118)*($E119&lt;=INDEX($E:$E,MATCH(TRUE,INDEX((ISNUMBER($E:$E)),0),0)))*($E119&gt;INDEX(_xlfn.ANCHORARRAY(Sintesi!$C$14),1,$C119))*($E119&lt;=INDEX(_xlfn.ANCHORARRAY(Sintesi!$C$15),1,$C119))*(INDEX(_xlfn.ANCHORARRAY(Sintesi!$C$15),1,$C119)&gt;0),1,IF(($E119&gt;=$E118)*($E119&lt;=INDEX($E:$E,MATCH(TRUE,INDEX((ISNUMBER($E:$E)),0),0)))*($E119&gt;INDEX(_xlfn.ANCHORARRAY(Sintesi!$C$14),1,$C119))*($E119&lt;INDEX(_xlfn.ANCHORARRAY(Sintesi!$C$16),1,$C119))*(INDEX(_xlfn.ANCHORARRAY(Sintesi!$C$15),1,$C119)&lt;0)+($E119&gt;=$E118)*($E119&lt;=INDEX($E:$E,MATCH(TRUE,INDEX((ISNUMBER($E:$E)),0),0)))*($E119&gt;INDEX(_xlfn.ANCHORARRAY(Sintesi!$C$15),1,$C119))*($E119&lt;INDEX(_xlfn.ANCHORARRAY(Sintesi!$C$16),1,$C119))*(INDEX(_xlfn.ANCHORARRAY(Sintesi!$C$15),1,$C119)&gt;0),2,IF($E119=(INDEX(_xlfn.ANCHORARRAY(Sintesi!$C$16),1,$C119)),3,4)))),0),IF($C119&gt;0,IF(($E119=INDEX(_xlfn.ANCHORARRAY(Sintesi!$C$14),1,$C119))*(INDEX(_xlfn.ANCHORARRAY(Sintesi!$C$15),1,$C119)&gt;0),0,IF(($E119=INDEX(_xlfn.ANCHORARRAY(Sintesi!$C$14),1,$C119))*(INDEX(_xlfn.ANCHORARRAY(Sintesi!$C$15),1,$C119)&lt;0)+($E119&gt;=LOOKUP(2,1/($E:$E&lt;&gt;""),$E:$E))*($E119&lt;=INDEX($E:$E,MATCH(TRUE,INDEX((ISNUMBER($E:$E)),0),0)))*($E119&gt;INDEX(_xlfn.ANCHORARRAY(Sintesi!$C$14),1,$C119))*($E119&lt;=INDEX(_xlfn.ANCHORARRAY(Sintesi!$C$15),1,$C119))*(INDEX(_xlfn.ANCHORARRAY(Sintesi!$C$15),1,$C119)&gt;0),1,IF(($E119&gt;=LOOKUP(2,1/($E:$E&lt;&gt;""),$E:$E))*($E119&lt;=INDEX($E:$E,MATCH(TRUE,INDEX((ISNUMBER($E:$E)),0),0)))*($E119&gt;INDEX(_xlfn.ANCHORARRAY(Sintesi!$C$14),1,$C119))*($E119&lt;INDEX(_xlfn.ANCHORARRAY(Sintesi!$C$16),1,$C119))*(INDEX(_xlfn.ANCHORARRAY(Sintesi!$C$15),1,$C119)&lt;0)+($E119&gt;=LOOKUP(2,1/($E:$E&lt;&gt;""),$E:$E))*($E119&lt;=INDEX($E:$E,MATCH(TRUE,INDEX((ISNUMBER($E:$E)),0),0)))*($E119&gt;INDEX(_xlfn.ANCHORARRAY(Sintesi!$C$15),1,$C119))*($E119&lt;INDEX(_xlfn.ANCHORARRAY(Sintesi!$C$16),1,$C119))*(INDEX(_xlfn.ANCHORARRAY(Sintesi!$C$15),1,$C119)&gt;0),2,IF($E119=(INDEX(_xlfn.ANCHORARRAY(Sintesi!$C$16),1,$C119)),3,4)))),0)),IF(ISNUMBER($E118),IF($C119&gt;0,IF(($E119=INDEX(_xlfn.ANCHORARRAY(Sintesi!$C$14),1,$C119))*(INDEX(_xlfn.ANCHORARRAY(Sintesi!$C$15),1,$C119)&gt;0),0,IF(($E119=INDEX(_xlfn.ANCHORARRAY(Sintesi!$C$14),1,$C119))*(INDEX(_xlfn.ANCHORARRAY(Sintesi!$C$15),1,$C119)&lt;0)+($E119&gt;=$E118)*($E119&lt;=$E120)*($E119&gt;INDEX(_xlfn.ANCHORARRAY(Sintesi!$C$14),1,$C119))*($E119&lt;=INDEX(_xlfn.ANCHORARRAY(Sintesi!$C$15),1,$C119))*(INDEX(_xlfn.ANCHORARRAY(Sintesi!$C$15),1,$C119)&gt;0),1,IF(($E119&gt;=$E118)*($E119&lt;=$E120)*($E119&gt;INDEX(_xlfn.ANCHORARRAY(Sintesi!$C$14),1,$C119))*($E119&lt;INDEX(_xlfn.ANCHORARRAY(Sintesi!$C$16),1,$C119))*(INDEX(_xlfn.ANCHORARRAY(Sintesi!$C$15),1,$C119)&lt;0)+($E119&gt;=$E118)*($E119&lt;=$E120)*($E119&gt;INDEX(_xlfn.ANCHORARRAY(Sintesi!$C$15),1,$C119))*($E119&lt;INDEX(_xlfn.ANCHORARRAY(Sintesi!$C$16),1,$C119))*(INDEX(_xlfn.ANCHORARRAY(Sintesi!$C$15),1,$C119)&gt;0),2,IF($E119=(INDEX(_xlfn.ANCHORARRAY(Sintesi!$C$16),1,$C119)),3,4)))),0),IF($C119&gt;0,IF(($E119=INDEX(_xlfn.ANCHORARRAY(Sintesi!$C$14),1,$C119))*(INDEX(_xlfn.ANCHORARRAY(Sintesi!$C$15),1,$C119)&gt;0),0,IF(($E119=INDEX(_xlfn.ANCHORARRAY(Sintesi!$C$14),1,$C119))*(INDEX(_xlfn.ANCHORARRAY(Sintesi!$C$15),1,$C119)&lt;0)+($E119&gt;=LOOKUP(2,1/($E:$E&lt;&gt;""),$E:$E))*($E119&lt;=$E120)*($E119&gt;INDEX(_xlfn.ANCHORARRAY(Sintesi!$C$14),1,$C119))*($E119&lt;=INDEX(_xlfn.ANCHORARRAY(Sintesi!$C$15),1,$C119))*(INDEX(_xlfn.ANCHORARRAY(Sintesi!$C$15),1,$C119)&gt;0),1,IF(($E119&gt;=LOOKUP(2,1/($E:$E&lt;&gt;""),$E:$E))*($E119&lt;=$E120)*($E119&gt;INDEX(_xlfn.ANCHORARRAY(Sintesi!$C$14),1,$C119))*($E119&lt;INDEX(_xlfn.ANCHORARRAY(Sintesi!$C$16),1,$C119))*(INDEX(_xlfn.ANCHORARRAY(Sintesi!$C$15),1,$C119)&lt;0)+($E119&gt;=LOOKUP(2,1/($E:$E&lt;&gt;""),$E:$E))*($E119&lt;=$E120)*($E119&gt;INDEX(_xlfn.ANCHORARRAY(Sintesi!$C$15),1,$C119))*($E119&lt;INDEX(_xlfn.ANCHORARRAY(Sintesi!$C$16),1,$C119))*(INDEX(_xlfn.ANCHORARRAY(Sintesi!$C$15),1,$C119)&gt;0),2,IF($E119=(INDEX(_xlfn.ANCHORARRAY(Sintesi!$C$16),1,$C119)),3,4)))),0)))</f>
        <v>1</v>
      </c>
      <c r="E119" s="1">
        <f>'Paste cell here'!F119</f>
        <v>0.15</v>
      </c>
      <c r="F119" s="1">
        <f>'Paste cell here'!C119</f>
        <v>20.0926759</v>
      </c>
      <c r="G119" s="1">
        <f>'Paste cell here'!D119</f>
        <v>11.37201567</v>
      </c>
      <c r="H119" s="1">
        <f>'Paste cell here'!E119</f>
        <v>2.8718703990000001</v>
      </c>
      <c r="I119" s="1">
        <f>'Paste cell here'!X119</f>
        <v>0.43077381999999997</v>
      </c>
      <c r="J119" s="1">
        <f>'Paste cell here'!Y119+'Paste cell here'!S119</f>
        <v>0.43077381999999997</v>
      </c>
      <c r="K119" s="1">
        <f t="shared" si="3"/>
        <v>0.14999765314966776</v>
      </c>
      <c r="L119" s="1">
        <f t="shared" si="2"/>
        <v>16.828703146884088</v>
      </c>
      <c r="M119" s="1" cm="1">
        <f t="array" ref="M119">IF(AND(A119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,A119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),IF(L119&lt;_xlfn.IFNA(INDEX(_xlfn.ANCHORARRAY(Sintesi!$C$17)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,1,IF(L119&gt;=_xlfn.IFNA(INDEX(_xlfn.ANCHORARRAY(Sintesi!$C$18)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,0,1-(L119-_xlfn.IFNA(INDEX(_xlfn.ANCHORARRAY(Sintesi!$C$17)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)/(_xlfn.IFNA(INDEX(_xlfn.ANCHORARRAY(Sintesi!$C$18)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-_xlfn.IFNA(INDEX(_xlfn.ANCHORARRAY(Sintesi!$C$17),1,MATCH(1,(_xlfn.ANCHORARRAY(Sintesi!$C$9)&gt;_xlfn.ANCHORARRAY(Sintesi!$C$10))*(A118&gt;=_xlfn.ANCHORARRAY(Sintesi!$C$9))+(_xlfn.ANCHORARRAY(Sintesi!$C$9)&gt;_xlfn.ANCHORARRAY(Sintesi!$C$10))*(A118&lt;=_xlfn.ANCHORARRAY(Sintesi!$C$10))+(_xlfn.ANCHORARRAY(Sintesi!$C$9)&lt;_xlfn.ANCHORARRAY(Sintesi!$C$10))*(A118&gt;=_xlfn.ANCHORARRAY(Sintesi!$C$9))*(A118&lt;=_xlfn.ANCHORARRAY(Sintesi!$C$10)),0)),0)))),0)</f>
        <v>0</v>
      </c>
    </row>
    <row r="120" spans="1:13">
      <c r="A120" s="1">
        <f>'Paste cell here'!A120</f>
        <v>119</v>
      </c>
      <c r="B120" s="2">
        <f>DATE(Sintesi!$C$4-1,12,31)+A120</f>
        <v>44315</v>
      </c>
      <c r="C120" s="34" cm="1">
        <f t="array" ref="C120">_xlfn.IFNA(MATCH(1,(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)*(_xlfn.ANCHORARRAY(Sintesi!$C$15)&gt;=0)+(_xlfn.ANCHORARRAY(Sintesi!$C$15)&lt;0),0),0)</f>
        <v>1</v>
      </c>
      <c r="D120" s="1" cm="1">
        <f t="array" ref="D120">IF(ISBLANK($E121),IF(ISNUMBER($E119),IF($C120&gt;0,IF(($E120=INDEX(_xlfn.ANCHORARRAY(Sintesi!$C$14),1,$C120))*(INDEX(_xlfn.ANCHORARRAY(Sintesi!$C$15),1,$C120)&gt;0),0,IF(($E120=INDEX(_xlfn.ANCHORARRAY(Sintesi!$C$14),1,$C120))*(INDEX(_xlfn.ANCHORARRAY(Sintesi!$C$15),1,$C120)&lt;0)+($E120&gt;=$E119)*($E120&lt;=INDEX($E:$E,MATCH(TRUE,INDEX((ISNUMBER($E:$E)),0),0)))*($E120&gt;INDEX(_xlfn.ANCHORARRAY(Sintesi!$C$14),1,$C120))*($E120&lt;=INDEX(_xlfn.ANCHORARRAY(Sintesi!$C$15),1,$C120))*(INDEX(_xlfn.ANCHORARRAY(Sintesi!$C$15),1,$C120)&gt;0),1,IF(($E120&gt;=$E119)*($E120&lt;=INDEX($E:$E,MATCH(TRUE,INDEX((ISNUMBER($E:$E)),0),0)))*($E120&gt;INDEX(_xlfn.ANCHORARRAY(Sintesi!$C$14),1,$C120))*($E120&lt;INDEX(_xlfn.ANCHORARRAY(Sintesi!$C$16),1,$C120))*(INDEX(_xlfn.ANCHORARRAY(Sintesi!$C$15),1,$C120)&lt;0)+($E120&gt;=$E119)*($E120&lt;=INDEX($E:$E,MATCH(TRUE,INDEX((ISNUMBER($E:$E)),0),0)))*($E120&gt;INDEX(_xlfn.ANCHORARRAY(Sintesi!$C$15),1,$C120))*($E120&lt;INDEX(_xlfn.ANCHORARRAY(Sintesi!$C$16),1,$C120))*(INDEX(_xlfn.ANCHORARRAY(Sintesi!$C$15),1,$C120)&gt;0),2,IF($E120=(INDEX(_xlfn.ANCHORARRAY(Sintesi!$C$16),1,$C120)),3,4)))),0),IF($C120&gt;0,IF(($E120=INDEX(_xlfn.ANCHORARRAY(Sintesi!$C$14),1,$C120))*(INDEX(_xlfn.ANCHORARRAY(Sintesi!$C$15),1,$C120)&gt;0),0,IF(($E120=INDEX(_xlfn.ANCHORARRAY(Sintesi!$C$14),1,$C120))*(INDEX(_xlfn.ANCHORARRAY(Sintesi!$C$15),1,$C120)&lt;0)+($E120&gt;=LOOKUP(2,1/($E:$E&lt;&gt;""),$E:$E))*($E120&lt;=INDEX($E:$E,MATCH(TRUE,INDEX((ISNUMBER($E:$E)),0),0)))*($E120&gt;INDEX(_xlfn.ANCHORARRAY(Sintesi!$C$14),1,$C120))*($E120&lt;=INDEX(_xlfn.ANCHORARRAY(Sintesi!$C$15),1,$C120))*(INDEX(_xlfn.ANCHORARRAY(Sintesi!$C$15),1,$C120)&gt;0),1,IF(($E120&gt;=LOOKUP(2,1/($E:$E&lt;&gt;""),$E:$E))*($E120&lt;=INDEX($E:$E,MATCH(TRUE,INDEX((ISNUMBER($E:$E)),0),0)))*($E120&gt;INDEX(_xlfn.ANCHORARRAY(Sintesi!$C$14),1,$C120))*($E120&lt;INDEX(_xlfn.ANCHORARRAY(Sintesi!$C$16),1,$C120))*(INDEX(_xlfn.ANCHORARRAY(Sintesi!$C$15),1,$C120)&lt;0)+($E120&gt;=LOOKUP(2,1/($E:$E&lt;&gt;""),$E:$E))*($E120&lt;=INDEX($E:$E,MATCH(TRUE,INDEX((ISNUMBER($E:$E)),0),0)))*($E120&gt;INDEX(_xlfn.ANCHORARRAY(Sintesi!$C$15),1,$C120))*($E120&lt;INDEX(_xlfn.ANCHORARRAY(Sintesi!$C$16),1,$C120))*(INDEX(_xlfn.ANCHORARRAY(Sintesi!$C$15),1,$C120)&gt;0),2,IF($E120=(INDEX(_xlfn.ANCHORARRAY(Sintesi!$C$16),1,$C120)),3,4)))),0)),IF(ISNUMBER($E119),IF($C120&gt;0,IF(($E120=INDEX(_xlfn.ANCHORARRAY(Sintesi!$C$14),1,$C120))*(INDEX(_xlfn.ANCHORARRAY(Sintesi!$C$15),1,$C120)&gt;0),0,IF(($E120=INDEX(_xlfn.ANCHORARRAY(Sintesi!$C$14),1,$C120))*(INDEX(_xlfn.ANCHORARRAY(Sintesi!$C$15),1,$C120)&lt;0)+($E120&gt;=$E119)*($E120&lt;=$E121)*($E120&gt;INDEX(_xlfn.ANCHORARRAY(Sintesi!$C$14),1,$C120))*($E120&lt;=INDEX(_xlfn.ANCHORARRAY(Sintesi!$C$15),1,$C120))*(INDEX(_xlfn.ANCHORARRAY(Sintesi!$C$15),1,$C120)&gt;0),1,IF(($E120&gt;=$E119)*($E120&lt;=$E121)*($E120&gt;INDEX(_xlfn.ANCHORARRAY(Sintesi!$C$14),1,$C120))*($E120&lt;INDEX(_xlfn.ANCHORARRAY(Sintesi!$C$16),1,$C120))*(INDEX(_xlfn.ANCHORARRAY(Sintesi!$C$15),1,$C120)&lt;0)+($E120&gt;=$E119)*($E120&lt;=$E121)*($E120&gt;INDEX(_xlfn.ANCHORARRAY(Sintesi!$C$15),1,$C120))*($E120&lt;INDEX(_xlfn.ANCHORARRAY(Sintesi!$C$16),1,$C120))*(INDEX(_xlfn.ANCHORARRAY(Sintesi!$C$15),1,$C120)&gt;0),2,IF($E120=(INDEX(_xlfn.ANCHORARRAY(Sintesi!$C$16),1,$C120)),3,4)))),0),IF($C120&gt;0,IF(($E120=INDEX(_xlfn.ANCHORARRAY(Sintesi!$C$14),1,$C120))*(INDEX(_xlfn.ANCHORARRAY(Sintesi!$C$15),1,$C120)&gt;0),0,IF(($E120=INDEX(_xlfn.ANCHORARRAY(Sintesi!$C$14),1,$C120))*(INDEX(_xlfn.ANCHORARRAY(Sintesi!$C$15),1,$C120)&lt;0)+($E120&gt;=LOOKUP(2,1/($E:$E&lt;&gt;""),$E:$E))*($E120&lt;=$E121)*($E120&gt;INDEX(_xlfn.ANCHORARRAY(Sintesi!$C$14),1,$C120))*($E120&lt;=INDEX(_xlfn.ANCHORARRAY(Sintesi!$C$15),1,$C120))*(INDEX(_xlfn.ANCHORARRAY(Sintesi!$C$15),1,$C120)&gt;0),1,IF(($E120&gt;=LOOKUP(2,1/($E:$E&lt;&gt;""),$E:$E))*($E120&lt;=$E121)*($E120&gt;INDEX(_xlfn.ANCHORARRAY(Sintesi!$C$14),1,$C120))*($E120&lt;INDEX(_xlfn.ANCHORARRAY(Sintesi!$C$16),1,$C120))*(INDEX(_xlfn.ANCHORARRAY(Sintesi!$C$15),1,$C120)&lt;0)+($E120&gt;=LOOKUP(2,1/($E:$E&lt;&gt;""),$E:$E))*($E120&lt;=$E121)*($E120&gt;INDEX(_xlfn.ANCHORARRAY(Sintesi!$C$15),1,$C120))*($E120&lt;INDEX(_xlfn.ANCHORARRAY(Sintesi!$C$16),1,$C120))*(INDEX(_xlfn.ANCHORARRAY(Sintesi!$C$15),1,$C120)&gt;0),2,IF($E120=(INDEX(_xlfn.ANCHORARRAY(Sintesi!$C$16),1,$C120)),3,4)))),0)))</f>
        <v>1</v>
      </c>
      <c r="E120" s="1">
        <f>'Paste cell here'!F120</f>
        <v>0.15</v>
      </c>
      <c r="F120" s="1">
        <f>'Paste cell here'!C120</f>
        <v>16.102679729999998</v>
      </c>
      <c r="G120" s="1">
        <f>'Paste cell here'!D120</f>
        <v>13.246074699999999</v>
      </c>
      <c r="H120" s="1">
        <f>'Paste cell here'!E120</f>
        <v>1.2998012919999999</v>
      </c>
      <c r="I120" s="1">
        <f>'Paste cell here'!X120</f>
        <v>0.19496693000000001</v>
      </c>
      <c r="J120" s="1">
        <f>'Paste cell here'!Y120+'Paste cell here'!S120</f>
        <v>0.19496693000000001</v>
      </c>
      <c r="K120" s="1">
        <f t="shared" si="3"/>
        <v>0.14999748900080337</v>
      </c>
      <c r="L120" s="1">
        <f t="shared" si="2"/>
        <v>15.033508275267852</v>
      </c>
      <c r="M120" s="1" cm="1">
        <f t="array" ref="M120">IF(AND(A120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,A120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),IF(L120&lt;_xlfn.IFNA(INDEX(_xlfn.ANCHORARRAY(Sintesi!$C$17)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,1,IF(L120&gt;=_xlfn.IFNA(INDEX(_xlfn.ANCHORARRAY(Sintesi!$C$18)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,0,1-(L120-_xlfn.IFNA(INDEX(_xlfn.ANCHORARRAY(Sintesi!$C$17)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)/(_xlfn.IFNA(INDEX(_xlfn.ANCHORARRAY(Sintesi!$C$18)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-_xlfn.IFNA(INDEX(_xlfn.ANCHORARRAY(Sintesi!$C$17),1,MATCH(1,(_xlfn.ANCHORARRAY(Sintesi!$C$9)&gt;_xlfn.ANCHORARRAY(Sintesi!$C$10))*(A119&gt;=_xlfn.ANCHORARRAY(Sintesi!$C$9))+(_xlfn.ANCHORARRAY(Sintesi!$C$9)&gt;_xlfn.ANCHORARRAY(Sintesi!$C$10))*(A119&lt;=_xlfn.ANCHORARRAY(Sintesi!$C$10))+(_xlfn.ANCHORARRAY(Sintesi!$C$9)&lt;_xlfn.ANCHORARRAY(Sintesi!$C$10))*(A119&gt;=_xlfn.ANCHORARRAY(Sintesi!$C$9))*(A119&lt;=_xlfn.ANCHORARRAY(Sintesi!$C$10)),0)),0)))),0)</f>
        <v>0</v>
      </c>
    </row>
    <row r="121" spans="1:13">
      <c r="A121" s="1">
        <f>'Paste cell here'!A121</f>
        <v>120</v>
      </c>
      <c r="B121" s="2">
        <f>DATE(Sintesi!$C$4-1,12,31)+A121</f>
        <v>44316</v>
      </c>
      <c r="C121" s="34" cm="1">
        <f t="array" ref="C121">_xlfn.IFNA(MATCH(1,(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)*(_xlfn.ANCHORARRAY(Sintesi!$C$15)&gt;=0)+(_xlfn.ANCHORARRAY(Sintesi!$C$15)&lt;0),0),0)</f>
        <v>1</v>
      </c>
      <c r="D121" s="1" cm="1">
        <f t="array" ref="D121">IF(ISBLANK($E122),IF(ISNUMBER($E120),IF($C121&gt;0,IF(($E121=INDEX(_xlfn.ANCHORARRAY(Sintesi!$C$14),1,$C121))*(INDEX(_xlfn.ANCHORARRAY(Sintesi!$C$15),1,$C121)&gt;0),0,IF(($E121=INDEX(_xlfn.ANCHORARRAY(Sintesi!$C$14),1,$C121))*(INDEX(_xlfn.ANCHORARRAY(Sintesi!$C$15),1,$C121)&lt;0)+($E121&gt;=$E120)*($E121&lt;=INDEX($E:$E,MATCH(TRUE,INDEX((ISNUMBER($E:$E)),0),0)))*($E121&gt;INDEX(_xlfn.ANCHORARRAY(Sintesi!$C$14),1,$C121))*($E121&lt;=INDEX(_xlfn.ANCHORARRAY(Sintesi!$C$15),1,$C121))*(INDEX(_xlfn.ANCHORARRAY(Sintesi!$C$15),1,$C121)&gt;0),1,IF(($E121&gt;=$E120)*($E121&lt;=INDEX($E:$E,MATCH(TRUE,INDEX((ISNUMBER($E:$E)),0),0)))*($E121&gt;INDEX(_xlfn.ANCHORARRAY(Sintesi!$C$14),1,$C121))*($E121&lt;INDEX(_xlfn.ANCHORARRAY(Sintesi!$C$16),1,$C121))*(INDEX(_xlfn.ANCHORARRAY(Sintesi!$C$15),1,$C121)&lt;0)+($E121&gt;=$E120)*($E121&lt;=INDEX($E:$E,MATCH(TRUE,INDEX((ISNUMBER($E:$E)),0),0)))*($E121&gt;INDEX(_xlfn.ANCHORARRAY(Sintesi!$C$15),1,$C121))*($E121&lt;INDEX(_xlfn.ANCHORARRAY(Sintesi!$C$16),1,$C121))*(INDEX(_xlfn.ANCHORARRAY(Sintesi!$C$15),1,$C121)&gt;0),2,IF($E121=(INDEX(_xlfn.ANCHORARRAY(Sintesi!$C$16),1,$C121)),3,4)))),0),IF($C121&gt;0,IF(($E121=INDEX(_xlfn.ANCHORARRAY(Sintesi!$C$14),1,$C121))*(INDEX(_xlfn.ANCHORARRAY(Sintesi!$C$15),1,$C121)&gt;0),0,IF(($E121=INDEX(_xlfn.ANCHORARRAY(Sintesi!$C$14),1,$C121))*(INDEX(_xlfn.ANCHORARRAY(Sintesi!$C$15),1,$C121)&lt;0)+($E121&gt;=LOOKUP(2,1/($E:$E&lt;&gt;""),$E:$E))*($E121&lt;=INDEX($E:$E,MATCH(TRUE,INDEX((ISNUMBER($E:$E)),0),0)))*($E121&gt;INDEX(_xlfn.ANCHORARRAY(Sintesi!$C$14),1,$C121))*($E121&lt;=INDEX(_xlfn.ANCHORARRAY(Sintesi!$C$15),1,$C121))*(INDEX(_xlfn.ANCHORARRAY(Sintesi!$C$15),1,$C121)&gt;0),1,IF(($E121&gt;=LOOKUP(2,1/($E:$E&lt;&gt;""),$E:$E))*($E121&lt;=INDEX($E:$E,MATCH(TRUE,INDEX((ISNUMBER($E:$E)),0),0)))*($E121&gt;INDEX(_xlfn.ANCHORARRAY(Sintesi!$C$14),1,$C121))*($E121&lt;INDEX(_xlfn.ANCHORARRAY(Sintesi!$C$16),1,$C121))*(INDEX(_xlfn.ANCHORARRAY(Sintesi!$C$15),1,$C121)&lt;0)+($E121&gt;=LOOKUP(2,1/($E:$E&lt;&gt;""),$E:$E))*($E121&lt;=INDEX($E:$E,MATCH(TRUE,INDEX((ISNUMBER($E:$E)),0),0)))*($E121&gt;INDEX(_xlfn.ANCHORARRAY(Sintesi!$C$15),1,$C121))*($E121&lt;INDEX(_xlfn.ANCHORARRAY(Sintesi!$C$16),1,$C121))*(INDEX(_xlfn.ANCHORARRAY(Sintesi!$C$15),1,$C121)&gt;0),2,IF($E121=(INDEX(_xlfn.ANCHORARRAY(Sintesi!$C$16),1,$C121)),3,4)))),0)),IF(ISNUMBER($E120),IF($C121&gt;0,IF(($E121=INDEX(_xlfn.ANCHORARRAY(Sintesi!$C$14),1,$C121))*(INDEX(_xlfn.ANCHORARRAY(Sintesi!$C$15),1,$C121)&gt;0),0,IF(($E121=INDEX(_xlfn.ANCHORARRAY(Sintesi!$C$14),1,$C121))*(INDEX(_xlfn.ANCHORARRAY(Sintesi!$C$15),1,$C121)&lt;0)+($E121&gt;=$E120)*($E121&lt;=$E122)*($E121&gt;INDEX(_xlfn.ANCHORARRAY(Sintesi!$C$14),1,$C121))*($E121&lt;=INDEX(_xlfn.ANCHORARRAY(Sintesi!$C$15),1,$C121))*(INDEX(_xlfn.ANCHORARRAY(Sintesi!$C$15),1,$C121)&gt;0),1,IF(($E121&gt;=$E120)*($E121&lt;=$E122)*($E121&gt;INDEX(_xlfn.ANCHORARRAY(Sintesi!$C$14),1,$C121))*($E121&lt;INDEX(_xlfn.ANCHORARRAY(Sintesi!$C$16),1,$C121))*(INDEX(_xlfn.ANCHORARRAY(Sintesi!$C$15),1,$C121)&lt;0)+($E121&gt;=$E120)*($E121&lt;=$E122)*($E121&gt;INDEX(_xlfn.ANCHORARRAY(Sintesi!$C$15),1,$C121))*($E121&lt;INDEX(_xlfn.ANCHORARRAY(Sintesi!$C$16),1,$C121))*(INDEX(_xlfn.ANCHORARRAY(Sintesi!$C$15),1,$C121)&gt;0),2,IF($E121=(INDEX(_xlfn.ANCHORARRAY(Sintesi!$C$16),1,$C121)),3,4)))),0),IF($C121&gt;0,IF(($E121=INDEX(_xlfn.ANCHORARRAY(Sintesi!$C$14),1,$C121))*(INDEX(_xlfn.ANCHORARRAY(Sintesi!$C$15),1,$C121)&gt;0),0,IF(($E121=INDEX(_xlfn.ANCHORARRAY(Sintesi!$C$14),1,$C121))*(INDEX(_xlfn.ANCHORARRAY(Sintesi!$C$15),1,$C121)&lt;0)+($E121&gt;=LOOKUP(2,1/($E:$E&lt;&gt;""),$E:$E))*($E121&lt;=$E122)*($E121&gt;INDEX(_xlfn.ANCHORARRAY(Sintesi!$C$14),1,$C121))*($E121&lt;=INDEX(_xlfn.ANCHORARRAY(Sintesi!$C$15),1,$C121))*(INDEX(_xlfn.ANCHORARRAY(Sintesi!$C$15),1,$C121)&gt;0),1,IF(($E121&gt;=LOOKUP(2,1/($E:$E&lt;&gt;""),$E:$E))*($E121&lt;=$E122)*($E121&gt;INDEX(_xlfn.ANCHORARRAY(Sintesi!$C$14),1,$C121))*($E121&lt;INDEX(_xlfn.ANCHORARRAY(Sintesi!$C$16),1,$C121))*(INDEX(_xlfn.ANCHORARRAY(Sintesi!$C$15),1,$C121)&lt;0)+($E121&gt;=LOOKUP(2,1/($E:$E&lt;&gt;""),$E:$E))*($E121&lt;=$E122)*($E121&gt;INDEX(_xlfn.ANCHORARRAY(Sintesi!$C$15),1,$C121))*($E121&lt;INDEX(_xlfn.ANCHORARRAY(Sintesi!$C$16),1,$C121))*(INDEX(_xlfn.ANCHORARRAY(Sintesi!$C$15),1,$C121)&gt;0),2,IF($E121=(INDEX(_xlfn.ANCHORARRAY(Sintesi!$C$16),1,$C121)),3,4)))),0)))</f>
        <v>1</v>
      </c>
      <c r="E121" s="1">
        <f>'Paste cell here'!F121</f>
        <v>0.15</v>
      </c>
      <c r="F121" s="1">
        <f>'Paste cell here'!C121</f>
        <v>20.038750589999999</v>
      </c>
      <c r="G121" s="1">
        <f>'Paste cell here'!D121</f>
        <v>12.82066023</v>
      </c>
      <c r="H121" s="1">
        <f>'Paste cell here'!E121</f>
        <v>2.1881122660000001</v>
      </c>
      <c r="I121" s="1">
        <f>'Paste cell here'!X121</f>
        <v>0.32821096900000002</v>
      </c>
      <c r="J121" s="1">
        <f>'Paste cell here'!Y121+'Paste cell here'!S121</f>
        <v>0.32821096900000002</v>
      </c>
      <c r="K121" s="1">
        <f t="shared" si="3"/>
        <v>0.14999731691097792</v>
      </c>
      <c r="L121" s="1">
        <f t="shared" si="2"/>
        <v>17.33716038430423</v>
      </c>
      <c r="M121" s="1" cm="1">
        <f t="array" ref="M121">IF(AND(A121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,A121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),IF(L121&lt;_xlfn.IFNA(INDEX(_xlfn.ANCHORARRAY(Sintesi!$C$17)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,1,IF(L121&gt;=_xlfn.IFNA(INDEX(_xlfn.ANCHORARRAY(Sintesi!$C$18)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,0,1-(L121-_xlfn.IFNA(INDEX(_xlfn.ANCHORARRAY(Sintesi!$C$17)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)/(_xlfn.IFNA(INDEX(_xlfn.ANCHORARRAY(Sintesi!$C$18)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-_xlfn.IFNA(INDEX(_xlfn.ANCHORARRAY(Sintesi!$C$17),1,MATCH(1,(_xlfn.ANCHORARRAY(Sintesi!$C$9)&gt;_xlfn.ANCHORARRAY(Sintesi!$C$10))*(A120&gt;=_xlfn.ANCHORARRAY(Sintesi!$C$9))+(_xlfn.ANCHORARRAY(Sintesi!$C$9)&gt;_xlfn.ANCHORARRAY(Sintesi!$C$10))*(A120&lt;=_xlfn.ANCHORARRAY(Sintesi!$C$10))+(_xlfn.ANCHORARRAY(Sintesi!$C$9)&lt;_xlfn.ANCHORARRAY(Sintesi!$C$10))*(A120&gt;=_xlfn.ANCHORARRAY(Sintesi!$C$9))*(A120&lt;=_xlfn.ANCHORARRAY(Sintesi!$C$10)),0)),0)))),0)</f>
        <v>0</v>
      </c>
    </row>
    <row r="122" spans="1:13">
      <c r="A122" s="1">
        <f>'Paste cell here'!A122</f>
        <v>121</v>
      </c>
      <c r="B122" s="2">
        <f>DATE(Sintesi!$C$4-1,12,31)+A122</f>
        <v>44317</v>
      </c>
      <c r="C122" s="34" cm="1">
        <f t="array" ref="C122">_xlfn.IFNA(MATCH(1,(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)*(_xlfn.ANCHORARRAY(Sintesi!$C$15)&gt;=0)+(_xlfn.ANCHORARRAY(Sintesi!$C$15)&lt;0),0),0)</f>
        <v>1</v>
      </c>
      <c r="D122" s="1" cm="1">
        <f t="array" ref="D122">IF(ISBLANK($E123),IF(ISNUMBER($E121),IF($C122&gt;0,IF(($E122=INDEX(_xlfn.ANCHORARRAY(Sintesi!$C$14),1,$C122))*(INDEX(_xlfn.ANCHORARRAY(Sintesi!$C$15),1,$C122)&gt;0),0,IF(($E122=INDEX(_xlfn.ANCHORARRAY(Sintesi!$C$14),1,$C122))*(INDEX(_xlfn.ANCHORARRAY(Sintesi!$C$15),1,$C122)&lt;0)+($E122&gt;=$E121)*($E122&lt;=INDEX($E:$E,MATCH(TRUE,INDEX((ISNUMBER($E:$E)),0),0)))*($E122&gt;INDEX(_xlfn.ANCHORARRAY(Sintesi!$C$14),1,$C122))*($E122&lt;=INDEX(_xlfn.ANCHORARRAY(Sintesi!$C$15),1,$C122))*(INDEX(_xlfn.ANCHORARRAY(Sintesi!$C$15),1,$C122)&gt;0),1,IF(($E122&gt;=$E121)*($E122&lt;=INDEX($E:$E,MATCH(TRUE,INDEX((ISNUMBER($E:$E)),0),0)))*($E122&gt;INDEX(_xlfn.ANCHORARRAY(Sintesi!$C$14),1,$C122))*($E122&lt;INDEX(_xlfn.ANCHORARRAY(Sintesi!$C$16),1,$C122))*(INDEX(_xlfn.ANCHORARRAY(Sintesi!$C$15),1,$C122)&lt;0)+($E122&gt;=$E121)*($E122&lt;=INDEX($E:$E,MATCH(TRUE,INDEX((ISNUMBER($E:$E)),0),0)))*($E122&gt;INDEX(_xlfn.ANCHORARRAY(Sintesi!$C$15),1,$C122))*($E122&lt;INDEX(_xlfn.ANCHORARRAY(Sintesi!$C$16),1,$C122))*(INDEX(_xlfn.ANCHORARRAY(Sintesi!$C$15),1,$C122)&gt;0),2,IF($E122=(INDEX(_xlfn.ANCHORARRAY(Sintesi!$C$16),1,$C122)),3,4)))),0),IF($C122&gt;0,IF(($E122=INDEX(_xlfn.ANCHORARRAY(Sintesi!$C$14),1,$C122))*(INDEX(_xlfn.ANCHORARRAY(Sintesi!$C$15),1,$C122)&gt;0),0,IF(($E122=INDEX(_xlfn.ANCHORARRAY(Sintesi!$C$14),1,$C122))*(INDEX(_xlfn.ANCHORARRAY(Sintesi!$C$15),1,$C122)&lt;0)+($E122&gt;=LOOKUP(2,1/($E:$E&lt;&gt;""),$E:$E))*($E122&lt;=INDEX($E:$E,MATCH(TRUE,INDEX((ISNUMBER($E:$E)),0),0)))*($E122&gt;INDEX(_xlfn.ANCHORARRAY(Sintesi!$C$14),1,$C122))*($E122&lt;=INDEX(_xlfn.ANCHORARRAY(Sintesi!$C$15),1,$C122))*(INDEX(_xlfn.ANCHORARRAY(Sintesi!$C$15),1,$C122)&gt;0),1,IF(($E122&gt;=LOOKUP(2,1/($E:$E&lt;&gt;""),$E:$E))*($E122&lt;=INDEX($E:$E,MATCH(TRUE,INDEX((ISNUMBER($E:$E)),0),0)))*($E122&gt;INDEX(_xlfn.ANCHORARRAY(Sintesi!$C$14),1,$C122))*($E122&lt;INDEX(_xlfn.ANCHORARRAY(Sintesi!$C$16),1,$C122))*(INDEX(_xlfn.ANCHORARRAY(Sintesi!$C$15),1,$C122)&lt;0)+($E122&gt;=LOOKUP(2,1/($E:$E&lt;&gt;""),$E:$E))*($E122&lt;=INDEX($E:$E,MATCH(TRUE,INDEX((ISNUMBER($E:$E)),0),0)))*($E122&gt;INDEX(_xlfn.ANCHORARRAY(Sintesi!$C$15),1,$C122))*($E122&lt;INDEX(_xlfn.ANCHORARRAY(Sintesi!$C$16),1,$C122))*(INDEX(_xlfn.ANCHORARRAY(Sintesi!$C$15),1,$C122)&gt;0),2,IF($E122=(INDEX(_xlfn.ANCHORARRAY(Sintesi!$C$16),1,$C122)),3,4)))),0)),IF(ISNUMBER($E121),IF($C122&gt;0,IF(($E122=INDEX(_xlfn.ANCHORARRAY(Sintesi!$C$14),1,$C122))*(INDEX(_xlfn.ANCHORARRAY(Sintesi!$C$15),1,$C122)&gt;0),0,IF(($E122=INDEX(_xlfn.ANCHORARRAY(Sintesi!$C$14),1,$C122))*(INDEX(_xlfn.ANCHORARRAY(Sintesi!$C$15),1,$C122)&lt;0)+($E122&gt;=$E121)*($E122&lt;=$E123)*($E122&gt;INDEX(_xlfn.ANCHORARRAY(Sintesi!$C$14),1,$C122))*($E122&lt;=INDEX(_xlfn.ANCHORARRAY(Sintesi!$C$15),1,$C122))*(INDEX(_xlfn.ANCHORARRAY(Sintesi!$C$15),1,$C122)&gt;0),1,IF(($E122&gt;=$E121)*($E122&lt;=$E123)*($E122&gt;INDEX(_xlfn.ANCHORARRAY(Sintesi!$C$14),1,$C122))*($E122&lt;INDEX(_xlfn.ANCHORARRAY(Sintesi!$C$16),1,$C122))*(INDEX(_xlfn.ANCHORARRAY(Sintesi!$C$15),1,$C122)&lt;0)+($E122&gt;=$E121)*($E122&lt;=$E123)*($E122&gt;INDEX(_xlfn.ANCHORARRAY(Sintesi!$C$15),1,$C122))*($E122&lt;INDEX(_xlfn.ANCHORARRAY(Sintesi!$C$16),1,$C122))*(INDEX(_xlfn.ANCHORARRAY(Sintesi!$C$15),1,$C122)&gt;0),2,IF($E122=(INDEX(_xlfn.ANCHORARRAY(Sintesi!$C$16),1,$C122)),3,4)))),0),IF($C122&gt;0,IF(($E122=INDEX(_xlfn.ANCHORARRAY(Sintesi!$C$14),1,$C122))*(INDEX(_xlfn.ANCHORARRAY(Sintesi!$C$15),1,$C122)&gt;0),0,IF(($E122=INDEX(_xlfn.ANCHORARRAY(Sintesi!$C$14),1,$C122))*(INDEX(_xlfn.ANCHORARRAY(Sintesi!$C$15),1,$C122)&lt;0)+($E122&gt;=LOOKUP(2,1/($E:$E&lt;&gt;""),$E:$E))*($E122&lt;=$E123)*($E122&gt;INDEX(_xlfn.ANCHORARRAY(Sintesi!$C$14),1,$C122))*($E122&lt;=INDEX(_xlfn.ANCHORARRAY(Sintesi!$C$15),1,$C122))*(INDEX(_xlfn.ANCHORARRAY(Sintesi!$C$15),1,$C122)&gt;0),1,IF(($E122&gt;=LOOKUP(2,1/($E:$E&lt;&gt;""),$E:$E))*($E122&lt;=$E123)*($E122&gt;INDEX(_xlfn.ANCHORARRAY(Sintesi!$C$14),1,$C122))*($E122&lt;INDEX(_xlfn.ANCHORARRAY(Sintesi!$C$16),1,$C122))*(INDEX(_xlfn.ANCHORARRAY(Sintesi!$C$15),1,$C122)&lt;0)+($E122&gt;=LOOKUP(2,1/($E:$E&lt;&gt;""),$E:$E))*($E122&lt;=$E123)*($E122&gt;INDEX(_xlfn.ANCHORARRAY(Sintesi!$C$15),1,$C122))*($E122&lt;INDEX(_xlfn.ANCHORARRAY(Sintesi!$C$16),1,$C122))*(INDEX(_xlfn.ANCHORARRAY(Sintesi!$C$15),1,$C122)&gt;0),2,IF($E122=(INDEX(_xlfn.ANCHORARRAY(Sintesi!$C$16),1,$C122)),3,4)))),0)))</f>
        <v>1</v>
      </c>
      <c r="E122" s="1">
        <f>'Paste cell here'!F122</f>
        <v>0.15</v>
      </c>
      <c r="F122" s="1">
        <f>'Paste cell here'!C122</f>
        <v>18.905375660000001</v>
      </c>
      <c r="G122" s="1">
        <f>'Paste cell here'!D122</f>
        <v>11.425456130000001</v>
      </c>
      <c r="H122" s="1">
        <f>'Paste cell here'!E122</f>
        <v>1.669758514</v>
      </c>
      <c r="I122" s="1">
        <f>'Paste cell here'!X122</f>
        <v>0.25045899599999999</v>
      </c>
      <c r="J122" s="1">
        <f>'Paste cell here'!Y122+'Paste cell here'!S122</f>
        <v>0.25045899599999999</v>
      </c>
      <c r="K122" s="1">
        <f t="shared" si="3"/>
        <v>0.14999713665182127</v>
      </c>
      <c r="L122" s="1">
        <f t="shared" si="2"/>
        <v>16.47739764895784</v>
      </c>
      <c r="M122" s="1" cm="1">
        <f t="array" ref="M122">IF(AND(A122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,A122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),IF(L122&lt;_xlfn.IFNA(INDEX(_xlfn.ANCHORARRAY(Sintesi!$C$17)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,1,IF(L122&gt;=_xlfn.IFNA(INDEX(_xlfn.ANCHORARRAY(Sintesi!$C$18)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,0,1-(L122-_xlfn.IFNA(INDEX(_xlfn.ANCHORARRAY(Sintesi!$C$17)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)/(_xlfn.IFNA(INDEX(_xlfn.ANCHORARRAY(Sintesi!$C$18)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-_xlfn.IFNA(INDEX(_xlfn.ANCHORARRAY(Sintesi!$C$17),1,MATCH(1,(_xlfn.ANCHORARRAY(Sintesi!$C$9)&gt;_xlfn.ANCHORARRAY(Sintesi!$C$10))*(A121&gt;=_xlfn.ANCHORARRAY(Sintesi!$C$9))+(_xlfn.ANCHORARRAY(Sintesi!$C$9)&gt;_xlfn.ANCHORARRAY(Sintesi!$C$10))*(A121&lt;=_xlfn.ANCHORARRAY(Sintesi!$C$10))+(_xlfn.ANCHORARRAY(Sintesi!$C$9)&lt;_xlfn.ANCHORARRAY(Sintesi!$C$10))*(A121&gt;=_xlfn.ANCHORARRAY(Sintesi!$C$9))*(A121&lt;=_xlfn.ANCHORARRAY(Sintesi!$C$10)),0)),0)))),0)</f>
        <v>0</v>
      </c>
    </row>
    <row r="123" spans="1:13">
      <c r="A123" s="1">
        <f>'Paste cell here'!A123</f>
        <v>122</v>
      </c>
      <c r="B123" s="2">
        <f>DATE(Sintesi!$C$4-1,12,31)+A123</f>
        <v>44318</v>
      </c>
      <c r="C123" s="34" cm="1">
        <f t="array" ref="C123">_xlfn.IFNA(MATCH(1,(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)*(_xlfn.ANCHORARRAY(Sintesi!$C$15)&gt;=0)+(_xlfn.ANCHORARRAY(Sintesi!$C$15)&lt;0),0),0)</f>
        <v>1</v>
      </c>
      <c r="D123" s="1" cm="1">
        <f t="array" ref="D123">IF(ISBLANK($E124),IF(ISNUMBER($E122),IF($C123&gt;0,IF(($E123=INDEX(_xlfn.ANCHORARRAY(Sintesi!$C$14),1,$C123))*(INDEX(_xlfn.ANCHORARRAY(Sintesi!$C$15),1,$C123)&gt;0),0,IF(($E123=INDEX(_xlfn.ANCHORARRAY(Sintesi!$C$14),1,$C123))*(INDEX(_xlfn.ANCHORARRAY(Sintesi!$C$15),1,$C123)&lt;0)+($E123&gt;=$E122)*($E123&lt;=INDEX($E:$E,MATCH(TRUE,INDEX((ISNUMBER($E:$E)),0),0)))*($E123&gt;INDEX(_xlfn.ANCHORARRAY(Sintesi!$C$14),1,$C123))*($E123&lt;=INDEX(_xlfn.ANCHORARRAY(Sintesi!$C$15),1,$C123))*(INDEX(_xlfn.ANCHORARRAY(Sintesi!$C$15),1,$C123)&gt;0),1,IF(($E123&gt;=$E122)*($E123&lt;=INDEX($E:$E,MATCH(TRUE,INDEX((ISNUMBER($E:$E)),0),0)))*($E123&gt;INDEX(_xlfn.ANCHORARRAY(Sintesi!$C$14),1,$C123))*($E123&lt;INDEX(_xlfn.ANCHORARRAY(Sintesi!$C$16),1,$C123))*(INDEX(_xlfn.ANCHORARRAY(Sintesi!$C$15),1,$C123)&lt;0)+($E123&gt;=$E122)*($E123&lt;=INDEX($E:$E,MATCH(TRUE,INDEX((ISNUMBER($E:$E)),0),0)))*($E123&gt;INDEX(_xlfn.ANCHORARRAY(Sintesi!$C$15),1,$C123))*($E123&lt;INDEX(_xlfn.ANCHORARRAY(Sintesi!$C$16),1,$C123))*(INDEX(_xlfn.ANCHORARRAY(Sintesi!$C$15),1,$C123)&gt;0),2,IF($E123=(INDEX(_xlfn.ANCHORARRAY(Sintesi!$C$16),1,$C123)),3,4)))),0),IF($C123&gt;0,IF(($E123=INDEX(_xlfn.ANCHORARRAY(Sintesi!$C$14),1,$C123))*(INDEX(_xlfn.ANCHORARRAY(Sintesi!$C$15),1,$C123)&gt;0),0,IF(($E123=INDEX(_xlfn.ANCHORARRAY(Sintesi!$C$14),1,$C123))*(INDEX(_xlfn.ANCHORARRAY(Sintesi!$C$15),1,$C123)&lt;0)+($E123&gt;=LOOKUP(2,1/($E:$E&lt;&gt;""),$E:$E))*($E123&lt;=INDEX($E:$E,MATCH(TRUE,INDEX((ISNUMBER($E:$E)),0),0)))*($E123&gt;INDEX(_xlfn.ANCHORARRAY(Sintesi!$C$14),1,$C123))*($E123&lt;=INDEX(_xlfn.ANCHORARRAY(Sintesi!$C$15),1,$C123))*(INDEX(_xlfn.ANCHORARRAY(Sintesi!$C$15),1,$C123)&gt;0),1,IF(($E123&gt;=LOOKUP(2,1/($E:$E&lt;&gt;""),$E:$E))*($E123&lt;=INDEX($E:$E,MATCH(TRUE,INDEX((ISNUMBER($E:$E)),0),0)))*($E123&gt;INDEX(_xlfn.ANCHORARRAY(Sintesi!$C$14),1,$C123))*($E123&lt;INDEX(_xlfn.ANCHORARRAY(Sintesi!$C$16),1,$C123))*(INDEX(_xlfn.ANCHORARRAY(Sintesi!$C$15),1,$C123)&lt;0)+($E123&gt;=LOOKUP(2,1/($E:$E&lt;&gt;""),$E:$E))*($E123&lt;=INDEX($E:$E,MATCH(TRUE,INDEX((ISNUMBER($E:$E)),0),0)))*($E123&gt;INDEX(_xlfn.ANCHORARRAY(Sintesi!$C$15),1,$C123))*($E123&lt;INDEX(_xlfn.ANCHORARRAY(Sintesi!$C$16),1,$C123))*(INDEX(_xlfn.ANCHORARRAY(Sintesi!$C$15),1,$C123)&gt;0),2,IF($E123=(INDEX(_xlfn.ANCHORARRAY(Sintesi!$C$16),1,$C123)),3,4)))),0)),IF(ISNUMBER($E122),IF($C123&gt;0,IF(($E123=INDEX(_xlfn.ANCHORARRAY(Sintesi!$C$14),1,$C123))*(INDEX(_xlfn.ANCHORARRAY(Sintesi!$C$15),1,$C123)&gt;0),0,IF(($E123=INDEX(_xlfn.ANCHORARRAY(Sintesi!$C$14),1,$C123))*(INDEX(_xlfn.ANCHORARRAY(Sintesi!$C$15),1,$C123)&lt;0)+($E123&gt;=$E122)*($E123&lt;=$E124)*($E123&gt;INDEX(_xlfn.ANCHORARRAY(Sintesi!$C$14),1,$C123))*($E123&lt;=INDEX(_xlfn.ANCHORARRAY(Sintesi!$C$15),1,$C123))*(INDEX(_xlfn.ANCHORARRAY(Sintesi!$C$15),1,$C123)&gt;0),1,IF(($E123&gt;=$E122)*($E123&lt;=$E124)*($E123&gt;INDEX(_xlfn.ANCHORARRAY(Sintesi!$C$14),1,$C123))*($E123&lt;INDEX(_xlfn.ANCHORARRAY(Sintesi!$C$16),1,$C123))*(INDEX(_xlfn.ANCHORARRAY(Sintesi!$C$15),1,$C123)&lt;0)+($E123&gt;=$E122)*($E123&lt;=$E124)*($E123&gt;INDEX(_xlfn.ANCHORARRAY(Sintesi!$C$15),1,$C123))*($E123&lt;INDEX(_xlfn.ANCHORARRAY(Sintesi!$C$16),1,$C123))*(INDEX(_xlfn.ANCHORARRAY(Sintesi!$C$15),1,$C123)&gt;0),2,IF($E123=(INDEX(_xlfn.ANCHORARRAY(Sintesi!$C$16),1,$C123)),3,4)))),0),IF($C123&gt;0,IF(($E123=INDEX(_xlfn.ANCHORARRAY(Sintesi!$C$14),1,$C123))*(INDEX(_xlfn.ANCHORARRAY(Sintesi!$C$15),1,$C123)&gt;0),0,IF(($E123=INDEX(_xlfn.ANCHORARRAY(Sintesi!$C$14),1,$C123))*(INDEX(_xlfn.ANCHORARRAY(Sintesi!$C$15),1,$C123)&lt;0)+($E123&gt;=LOOKUP(2,1/($E:$E&lt;&gt;""),$E:$E))*($E123&lt;=$E124)*($E123&gt;INDEX(_xlfn.ANCHORARRAY(Sintesi!$C$14),1,$C123))*($E123&lt;=INDEX(_xlfn.ANCHORARRAY(Sintesi!$C$15),1,$C123))*(INDEX(_xlfn.ANCHORARRAY(Sintesi!$C$15),1,$C123)&gt;0),1,IF(($E123&gt;=LOOKUP(2,1/($E:$E&lt;&gt;""),$E:$E))*($E123&lt;=$E124)*($E123&gt;INDEX(_xlfn.ANCHORARRAY(Sintesi!$C$14),1,$C123))*($E123&lt;INDEX(_xlfn.ANCHORARRAY(Sintesi!$C$16),1,$C123))*(INDEX(_xlfn.ANCHORARRAY(Sintesi!$C$15),1,$C123)&lt;0)+($E123&gt;=LOOKUP(2,1/($E:$E&lt;&gt;""),$E:$E))*($E123&lt;=$E124)*($E123&gt;INDEX(_xlfn.ANCHORARRAY(Sintesi!$C$15),1,$C123))*($E123&lt;INDEX(_xlfn.ANCHORARRAY(Sintesi!$C$16),1,$C123))*(INDEX(_xlfn.ANCHORARRAY(Sintesi!$C$15),1,$C123)&gt;0),2,IF($E123=(INDEX(_xlfn.ANCHORARRAY(Sintesi!$C$16),1,$C123)),3,4)))),0)))</f>
        <v>1</v>
      </c>
      <c r="E123" s="1">
        <f>'Paste cell here'!F123</f>
        <v>0.15</v>
      </c>
      <c r="F123" s="1">
        <f>'Paste cell here'!C123</f>
        <v>22.684715430000001</v>
      </c>
      <c r="G123" s="1">
        <f>'Paste cell here'!D123</f>
        <v>10.65660503</v>
      </c>
      <c r="H123" s="1">
        <f>'Paste cell here'!E123</f>
        <v>4.1847400370000001</v>
      </c>
      <c r="I123" s="1">
        <f>'Paste cell here'!X123</f>
        <v>0.62769823400000002</v>
      </c>
      <c r="J123" s="1">
        <f>'Paste cell here'!Y123+'Paste cell here'!S123</f>
        <v>0.62769823400000002</v>
      </c>
      <c r="K123" s="1">
        <f t="shared" si="3"/>
        <v>0.14999694806609562</v>
      </c>
      <c r="L123" s="1">
        <f t="shared" si="2"/>
        <v>18.780397014747273</v>
      </c>
      <c r="M123" s="1" cm="1">
        <f t="array" ref="M123">IF(AND(A123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,A123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),IF(L123&lt;_xlfn.IFNA(INDEX(_xlfn.ANCHORARRAY(Sintesi!$C$17)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,1,IF(L123&gt;=_xlfn.IFNA(INDEX(_xlfn.ANCHORARRAY(Sintesi!$C$18)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,0,1-(L123-_xlfn.IFNA(INDEX(_xlfn.ANCHORARRAY(Sintesi!$C$17)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)/(_xlfn.IFNA(INDEX(_xlfn.ANCHORARRAY(Sintesi!$C$18)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-_xlfn.IFNA(INDEX(_xlfn.ANCHORARRAY(Sintesi!$C$17),1,MATCH(1,(_xlfn.ANCHORARRAY(Sintesi!$C$9)&gt;_xlfn.ANCHORARRAY(Sintesi!$C$10))*(A122&gt;=_xlfn.ANCHORARRAY(Sintesi!$C$9))+(_xlfn.ANCHORARRAY(Sintesi!$C$9)&gt;_xlfn.ANCHORARRAY(Sintesi!$C$10))*(A122&lt;=_xlfn.ANCHORARRAY(Sintesi!$C$10))+(_xlfn.ANCHORARRAY(Sintesi!$C$9)&lt;_xlfn.ANCHORARRAY(Sintesi!$C$10))*(A122&gt;=_xlfn.ANCHORARRAY(Sintesi!$C$9))*(A122&lt;=_xlfn.ANCHORARRAY(Sintesi!$C$10)),0)),0)))),0)</f>
        <v>0</v>
      </c>
    </row>
    <row r="124" spans="1:13">
      <c r="A124" s="1">
        <f>'Paste cell here'!A124</f>
        <v>123</v>
      </c>
      <c r="B124" s="2">
        <f>DATE(Sintesi!$C$4-1,12,31)+A124</f>
        <v>44319</v>
      </c>
      <c r="C124" s="34" cm="1">
        <f t="array" ref="C124">_xlfn.IFNA(MATCH(1,(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)*(_xlfn.ANCHORARRAY(Sintesi!$C$15)&gt;=0)+(_xlfn.ANCHORARRAY(Sintesi!$C$15)&lt;0),0),0)</f>
        <v>1</v>
      </c>
      <c r="D124" s="1" cm="1">
        <f t="array" ref="D124">IF(ISBLANK($E125),IF(ISNUMBER($E123),IF($C124&gt;0,IF(($E124=INDEX(_xlfn.ANCHORARRAY(Sintesi!$C$14),1,$C124))*(INDEX(_xlfn.ANCHORARRAY(Sintesi!$C$15),1,$C124)&gt;0),0,IF(($E124=INDEX(_xlfn.ANCHORARRAY(Sintesi!$C$14),1,$C124))*(INDEX(_xlfn.ANCHORARRAY(Sintesi!$C$15),1,$C124)&lt;0)+($E124&gt;=$E123)*($E124&lt;=INDEX($E:$E,MATCH(TRUE,INDEX((ISNUMBER($E:$E)),0),0)))*($E124&gt;INDEX(_xlfn.ANCHORARRAY(Sintesi!$C$14),1,$C124))*($E124&lt;=INDEX(_xlfn.ANCHORARRAY(Sintesi!$C$15),1,$C124))*(INDEX(_xlfn.ANCHORARRAY(Sintesi!$C$15),1,$C124)&gt;0),1,IF(($E124&gt;=$E123)*($E124&lt;=INDEX($E:$E,MATCH(TRUE,INDEX((ISNUMBER($E:$E)),0),0)))*($E124&gt;INDEX(_xlfn.ANCHORARRAY(Sintesi!$C$14),1,$C124))*($E124&lt;INDEX(_xlfn.ANCHORARRAY(Sintesi!$C$16),1,$C124))*(INDEX(_xlfn.ANCHORARRAY(Sintesi!$C$15),1,$C124)&lt;0)+($E124&gt;=$E123)*($E124&lt;=INDEX($E:$E,MATCH(TRUE,INDEX((ISNUMBER($E:$E)),0),0)))*($E124&gt;INDEX(_xlfn.ANCHORARRAY(Sintesi!$C$15),1,$C124))*($E124&lt;INDEX(_xlfn.ANCHORARRAY(Sintesi!$C$16),1,$C124))*(INDEX(_xlfn.ANCHORARRAY(Sintesi!$C$15),1,$C124)&gt;0),2,IF($E124=(INDEX(_xlfn.ANCHORARRAY(Sintesi!$C$16),1,$C124)),3,4)))),0),IF($C124&gt;0,IF(($E124=INDEX(_xlfn.ANCHORARRAY(Sintesi!$C$14),1,$C124))*(INDEX(_xlfn.ANCHORARRAY(Sintesi!$C$15),1,$C124)&gt;0),0,IF(($E124=INDEX(_xlfn.ANCHORARRAY(Sintesi!$C$14),1,$C124))*(INDEX(_xlfn.ANCHORARRAY(Sintesi!$C$15),1,$C124)&lt;0)+($E124&gt;=LOOKUP(2,1/($E:$E&lt;&gt;""),$E:$E))*($E124&lt;=INDEX($E:$E,MATCH(TRUE,INDEX((ISNUMBER($E:$E)),0),0)))*($E124&gt;INDEX(_xlfn.ANCHORARRAY(Sintesi!$C$14),1,$C124))*($E124&lt;=INDEX(_xlfn.ANCHORARRAY(Sintesi!$C$15),1,$C124))*(INDEX(_xlfn.ANCHORARRAY(Sintesi!$C$15),1,$C124)&gt;0),1,IF(($E124&gt;=LOOKUP(2,1/($E:$E&lt;&gt;""),$E:$E))*($E124&lt;=INDEX($E:$E,MATCH(TRUE,INDEX((ISNUMBER($E:$E)),0),0)))*($E124&gt;INDEX(_xlfn.ANCHORARRAY(Sintesi!$C$14),1,$C124))*($E124&lt;INDEX(_xlfn.ANCHORARRAY(Sintesi!$C$16),1,$C124))*(INDEX(_xlfn.ANCHORARRAY(Sintesi!$C$15),1,$C124)&lt;0)+($E124&gt;=LOOKUP(2,1/($E:$E&lt;&gt;""),$E:$E))*($E124&lt;=INDEX($E:$E,MATCH(TRUE,INDEX((ISNUMBER($E:$E)),0),0)))*($E124&gt;INDEX(_xlfn.ANCHORARRAY(Sintesi!$C$15),1,$C124))*($E124&lt;INDEX(_xlfn.ANCHORARRAY(Sintesi!$C$16),1,$C124))*(INDEX(_xlfn.ANCHORARRAY(Sintesi!$C$15),1,$C124)&gt;0),2,IF($E124=(INDEX(_xlfn.ANCHORARRAY(Sintesi!$C$16),1,$C124)),3,4)))),0)),IF(ISNUMBER($E123),IF($C124&gt;0,IF(($E124=INDEX(_xlfn.ANCHORARRAY(Sintesi!$C$14),1,$C124))*(INDEX(_xlfn.ANCHORARRAY(Sintesi!$C$15),1,$C124)&gt;0),0,IF(($E124=INDEX(_xlfn.ANCHORARRAY(Sintesi!$C$14),1,$C124))*(INDEX(_xlfn.ANCHORARRAY(Sintesi!$C$15),1,$C124)&lt;0)+($E124&gt;=$E123)*($E124&lt;=$E125)*($E124&gt;INDEX(_xlfn.ANCHORARRAY(Sintesi!$C$14),1,$C124))*($E124&lt;=INDEX(_xlfn.ANCHORARRAY(Sintesi!$C$15),1,$C124))*(INDEX(_xlfn.ANCHORARRAY(Sintesi!$C$15),1,$C124)&gt;0),1,IF(($E124&gt;=$E123)*($E124&lt;=$E125)*($E124&gt;INDEX(_xlfn.ANCHORARRAY(Sintesi!$C$14),1,$C124))*($E124&lt;INDEX(_xlfn.ANCHORARRAY(Sintesi!$C$16),1,$C124))*(INDEX(_xlfn.ANCHORARRAY(Sintesi!$C$15),1,$C124)&lt;0)+($E124&gt;=$E123)*($E124&lt;=$E125)*($E124&gt;INDEX(_xlfn.ANCHORARRAY(Sintesi!$C$15),1,$C124))*($E124&lt;INDEX(_xlfn.ANCHORARRAY(Sintesi!$C$16),1,$C124))*(INDEX(_xlfn.ANCHORARRAY(Sintesi!$C$15),1,$C124)&gt;0),2,IF($E124=(INDEX(_xlfn.ANCHORARRAY(Sintesi!$C$16),1,$C124)),3,4)))),0),IF($C124&gt;0,IF(($E124=INDEX(_xlfn.ANCHORARRAY(Sintesi!$C$14),1,$C124))*(INDEX(_xlfn.ANCHORARRAY(Sintesi!$C$15),1,$C124)&gt;0),0,IF(($E124=INDEX(_xlfn.ANCHORARRAY(Sintesi!$C$14),1,$C124))*(INDEX(_xlfn.ANCHORARRAY(Sintesi!$C$15),1,$C124)&lt;0)+($E124&gt;=LOOKUP(2,1/($E:$E&lt;&gt;""),$E:$E))*($E124&lt;=$E125)*($E124&gt;INDEX(_xlfn.ANCHORARRAY(Sintesi!$C$14),1,$C124))*($E124&lt;=INDEX(_xlfn.ANCHORARRAY(Sintesi!$C$15),1,$C124))*(INDEX(_xlfn.ANCHORARRAY(Sintesi!$C$15),1,$C124)&gt;0),1,IF(($E124&gt;=LOOKUP(2,1/($E:$E&lt;&gt;""),$E:$E))*($E124&lt;=$E125)*($E124&gt;INDEX(_xlfn.ANCHORARRAY(Sintesi!$C$14),1,$C124))*($E124&lt;INDEX(_xlfn.ANCHORARRAY(Sintesi!$C$16),1,$C124))*(INDEX(_xlfn.ANCHORARRAY(Sintesi!$C$15),1,$C124)&lt;0)+($E124&gt;=LOOKUP(2,1/($E:$E&lt;&gt;""),$E:$E))*($E124&lt;=$E125)*($E124&gt;INDEX(_xlfn.ANCHORARRAY(Sintesi!$C$15),1,$C124))*($E124&lt;INDEX(_xlfn.ANCHORARRAY(Sintesi!$C$16),1,$C124))*(INDEX(_xlfn.ANCHORARRAY(Sintesi!$C$15),1,$C124)&gt;0),2,IF($E124=(INDEX(_xlfn.ANCHORARRAY(Sintesi!$C$16),1,$C124)),3,4)))),0)))</f>
        <v>2</v>
      </c>
      <c r="E124" s="1">
        <f>'Paste cell here'!F124</f>
        <v>0.17100000000000001</v>
      </c>
      <c r="F124" s="1">
        <f>'Paste cell here'!C124</f>
        <v>20.995204099999999</v>
      </c>
      <c r="G124" s="1">
        <f>'Paste cell here'!D124</f>
        <v>9.5895113320000007</v>
      </c>
      <c r="H124" s="1">
        <f>'Paste cell here'!E124</f>
        <v>4.0697232650000004</v>
      </c>
      <c r="I124" s="1">
        <f>'Paste cell here'!X124</f>
        <v>0.69590760399999996</v>
      </c>
      <c r="J124" s="1">
        <f>'Paste cell here'!Y124+'Paste cell here'!S124</f>
        <v>0.69590760399999996</v>
      </c>
      <c r="K124" s="1">
        <f t="shared" si="3"/>
        <v>0.17099629598525046</v>
      </c>
      <c r="L124" s="1">
        <f t="shared" si="2"/>
        <v>17.29292212619826</v>
      </c>
      <c r="M124" s="1" cm="1">
        <f t="array" ref="M124">IF(AND(A124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,A124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),IF(L124&lt;_xlfn.IFNA(INDEX(_xlfn.ANCHORARRAY(Sintesi!$C$17)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,1,IF(L124&gt;=_xlfn.IFNA(INDEX(_xlfn.ANCHORARRAY(Sintesi!$C$18)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,0,1-(L124-_xlfn.IFNA(INDEX(_xlfn.ANCHORARRAY(Sintesi!$C$17)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)/(_xlfn.IFNA(INDEX(_xlfn.ANCHORARRAY(Sintesi!$C$18)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-_xlfn.IFNA(INDEX(_xlfn.ANCHORARRAY(Sintesi!$C$17),1,MATCH(1,(_xlfn.ANCHORARRAY(Sintesi!$C$9)&gt;_xlfn.ANCHORARRAY(Sintesi!$C$10))*(A123&gt;=_xlfn.ANCHORARRAY(Sintesi!$C$9))+(_xlfn.ANCHORARRAY(Sintesi!$C$9)&gt;_xlfn.ANCHORARRAY(Sintesi!$C$10))*(A123&lt;=_xlfn.ANCHORARRAY(Sintesi!$C$10))+(_xlfn.ANCHORARRAY(Sintesi!$C$9)&lt;_xlfn.ANCHORARRAY(Sintesi!$C$10))*(A123&gt;=_xlfn.ANCHORARRAY(Sintesi!$C$9))*(A123&lt;=_xlfn.ANCHORARRAY(Sintesi!$C$10)),0)),0)))),0)</f>
        <v>0</v>
      </c>
    </row>
    <row r="125" spans="1:13">
      <c r="A125" s="1">
        <f>'Paste cell here'!A125</f>
        <v>124</v>
      </c>
      <c r="B125" s="2">
        <f>DATE(Sintesi!$C$4-1,12,31)+A125</f>
        <v>44320</v>
      </c>
      <c r="C125" s="34" cm="1">
        <f t="array" ref="C125">_xlfn.IFNA(MATCH(1,(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)*(_xlfn.ANCHORARRAY(Sintesi!$C$15)&gt;=0)+(_xlfn.ANCHORARRAY(Sintesi!$C$15)&lt;0),0),0)</f>
        <v>1</v>
      </c>
      <c r="D125" s="1" cm="1">
        <f t="array" ref="D125">IF(ISBLANK($E126),IF(ISNUMBER($E124),IF($C125&gt;0,IF(($E125=INDEX(_xlfn.ANCHORARRAY(Sintesi!$C$14),1,$C125))*(INDEX(_xlfn.ANCHORARRAY(Sintesi!$C$15),1,$C125)&gt;0),0,IF(($E125=INDEX(_xlfn.ANCHORARRAY(Sintesi!$C$14),1,$C125))*(INDEX(_xlfn.ANCHORARRAY(Sintesi!$C$15),1,$C125)&lt;0)+($E125&gt;=$E124)*($E125&lt;=INDEX($E:$E,MATCH(TRUE,INDEX((ISNUMBER($E:$E)),0),0)))*($E125&gt;INDEX(_xlfn.ANCHORARRAY(Sintesi!$C$14),1,$C125))*($E125&lt;=INDEX(_xlfn.ANCHORARRAY(Sintesi!$C$15),1,$C125))*(INDEX(_xlfn.ANCHORARRAY(Sintesi!$C$15),1,$C125)&gt;0),1,IF(($E125&gt;=$E124)*($E125&lt;=INDEX($E:$E,MATCH(TRUE,INDEX((ISNUMBER($E:$E)),0),0)))*($E125&gt;INDEX(_xlfn.ANCHORARRAY(Sintesi!$C$14),1,$C125))*($E125&lt;INDEX(_xlfn.ANCHORARRAY(Sintesi!$C$16),1,$C125))*(INDEX(_xlfn.ANCHORARRAY(Sintesi!$C$15),1,$C125)&lt;0)+($E125&gt;=$E124)*($E125&lt;=INDEX($E:$E,MATCH(TRUE,INDEX((ISNUMBER($E:$E)),0),0)))*($E125&gt;INDEX(_xlfn.ANCHORARRAY(Sintesi!$C$15),1,$C125))*($E125&lt;INDEX(_xlfn.ANCHORARRAY(Sintesi!$C$16),1,$C125))*(INDEX(_xlfn.ANCHORARRAY(Sintesi!$C$15),1,$C125)&gt;0),2,IF($E125=(INDEX(_xlfn.ANCHORARRAY(Sintesi!$C$16),1,$C125)),3,4)))),0),IF($C125&gt;0,IF(($E125=INDEX(_xlfn.ANCHORARRAY(Sintesi!$C$14),1,$C125))*(INDEX(_xlfn.ANCHORARRAY(Sintesi!$C$15),1,$C125)&gt;0),0,IF(($E125=INDEX(_xlfn.ANCHORARRAY(Sintesi!$C$14),1,$C125))*(INDEX(_xlfn.ANCHORARRAY(Sintesi!$C$15),1,$C125)&lt;0)+($E125&gt;=LOOKUP(2,1/($E:$E&lt;&gt;""),$E:$E))*($E125&lt;=INDEX($E:$E,MATCH(TRUE,INDEX((ISNUMBER($E:$E)),0),0)))*($E125&gt;INDEX(_xlfn.ANCHORARRAY(Sintesi!$C$14),1,$C125))*($E125&lt;=INDEX(_xlfn.ANCHORARRAY(Sintesi!$C$15),1,$C125))*(INDEX(_xlfn.ANCHORARRAY(Sintesi!$C$15),1,$C125)&gt;0),1,IF(($E125&gt;=LOOKUP(2,1/($E:$E&lt;&gt;""),$E:$E))*($E125&lt;=INDEX($E:$E,MATCH(TRUE,INDEX((ISNUMBER($E:$E)),0),0)))*($E125&gt;INDEX(_xlfn.ANCHORARRAY(Sintesi!$C$14),1,$C125))*($E125&lt;INDEX(_xlfn.ANCHORARRAY(Sintesi!$C$16),1,$C125))*(INDEX(_xlfn.ANCHORARRAY(Sintesi!$C$15),1,$C125)&lt;0)+($E125&gt;=LOOKUP(2,1/($E:$E&lt;&gt;""),$E:$E))*($E125&lt;=INDEX($E:$E,MATCH(TRUE,INDEX((ISNUMBER($E:$E)),0),0)))*($E125&gt;INDEX(_xlfn.ANCHORARRAY(Sintesi!$C$15),1,$C125))*($E125&lt;INDEX(_xlfn.ANCHORARRAY(Sintesi!$C$16),1,$C125))*(INDEX(_xlfn.ANCHORARRAY(Sintesi!$C$15),1,$C125)&gt;0),2,IF($E125=(INDEX(_xlfn.ANCHORARRAY(Sintesi!$C$16),1,$C125)),3,4)))),0)),IF(ISNUMBER($E124),IF($C125&gt;0,IF(($E125=INDEX(_xlfn.ANCHORARRAY(Sintesi!$C$14),1,$C125))*(INDEX(_xlfn.ANCHORARRAY(Sintesi!$C$15),1,$C125)&gt;0),0,IF(($E125=INDEX(_xlfn.ANCHORARRAY(Sintesi!$C$14),1,$C125))*(INDEX(_xlfn.ANCHORARRAY(Sintesi!$C$15),1,$C125)&lt;0)+($E125&gt;=$E124)*($E125&lt;=$E126)*($E125&gt;INDEX(_xlfn.ANCHORARRAY(Sintesi!$C$14),1,$C125))*($E125&lt;=INDEX(_xlfn.ANCHORARRAY(Sintesi!$C$15),1,$C125))*(INDEX(_xlfn.ANCHORARRAY(Sintesi!$C$15),1,$C125)&gt;0),1,IF(($E125&gt;=$E124)*($E125&lt;=$E126)*($E125&gt;INDEX(_xlfn.ANCHORARRAY(Sintesi!$C$14),1,$C125))*($E125&lt;INDEX(_xlfn.ANCHORARRAY(Sintesi!$C$16),1,$C125))*(INDEX(_xlfn.ANCHORARRAY(Sintesi!$C$15),1,$C125)&lt;0)+($E125&gt;=$E124)*($E125&lt;=$E126)*($E125&gt;INDEX(_xlfn.ANCHORARRAY(Sintesi!$C$15),1,$C125))*($E125&lt;INDEX(_xlfn.ANCHORARRAY(Sintesi!$C$16),1,$C125))*(INDEX(_xlfn.ANCHORARRAY(Sintesi!$C$15),1,$C125)&gt;0),2,IF($E125=(INDEX(_xlfn.ANCHORARRAY(Sintesi!$C$16),1,$C125)),3,4)))),0),IF($C125&gt;0,IF(($E125=INDEX(_xlfn.ANCHORARRAY(Sintesi!$C$14),1,$C125))*(INDEX(_xlfn.ANCHORARRAY(Sintesi!$C$15),1,$C125)&gt;0),0,IF(($E125=INDEX(_xlfn.ANCHORARRAY(Sintesi!$C$14),1,$C125))*(INDEX(_xlfn.ANCHORARRAY(Sintesi!$C$15),1,$C125)&lt;0)+($E125&gt;=LOOKUP(2,1/($E:$E&lt;&gt;""),$E:$E))*($E125&lt;=$E126)*($E125&gt;INDEX(_xlfn.ANCHORARRAY(Sintesi!$C$14),1,$C125))*($E125&lt;=INDEX(_xlfn.ANCHORARRAY(Sintesi!$C$15),1,$C125))*(INDEX(_xlfn.ANCHORARRAY(Sintesi!$C$15),1,$C125)&gt;0),1,IF(($E125&gt;=LOOKUP(2,1/($E:$E&lt;&gt;""),$E:$E))*($E125&lt;=$E126)*($E125&gt;INDEX(_xlfn.ANCHORARRAY(Sintesi!$C$14),1,$C125))*($E125&lt;INDEX(_xlfn.ANCHORARRAY(Sintesi!$C$16),1,$C125))*(INDEX(_xlfn.ANCHORARRAY(Sintesi!$C$15),1,$C125)&lt;0)+($E125&gt;=LOOKUP(2,1/($E:$E&lt;&gt;""),$E:$E))*($E125&lt;=$E126)*($E125&gt;INDEX(_xlfn.ANCHORARRAY(Sintesi!$C$15),1,$C125))*($E125&lt;INDEX(_xlfn.ANCHORARRAY(Sintesi!$C$16),1,$C125))*(INDEX(_xlfn.ANCHORARRAY(Sintesi!$C$15),1,$C125)&gt;0),2,IF($E125=(INDEX(_xlfn.ANCHORARRAY(Sintesi!$C$16),1,$C125)),3,4)))),0)))</f>
        <v>2</v>
      </c>
      <c r="E125" s="1">
        <f>'Paste cell here'!F125</f>
        <v>0.192</v>
      </c>
      <c r="F125" s="1">
        <f>'Paste cell here'!C125</f>
        <v>22.520660230000001</v>
      </c>
      <c r="G125" s="1">
        <f>'Paste cell here'!D125</f>
        <v>6.8973202740000001</v>
      </c>
      <c r="H125" s="1">
        <f>'Paste cell here'!E125</f>
        <v>4.2606800270000003</v>
      </c>
      <c r="I125" s="1">
        <f>'Paste cell here'!X125</f>
        <v>0.81803172599999996</v>
      </c>
      <c r="J125" s="1">
        <f>'Paste cell here'!Y125+'Paste cell here'!S125</f>
        <v>0.81803172599999996</v>
      </c>
      <c r="K125" s="1">
        <f t="shared" si="3"/>
        <v>0.19199557836216738</v>
      </c>
      <c r="L125" s="1">
        <f t="shared" si="2"/>
        <v>17.449332160217359</v>
      </c>
      <c r="M125" s="1" cm="1">
        <f t="array" ref="M125">IF(AND(A125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,A125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),IF(L125&lt;_xlfn.IFNA(INDEX(_xlfn.ANCHORARRAY(Sintesi!$C$17)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,1,IF(L125&gt;=_xlfn.IFNA(INDEX(_xlfn.ANCHORARRAY(Sintesi!$C$18)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,0,1-(L125-_xlfn.IFNA(INDEX(_xlfn.ANCHORARRAY(Sintesi!$C$17)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)/(_xlfn.IFNA(INDEX(_xlfn.ANCHORARRAY(Sintesi!$C$18)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-_xlfn.IFNA(INDEX(_xlfn.ANCHORARRAY(Sintesi!$C$17),1,MATCH(1,(_xlfn.ANCHORARRAY(Sintesi!$C$9)&gt;_xlfn.ANCHORARRAY(Sintesi!$C$10))*(A124&gt;=_xlfn.ANCHORARRAY(Sintesi!$C$9))+(_xlfn.ANCHORARRAY(Sintesi!$C$9)&gt;_xlfn.ANCHORARRAY(Sintesi!$C$10))*(A124&lt;=_xlfn.ANCHORARRAY(Sintesi!$C$10))+(_xlfn.ANCHORARRAY(Sintesi!$C$9)&lt;_xlfn.ANCHORARRAY(Sintesi!$C$10))*(A124&gt;=_xlfn.ANCHORARRAY(Sintesi!$C$9))*(A124&lt;=_xlfn.ANCHORARRAY(Sintesi!$C$10)),0)),0)))),0)</f>
        <v>0</v>
      </c>
    </row>
    <row r="126" spans="1:13">
      <c r="A126" s="1">
        <f>'Paste cell here'!A126</f>
        <v>125</v>
      </c>
      <c r="B126" s="2">
        <f>DATE(Sintesi!$C$4-1,12,31)+A126</f>
        <v>44321</v>
      </c>
      <c r="C126" s="34" cm="1">
        <f t="array" ref="C126">_xlfn.IFNA(MATCH(1,(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)*(_xlfn.ANCHORARRAY(Sintesi!$C$15)&gt;=0)+(_xlfn.ANCHORARRAY(Sintesi!$C$15)&lt;0),0),0)</f>
        <v>1</v>
      </c>
      <c r="D126" s="1" cm="1">
        <f t="array" ref="D126">IF(ISBLANK($E127),IF(ISNUMBER($E125),IF($C126&gt;0,IF(($E126=INDEX(_xlfn.ANCHORARRAY(Sintesi!$C$14),1,$C126))*(INDEX(_xlfn.ANCHORARRAY(Sintesi!$C$15),1,$C126)&gt;0),0,IF(($E126=INDEX(_xlfn.ANCHORARRAY(Sintesi!$C$14),1,$C126))*(INDEX(_xlfn.ANCHORARRAY(Sintesi!$C$15),1,$C126)&lt;0)+($E126&gt;=$E125)*($E126&lt;=INDEX($E:$E,MATCH(TRUE,INDEX((ISNUMBER($E:$E)),0),0)))*($E126&gt;INDEX(_xlfn.ANCHORARRAY(Sintesi!$C$14),1,$C126))*($E126&lt;=INDEX(_xlfn.ANCHORARRAY(Sintesi!$C$15),1,$C126))*(INDEX(_xlfn.ANCHORARRAY(Sintesi!$C$15),1,$C126)&gt;0),1,IF(($E126&gt;=$E125)*($E126&lt;=INDEX($E:$E,MATCH(TRUE,INDEX((ISNUMBER($E:$E)),0),0)))*($E126&gt;INDEX(_xlfn.ANCHORARRAY(Sintesi!$C$14),1,$C126))*($E126&lt;INDEX(_xlfn.ANCHORARRAY(Sintesi!$C$16),1,$C126))*(INDEX(_xlfn.ANCHORARRAY(Sintesi!$C$15),1,$C126)&lt;0)+($E126&gt;=$E125)*($E126&lt;=INDEX($E:$E,MATCH(TRUE,INDEX((ISNUMBER($E:$E)),0),0)))*($E126&gt;INDEX(_xlfn.ANCHORARRAY(Sintesi!$C$15),1,$C126))*($E126&lt;INDEX(_xlfn.ANCHORARRAY(Sintesi!$C$16),1,$C126))*(INDEX(_xlfn.ANCHORARRAY(Sintesi!$C$15),1,$C126)&gt;0),2,IF($E126=(INDEX(_xlfn.ANCHORARRAY(Sintesi!$C$16),1,$C126)),3,4)))),0),IF($C126&gt;0,IF(($E126=INDEX(_xlfn.ANCHORARRAY(Sintesi!$C$14),1,$C126))*(INDEX(_xlfn.ANCHORARRAY(Sintesi!$C$15),1,$C126)&gt;0),0,IF(($E126=INDEX(_xlfn.ANCHORARRAY(Sintesi!$C$14),1,$C126))*(INDEX(_xlfn.ANCHORARRAY(Sintesi!$C$15),1,$C126)&lt;0)+($E126&gt;=LOOKUP(2,1/($E:$E&lt;&gt;""),$E:$E))*($E126&lt;=INDEX($E:$E,MATCH(TRUE,INDEX((ISNUMBER($E:$E)),0),0)))*($E126&gt;INDEX(_xlfn.ANCHORARRAY(Sintesi!$C$14),1,$C126))*($E126&lt;=INDEX(_xlfn.ANCHORARRAY(Sintesi!$C$15),1,$C126))*(INDEX(_xlfn.ANCHORARRAY(Sintesi!$C$15),1,$C126)&gt;0),1,IF(($E126&gt;=LOOKUP(2,1/($E:$E&lt;&gt;""),$E:$E))*($E126&lt;=INDEX($E:$E,MATCH(TRUE,INDEX((ISNUMBER($E:$E)),0),0)))*($E126&gt;INDEX(_xlfn.ANCHORARRAY(Sintesi!$C$14),1,$C126))*($E126&lt;INDEX(_xlfn.ANCHORARRAY(Sintesi!$C$16),1,$C126))*(INDEX(_xlfn.ANCHORARRAY(Sintesi!$C$15),1,$C126)&lt;0)+($E126&gt;=LOOKUP(2,1/($E:$E&lt;&gt;""),$E:$E))*($E126&lt;=INDEX($E:$E,MATCH(TRUE,INDEX((ISNUMBER($E:$E)),0),0)))*($E126&gt;INDEX(_xlfn.ANCHORARRAY(Sintesi!$C$15),1,$C126))*($E126&lt;INDEX(_xlfn.ANCHORARRAY(Sintesi!$C$16),1,$C126))*(INDEX(_xlfn.ANCHORARRAY(Sintesi!$C$15),1,$C126)&gt;0),2,IF($E126=(INDEX(_xlfn.ANCHORARRAY(Sintesi!$C$16),1,$C126)),3,4)))),0)),IF(ISNUMBER($E125),IF($C126&gt;0,IF(($E126=INDEX(_xlfn.ANCHORARRAY(Sintesi!$C$14),1,$C126))*(INDEX(_xlfn.ANCHORARRAY(Sintesi!$C$15),1,$C126)&gt;0),0,IF(($E126=INDEX(_xlfn.ANCHORARRAY(Sintesi!$C$14),1,$C126))*(INDEX(_xlfn.ANCHORARRAY(Sintesi!$C$15),1,$C126)&lt;0)+($E126&gt;=$E125)*($E126&lt;=$E127)*($E126&gt;INDEX(_xlfn.ANCHORARRAY(Sintesi!$C$14),1,$C126))*($E126&lt;=INDEX(_xlfn.ANCHORARRAY(Sintesi!$C$15),1,$C126))*(INDEX(_xlfn.ANCHORARRAY(Sintesi!$C$15),1,$C126)&gt;0),1,IF(($E126&gt;=$E125)*($E126&lt;=$E127)*($E126&gt;INDEX(_xlfn.ANCHORARRAY(Sintesi!$C$14),1,$C126))*($E126&lt;INDEX(_xlfn.ANCHORARRAY(Sintesi!$C$16),1,$C126))*(INDEX(_xlfn.ANCHORARRAY(Sintesi!$C$15),1,$C126)&lt;0)+($E126&gt;=$E125)*($E126&lt;=$E127)*($E126&gt;INDEX(_xlfn.ANCHORARRAY(Sintesi!$C$15),1,$C126))*($E126&lt;INDEX(_xlfn.ANCHORARRAY(Sintesi!$C$16),1,$C126))*(INDEX(_xlfn.ANCHORARRAY(Sintesi!$C$15),1,$C126)&gt;0),2,IF($E126=(INDEX(_xlfn.ANCHORARRAY(Sintesi!$C$16),1,$C126)),3,4)))),0),IF($C126&gt;0,IF(($E126=INDEX(_xlfn.ANCHORARRAY(Sintesi!$C$14),1,$C126))*(INDEX(_xlfn.ANCHORARRAY(Sintesi!$C$15),1,$C126)&gt;0),0,IF(($E126=INDEX(_xlfn.ANCHORARRAY(Sintesi!$C$14),1,$C126))*(INDEX(_xlfn.ANCHORARRAY(Sintesi!$C$15),1,$C126)&lt;0)+($E126&gt;=LOOKUP(2,1/($E:$E&lt;&gt;""),$E:$E))*($E126&lt;=$E127)*($E126&gt;INDEX(_xlfn.ANCHORARRAY(Sintesi!$C$14),1,$C126))*($E126&lt;=INDEX(_xlfn.ANCHORARRAY(Sintesi!$C$15),1,$C126))*(INDEX(_xlfn.ANCHORARRAY(Sintesi!$C$15),1,$C126)&gt;0),1,IF(($E126&gt;=LOOKUP(2,1/($E:$E&lt;&gt;""),$E:$E))*($E126&lt;=$E127)*($E126&gt;INDEX(_xlfn.ANCHORARRAY(Sintesi!$C$14),1,$C126))*($E126&lt;INDEX(_xlfn.ANCHORARRAY(Sintesi!$C$16),1,$C126))*(INDEX(_xlfn.ANCHORARRAY(Sintesi!$C$15),1,$C126)&lt;0)+($E126&gt;=LOOKUP(2,1/($E:$E&lt;&gt;""),$E:$E))*($E126&lt;=$E127)*($E126&gt;INDEX(_xlfn.ANCHORARRAY(Sintesi!$C$15),1,$C126))*($E126&lt;INDEX(_xlfn.ANCHORARRAY(Sintesi!$C$16),1,$C126))*(INDEX(_xlfn.ANCHORARRAY(Sintesi!$C$15),1,$C126)&gt;0),2,IF($E126=(INDEX(_xlfn.ANCHORARRAY(Sintesi!$C$16),1,$C126)),3,4)))),0)))</f>
        <v>2</v>
      </c>
      <c r="E126" s="1">
        <f>'Paste cell here'!F126</f>
        <v>0.21299999999999999</v>
      </c>
      <c r="F126" s="1">
        <f>'Paste cell here'!C126</f>
        <v>21.6640552</v>
      </c>
      <c r="G126" s="1">
        <f>'Paste cell here'!D126</f>
        <v>9.4121200009999999</v>
      </c>
      <c r="H126" s="1">
        <f>'Paste cell here'!E126</f>
        <v>3.4829934730000001</v>
      </c>
      <c r="I126" s="1">
        <f>'Paste cell here'!X126</f>
        <v>0.74185946700000005</v>
      </c>
      <c r="J126" s="1">
        <f>'Paste cell here'!Y126+'Paste cell here'!S126</f>
        <v>0.74185946700000005</v>
      </c>
      <c r="K126" s="1">
        <f t="shared" si="3"/>
        <v>0.21299479104708618</v>
      </c>
      <c r="L126" s="1">
        <f t="shared" si="2"/>
        <v>17.687083370747523</v>
      </c>
      <c r="M126" s="1" cm="1">
        <f t="array" ref="M126">IF(AND(A126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,A126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),IF(L126&lt;_xlfn.IFNA(INDEX(_xlfn.ANCHORARRAY(Sintesi!$C$17)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,1,IF(L126&gt;=_xlfn.IFNA(INDEX(_xlfn.ANCHORARRAY(Sintesi!$C$18)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,0,1-(L126-_xlfn.IFNA(INDEX(_xlfn.ANCHORARRAY(Sintesi!$C$17)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)/(_xlfn.IFNA(INDEX(_xlfn.ANCHORARRAY(Sintesi!$C$18)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-_xlfn.IFNA(INDEX(_xlfn.ANCHORARRAY(Sintesi!$C$17),1,MATCH(1,(_xlfn.ANCHORARRAY(Sintesi!$C$9)&gt;_xlfn.ANCHORARRAY(Sintesi!$C$10))*(A125&gt;=_xlfn.ANCHORARRAY(Sintesi!$C$9))+(_xlfn.ANCHORARRAY(Sintesi!$C$9)&gt;_xlfn.ANCHORARRAY(Sintesi!$C$10))*(A125&lt;=_xlfn.ANCHORARRAY(Sintesi!$C$10))+(_xlfn.ANCHORARRAY(Sintesi!$C$9)&lt;_xlfn.ANCHORARRAY(Sintesi!$C$10))*(A125&gt;=_xlfn.ANCHORARRAY(Sintesi!$C$9))*(A125&lt;=_xlfn.ANCHORARRAY(Sintesi!$C$10)),0)),0)))),0)</f>
        <v>0</v>
      </c>
    </row>
    <row r="127" spans="1:13">
      <c r="A127" s="1">
        <f>'Paste cell here'!A127</f>
        <v>126</v>
      </c>
      <c r="B127" s="2">
        <f>DATE(Sintesi!$C$4-1,12,31)+A127</f>
        <v>44322</v>
      </c>
      <c r="C127" s="34" cm="1">
        <f t="array" ref="C127">_xlfn.IFNA(MATCH(1,(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)*(_xlfn.ANCHORARRAY(Sintesi!$C$15)&gt;=0)+(_xlfn.ANCHORARRAY(Sintesi!$C$15)&lt;0),0),0)</f>
        <v>1</v>
      </c>
      <c r="D127" s="1" cm="1">
        <f t="array" ref="D127">IF(ISBLANK($E128),IF(ISNUMBER($E126),IF($C127&gt;0,IF(($E127=INDEX(_xlfn.ANCHORARRAY(Sintesi!$C$14),1,$C127))*(INDEX(_xlfn.ANCHORARRAY(Sintesi!$C$15),1,$C127)&gt;0),0,IF(($E127=INDEX(_xlfn.ANCHORARRAY(Sintesi!$C$14),1,$C127))*(INDEX(_xlfn.ANCHORARRAY(Sintesi!$C$15),1,$C127)&lt;0)+($E127&gt;=$E126)*($E127&lt;=INDEX($E:$E,MATCH(TRUE,INDEX((ISNUMBER($E:$E)),0),0)))*($E127&gt;INDEX(_xlfn.ANCHORARRAY(Sintesi!$C$14),1,$C127))*($E127&lt;=INDEX(_xlfn.ANCHORARRAY(Sintesi!$C$15),1,$C127))*(INDEX(_xlfn.ANCHORARRAY(Sintesi!$C$15),1,$C127)&gt;0),1,IF(($E127&gt;=$E126)*($E127&lt;=INDEX($E:$E,MATCH(TRUE,INDEX((ISNUMBER($E:$E)),0),0)))*($E127&gt;INDEX(_xlfn.ANCHORARRAY(Sintesi!$C$14),1,$C127))*($E127&lt;INDEX(_xlfn.ANCHORARRAY(Sintesi!$C$16),1,$C127))*(INDEX(_xlfn.ANCHORARRAY(Sintesi!$C$15),1,$C127)&lt;0)+($E127&gt;=$E126)*($E127&lt;=INDEX($E:$E,MATCH(TRUE,INDEX((ISNUMBER($E:$E)),0),0)))*($E127&gt;INDEX(_xlfn.ANCHORARRAY(Sintesi!$C$15),1,$C127))*($E127&lt;INDEX(_xlfn.ANCHORARRAY(Sintesi!$C$16),1,$C127))*(INDEX(_xlfn.ANCHORARRAY(Sintesi!$C$15),1,$C127)&gt;0),2,IF($E127=(INDEX(_xlfn.ANCHORARRAY(Sintesi!$C$16),1,$C127)),3,4)))),0),IF($C127&gt;0,IF(($E127=INDEX(_xlfn.ANCHORARRAY(Sintesi!$C$14),1,$C127))*(INDEX(_xlfn.ANCHORARRAY(Sintesi!$C$15),1,$C127)&gt;0),0,IF(($E127=INDEX(_xlfn.ANCHORARRAY(Sintesi!$C$14),1,$C127))*(INDEX(_xlfn.ANCHORARRAY(Sintesi!$C$15),1,$C127)&lt;0)+($E127&gt;=LOOKUP(2,1/($E:$E&lt;&gt;""),$E:$E))*($E127&lt;=INDEX($E:$E,MATCH(TRUE,INDEX((ISNUMBER($E:$E)),0),0)))*($E127&gt;INDEX(_xlfn.ANCHORARRAY(Sintesi!$C$14),1,$C127))*($E127&lt;=INDEX(_xlfn.ANCHORARRAY(Sintesi!$C$15),1,$C127))*(INDEX(_xlfn.ANCHORARRAY(Sintesi!$C$15),1,$C127)&gt;0),1,IF(($E127&gt;=LOOKUP(2,1/($E:$E&lt;&gt;""),$E:$E))*($E127&lt;=INDEX($E:$E,MATCH(TRUE,INDEX((ISNUMBER($E:$E)),0),0)))*($E127&gt;INDEX(_xlfn.ANCHORARRAY(Sintesi!$C$14),1,$C127))*($E127&lt;INDEX(_xlfn.ANCHORARRAY(Sintesi!$C$16),1,$C127))*(INDEX(_xlfn.ANCHORARRAY(Sintesi!$C$15),1,$C127)&lt;0)+($E127&gt;=LOOKUP(2,1/($E:$E&lt;&gt;""),$E:$E))*($E127&lt;=INDEX($E:$E,MATCH(TRUE,INDEX((ISNUMBER($E:$E)),0),0)))*($E127&gt;INDEX(_xlfn.ANCHORARRAY(Sintesi!$C$15),1,$C127))*($E127&lt;INDEX(_xlfn.ANCHORARRAY(Sintesi!$C$16),1,$C127))*(INDEX(_xlfn.ANCHORARRAY(Sintesi!$C$15),1,$C127)&gt;0),2,IF($E127=(INDEX(_xlfn.ANCHORARRAY(Sintesi!$C$16),1,$C127)),3,4)))),0)),IF(ISNUMBER($E126),IF($C127&gt;0,IF(($E127=INDEX(_xlfn.ANCHORARRAY(Sintesi!$C$14),1,$C127))*(INDEX(_xlfn.ANCHORARRAY(Sintesi!$C$15),1,$C127)&gt;0),0,IF(($E127=INDEX(_xlfn.ANCHORARRAY(Sintesi!$C$14),1,$C127))*(INDEX(_xlfn.ANCHORARRAY(Sintesi!$C$15),1,$C127)&lt;0)+($E127&gt;=$E126)*($E127&lt;=$E128)*($E127&gt;INDEX(_xlfn.ANCHORARRAY(Sintesi!$C$14),1,$C127))*($E127&lt;=INDEX(_xlfn.ANCHORARRAY(Sintesi!$C$15),1,$C127))*(INDEX(_xlfn.ANCHORARRAY(Sintesi!$C$15),1,$C127)&gt;0),1,IF(($E127&gt;=$E126)*($E127&lt;=$E128)*($E127&gt;INDEX(_xlfn.ANCHORARRAY(Sintesi!$C$14),1,$C127))*($E127&lt;INDEX(_xlfn.ANCHORARRAY(Sintesi!$C$16),1,$C127))*(INDEX(_xlfn.ANCHORARRAY(Sintesi!$C$15),1,$C127)&lt;0)+($E127&gt;=$E126)*($E127&lt;=$E128)*($E127&gt;INDEX(_xlfn.ANCHORARRAY(Sintesi!$C$15),1,$C127))*($E127&lt;INDEX(_xlfn.ANCHORARRAY(Sintesi!$C$16),1,$C127))*(INDEX(_xlfn.ANCHORARRAY(Sintesi!$C$15),1,$C127)&gt;0),2,IF($E127=(INDEX(_xlfn.ANCHORARRAY(Sintesi!$C$16),1,$C127)),3,4)))),0),IF($C127&gt;0,IF(($E127=INDEX(_xlfn.ANCHORARRAY(Sintesi!$C$14),1,$C127))*(INDEX(_xlfn.ANCHORARRAY(Sintesi!$C$15),1,$C127)&gt;0),0,IF(($E127=INDEX(_xlfn.ANCHORARRAY(Sintesi!$C$14),1,$C127))*(INDEX(_xlfn.ANCHORARRAY(Sintesi!$C$15),1,$C127)&lt;0)+($E127&gt;=LOOKUP(2,1/($E:$E&lt;&gt;""),$E:$E))*($E127&lt;=$E128)*($E127&gt;INDEX(_xlfn.ANCHORARRAY(Sintesi!$C$14),1,$C127))*($E127&lt;=INDEX(_xlfn.ANCHORARRAY(Sintesi!$C$15),1,$C127))*(INDEX(_xlfn.ANCHORARRAY(Sintesi!$C$15),1,$C127)&gt;0),1,IF(($E127&gt;=LOOKUP(2,1/($E:$E&lt;&gt;""),$E:$E))*($E127&lt;=$E128)*($E127&gt;INDEX(_xlfn.ANCHORARRAY(Sintesi!$C$14),1,$C127))*($E127&lt;INDEX(_xlfn.ANCHORARRAY(Sintesi!$C$16),1,$C127))*(INDEX(_xlfn.ANCHORARRAY(Sintesi!$C$15),1,$C127)&lt;0)+($E127&gt;=LOOKUP(2,1/($E:$E&lt;&gt;""),$E:$E))*($E127&lt;=$E128)*($E127&gt;INDEX(_xlfn.ANCHORARRAY(Sintesi!$C$15),1,$C127))*($E127&lt;INDEX(_xlfn.ANCHORARRAY(Sintesi!$C$16),1,$C127))*(INDEX(_xlfn.ANCHORARRAY(Sintesi!$C$15),1,$C127)&gt;0),2,IF($E127=(INDEX(_xlfn.ANCHORARRAY(Sintesi!$C$16),1,$C127)),3,4)))),0)))</f>
        <v>2</v>
      </c>
      <c r="E127" s="1">
        <f>'Paste cell here'!F127</f>
        <v>0.23300000000000001</v>
      </c>
      <c r="F127" s="1">
        <f>'Paste cell here'!C127</f>
        <v>21.120660229999999</v>
      </c>
      <c r="G127" s="1">
        <f>'Paste cell here'!D127</f>
        <v>6.8073241009999998</v>
      </c>
      <c r="H127" s="1">
        <f>'Paste cell here'!E127</f>
        <v>3.770651456</v>
      </c>
      <c r="I127" s="1">
        <f>'Paste cell here'!X127</f>
        <v>0.87853900100000004</v>
      </c>
      <c r="J127" s="1">
        <f>'Paste cell here'!Y127+'Paste cell here'!S127</f>
        <v>0.87853900100000004</v>
      </c>
      <c r="K127" s="1">
        <f t="shared" si="3"/>
        <v>0.23299395641621459</v>
      </c>
      <c r="L127" s="1">
        <f t="shared" si="2"/>
        <v>16.474558724965853</v>
      </c>
      <c r="M127" s="1" cm="1">
        <f t="array" ref="M127">IF(AND(A127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,A127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),IF(L127&lt;_xlfn.IFNA(INDEX(_xlfn.ANCHORARRAY(Sintesi!$C$17)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,1,IF(L127&gt;=_xlfn.IFNA(INDEX(_xlfn.ANCHORARRAY(Sintesi!$C$18)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,0,1-(L127-_xlfn.IFNA(INDEX(_xlfn.ANCHORARRAY(Sintesi!$C$17)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)/(_xlfn.IFNA(INDEX(_xlfn.ANCHORARRAY(Sintesi!$C$18)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-_xlfn.IFNA(INDEX(_xlfn.ANCHORARRAY(Sintesi!$C$17),1,MATCH(1,(_xlfn.ANCHORARRAY(Sintesi!$C$9)&gt;_xlfn.ANCHORARRAY(Sintesi!$C$10))*(A126&gt;=_xlfn.ANCHORARRAY(Sintesi!$C$9))+(_xlfn.ANCHORARRAY(Sintesi!$C$9)&gt;_xlfn.ANCHORARRAY(Sintesi!$C$10))*(A126&lt;=_xlfn.ANCHORARRAY(Sintesi!$C$10))+(_xlfn.ANCHORARRAY(Sintesi!$C$9)&lt;_xlfn.ANCHORARRAY(Sintesi!$C$10))*(A126&gt;=_xlfn.ANCHORARRAY(Sintesi!$C$9))*(A126&lt;=_xlfn.ANCHORARRAY(Sintesi!$C$10)),0)),0)))),0)</f>
        <v>0</v>
      </c>
    </row>
    <row r="128" spans="1:13">
      <c r="A128" s="1">
        <f>'Paste cell here'!A128</f>
        <v>127</v>
      </c>
      <c r="B128" s="2">
        <f>DATE(Sintesi!$C$4-1,12,31)+A128</f>
        <v>44323</v>
      </c>
      <c r="C128" s="34" cm="1">
        <f t="array" ref="C128">_xlfn.IFNA(MATCH(1,(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)*(_xlfn.ANCHORARRAY(Sintesi!$C$15)&gt;=0)+(_xlfn.ANCHORARRAY(Sintesi!$C$15)&lt;0),0),0)</f>
        <v>1</v>
      </c>
      <c r="D128" s="1" cm="1">
        <f t="array" ref="D128">IF(ISBLANK($E129),IF(ISNUMBER($E127),IF($C128&gt;0,IF(($E128=INDEX(_xlfn.ANCHORARRAY(Sintesi!$C$14),1,$C128))*(INDEX(_xlfn.ANCHORARRAY(Sintesi!$C$15),1,$C128)&gt;0),0,IF(($E128=INDEX(_xlfn.ANCHORARRAY(Sintesi!$C$14),1,$C128))*(INDEX(_xlfn.ANCHORARRAY(Sintesi!$C$15),1,$C128)&lt;0)+($E128&gt;=$E127)*($E128&lt;=INDEX($E:$E,MATCH(TRUE,INDEX((ISNUMBER($E:$E)),0),0)))*($E128&gt;INDEX(_xlfn.ANCHORARRAY(Sintesi!$C$14),1,$C128))*($E128&lt;=INDEX(_xlfn.ANCHORARRAY(Sintesi!$C$15),1,$C128))*(INDEX(_xlfn.ANCHORARRAY(Sintesi!$C$15),1,$C128)&gt;0),1,IF(($E128&gt;=$E127)*($E128&lt;=INDEX($E:$E,MATCH(TRUE,INDEX((ISNUMBER($E:$E)),0),0)))*($E128&gt;INDEX(_xlfn.ANCHORARRAY(Sintesi!$C$14),1,$C128))*($E128&lt;INDEX(_xlfn.ANCHORARRAY(Sintesi!$C$16),1,$C128))*(INDEX(_xlfn.ANCHORARRAY(Sintesi!$C$15),1,$C128)&lt;0)+($E128&gt;=$E127)*($E128&lt;=INDEX($E:$E,MATCH(TRUE,INDEX((ISNUMBER($E:$E)),0),0)))*($E128&gt;INDEX(_xlfn.ANCHORARRAY(Sintesi!$C$15),1,$C128))*($E128&lt;INDEX(_xlfn.ANCHORARRAY(Sintesi!$C$16),1,$C128))*(INDEX(_xlfn.ANCHORARRAY(Sintesi!$C$15),1,$C128)&gt;0),2,IF($E128=(INDEX(_xlfn.ANCHORARRAY(Sintesi!$C$16),1,$C128)),3,4)))),0),IF($C128&gt;0,IF(($E128=INDEX(_xlfn.ANCHORARRAY(Sintesi!$C$14),1,$C128))*(INDEX(_xlfn.ANCHORARRAY(Sintesi!$C$15),1,$C128)&gt;0),0,IF(($E128=INDEX(_xlfn.ANCHORARRAY(Sintesi!$C$14),1,$C128))*(INDEX(_xlfn.ANCHORARRAY(Sintesi!$C$15),1,$C128)&lt;0)+($E128&gt;=LOOKUP(2,1/($E:$E&lt;&gt;""),$E:$E))*($E128&lt;=INDEX($E:$E,MATCH(TRUE,INDEX((ISNUMBER($E:$E)),0),0)))*($E128&gt;INDEX(_xlfn.ANCHORARRAY(Sintesi!$C$14),1,$C128))*($E128&lt;=INDEX(_xlfn.ANCHORARRAY(Sintesi!$C$15),1,$C128))*(INDEX(_xlfn.ANCHORARRAY(Sintesi!$C$15),1,$C128)&gt;0),1,IF(($E128&gt;=LOOKUP(2,1/($E:$E&lt;&gt;""),$E:$E))*($E128&lt;=INDEX($E:$E,MATCH(TRUE,INDEX((ISNUMBER($E:$E)),0),0)))*($E128&gt;INDEX(_xlfn.ANCHORARRAY(Sintesi!$C$14),1,$C128))*($E128&lt;INDEX(_xlfn.ANCHORARRAY(Sintesi!$C$16),1,$C128))*(INDEX(_xlfn.ANCHORARRAY(Sintesi!$C$15),1,$C128)&lt;0)+($E128&gt;=LOOKUP(2,1/($E:$E&lt;&gt;""),$E:$E))*($E128&lt;=INDEX($E:$E,MATCH(TRUE,INDEX((ISNUMBER($E:$E)),0),0)))*($E128&gt;INDEX(_xlfn.ANCHORARRAY(Sintesi!$C$15),1,$C128))*($E128&lt;INDEX(_xlfn.ANCHORARRAY(Sintesi!$C$16),1,$C128))*(INDEX(_xlfn.ANCHORARRAY(Sintesi!$C$15),1,$C128)&gt;0),2,IF($E128=(INDEX(_xlfn.ANCHORARRAY(Sintesi!$C$16),1,$C128)),3,4)))),0)),IF(ISNUMBER($E127),IF($C128&gt;0,IF(($E128=INDEX(_xlfn.ANCHORARRAY(Sintesi!$C$14),1,$C128))*(INDEX(_xlfn.ANCHORARRAY(Sintesi!$C$15),1,$C128)&gt;0),0,IF(($E128=INDEX(_xlfn.ANCHORARRAY(Sintesi!$C$14),1,$C128))*(INDEX(_xlfn.ANCHORARRAY(Sintesi!$C$15),1,$C128)&lt;0)+($E128&gt;=$E127)*($E128&lt;=$E129)*($E128&gt;INDEX(_xlfn.ANCHORARRAY(Sintesi!$C$14),1,$C128))*($E128&lt;=INDEX(_xlfn.ANCHORARRAY(Sintesi!$C$15),1,$C128))*(INDEX(_xlfn.ANCHORARRAY(Sintesi!$C$15),1,$C128)&gt;0),1,IF(($E128&gt;=$E127)*($E128&lt;=$E129)*($E128&gt;INDEX(_xlfn.ANCHORARRAY(Sintesi!$C$14),1,$C128))*($E128&lt;INDEX(_xlfn.ANCHORARRAY(Sintesi!$C$16),1,$C128))*(INDEX(_xlfn.ANCHORARRAY(Sintesi!$C$15),1,$C128)&lt;0)+($E128&gt;=$E127)*($E128&lt;=$E129)*($E128&gt;INDEX(_xlfn.ANCHORARRAY(Sintesi!$C$15),1,$C128))*($E128&lt;INDEX(_xlfn.ANCHORARRAY(Sintesi!$C$16),1,$C128))*(INDEX(_xlfn.ANCHORARRAY(Sintesi!$C$15),1,$C128)&gt;0),2,IF($E128=(INDEX(_xlfn.ANCHORARRAY(Sintesi!$C$16),1,$C128)),3,4)))),0),IF($C128&gt;0,IF(($E128=INDEX(_xlfn.ANCHORARRAY(Sintesi!$C$14),1,$C128))*(INDEX(_xlfn.ANCHORARRAY(Sintesi!$C$15),1,$C128)&gt;0),0,IF(($E128=INDEX(_xlfn.ANCHORARRAY(Sintesi!$C$14),1,$C128))*(INDEX(_xlfn.ANCHORARRAY(Sintesi!$C$15),1,$C128)&lt;0)+($E128&gt;=LOOKUP(2,1/($E:$E&lt;&gt;""),$E:$E))*($E128&lt;=$E129)*($E128&gt;INDEX(_xlfn.ANCHORARRAY(Sintesi!$C$14),1,$C128))*($E128&lt;=INDEX(_xlfn.ANCHORARRAY(Sintesi!$C$15),1,$C128))*(INDEX(_xlfn.ANCHORARRAY(Sintesi!$C$15),1,$C128)&gt;0),1,IF(($E128&gt;=LOOKUP(2,1/($E:$E&lt;&gt;""),$E:$E))*($E128&lt;=$E129)*($E128&gt;INDEX(_xlfn.ANCHORARRAY(Sintesi!$C$14),1,$C128))*($E128&lt;INDEX(_xlfn.ANCHORARRAY(Sintesi!$C$16),1,$C128))*(INDEX(_xlfn.ANCHORARRAY(Sintesi!$C$15),1,$C128)&lt;0)+($E128&gt;=LOOKUP(2,1/($E:$E&lt;&gt;""),$E:$E))*($E128&lt;=$E129)*($E128&gt;INDEX(_xlfn.ANCHORARRAY(Sintesi!$C$15),1,$C128))*($E128&lt;INDEX(_xlfn.ANCHORARRAY(Sintesi!$C$16),1,$C128))*(INDEX(_xlfn.ANCHORARRAY(Sintesi!$C$15),1,$C128)&gt;0),2,IF($E128=(INDEX(_xlfn.ANCHORARRAY(Sintesi!$C$16),1,$C128)),3,4)))),0)))</f>
        <v>2</v>
      </c>
      <c r="E128" s="1">
        <f>'Paste cell here'!F128</f>
        <v>0.254</v>
      </c>
      <c r="F128" s="1">
        <f>'Paste cell here'!C128</f>
        <v>25.38471543</v>
      </c>
      <c r="G128" s="1">
        <f>'Paste cell here'!D128</f>
        <v>10.753925300000001</v>
      </c>
      <c r="H128" s="1">
        <f>'Paste cell here'!E128</f>
        <v>5.0798148359999997</v>
      </c>
      <c r="I128" s="1">
        <f>'Paste cell here'!X128</f>
        <v>1.2902375180000001</v>
      </c>
      <c r="J128" s="1">
        <f>'Paste cell here'!Y128+'Paste cell here'!S128</f>
        <v>1.2902375180000001</v>
      </c>
      <c r="K128" s="1">
        <f t="shared" si="3"/>
        <v>0.25399302133145707</v>
      </c>
      <c r="L128" s="1">
        <f t="shared" si="2"/>
        <v>20.635568520419188</v>
      </c>
      <c r="M128" s="1" cm="1">
        <f t="array" ref="M128">IF(AND(A128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,A128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),IF(L128&lt;_xlfn.IFNA(INDEX(_xlfn.ANCHORARRAY(Sintesi!$C$17)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,1,IF(L128&gt;=_xlfn.IFNA(INDEX(_xlfn.ANCHORARRAY(Sintesi!$C$18)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,0,1-(L128-_xlfn.IFNA(INDEX(_xlfn.ANCHORARRAY(Sintesi!$C$17)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)/(_xlfn.IFNA(INDEX(_xlfn.ANCHORARRAY(Sintesi!$C$18)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-_xlfn.IFNA(INDEX(_xlfn.ANCHORARRAY(Sintesi!$C$17),1,MATCH(1,(_xlfn.ANCHORARRAY(Sintesi!$C$9)&gt;_xlfn.ANCHORARRAY(Sintesi!$C$10))*(A127&gt;=_xlfn.ANCHORARRAY(Sintesi!$C$9))+(_xlfn.ANCHORARRAY(Sintesi!$C$9)&gt;_xlfn.ANCHORARRAY(Sintesi!$C$10))*(A127&lt;=_xlfn.ANCHORARRAY(Sintesi!$C$10))+(_xlfn.ANCHORARRAY(Sintesi!$C$9)&lt;_xlfn.ANCHORARRAY(Sintesi!$C$10))*(A127&gt;=_xlfn.ANCHORARRAY(Sintesi!$C$9))*(A127&lt;=_xlfn.ANCHORARRAY(Sintesi!$C$10)),0)),0)))),0)</f>
        <v>0</v>
      </c>
    </row>
    <row r="129" spans="1:13">
      <c r="A129" s="1">
        <f>'Paste cell here'!A129</f>
        <v>128</v>
      </c>
      <c r="B129" s="2">
        <f>DATE(Sintesi!$C$4-1,12,31)+A129</f>
        <v>44324</v>
      </c>
      <c r="C129" s="34" cm="1">
        <f t="array" ref="C129">_xlfn.IFNA(MATCH(1,(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)*(_xlfn.ANCHORARRAY(Sintesi!$C$15)&gt;=0)+(_xlfn.ANCHORARRAY(Sintesi!$C$15)&lt;0),0),0)</f>
        <v>1</v>
      </c>
      <c r="D129" s="1" cm="1">
        <f t="array" ref="D129">IF(ISBLANK($E130),IF(ISNUMBER($E128),IF($C129&gt;0,IF(($E129=INDEX(_xlfn.ANCHORARRAY(Sintesi!$C$14),1,$C129))*(INDEX(_xlfn.ANCHORARRAY(Sintesi!$C$15),1,$C129)&gt;0),0,IF(($E129=INDEX(_xlfn.ANCHORARRAY(Sintesi!$C$14),1,$C129))*(INDEX(_xlfn.ANCHORARRAY(Sintesi!$C$15),1,$C129)&lt;0)+($E129&gt;=$E128)*($E129&lt;=INDEX($E:$E,MATCH(TRUE,INDEX((ISNUMBER($E:$E)),0),0)))*($E129&gt;INDEX(_xlfn.ANCHORARRAY(Sintesi!$C$14),1,$C129))*($E129&lt;=INDEX(_xlfn.ANCHORARRAY(Sintesi!$C$15),1,$C129))*(INDEX(_xlfn.ANCHORARRAY(Sintesi!$C$15),1,$C129)&gt;0),1,IF(($E129&gt;=$E128)*($E129&lt;=INDEX($E:$E,MATCH(TRUE,INDEX((ISNUMBER($E:$E)),0),0)))*($E129&gt;INDEX(_xlfn.ANCHORARRAY(Sintesi!$C$14),1,$C129))*($E129&lt;INDEX(_xlfn.ANCHORARRAY(Sintesi!$C$16),1,$C129))*(INDEX(_xlfn.ANCHORARRAY(Sintesi!$C$15),1,$C129)&lt;0)+($E129&gt;=$E128)*($E129&lt;=INDEX($E:$E,MATCH(TRUE,INDEX((ISNUMBER($E:$E)),0),0)))*($E129&gt;INDEX(_xlfn.ANCHORARRAY(Sintesi!$C$15),1,$C129))*($E129&lt;INDEX(_xlfn.ANCHORARRAY(Sintesi!$C$16),1,$C129))*(INDEX(_xlfn.ANCHORARRAY(Sintesi!$C$15),1,$C129)&gt;0),2,IF($E129=(INDEX(_xlfn.ANCHORARRAY(Sintesi!$C$16),1,$C129)),3,4)))),0),IF($C129&gt;0,IF(($E129=INDEX(_xlfn.ANCHORARRAY(Sintesi!$C$14),1,$C129))*(INDEX(_xlfn.ANCHORARRAY(Sintesi!$C$15),1,$C129)&gt;0),0,IF(($E129=INDEX(_xlfn.ANCHORARRAY(Sintesi!$C$14),1,$C129))*(INDEX(_xlfn.ANCHORARRAY(Sintesi!$C$15),1,$C129)&lt;0)+($E129&gt;=LOOKUP(2,1/($E:$E&lt;&gt;""),$E:$E))*($E129&lt;=INDEX($E:$E,MATCH(TRUE,INDEX((ISNUMBER($E:$E)),0),0)))*($E129&gt;INDEX(_xlfn.ANCHORARRAY(Sintesi!$C$14),1,$C129))*($E129&lt;=INDEX(_xlfn.ANCHORARRAY(Sintesi!$C$15),1,$C129))*(INDEX(_xlfn.ANCHORARRAY(Sintesi!$C$15),1,$C129)&gt;0),1,IF(($E129&gt;=LOOKUP(2,1/($E:$E&lt;&gt;""),$E:$E))*($E129&lt;=INDEX($E:$E,MATCH(TRUE,INDEX((ISNUMBER($E:$E)),0),0)))*($E129&gt;INDEX(_xlfn.ANCHORARRAY(Sintesi!$C$14),1,$C129))*($E129&lt;INDEX(_xlfn.ANCHORARRAY(Sintesi!$C$16),1,$C129))*(INDEX(_xlfn.ANCHORARRAY(Sintesi!$C$15),1,$C129)&lt;0)+($E129&gt;=LOOKUP(2,1/($E:$E&lt;&gt;""),$E:$E))*($E129&lt;=INDEX($E:$E,MATCH(TRUE,INDEX((ISNUMBER($E:$E)),0),0)))*($E129&gt;INDEX(_xlfn.ANCHORARRAY(Sintesi!$C$15),1,$C129))*($E129&lt;INDEX(_xlfn.ANCHORARRAY(Sintesi!$C$16),1,$C129))*(INDEX(_xlfn.ANCHORARRAY(Sintesi!$C$15),1,$C129)&gt;0),2,IF($E129=(INDEX(_xlfn.ANCHORARRAY(Sintesi!$C$16),1,$C129)),3,4)))),0)),IF(ISNUMBER($E128),IF($C129&gt;0,IF(($E129=INDEX(_xlfn.ANCHORARRAY(Sintesi!$C$14),1,$C129))*(INDEX(_xlfn.ANCHORARRAY(Sintesi!$C$15),1,$C129)&gt;0),0,IF(($E129=INDEX(_xlfn.ANCHORARRAY(Sintesi!$C$14),1,$C129))*(INDEX(_xlfn.ANCHORARRAY(Sintesi!$C$15),1,$C129)&lt;0)+($E129&gt;=$E128)*($E129&lt;=$E130)*($E129&gt;INDEX(_xlfn.ANCHORARRAY(Sintesi!$C$14),1,$C129))*($E129&lt;=INDEX(_xlfn.ANCHORARRAY(Sintesi!$C$15),1,$C129))*(INDEX(_xlfn.ANCHORARRAY(Sintesi!$C$15),1,$C129)&gt;0),1,IF(($E129&gt;=$E128)*($E129&lt;=$E130)*($E129&gt;INDEX(_xlfn.ANCHORARRAY(Sintesi!$C$14),1,$C129))*($E129&lt;INDEX(_xlfn.ANCHORARRAY(Sintesi!$C$16),1,$C129))*(INDEX(_xlfn.ANCHORARRAY(Sintesi!$C$15),1,$C129)&lt;0)+($E129&gt;=$E128)*($E129&lt;=$E130)*($E129&gt;INDEX(_xlfn.ANCHORARRAY(Sintesi!$C$15),1,$C129))*($E129&lt;INDEX(_xlfn.ANCHORARRAY(Sintesi!$C$16),1,$C129))*(INDEX(_xlfn.ANCHORARRAY(Sintesi!$C$15),1,$C129)&gt;0),2,IF($E129=(INDEX(_xlfn.ANCHORARRAY(Sintesi!$C$16),1,$C129)),3,4)))),0),IF($C129&gt;0,IF(($E129=INDEX(_xlfn.ANCHORARRAY(Sintesi!$C$14),1,$C129))*(INDEX(_xlfn.ANCHORARRAY(Sintesi!$C$15),1,$C129)&gt;0),0,IF(($E129=INDEX(_xlfn.ANCHORARRAY(Sintesi!$C$14),1,$C129))*(INDEX(_xlfn.ANCHORARRAY(Sintesi!$C$15),1,$C129)&lt;0)+($E129&gt;=LOOKUP(2,1/($E:$E&lt;&gt;""),$E:$E))*($E129&lt;=$E130)*($E129&gt;INDEX(_xlfn.ANCHORARRAY(Sintesi!$C$14),1,$C129))*($E129&lt;=INDEX(_xlfn.ANCHORARRAY(Sintesi!$C$15),1,$C129))*(INDEX(_xlfn.ANCHORARRAY(Sintesi!$C$15),1,$C129)&gt;0),1,IF(($E129&gt;=LOOKUP(2,1/($E:$E&lt;&gt;""),$E:$E))*($E129&lt;=$E130)*($E129&gt;INDEX(_xlfn.ANCHORARRAY(Sintesi!$C$14),1,$C129))*($E129&lt;INDEX(_xlfn.ANCHORARRAY(Sintesi!$C$16),1,$C129))*(INDEX(_xlfn.ANCHORARRAY(Sintesi!$C$15),1,$C129)&lt;0)+($E129&gt;=LOOKUP(2,1/($E:$E&lt;&gt;""),$E:$E))*($E129&lt;=$E130)*($E129&gt;INDEX(_xlfn.ANCHORARRAY(Sintesi!$C$15),1,$C129))*($E129&lt;INDEX(_xlfn.ANCHORARRAY(Sintesi!$C$16),1,$C129))*(INDEX(_xlfn.ANCHORARRAY(Sintesi!$C$15),1,$C129)&gt;0),2,IF($E129=(INDEX(_xlfn.ANCHORARRAY(Sintesi!$C$16),1,$C129)),3,4)))),0)))</f>
        <v>2</v>
      </c>
      <c r="E129" s="1">
        <f>'Paste cell here'!F129</f>
        <v>0.27500000000000002</v>
      </c>
      <c r="F129" s="1">
        <f>'Paste cell here'!C129</f>
        <v>22.274543869999999</v>
      </c>
      <c r="G129" s="1">
        <f>'Paste cell here'!D129</f>
        <v>10.7640552</v>
      </c>
      <c r="H129" s="1">
        <f>'Paste cell here'!E129</f>
        <v>4.1658399929999996</v>
      </c>
      <c r="I129" s="1">
        <f>'Paste cell here'!X129</f>
        <v>1.1455726980000001</v>
      </c>
      <c r="J129" s="1">
        <f>'Paste cell here'!Y129+'Paste cell here'!S129</f>
        <v>1.1455726980000001</v>
      </c>
      <c r="K129" s="1">
        <f t="shared" si="3"/>
        <v>0.27499200639605559</v>
      </c>
      <c r="L129" s="1">
        <f t="shared" si="2"/>
        <v>18.53824520060644</v>
      </c>
      <c r="M129" s="1" cm="1">
        <f t="array" ref="M129">IF(AND(A129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,A129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),IF(L129&lt;_xlfn.IFNA(INDEX(_xlfn.ANCHORARRAY(Sintesi!$C$17)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,1,IF(L129&gt;=_xlfn.IFNA(INDEX(_xlfn.ANCHORARRAY(Sintesi!$C$18)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,0,1-(L129-_xlfn.IFNA(INDEX(_xlfn.ANCHORARRAY(Sintesi!$C$17)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)/(_xlfn.IFNA(INDEX(_xlfn.ANCHORARRAY(Sintesi!$C$18)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-_xlfn.IFNA(INDEX(_xlfn.ANCHORARRAY(Sintesi!$C$17),1,MATCH(1,(_xlfn.ANCHORARRAY(Sintesi!$C$9)&gt;_xlfn.ANCHORARRAY(Sintesi!$C$10))*(A128&gt;=_xlfn.ANCHORARRAY(Sintesi!$C$9))+(_xlfn.ANCHORARRAY(Sintesi!$C$9)&gt;_xlfn.ANCHORARRAY(Sintesi!$C$10))*(A128&lt;=_xlfn.ANCHORARRAY(Sintesi!$C$10))+(_xlfn.ANCHORARRAY(Sintesi!$C$9)&lt;_xlfn.ANCHORARRAY(Sintesi!$C$10))*(A128&gt;=_xlfn.ANCHORARRAY(Sintesi!$C$9))*(A128&lt;=_xlfn.ANCHORARRAY(Sintesi!$C$10)),0)),0)))),0)</f>
        <v>0</v>
      </c>
    </row>
    <row r="130" spans="1:13">
      <c r="A130" s="1">
        <f>'Paste cell here'!A130</f>
        <v>129</v>
      </c>
      <c r="B130" s="2">
        <f>DATE(Sintesi!$C$4-1,12,31)+A130</f>
        <v>44325</v>
      </c>
      <c r="C130" s="34" cm="1">
        <f t="array" ref="C130">_xlfn.IFNA(MATCH(1,(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)*(_xlfn.ANCHORARRAY(Sintesi!$C$15)&gt;=0)+(_xlfn.ANCHORARRAY(Sintesi!$C$15)&lt;0),0),0)</f>
        <v>1</v>
      </c>
      <c r="D130" s="1" cm="1">
        <f t="array" ref="D130">IF(ISBLANK($E131),IF(ISNUMBER($E129),IF($C130&gt;0,IF(($E130=INDEX(_xlfn.ANCHORARRAY(Sintesi!$C$14),1,$C130))*(INDEX(_xlfn.ANCHORARRAY(Sintesi!$C$15),1,$C130)&gt;0),0,IF(($E130=INDEX(_xlfn.ANCHORARRAY(Sintesi!$C$14),1,$C130))*(INDEX(_xlfn.ANCHORARRAY(Sintesi!$C$15),1,$C130)&lt;0)+($E130&gt;=$E129)*($E130&lt;=INDEX($E:$E,MATCH(TRUE,INDEX((ISNUMBER($E:$E)),0),0)))*($E130&gt;INDEX(_xlfn.ANCHORARRAY(Sintesi!$C$14),1,$C130))*($E130&lt;=INDEX(_xlfn.ANCHORARRAY(Sintesi!$C$15),1,$C130))*(INDEX(_xlfn.ANCHORARRAY(Sintesi!$C$15),1,$C130)&gt;0),1,IF(($E130&gt;=$E129)*($E130&lt;=INDEX($E:$E,MATCH(TRUE,INDEX((ISNUMBER($E:$E)),0),0)))*($E130&gt;INDEX(_xlfn.ANCHORARRAY(Sintesi!$C$14),1,$C130))*($E130&lt;INDEX(_xlfn.ANCHORARRAY(Sintesi!$C$16),1,$C130))*(INDEX(_xlfn.ANCHORARRAY(Sintesi!$C$15),1,$C130)&lt;0)+($E130&gt;=$E129)*($E130&lt;=INDEX($E:$E,MATCH(TRUE,INDEX((ISNUMBER($E:$E)),0),0)))*($E130&gt;INDEX(_xlfn.ANCHORARRAY(Sintesi!$C$15),1,$C130))*($E130&lt;INDEX(_xlfn.ANCHORARRAY(Sintesi!$C$16),1,$C130))*(INDEX(_xlfn.ANCHORARRAY(Sintesi!$C$15),1,$C130)&gt;0),2,IF($E130=(INDEX(_xlfn.ANCHORARRAY(Sintesi!$C$16),1,$C130)),3,4)))),0),IF($C130&gt;0,IF(($E130=INDEX(_xlfn.ANCHORARRAY(Sintesi!$C$14),1,$C130))*(INDEX(_xlfn.ANCHORARRAY(Sintesi!$C$15),1,$C130)&gt;0),0,IF(($E130=INDEX(_xlfn.ANCHORARRAY(Sintesi!$C$14),1,$C130))*(INDEX(_xlfn.ANCHORARRAY(Sintesi!$C$15),1,$C130)&lt;0)+($E130&gt;=LOOKUP(2,1/($E:$E&lt;&gt;""),$E:$E))*($E130&lt;=INDEX($E:$E,MATCH(TRUE,INDEX((ISNUMBER($E:$E)),0),0)))*($E130&gt;INDEX(_xlfn.ANCHORARRAY(Sintesi!$C$14),1,$C130))*($E130&lt;=INDEX(_xlfn.ANCHORARRAY(Sintesi!$C$15),1,$C130))*(INDEX(_xlfn.ANCHORARRAY(Sintesi!$C$15),1,$C130)&gt;0),1,IF(($E130&gt;=LOOKUP(2,1/($E:$E&lt;&gt;""),$E:$E))*($E130&lt;=INDEX($E:$E,MATCH(TRUE,INDEX((ISNUMBER($E:$E)),0),0)))*($E130&gt;INDEX(_xlfn.ANCHORARRAY(Sintesi!$C$14),1,$C130))*($E130&lt;INDEX(_xlfn.ANCHORARRAY(Sintesi!$C$16),1,$C130))*(INDEX(_xlfn.ANCHORARRAY(Sintesi!$C$15),1,$C130)&lt;0)+($E130&gt;=LOOKUP(2,1/($E:$E&lt;&gt;""),$E:$E))*($E130&lt;=INDEX($E:$E,MATCH(TRUE,INDEX((ISNUMBER($E:$E)),0),0)))*($E130&gt;INDEX(_xlfn.ANCHORARRAY(Sintesi!$C$15),1,$C130))*($E130&lt;INDEX(_xlfn.ANCHORARRAY(Sintesi!$C$16),1,$C130))*(INDEX(_xlfn.ANCHORARRAY(Sintesi!$C$15),1,$C130)&gt;0),2,IF($E130=(INDEX(_xlfn.ANCHORARRAY(Sintesi!$C$16),1,$C130)),3,4)))),0)),IF(ISNUMBER($E129),IF($C130&gt;0,IF(($E130=INDEX(_xlfn.ANCHORARRAY(Sintesi!$C$14),1,$C130))*(INDEX(_xlfn.ANCHORARRAY(Sintesi!$C$15),1,$C130)&gt;0),0,IF(($E130=INDEX(_xlfn.ANCHORARRAY(Sintesi!$C$14),1,$C130))*(INDEX(_xlfn.ANCHORARRAY(Sintesi!$C$15),1,$C130)&lt;0)+($E130&gt;=$E129)*($E130&lt;=$E131)*($E130&gt;INDEX(_xlfn.ANCHORARRAY(Sintesi!$C$14),1,$C130))*($E130&lt;=INDEX(_xlfn.ANCHORARRAY(Sintesi!$C$15),1,$C130))*(INDEX(_xlfn.ANCHORARRAY(Sintesi!$C$15),1,$C130)&gt;0),1,IF(($E130&gt;=$E129)*($E130&lt;=$E131)*($E130&gt;INDEX(_xlfn.ANCHORARRAY(Sintesi!$C$14),1,$C130))*($E130&lt;INDEX(_xlfn.ANCHORARRAY(Sintesi!$C$16),1,$C130))*(INDEX(_xlfn.ANCHORARRAY(Sintesi!$C$15),1,$C130)&lt;0)+($E130&gt;=$E129)*($E130&lt;=$E131)*($E130&gt;INDEX(_xlfn.ANCHORARRAY(Sintesi!$C$15),1,$C130))*($E130&lt;INDEX(_xlfn.ANCHORARRAY(Sintesi!$C$16),1,$C130))*(INDEX(_xlfn.ANCHORARRAY(Sintesi!$C$15),1,$C130)&gt;0),2,IF($E130=(INDEX(_xlfn.ANCHORARRAY(Sintesi!$C$16),1,$C130)),3,4)))),0),IF($C130&gt;0,IF(($E130=INDEX(_xlfn.ANCHORARRAY(Sintesi!$C$14),1,$C130))*(INDEX(_xlfn.ANCHORARRAY(Sintesi!$C$15),1,$C130)&gt;0),0,IF(($E130=INDEX(_xlfn.ANCHORARRAY(Sintesi!$C$14),1,$C130))*(INDEX(_xlfn.ANCHORARRAY(Sintesi!$C$15),1,$C130)&lt;0)+($E130&gt;=LOOKUP(2,1/($E:$E&lt;&gt;""),$E:$E))*($E130&lt;=$E131)*($E130&gt;INDEX(_xlfn.ANCHORARRAY(Sintesi!$C$14),1,$C130))*($E130&lt;=INDEX(_xlfn.ANCHORARRAY(Sintesi!$C$15),1,$C130))*(INDEX(_xlfn.ANCHORARRAY(Sintesi!$C$15),1,$C130)&gt;0),1,IF(($E130&gt;=LOOKUP(2,1/($E:$E&lt;&gt;""),$E:$E))*($E130&lt;=$E131)*($E130&gt;INDEX(_xlfn.ANCHORARRAY(Sintesi!$C$14),1,$C130))*($E130&lt;INDEX(_xlfn.ANCHORARRAY(Sintesi!$C$16),1,$C130))*(INDEX(_xlfn.ANCHORARRAY(Sintesi!$C$15),1,$C130)&lt;0)+($E130&gt;=LOOKUP(2,1/($E:$E&lt;&gt;""),$E:$E))*($E130&lt;=$E131)*($E130&gt;INDEX(_xlfn.ANCHORARRAY(Sintesi!$C$15),1,$C130))*($E130&lt;INDEX(_xlfn.ANCHORARRAY(Sintesi!$C$16),1,$C130))*(INDEX(_xlfn.ANCHORARRAY(Sintesi!$C$15),1,$C130)&gt;0),2,IF($E130=(INDEX(_xlfn.ANCHORARRAY(Sintesi!$C$16),1,$C130)),3,4)))),0)))</f>
        <v>2</v>
      </c>
      <c r="E130" s="1">
        <f>'Paste cell here'!F130</f>
        <v>0.29599999999999999</v>
      </c>
      <c r="F130" s="1">
        <f>'Paste cell here'!C130</f>
        <v>24.831148899999999</v>
      </c>
      <c r="G130" s="1">
        <f>'Paste cell here'!D130</f>
        <v>8.8539253050000006</v>
      </c>
      <c r="H130" s="1">
        <f>'Paste cell here'!E130</f>
        <v>4.1309521690000004</v>
      </c>
      <c r="I130" s="1">
        <f>'Paste cell here'!X130</f>
        <v>1.222724285</v>
      </c>
      <c r="J130" s="1">
        <f>'Paste cell here'!Y130+'Paste cell here'!S130</f>
        <v>1.222724285</v>
      </c>
      <c r="K130" s="1">
        <f t="shared" si="3"/>
        <v>0.29599090838565451</v>
      </c>
      <c r="L130" s="1">
        <f t="shared" ref="L130:L193" si="4">AVERAGE(($F130+$G130)/2-($F130-$G130)/2*COS(PI()*(8-VLOOKUP(MONTH(B130),$O$1:$Q$13,3))/(VLOOKUP(MONTH(B130),$O$1:$Q$13,2)-VLOOKUP(MONTH(B130),$O$1:$Q$13,3))),($F130+$G130)/2-($F130-$G130)/2*COS(PI()*(9-VLOOKUP(MONTH(B130),$O$1:$Q$13,3))/(VLOOKUP(MONTH(B130),$O$1:$Q$13,2)-VLOOKUP(MONTH(B130),$O$1:$Q$13,3))),($F130+$G130)/2-($F130-$G130)/2*COS(PI()*(10-VLOOKUP(MONTH(B130),$O$1:$Q$13,3))/(VLOOKUP(MONTH(B130),$O$1:$Q$13,2)-VLOOKUP(MONTH(B130),$O$1:$Q$13,3))),($F130+$G130)/2-($F130-$G130)/2*COS(PI()*(11-VLOOKUP(MONTH(B130),$O$1:$Q$13,3))/(VLOOKUP(MONTH(B130),$O$1:$Q$13,2)-VLOOKUP(MONTH(B130),$O$1:$Q$13,3))),($F130+$G130)/2-($F130-$G130)/2*COS(PI()*(12-VLOOKUP(MONTH(B130),$O$1:$Q$13,3))/(VLOOKUP(MONTH(B130),$O$1:$Q$13,2)-VLOOKUP(MONTH(B130),$O$1:$Q$13,3))),($F130+$G130)/2-($F130-$G130)/2*COS(PI()*(13-VLOOKUP(MONTH(B130),$O$1:$Q$13,3))/(VLOOKUP(MONTH(B130),$O$1:$Q$13,2)-VLOOKUP(MONTH(B130),$O$1:$Q$13,3))),($F130+$G130)/2-($F130-$G130)/2*COS(PI()*(14-VLOOKUP(MONTH(B130),$O$1:$Q$13,3))/(VLOOKUP(MONTH(B130),$O$1:$Q$13,2)-VLOOKUP(MONTH(B130),$O$1:$Q$13,3))))</f>
        <v>19.644950384016237</v>
      </c>
      <c r="M130" s="1" cm="1">
        <f t="array" ref="M130">IF(AND(A130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,A130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),IF(L130&lt;_xlfn.IFNA(INDEX(_xlfn.ANCHORARRAY(Sintesi!$C$17)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,1,IF(L130&gt;=_xlfn.IFNA(INDEX(_xlfn.ANCHORARRAY(Sintesi!$C$18)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,0,1-(L130-_xlfn.IFNA(INDEX(_xlfn.ANCHORARRAY(Sintesi!$C$17)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)/(_xlfn.IFNA(INDEX(_xlfn.ANCHORARRAY(Sintesi!$C$18)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-_xlfn.IFNA(INDEX(_xlfn.ANCHORARRAY(Sintesi!$C$17),1,MATCH(1,(_xlfn.ANCHORARRAY(Sintesi!$C$9)&gt;_xlfn.ANCHORARRAY(Sintesi!$C$10))*(A129&gt;=_xlfn.ANCHORARRAY(Sintesi!$C$9))+(_xlfn.ANCHORARRAY(Sintesi!$C$9)&gt;_xlfn.ANCHORARRAY(Sintesi!$C$10))*(A129&lt;=_xlfn.ANCHORARRAY(Sintesi!$C$10))+(_xlfn.ANCHORARRAY(Sintesi!$C$9)&lt;_xlfn.ANCHORARRAY(Sintesi!$C$10))*(A129&gt;=_xlfn.ANCHORARRAY(Sintesi!$C$9))*(A129&lt;=_xlfn.ANCHORARRAY(Sintesi!$C$10)),0)),0)))),0)</f>
        <v>0</v>
      </c>
    </row>
    <row r="131" spans="1:13">
      <c r="A131" s="1">
        <f>'Paste cell here'!A131</f>
        <v>130</v>
      </c>
      <c r="B131" s="2">
        <f>DATE(Sintesi!$C$4-1,12,31)+A131</f>
        <v>44326</v>
      </c>
      <c r="C131" s="34" cm="1">
        <f t="array" ref="C131">_xlfn.IFNA(MATCH(1,(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)*(_xlfn.ANCHORARRAY(Sintesi!$C$15)&gt;=0)+(_xlfn.ANCHORARRAY(Sintesi!$C$15)&lt;0),0),0)</f>
        <v>1</v>
      </c>
      <c r="D131" s="1" cm="1">
        <f t="array" ref="D131">IF(ISBLANK($E132),IF(ISNUMBER($E130),IF($C131&gt;0,IF(($E131=INDEX(_xlfn.ANCHORARRAY(Sintesi!$C$14),1,$C131))*(INDEX(_xlfn.ANCHORARRAY(Sintesi!$C$15),1,$C131)&gt;0),0,IF(($E131=INDEX(_xlfn.ANCHORARRAY(Sintesi!$C$14),1,$C131))*(INDEX(_xlfn.ANCHORARRAY(Sintesi!$C$15),1,$C131)&lt;0)+($E131&gt;=$E130)*($E131&lt;=INDEX($E:$E,MATCH(TRUE,INDEX((ISNUMBER($E:$E)),0),0)))*($E131&gt;INDEX(_xlfn.ANCHORARRAY(Sintesi!$C$14),1,$C131))*($E131&lt;=INDEX(_xlfn.ANCHORARRAY(Sintesi!$C$15),1,$C131))*(INDEX(_xlfn.ANCHORARRAY(Sintesi!$C$15),1,$C131)&gt;0),1,IF(($E131&gt;=$E130)*($E131&lt;=INDEX($E:$E,MATCH(TRUE,INDEX((ISNUMBER($E:$E)),0),0)))*($E131&gt;INDEX(_xlfn.ANCHORARRAY(Sintesi!$C$14),1,$C131))*($E131&lt;INDEX(_xlfn.ANCHORARRAY(Sintesi!$C$16),1,$C131))*(INDEX(_xlfn.ANCHORARRAY(Sintesi!$C$15),1,$C131)&lt;0)+($E131&gt;=$E130)*($E131&lt;=INDEX($E:$E,MATCH(TRUE,INDEX((ISNUMBER($E:$E)),0),0)))*($E131&gt;INDEX(_xlfn.ANCHORARRAY(Sintesi!$C$15),1,$C131))*($E131&lt;INDEX(_xlfn.ANCHORARRAY(Sintesi!$C$16),1,$C131))*(INDEX(_xlfn.ANCHORARRAY(Sintesi!$C$15),1,$C131)&gt;0),2,IF($E131=(INDEX(_xlfn.ANCHORARRAY(Sintesi!$C$16),1,$C131)),3,4)))),0),IF($C131&gt;0,IF(($E131=INDEX(_xlfn.ANCHORARRAY(Sintesi!$C$14),1,$C131))*(INDEX(_xlfn.ANCHORARRAY(Sintesi!$C$15),1,$C131)&gt;0),0,IF(($E131=INDEX(_xlfn.ANCHORARRAY(Sintesi!$C$14),1,$C131))*(INDEX(_xlfn.ANCHORARRAY(Sintesi!$C$15),1,$C131)&lt;0)+($E131&gt;=LOOKUP(2,1/($E:$E&lt;&gt;""),$E:$E))*($E131&lt;=INDEX($E:$E,MATCH(TRUE,INDEX((ISNUMBER($E:$E)),0),0)))*($E131&gt;INDEX(_xlfn.ANCHORARRAY(Sintesi!$C$14),1,$C131))*($E131&lt;=INDEX(_xlfn.ANCHORARRAY(Sintesi!$C$15),1,$C131))*(INDEX(_xlfn.ANCHORARRAY(Sintesi!$C$15),1,$C131)&gt;0),1,IF(($E131&gt;=LOOKUP(2,1/($E:$E&lt;&gt;""),$E:$E))*($E131&lt;=INDEX($E:$E,MATCH(TRUE,INDEX((ISNUMBER($E:$E)),0),0)))*($E131&gt;INDEX(_xlfn.ANCHORARRAY(Sintesi!$C$14),1,$C131))*($E131&lt;INDEX(_xlfn.ANCHORARRAY(Sintesi!$C$16),1,$C131))*(INDEX(_xlfn.ANCHORARRAY(Sintesi!$C$15),1,$C131)&lt;0)+($E131&gt;=LOOKUP(2,1/($E:$E&lt;&gt;""),$E:$E))*($E131&lt;=INDEX($E:$E,MATCH(TRUE,INDEX((ISNUMBER($E:$E)),0),0)))*($E131&gt;INDEX(_xlfn.ANCHORARRAY(Sintesi!$C$15),1,$C131))*($E131&lt;INDEX(_xlfn.ANCHORARRAY(Sintesi!$C$16),1,$C131))*(INDEX(_xlfn.ANCHORARRAY(Sintesi!$C$15),1,$C131)&gt;0),2,IF($E131=(INDEX(_xlfn.ANCHORARRAY(Sintesi!$C$16),1,$C131)),3,4)))),0)),IF(ISNUMBER($E130),IF($C131&gt;0,IF(($E131=INDEX(_xlfn.ANCHORARRAY(Sintesi!$C$14),1,$C131))*(INDEX(_xlfn.ANCHORARRAY(Sintesi!$C$15),1,$C131)&gt;0),0,IF(($E131=INDEX(_xlfn.ANCHORARRAY(Sintesi!$C$14),1,$C131))*(INDEX(_xlfn.ANCHORARRAY(Sintesi!$C$15),1,$C131)&lt;0)+($E131&gt;=$E130)*($E131&lt;=$E132)*($E131&gt;INDEX(_xlfn.ANCHORARRAY(Sintesi!$C$14),1,$C131))*($E131&lt;=INDEX(_xlfn.ANCHORARRAY(Sintesi!$C$15),1,$C131))*(INDEX(_xlfn.ANCHORARRAY(Sintesi!$C$15),1,$C131)&gt;0),1,IF(($E131&gt;=$E130)*($E131&lt;=$E132)*($E131&gt;INDEX(_xlfn.ANCHORARRAY(Sintesi!$C$14),1,$C131))*($E131&lt;INDEX(_xlfn.ANCHORARRAY(Sintesi!$C$16),1,$C131))*(INDEX(_xlfn.ANCHORARRAY(Sintesi!$C$15),1,$C131)&lt;0)+($E131&gt;=$E130)*($E131&lt;=$E132)*($E131&gt;INDEX(_xlfn.ANCHORARRAY(Sintesi!$C$15),1,$C131))*($E131&lt;INDEX(_xlfn.ANCHORARRAY(Sintesi!$C$16),1,$C131))*(INDEX(_xlfn.ANCHORARRAY(Sintesi!$C$15),1,$C131)&gt;0),2,IF($E131=(INDEX(_xlfn.ANCHORARRAY(Sintesi!$C$16),1,$C131)),3,4)))),0),IF($C131&gt;0,IF(($E131=INDEX(_xlfn.ANCHORARRAY(Sintesi!$C$14),1,$C131))*(INDEX(_xlfn.ANCHORARRAY(Sintesi!$C$15),1,$C131)&gt;0),0,IF(($E131=INDEX(_xlfn.ANCHORARRAY(Sintesi!$C$14),1,$C131))*(INDEX(_xlfn.ANCHORARRAY(Sintesi!$C$15),1,$C131)&lt;0)+($E131&gt;=LOOKUP(2,1/($E:$E&lt;&gt;""),$E:$E))*($E131&lt;=$E132)*($E131&gt;INDEX(_xlfn.ANCHORARRAY(Sintesi!$C$14),1,$C131))*($E131&lt;=INDEX(_xlfn.ANCHORARRAY(Sintesi!$C$15),1,$C131))*(INDEX(_xlfn.ANCHORARRAY(Sintesi!$C$15),1,$C131)&gt;0),1,IF(($E131&gt;=LOOKUP(2,1/($E:$E&lt;&gt;""),$E:$E))*($E131&lt;=$E132)*($E131&gt;INDEX(_xlfn.ANCHORARRAY(Sintesi!$C$14),1,$C131))*($E131&lt;INDEX(_xlfn.ANCHORARRAY(Sintesi!$C$16),1,$C131))*(INDEX(_xlfn.ANCHORARRAY(Sintesi!$C$15),1,$C131)&lt;0)+($E131&gt;=LOOKUP(2,1/($E:$E&lt;&gt;""),$E:$E))*($E131&lt;=$E132)*($E131&gt;INDEX(_xlfn.ANCHORARRAY(Sintesi!$C$15),1,$C131))*($E131&lt;INDEX(_xlfn.ANCHORARRAY(Sintesi!$C$16),1,$C131))*(INDEX(_xlfn.ANCHORARRAY(Sintesi!$C$15),1,$C131)&gt;0),2,IF($E131=(INDEX(_xlfn.ANCHORARRAY(Sintesi!$C$16),1,$C131)),3,4)))),0)))</f>
        <v>2</v>
      </c>
      <c r="E131" s="1">
        <f>'Paste cell here'!F131</f>
        <v>0.317</v>
      </c>
      <c r="F131" s="1">
        <f>'Paste cell here'!C131</f>
        <v>24.9311489</v>
      </c>
      <c r="G131" s="1">
        <f>'Paste cell here'!D131</f>
        <v>13.079339770000001</v>
      </c>
      <c r="H131" s="1">
        <f>'Paste cell here'!E131</f>
        <v>3.8533101300000001</v>
      </c>
      <c r="I131" s="1">
        <f>'Paste cell here'!X131</f>
        <v>1.221459716</v>
      </c>
      <c r="J131" s="1">
        <f>'Paste cell here'!Y131+'Paste cell here'!S131</f>
        <v>1.221459716</v>
      </c>
      <c r="K131" s="1">
        <f t="shared" ref="K131:K194" si="5">I131/H131</f>
        <v>0.31698972436459455</v>
      </c>
      <c r="L131" s="1">
        <f t="shared" si="4"/>
        <v>21.08405778581141</v>
      </c>
      <c r="M131" s="1" cm="1">
        <f t="array" ref="M131">IF(AND(A131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,A131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),IF(L131&lt;_xlfn.IFNA(INDEX(_xlfn.ANCHORARRAY(Sintesi!$C$17)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,1,IF(L131&gt;=_xlfn.IFNA(INDEX(_xlfn.ANCHORARRAY(Sintesi!$C$18)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,0,1-(L131-_xlfn.IFNA(INDEX(_xlfn.ANCHORARRAY(Sintesi!$C$17)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)/(_xlfn.IFNA(INDEX(_xlfn.ANCHORARRAY(Sintesi!$C$18)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-_xlfn.IFNA(INDEX(_xlfn.ANCHORARRAY(Sintesi!$C$17),1,MATCH(1,(_xlfn.ANCHORARRAY(Sintesi!$C$9)&gt;_xlfn.ANCHORARRAY(Sintesi!$C$10))*(A130&gt;=_xlfn.ANCHORARRAY(Sintesi!$C$9))+(_xlfn.ANCHORARRAY(Sintesi!$C$9)&gt;_xlfn.ANCHORARRAY(Sintesi!$C$10))*(A130&lt;=_xlfn.ANCHORARRAY(Sintesi!$C$10))+(_xlfn.ANCHORARRAY(Sintesi!$C$9)&lt;_xlfn.ANCHORARRAY(Sintesi!$C$10))*(A130&gt;=_xlfn.ANCHORARRAY(Sintesi!$C$9))*(A130&lt;=_xlfn.ANCHORARRAY(Sintesi!$C$10)),0)),0)))),0)</f>
        <v>0</v>
      </c>
    </row>
    <row r="132" spans="1:13">
      <c r="A132" s="1">
        <f>'Paste cell here'!A132</f>
        <v>131</v>
      </c>
      <c r="B132" s="2">
        <f>DATE(Sintesi!$C$4-1,12,31)+A132</f>
        <v>44327</v>
      </c>
      <c r="C132" s="34" cm="1">
        <f t="array" ref="C132">_xlfn.IFNA(MATCH(1,(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)*(_xlfn.ANCHORARRAY(Sintesi!$C$15)&gt;=0)+(_xlfn.ANCHORARRAY(Sintesi!$C$15)&lt;0),0),0)</f>
        <v>1</v>
      </c>
      <c r="D132" s="1" cm="1">
        <f t="array" ref="D132">IF(ISBLANK($E133),IF(ISNUMBER($E131),IF($C132&gt;0,IF(($E132=INDEX(_xlfn.ANCHORARRAY(Sintesi!$C$14),1,$C132))*(INDEX(_xlfn.ANCHORARRAY(Sintesi!$C$15),1,$C132)&gt;0),0,IF(($E132=INDEX(_xlfn.ANCHORARRAY(Sintesi!$C$14),1,$C132))*(INDEX(_xlfn.ANCHORARRAY(Sintesi!$C$15),1,$C132)&lt;0)+($E132&gt;=$E131)*($E132&lt;=INDEX($E:$E,MATCH(TRUE,INDEX((ISNUMBER($E:$E)),0),0)))*($E132&gt;INDEX(_xlfn.ANCHORARRAY(Sintesi!$C$14),1,$C132))*($E132&lt;=INDEX(_xlfn.ANCHORARRAY(Sintesi!$C$15),1,$C132))*(INDEX(_xlfn.ANCHORARRAY(Sintesi!$C$15),1,$C132)&gt;0),1,IF(($E132&gt;=$E131)*($E132&lt;=INDEX($E:$E,MATCH(TRUE,INDEX((ISNUMBER($E:$E)),0),0)))*($E132&gt;INDEX(_xlfn.ANCHORARRAY(Sintesi!$C$14),1,$C132))*($E132&lt;INDEX(_xlfn.ANCHORARRAY(Sintesi!$C$16),1,$C132))*(INDEX(_xlfn.ANCHORARRAY(Sintesi!$C$15),1,$C132)&lt;0)+($E132&gt;=$E131)*($E132&lt;=INDEX($E:$E,MATCH(TRUE,INDEX((ISNUMBER($E:$E)),0),0)))*($E132&gt;INDEX(_xlfn.ANCHORARRAY(Sintesi!$C$15),1,$C132))*($E132&lt;INDEX(_xlfn.ANCHORARRAY(Sintesi!$C$16),1,$C132))*(INDEX(_xlfn.ANCHORARRAY(Sintesi!$C$15),1,$C132)&gt;0),2,IF($E132=(INDEX(_xlfn.ANCHORARRAY(Sintesi!$C$16),1,$C132)),3,4)))),0),IF($C132&gt;0,IF(($E132=INDEX(_xlfn.ANCHORARRAY(Sintesi!$C$14),1,$C132))*(INDEX(_xlfn.ANCHORARRAY(Sintesi!$C$15),1,$C132)&gt;0),0,IF(($E132=INDEX(_xlfn.ANCHORARRAY(Sintesi!$C$14),1,$C132))*(INDEX(_xlfn.ANCHORARRAY(Sintesi!$C$15),1,$C132)&lt;0)+($E132&gt;=LOOKUP(2,1/($E:$E&lt;&gt;""),$E:$E))*($E132&lt;=INDEX($E:$E,MATCH(TRUE,INDEX((ISNUMBER($E:$E)),0),0)))*($E132&gt;INDEX(_xlfn.ANCHORARRAY(Sintesi!$C$14),1,$C132))*($E132&lt;=INDEX(_xlfn.ANCHORARRAY(Sintesi!$C$15),1,$C132))*(INDEX(_xlfn.ANCHORARRAY(Sintesi!$C$15),1,$C132)&gt;0),1,IF(($E132&gt;=LOOKUP(2,1/($E:$E&lt;&gt;""),$E:$E))*($E132&lt;=INDEX($E:$E,MATCH(TRUE,INDEX((ISNUMBER($E:$E)),0),0)))*($E132&gt;INDEX(_xlfn.ANCHORARRAY(Sintesi!$C$14),1,$C132))*($E132&lt;INDEX(_xlfn.ANCHORARRAY(Sintesi!$C$16),1,$C132))*(INDEX(_xlfn.ANCHORARRAY(Sintesi!$C$15),1,$C132)&lt;0)+($E132&gt;=LOOKUP(2,1/($E:$E&lt;&gt;""),$E:$E))*($E132&lt;=INDEX($E:$E,MATCH(TRUE,INDEX((ISNUMBER($E:$E)),0),0)))*($E132&gt;INDEX(_xlfn.ANCHORARRAY(Sintesi!$C$15),1,$C132))*($E132&lt;INDEX(_xlfn.ANCHORARRAY(Sintesi!$C$16),1,$C132))*(INDEX(_xlfn.ANCHORARRAY(Sintesi!$C$15),1,$C132)&gt;0),2,IF($E132=(INDEX(_xlfn.ANCHORARRAY(Sintesi!$C$16),1,$C132)),3,4)))),0)),IF(ISNUMBER($E131),IF($C132&gt;0,IF(($E132=INDEX(_xlfn.ANCHORARRAY(Sintesi!$C$14),1,$C132))*(INDEX(_xlfn.ANCHORARRAY(Sintesi!$C$15),1,$C132)&gt;0),0,IF(($E132=INDEX(_xlfn.ANCHORARRAY(Sintesi!$C$14),1,$C132))*(INDEX(_xlfn.ANCHORARRAY(Sintesi!$C$15),1,$C132)&lt;0)+($E132&gt;=$E131)*($E132&lt;=$E133)*($E132&gt;INDEX(_xlfn.ANCHORARRAY(Sintesi!$C$14),1,$C132))*($E132&lt;=INDEX(_xlfn.ANCHORARRAY(Sintesi!$C$15),1,$C132))*(INDEX(_xlfn.ANCHORARRAY(Sintesi!$C$15),1,$C132)&gt;0),1,IF(($E132&gt;=$E131)*($E132&lt;=$E133)*($E132&gt;INDEX(_xlfn.ANCHORARRAY(Sintesi!$C$14),1,$C132))*($E132&lt;INDEX(_xlfn.ANCHORARRAY(Sintesi!$C$16),1,$C132))*(INDEX(_xlfn.ANCHORARRAY(Sintesi!$C$15),1,$C132)&lt;0)+($E132&gt;=$E131)*($E132&lt;=$E133)*($E132&gt;INDEX(_xlfn.ANCHORARRAY(Sintesi!$C$15),1,$C132))*($E132&lt;INDEX(_xlfn.ANCHORARRAY(Sintesi!$C$16),1,$C132))*(INDEX(_xlfn.ANCHORARRAY(Sintesi!$C$15),1,$C132)&gt;0),2,IF($E132=(INDEX(_xlfn.ANCHORARRAY(Sintesi!$C$16),1,$C132)),3,4)))),0),IF($C132&gt;0,IF(($E132=INDEX(_xlfn.ANCHORARRAY(Sintesi!$C$14),1,$C132))*(INDEX(_xlfn.ANCHORARRAY(Sintesi!$C$15),1,$C132)&gt;0),0,IF(($E132=INDEX(_xlfn.ANCHORARRAY(Sintesi!$C$14),1,$C132))*(INDEX(_xlfn.ANCHORARRAY(Sintesi!$C$15),1,$C132)&lt;0)+($E132&gt;=LOOKUP(2,1/($E:$E&lt;&gt;""),$E:$E))*($E132&lt;=$E133)*($E132&gt;INDEX(_xlfn.ANCHORARRAY(Sintesi!$C$14),1,$C132))*($E132&lt;=INDEX(_xlfn.ANCHORARRAY(Sintesi!$C$15),1,$C132))*(INDEX(_xlfn.ANCHORARRAY(Sintesi!$C$15),1,$C132)&gt;0),1,IF(($E132&gt;=LOOKUP(2,1/($E:$E&lt;&gt;""),$E:$E))*($E132&lt;=$E133)*($E132&gt;INDEX(_xlfn.ANCHORARRAY(Sintesi!$C$14),1,$C132))*($E132&lt;INDEX(_xlfn.ANCHORARRAY(Sintesi!$C$16),1,$C132))*(INDEX(_xlfn.ANCHORARRAY(Sintesi!$C$15),1,$C132)&lt;0)+($E132&gt;=LOOKUP(2,1/($E:$E&lt;&gt;""),$E:$E))*($E132&lt;=$E133)*($E132&gt;INDEX(_xlfn.ANCHORARRAY(Sintesi!$C$15),1,$C132))*($E132&lt;INDEX(_xlfn.ANCHORARRAY(Sintesi!$C$16),1,$C132))*(INDEX(_xlfn.ANCHORARRAY(Sintesi!$C$15),1,$C132)&gt;0),2,IF($E132=(INDEX(_xlfn.ANCHORARRAY(Sintesi!$C$16),1,$C132)),3,4)))),0)))</f>
        <v>2</v>
      </c>
      <c r="E132" s="1">
        <f>'Paste cell here'!F132</f>
        <v>0.33800000000000002</v>
      </c>
      <c r="F132" s="1">
        <f>'Paste cell here'!C132</f>
        <v>17.117980509999999</v>
      </c>
      <c r="G132" s="1">
        <f>'Paste cell here'!D132</f>
        <v>13.32066023</v>
      </c>
      <c r="H132" s="1">
        <f>'Paste cell here'!E132</f>
        <v>1.738820445</v>
      </c>
      <c r="I132" s="1">
        <f>'Paste cell here'!X132</f>
        <v>0.58770122999999996</v>
      </c>
      <c r="J132" s="1">
        <f>'Paste cell here'!Y132+'Paste cell here'!S132</f>
        <v>0.58770122999999996</v>
      </c>
      <c r="K132" s="1">
        <f t="shared" si="5"/>
        <v>0.33798845170583441</v>
      </c>
      <c r="L132" s="1">
        <f t="shared" si="4"/>
        <v>15.885372310975102</v>
      </c>
      <c r="M132" s="1" cm="1">
        <f t="array" ref="M132">IF(AND(A132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,A132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),IF(L132&lt;_xlfn.IFNA(INDEX(_xlfn.ANCHORARRAY(Sintesi!$C$17)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,1,IF(L132&gt;=_xlfn.IFNA(INDEX(_xlfn.ANCHORARRAY(Sintesi!$C$18)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,0,1-(L132-_xlfn.IFNA(INDEX(_xlfn.ANCHORARRAY(Sintesi!$C$17)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)/(_xlfn.IFNA(INDEX(_xlfn.ANCHORARRAY(Sintesi!$C$18)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-_xlfn.IFNA(INDEX(_xlfn.ANCHORARRAY(Sintesi!$C$17),1,MATCH(1,(_xlfn.ANCHORARRAY(Sintesi!$C$9)&gt;_xlfn.ANCHORARRAY(Sintesi!$C$10))*(A131&gt;=_xlfn.ANCHORARRAY(Sintesi!$C$9))+(_xlfn.ANCHORARRAY(Sintesi!$C$9)&gt;_xlfn.ANCHORARRAY(Sintesi!$C$10))*(A131&lt;=_xlfn.ANCHORARRAY(Sintesi!$C$10))+(_xlfn.ANCHORARRAY(Sintesi!$C$9)&lt;_xlfn.ANCHORARRAY(Sintesi!$C$10))*(A131&gt;=_xlfn.ANCHORARRAY(Sintesi!$C$9))*(A131&lt;=_xlfn.ANCHORARRAY(Sintesi!$C$10)),0)),0)))),0)</f>
        <v>0</v>
      </c>
    </row>
    <row r="133" spans="1:13">
      <c r="A133" s="1">
        <f>'Paste cell here'!A133</f>
        <v>132</v>
      </c>
      <c r="B133" s="2">
        <f>DATE(Sintesi!$C$4-1,12,31)+A133</f>
        <v>44328</v>
      </c>
      <c r="C133" s="34" cm="1">
        <f t="array" ref="C133">_xlfn.IFNA(MATCH(1,(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)*(_xlfn.ANCHORARRAY(Sintesi!$C$15)&gt;=0)+(_xlfn.ANCHORARRAY(Sintesi!$C$15)&lt;0),0),0)</f>
        <v>1</v>
      </c>
      <c r="D133" s="1" cm="1">
        <f t="array" ref="D133">IF(ISBLANK($E134),IF(ISNUMBER($E132),IF($C133&gt;0,IF(($E133=INDEX(_xlfn.ANCHORARRAY(Sintesi!$C$14),1,$C133))*(INDEX(_xlfn.ANCHORARRAY(Sintesi!$C$15),1,$C133)&gt;0),0,IF(($E133=INDEX(_xlfn.ANCHORARRAY(Sintesi!$C$14),1,$C133))*(INDEX(_xlfn.ANCHORARRAY(Sintesi!$C$15),1,$C133)&lt;0)+($E133&gt;=$E132)*($E133&lt;=INDEX($E:$E,MATCH(TRUE,INDEX((ISNUMBER($E:$E)),0),0)))*($E133&gt;INDEX(_xlfn.ANCHORARRAY(Sintesi!$C$14),1,$C133))*($E133&lt;=INDEX(_xlfn.ANCHORARRAY(Sintesi!$C$15),1,$C133))*(INDEX(_xlfn.ANCHORARRAY(Sintesi!$C$15),1,$C133)&gt;0),1,IF(($E133&gt;=$E132)*($E133&lt;=INDEX($E:$E,MATCH(TRUE,INDEX((ISNUMBER($E:$E)),0),0)))*($E133&gt;INDEX(_xlfn.ANCHORARRAY(Sintesi!$C$14),1,$C133))*($E133&lt;INDEX(_xlfn.ANCHORARRAY(Sintesi!$C$16),1,$C133))*(INDEX(_xlfn.ANCHORARRAY(Sintesi!$C$15),1,$C133)&lt;0)+($E133&gt;=$E132)*($E133&lt;=INDEX($E:$E,MATCH(TRUE,INDEX((ISNUMBER($E:$E)),0),0)))*($E133&gt;INDEX(_xlfn.ANCHORARRAY(Sintesi!$C$15),1,$C133))*($E133&lt;INDEX(_xlfn.ANCHORARRAY(Sintesi!$C$16),1,$C133))*(INDEX(_xlfn.ANCHORARRAY(Sintesi!$C$15),1,$C133)&gt;0),2,IF($E133=(INDEX(_xlfn.ANCHORARRAY(Sintesi!$C$16),1,$C133)),3,4)))),0),IF($C133&gt;0,IF(($E133=INDEX(_xlfn.ANCHORARRAY(Sintesi!$C$14),1,$C133))*(INDEX(_xlfn.ANCHORARRAY(Sintesi!$C$15),1,$C133)&gt;0),0,IF(($E133=INDEX(_xlfn.ANCHORARRAY(Sintesi!$C$14),1,$C133))*(INDEX(_xlfn.ANCHORARRAY(Sintesi!$C$15),1,$C133)&lt;0)+($E133&gt;=LOOKUP(2,1/($E:$E&lt;&gt;""),$E:$E))*($E133&lt;=INDEX($E:$E,MATCH(TRUE,INDEX((ISNUMBER($E:$E)),0),0)))*($E133&gt;INDEX(_xlfn.ANCHORARRAY(Sintesi!$C$14),1,$C133))*($E133&lt;=INDEX(_xlfn.ANCHORARRAY(Sintesi!$C$15),1,$C133))*(INDEX(_xlfn.ANCHORARRAY(Sintesi!$C$15),1,$C133)&gt;0),1,IF(($E133&gt;=LOOKUP(2,1/($E:$E&lt;&gt;""),$E:$E))*($E133&lt;=INDEX($E:$E,MATCH(TRUE,INDEX((ISNUMBER($E:$E)),0),0)))*($E133&gt;INDEX(_xlfn.ANCHORARRAY(Sintesi!$C$14),1,$C133))*($E133&lt;INDEX(_xlfn.ANCHORARRAY(Sintesi!$C$16),1,$C133))*(INDEX(_xlfn.ANCHORARRAY(Sintesi!$C$15),1,$C133)&lt;0)+($E133&gt;=LOOKUP(2,1/($E:$E&lt;&gt;""),$E:$E))*($E133&lt;=INDEX($E:$E,MATCH(TRUE,INDEX((ISNUMBER($E:$E)),0),0)))*($E133&gt;INDEX(_xlfn.ANCHORARRAY(Sintesi!$C$15),1,$C133))*($E133&lt;INDEX(_xlfn.ANCHORARRAY(Sintesi!$C$16),1,$C133))*(INDEX(_xlfn.ANCHORARRAY(Sintesi!$C$15),1,$C133)&gt;0),2,IF($E133=(INDEX(_xlfn.ANCHORARRAY(Sintesi!$C$16),1,$C133)),3,4)))),0)),IF(ISNUMBER($E132),IF($C133&gt;0,IF(($E133=INDEX(_xlfn.ANCHORARRAY(Sintesi!$C$14),1,$C133))*(INDEX(_xlfn.ANCHORARRAY(Sintesi!$C$15),1,$C133)&gt;0),0,IF(($E133=INDEX(_xlfn.ANCHORARRAY(Sintesi!$C$14),1,$C133))*(INDEX(_xlfn.ANCHORARRAY(Sintesi!$C$15),1,$C133)&lt;0)+($E133&gt;=$E132)*($E133&lt;=$E134)*($E133&gt;INDEX(_xlfn.ANCHORARRAY(Sintesi!$C$14),1,$C133))*($E133&lt;=INDEX(_xlfn.ANCHORARRAY(Sintesi!$C$15),1,$C133))*(INDEX(_xlfn.ANCHORARRAY(Sintesi!$C$15),1,$C133)&gt;0),1,IF(($E133&gt;=$E132)*($E133&lt;=$E134)*($E133&gt;INDEX(_xlfn.ANCHORARRAY(Sintesi!$C$14),1,$C133))*($E133&lt;INDEX(_xlfn.ANCHORARRAY(Sintesi!$C$16),1,$C133))*(INDEX(_xlfn.ANCHORARRAY(Sintesi!$C$15),1,$C133)&lt;0)+($E133&gt;=$E132)*($E133&lt;=$E134)*($E133&gt;INDEX(_xlfn.ANCHORARRAY(Sintesi!$C$15),1,$C133))*($E133&lt;INDEX(_xlfn.ANCHORARRAY(Sintesi!$C$16),1,$C133))*(INDEX(_xlfn.ANCHORARRAY(Sintesi!$C$15),1,$C133)&gt;0),2,IF($E133=(INDEX(_xlfn.ANCHORARRAY(Sintesi!$C$16),1,$C133)),3,4)))),0),IF($C133&gt;0,IF(($E133=INDEX(_xlfn.ANCHORARRAY(Sintesi!$C$14),1,$C133))*(INDEX(_xlfn.ANCHORARRAY(Sintesi!$C$15),1,$C133)&gt;0),0,IF(($E133=INDEX(_xlfn.ANCHORARRAY(Sintesi!$C$14),1,$C133))*(INDEX(_xlfn.ANCHORARRAY(Sintesi!$C$15),1,$C133)&lt;0)+($E133&gt;=LOOKUP(2,1/($E:$E&lt;&gt;""),$E:$E))*($E133&lt;=$E134)*($E133&gt;INDEX(_xlfn.ANCHORARRAY(Sintesi!$C$14),1,$C133))*($E133&lt;=INDEX(_xlfn.ANCHORARRAY(Sintesi!$C$15),1,$C133))*(INDEX(_xlfn.ANCHORARRAY(Sintesi!$C$15),1,$C133)&gt;0),1,IF(($E133&gt;=LOOKUP(2,1/($E:$E&lt;&gt;""),$E:$E))*($E133&lt;=$E134)*($E133&gt;INDEX(_xlfn.ANCHORARRAY(Sintesi!$C$14),1,$C133))*($E133&lt;INDEX(_xlfn.ANCHORARRAY(Sintesi!$C$16),1,$C133))*(INDEX(_xlfn.ANCHORARRAY(Sintesi!$C$15),1,$C133)&lt;0)+($E133&gt;=LOOKUP(2,1/($E:$E&lt;&gt;""),$E:$E))*($E133&lt;=$E134)*($E133&gt;INDEX(_xlfn.ANCHORARRAY(Sintesi!$C$15),1,$C133))*($E133&lt;INDEX(_xlfn.ANCHORARRAY(Sintesi!$C$16),1,$C133))*(INDEX(_xlfn.ANCHORARRAY(Sintesi!$C$15),1,$C133)&gt;0),2,IF($E133=(INDEX(_xlfn.ANCHORARRAY(Sintesi!$C$16),1,$C133)),3,4)))),0)))</f>
        <v>2</v>
      </c>
      <c r="E133" s="1">
        <f>'Paste cell here'!F133</f>
        <v>0.35799999999999998</v>
      </c>
      <c r="F133" s="1">
        <f>'Paste cell here'!C133</f>
        <v>24.08201949</v>
      </c>
      <c r="G133" s="1">
        <f>'Paste cell here'!D133</f>
        <v>11.020660230000001</v>
      </c>
      <c r="H133" s="1">
        <f>'Paste cell here'!E133</f>
        <v>4.3778649490000001</v>
      </c>
      <c r="I133" s="1">
        <f>'Paste cell here'!X133</f>
        <v>1.567219278</v>
      </c>
      <c r="J133" s="1">
        <f>'Paste cell here'!Y133+'Paste cell here'!S133</f>
        <v>1.567219278</v>
      </c>
      <c r="K133" s="1">
        <f t="shared" si="5"/>
        <v>0.35798712300569874</v>
      </c>
      <c r="L133" s="1">
        <f t="shared" si="4"/>
        <v>19.842309029157395</v>
      </c>
      <c r="M133" s="1" cm="1">
        <f t="array" ref="M133">IF(AND(A133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,A133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),IF(L133&lt;_xlfn.IFNA(INDEX(_xlfn.ANCHORARRAY(Sintesi!$C$17)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,1,IF(L133&gt;=_xlfn.IFNA(INDEX(_xlfn.ANCHORARRAY(Sintesi!$C$18)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,0,1-(L133-_xlfn.IFNA(INDEX(_xlfn.ANCHORARRAY(Sintesi!$C$17)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)/(_xlfn.IFNA(INDEX(_xlfn.ANCHORARRAY(Sintesi!$C$18)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-_xlfn.IFNA(INDEX(_xlfn.ANCHORARRAY(Sintesi!$C$17),1,MATCH(1,(_xlfn.ANCHORARRAY(Sintesi!$C$9)&gt;_xlfn.ANCHORARRAY(Sintesi!$C$10))*(A132&gt;=_xlfn.ANCHORARRAY(Sintesi!$C$9))+(_xlfn.ANCHORARRAY(Sintesi!$C$9)&gt;_xlfn.ANCHORARRAY(Sintesi!$C$10))*(A132&lt;=_xlfn.ANCHORARRAY(Sintesi!$C$10))+(_xlfn.ANCHORARRAY(Sintesi!$C$9)&lt;_xlfn.ANCHORARRAY(Sintesi!$C$10))*(A132&gt;=_xlfn.ANCHORARRAY(Sintesi!$C$9))*(A132&lt;=_xlfn.ANCHORARRAY(Sintesi!$C$10)),0)),0)))),0)</f>
        <v>0</v>
      </c>
    </row>
    <row r="134" spans="1:13">
      <c r="A134" s="1">
        <f>'Paste cell here'!A134</f>
        <v>133</v>
      </c>
      <c r="B134" s="2">
        <f>DATE(Sintesi!$C$4-1,12,31)+A134</f>
        <v>44329</v>
      </c>
      <c r="C134" s="34" cm="1">
        <f t="array" ref="C134">_xlfn.IFNA(MATCH(1,(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)*(_xlfn.ANCHORARRAY(Sintesi!$C$15)&gt;=0)+(_xlfn.ANCHORARRAY(Sintesi!$C$15)&lt;0),0),0)</f>
        <v>1</v>
      </c>
      <c r="D134" s="1" cm="1">
        <f t="array" ref="D134">IF(ISBLANK($E135),IF(ISNUMBER($E133),IF($C134&gt;0,IF(($E134=INDEX(_xlfn.ANCHORARRAY(Sintesi!$C$14),1,$C134))*(INDEX(_xlfn.ANCHORARRAY(Sintesi!$C$15),1,$C134)&gt;0),0,IF(($E134=INDEX(_xlfn.ANCHORARRAY(Sintesi!$C$14),1,$C134))*(INDEX(_xlfn.ANCHORARRAY(Sintesi!$C$15),1,$C134)&lt;0)+($E134&gt;=$E133)*($E134&lt;=INDEX($E:$E,MATCH(TRUE,INDEX((ISNUMBER($E:$E)),0),0)))*($E134&gt;INDEX(_xlfn.ANCHORARRAY(Sintesi!$C$14),1,$C134))*($E134&lt;=INDEX(_xlfn.ANCHORARRAY(Sintesi!$C$15),1,$C134))*(INDEX(_xlfn.ANCHORARRAY(Sintesi!$C$15),1,$C134)&gt;0),1,IF(($E134&gt;=$E133)*($E134&lt;=INDEX($E:$E,MATCH(TRUE,INDEX((ISNUMBER($E:$E)),0),0)))*($E134&gt;INDEX(_xlfn.ANCHORARRAY(Sintesi!$C$14),1,$C134))*($E134&lt;INDEX(_xlfn.ANCHORARRAY(Sintesi!$C$16),1,$C134))*(INDEX(_xlfn.ANCHORARRAY(Sintesi!$C$15),1,$C134)&lt;0)+($E134&gt;=$E133)*($E134&lt;=INDEX($E:$E,MATCH(TRUE,INDEX((ISNUMBER($E:$E)),0),0)))*($E134&gt;INDEX(_xlfn.ANCHORARRAY(Sintesi!$C$15),1,$C134))*($E134&lt;INDEX(_xlfn.ANCHORARRAY(Sintesi!$C$16),1,$C134))*(INDEX(_xlfn.ANCHORARRAY(Sintesi!$C$15),1,$C134)&gt;0),2,IF($E134=(INDEX(_xlfn.ANCHORARRAY(Sintesi!$C$16),1,$C134)),3,4)))),0),IF($C134&gt;0,IF(($E134=INDEX(_xlfn.ANCHORARRAY(Sintesi!$C$14),1,$C134))*(INDEX(_xlfn.ANCHORARRAY(Sintesi!$C$15),1,$C134)&gt;0),0,IF(($E134=INDEX(_xlfn.ANCHORARRAY(Sintesi!$C$14),1,$C134))*(INDEX(_xlfn.ANCHORARRAY(Sintesi!$C$15),1,$C134)&lt;0)+($E134&gt;=LOOKUP(2,1/($E:$E&lt;&gt;""),$E:$E))*($E134&lt;=INDEX($E:$E,MATCH(TRUE,INDEX((ISNUMBER($E:$E)),0),0)))*($E134&gt;INDEX(_xlfn.ANCHORARRAY(Sintesi!$C$14),1,$C134))*($E134&lt;=INDEX(_xlfn.ANCHORARRAY(Sintesi!$C$15),1,$C134))*(INDEX(_xlfn.ANCHORARRAY(Sintesi!$C$15),1,$C134)&gt;0),1,IF(($E134&gt;=LOOKUP(2,1/($E:$E&lt;&gt;""),$E:$E))*($E134&lt;=INDEX($E:$E,MATCH(TRUE,INDEX((ISNUMBER($E:$E)),0),0)))*($E134&gt;INDEX(_xlfn.ANCHORARRAY(Sintesi!$C$14),1,$C134))*($E134&lt;INDEX(_xlfn.ANCHORARRAY(Sintesi!$C$16),1,$C134))*(INDEX(_xlfn.ANCHORARRAY(Sintesi!$C$15),1,$C134)&lt;0)+($E134&gt;=LOOKUP(2,1/($E:$E&lt;&gt;""),$E:$E))*($E134&lt;=INDEX($E:$E,MATCH(TRUE,INDEX((ISNUMBER($E:$E)),0),0)))*($E134&gt;INDEX(_xlfn.ANCHORARRAY(Sintesi!$C$15),1,$C134))*($E134&lt;INDEX(_xlfn.ANCHORARRAY(Sintesi!$C$16),1,$C134))*(INDEX(_xlfn.ANCHORARRAY(Sintesi!$C$15),1,$C134)&gt;0),2,IF($E134=(INDEX(_xlfn.ANCHORARRAY(Sintesi!$C$16),1,$C134)),3,4)))),0)),IF(ISNUMBER($E133),IF($C134&gt;0,IF(($E134=INDEX(_xlfn.ANCHORARRAY(Sintesi!$C$14),1,$C134))*(INDEX(_xlfn.ANCHORARRAY(Sintesi!$C$15),1,$C134)&gt;0),0,IF(($E134=INDEX(_xlfn.ANCHORARRAY(Sintesi!$C$14),1,$C134))*(INDEX(_xlfn.ANCHORARRAY(Sintesi!$C$15),1,$C134)&lt;0)+($E134&gt;=$E133)*($E134&lt;=$E135)*($E134&gt;INDEX(_xlfn.ANCHORARRAY(Sintesi!$C$14),1,$C134))*($E134&lt;=INDEX(_xlfn.ANCHORARRAY(Sintesi!$C$15),1,$C134))*(INDEX(_xlfn.ANCHORARRAY(Sintesi!$C$15),1,$C134)&gt;0),1,IF(($E134&gt;=$E133)*($E134&lt;=$E135)*($E134&gt;INDEX(_xlfn.ANCHORARRAY(Sintesi!$C$14),1,$C134))*($E134&lt;INDEX(_xlfn.ANCHORARRAY(Sintesi!$C$16),1,$C134))*(INDEX(_xlfn.ANCHORARRAY(Sintesi!$C$15),1,$C134)&lt;0)+($E134&gt;=$E133)*($E134&lt;=$E135)*($E134&gt;INDEX(_xlfn.ANCHORARRAY(Sintesi!$C$15),1,$C134))*($E134&lt;INDEX(_xlfn.ANCHORARRAY(Sintesi!$C$16),1,$C134))*(INDEX(_xlfn.ANCHORARRAY(Sintesi!$C$15),1,$C134)&gt;0),2,IF($E134=(INDEX(_xlfn.ANCHORARRAY(Sintesi!$C$16),1,$C134)),3,4)))),0),IF($C134&gt;0,IF(($E134=INDEX(_xlfn.ANCHORARRAY(Sintesi!$C$14),1,$C134))*(INDEX(_xlfn.ANCHORARRAY(Sintesi!$C$15),1,$C134)&gt;0),0,IF(($E134=INDEX(_xlfn.ANCHORARRAY(Sintesi!$C$14),1,$C134))*(INDEX(_xlfn.ANCHORARRAY(Sintesi!$C$15),1,$C134)&lt;0)+($E134&gt;=LOOKUP(2,1/($E:$E&lt;&gt;""),$E:$E))*($E134&lt;=$E135)*($E134&gt;INDEX(_xlfn.ANCHORARRAY(Sintesi!$C$14),1,$C134))*($E134&lt;=INDEX(_xlfn.ANCHORARRAY(Sintesi!$C$15),1,$C134))*(INDEX(_xlfn.ANCHORARRAY(Sintesi!$C$15),1,$C134)&gt;0),1,IF(($E134&gt;=LOOKUP(2,1/($E:$E&lt;&gt;""),$E:$E))*($E134&lt;=$E135)*($E134&gt;INDEX(_xlfn.ANCHORARRAY(Sintesi!$C$14),1,$C134))*($E134&lt;INDEX(_xlfn.ANCHORARRAY(Sintesi!$C$16),1,$C134))*(INDEX(_xlfn.ANCHORARRAY(Sintesi!$C$15),1,$C134)&lt;0)+($E134&gt;=LOOKUP(2,1/($E:$E&lt;&gt;""),$E:$E))*($E134&lt;=$E135)*($E134&gt;INDEX(_xlfn.ANCHORARRAY(Sintesi!$C$15),1,$C134))*($E134&lt;INDEX(_xlfn.ANCHORARRAY(Sintesi!$C$16),1,$C134))*(INDEX(_xlfn.ANCHORARRAY(Sintesi!$C$15),1,$C134)&gt;0),2,IF($E134=(INDEX(_xlfn.ANCHORARRAY(Sintesi!$C$16),1,$C134)),3,4)))),0)))</f>
        <v>2</v>
      </c>
      <c r="E134" s="1">
        <f>'Paste cell here'!F134</f>
        <v>0.379</v>
      </c>
      <c r="F134" s="1">
        <f>'Paste cell here'!C134</f>
        <v>23.882019490000001</v>
      </c>
      <c r="G134" s="1">
        <f>'Paste cell here'!D134</f>
        <v>12.12545613</v>
      </c>
      <c r="H134" s="1">
        <f>'Paste cell here'!E134</f>
        <v>4.3049974510000002</v>
      </c>
      <c r="I134" s="1">
        <f>'Paste cell here'!X134</f>
        <v>1.6315323269999999</v>
      </c>
      <c r="J134" s="1">
        <f>'Paste cell here'!Y134+'Paste cell here'!S134</f>
        <v>1.6315323269999999</v>
      </c>
      <c r="K134" s="1">
        <f t="shared" si="5"/>
        <v>0.37898566621009594</v>
      </c>
      <c r="L134" s="1">
        <f t="shared" si="4"/>
        <v>20.065845103495082</v>
      </c>
      <c r="M134" s="1" cm="1">
        <f t="array" ref="M134">IF(AND(A134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,A134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),IF(L134&lt;_xlfn.IFNA(INDEX(_xlfn.ANCHORARRAY(Sintesi!$C$17)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,1,IF(L134&gt;=_xlfn.IFNA(INDEX(_xlfn.ANCHORARRAY(Sintesi!$C$18)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,0,1-(L134-_xlfn.IFNA(INDEX(_xlfn.ANCHORARRAY(Sintesi!$C$17)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)/(_xlfn.IFNA(INDEX(_xlfn.ANCHORARRAY(Sintesi!$C$18)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-_xlfn.IFNA(INDEX(_xlfn.ANCHORARRAY(Sintesi!$C$17),1,MATCH(1,(_xlfn.ANCHORARRAY(Sintesi!$C$9)&gt;_xlfn.ANCHORARRAY(Sintesi!$C$10))*(A133&gt;=_xlfn.ANCHORARRAY(Sintesi!$C$9))+(_xlfn.ANCHORARRAY(Sintesi!$C$9)&gt;_xlfn.ANCHORARRAY(Sintesi!$C$10))*(A133&lt;=_xlfn.ANCHORARRAY(Sintesi!$C$10))+(_xlfn.ANCHORARRAY(Sintesi!$C$9)&lt;_xlfn.ANCHORARRAY(Sintesi!$C$10))*(A133&gt;=_xlfn.ANCHORARRAY(Sintesi!$C$9))*(A133&lt;=_xlfn.ANCHORARRAY(Sintesi!$C$10)),0)),0)))),0)</f>
        <v>0</v>
      </c>
    </row>
    <row r="135" spans="1:13">
      <c r="A135" s="1">
        <f>'Paste cell here'!A135</f>
        <v>134</v>
      </c>
      <c r="B135" s="2">
        <f>DATE(Sintesi!$C$4-1,12,31)+A135</f>
        <v>44330</v>
      </c>
      <c r="C135" s="34" cm="1">
        <f t="array" ref="C135">_xlfn.IFNA(MATCH(1,(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)*(_xlfn.ANCHORARRAY(Sintesi!$C$15)&gt;=0)+(_xlfn.ANCHORARRAY(Sintesi!$C$15)&lt;0),0),0)</f>
        <v>1</v>
      </c>
      <c r="D135" s="1" cm="1">
        <f t="array" ref="D135">IF(ISBLANK($E136),IF(ISNUMBER($E134),IF($C135&gt;0,IF(($E135=INDEX(_xlfn.ANCHORARRAY(Sintesi!$C$14),1,$C135))*(INDEX(_xlfn.ANCHORARRAY(Sintesi!$C$15),1,$C135)&gt;0),0,IF(($E135=INDEX(_xlfn.ANCHORARRAY(Sintesi!$C$14),1,$C135))*(INDEX(_xlfn.ANCHORARRAY(Sintesi!$C$15),1,$C135)&lt;0)+($E135&gt;=$E134)*($E135&lt;=INDEX($E:$E,MATCH(TRUE,INDEX((ISNUMBER($E:$E)),0),0)))*($E135&gt;INDEX(_xlfn.ANCHORARRAY(Sintesi!$C$14),1,$C135))*($E135&lt;=INDEX(_xlfn.ANCHORARRAY(Sintesi!$C$15),1,$C135))*(INDEX(_xlfn.ANCHORARRAY(Sintesi!$C$15),1,$C135)&gt;0),1,IF(($E135&gt;=$E134)*($E135&lt;=INDEX($E:$E,MATCH(TRUE,INDEX((ISNUMBER($E:$E)),0),0)))*($E135&gt;INDEX(_xlfn.ANCHORARRAY(Sintesi!$C$14),1,$C135))*($E135&lt;INDEX(_xlfn.ANCHORARRAY(Sintesi!$C$16),1,$C135))*(INDEX(_xlfn.ANCHORARRAY(Sintesi!$C$15),1,$C135)&lt;0)+($E135&gt;=$E134)*($E135&lt;=INDEX($E:$E,MATCH(TRUE,INDEX((ISNUMBER($E:$E)),0),0)))*($E135&gt;INDEX(_xlfn.ANCHORARRAY(Sintesi!$C$15),1,$C135))*($E135&lt;INDEX(_xlfn.ANCHORARRAY(Sintesi!$C$16),1,$C135))*(INDEX(_xlfn.ANCHORARRAY(Sintesi!$C$15),1,$C135)&gt;0),2,IF($E135=(INDEX(_xlfn.ANCHORARRAY(Sintesi!$C$16),1,$C135)),3,4)))),0),IF($C135&gt;0,IF(($E135=INDEX(_xlfn.ANCHORARRAY(Sintesi!$C$14),1,$C135))*(INDEX(_xlfn.ANCHORARRAY(Sintesi!$C$15),1,$C135)&gt;0),0,IF(($E135=INDEX(_xlfn.ANCHORARRAY(Sintesi!$C$14),1,$C135))*(INDEX(_xlfn.ANCHORARRAY(Sintesi!$C$15),1,$C135)&lt;0)+($E135&gt;=LOOKUP(2,1/($E:$E&lt;&gt;""),$E:$E))*($E135&lt;=INDEX($E:$E,MATCH(TRUE,INDEX((ISNUMBER($E:$E)),0),0)))*($E135&gt;INDEX(_xlfn.ANCHORARRAY(Sintesi!$C$14),1,$C135))*($E135&lt;=INDEX(_xlfn.ANCHORARRAY(Sintesi!$C$15),1,$C135))*(INDEX(_xlfn.ANCHORARRAY(Sintesi!$C$15),1,$C135)&gt;0),1,IF(($E135&gt;=LOOKUP(2,1/($E:$E&lt;&gt;""),$E:$E))*($E135&lt;=INDEX($E:$E,MATCH(TRUE,INDEX((ISNUMBER($E:$E)),0),0)))*($E135&gt;INDEX(_xlfn.ANCHORARRAY(Sintesi!$C$14),1,$C135))*($E135&lt;INDEX(_xlfn.ANCHORARRAY(Sintesi!$C$16),1,$C135))*(INDEX(_xlfn.ANCHORARRAY(Sintesi!$C$15),1,$C135)&lt;0)+($E135&gt;=LOOKUP(2,1/($E:$E&lt;&gt;""),$E:$E))*($E135&lt;=INDEX($E:$E,MATCH(TRUE,INDEX((ISNUMBER($E:$E)),0),0)))*($E135&gt;INDEX(_xlfn.ANCHORARRAY(Sintesi!$C$15),1,$C135))*($E135&lt;INDEX(_xlfn.ANCHORARRAY(Sintesi!$C$16),1,$C135))*(INDEX(_xlfn.ANCHORARRAY(Sintesi!$C$15),1,$C135)&gt;0),2,IF($E135=(INDEX(_xlfn.ANCHORARRAY(Sintesi!$C$16),1,$C135)),3,4)))),0)),IF(ISNUMBER($E134),IF($C135&gt;0,IF(($E135=INDEX(_xlfn.ANCHORARRAY(Sintesi!$C$14),1,$C135))*(INDEX(_xlfn.ANCHORARRAY(Sintesi!$C$15),1,$C135)&gt;0),0,IF(($E135=INDEX(_xlfn.ANCHORARRAY(Sintesi!$C$14),1,$C135))*(INDEX(_xlfn.ANCHORARRAY(Sintesi!$C$15),1,$C135)&lt;0)+($E135&gt;=$E134)*($E135&lt;=$E136)*($E135&gt;INDEX(_xlfn.ANCHORARRAY(Sintesi!$C$14),1,$C135))*($E135&lt;=INDEX(_xlfn.ANCHORARRAY(Sintesi!$C$15),1,$C135))*(INDEX(_xlfn.ANCHORARRAY(Sintesi!$C$15),1,$C135)&gt;0),1,IF(($E135&gt;=$E134)*($E135&lt;=$E136)*($E135&gt;INDEX(_xlfn.ANCHORARRAY(Sintesi!$C$14),1,$C135))*($E135&lt;INDEX(_xlfn.ANCHORARRAY(Sintesi!$C$16),1,$C135))*(INDEX(_xlfn.ANCHORARRAY(Sintesi!$C$15),1,$C135)&lt;0)+($E135&gt;=$E134)*($E135&lt;=$E136)*($E135&gt;INDEX(_xlfn.ANCHORARRAY(Sintesi!$C$15),1,$C135))*($E135&lt;INDEX(_xlfn.ANCHORARRAY(Sintesi!$C$16),1,$C135))*(INDEX(_xlfn.ANCHORARRAY(Sintesi!$C$15),1,$C135)&gt;0),2,IF($E135=(INDEX(_xlfn.ANCHORARRAY(Sintesi!$C$16),1,$C135)),3,4)))),0),IF($C135&gt;0,IF(($E135=INDEX(_xlfn.ANCHORARRAY(Sintesi!$C$14),1,$C135))*(INDEX(_xlfn.ANCHORARRAY(Sintesi!$C$15),1,$C135)&gt;0),0,IF(($E135=INDEX(_xlfn.ANCHORARRAY(Sintesi!$C$14),1,$C135))*(INDEX(_xlfn.ANCHORARRAY(Sintesi!$C$15),1,$C135)&lt;0)+($E135&gt;=LOOKUP(2,1/($E:$E&lt;&gt;""),$E:$E))*($E135&lt;=$E136)*($E135&gt;INDEX(_xlfn.ANCHORARRAY(Sintesi!$C$14),1,$C135))*($E135&lt;=INDEX(_xlfn.ANCHORARRAY(Sintesi!$C$15),1,$C135))*(INDEX(_xlfn.ANCHORARRAY(Sintesi!$C$15),1,$C135)&gt;0),1,IF(($E135&gt;=LOOKUP(2,1/($E:$E&lt;&gt;""),$E:$E))*($E135&lt;=$E136)*($E135&gt;INDEX(_xlfn.ANCHORARRAY(Sintesi!$C$14),1,$C135))*($E135&lt;INDEX(_xlfn.ANCHORARRAY(Sintesi!$C$16),1,$C135))*(INDEX(_xlfn.ANCHORARRAY(Sintesi!$C$15),1,$C135)&lt;0)+($E135&gt;=LOOKUP(2,1/($E:$E&lt;&gt;""),$E:$E))*($E135&lt;=$E136)*($E135&gt;INDEX(_xlfn.ANCHORARRAY(Sintesi!$C$15),1,$C135))*($E135&lt;INDEX(_xlfn.ANCHORARRAY(Sintesi!$C$16),1,$C135))*(INDEX(_xlfn.ANCHORARRAY(Sintesi!$C$15),1,$C135)&gt;0),2,IF($E135=(INDEX(_xlfn.ANCHORARRAY(Sintesi!$C$16),1,$C135)),3,4)))),0)))</f>
        <v>2</v>
      </c>
      <c r="E135" s="1">
        <f>'Paste cell here'!F135</f>
        <v>0.4</v>
      </c>
      <c r="F135" s="1">
        <f>'Paste cell here'!C135</f>
        <v>22.0952041</v>
      </c>
      <c r="G135" s="1">
        <f>'Paste cell here'!D135</f>
        <v>9.0179805060000007</v>
      </c>
      <c r="H135" s="1">
        <f>'Paste cell here'!E135</f>
        <v>3.5192966659999998</v>
      </c>
      <c r="I135" s="1">
        <f>'Paste cell here'!X135</f>
        <v>1.407662757</v>
      </c>
      <c r="J135" s="1">
        <f>'Paste cell here'!Y135+'Paste cell here'!S135</f>
        <v>1.407662757</v>
      </c>
      <c r="K135" s="1">
        <f t="shared" si="5"/>
        <v>0.39998411347342777</v>
      </c>
      <c r="L135" s="1">
        <f t="shared" si="4"/>
        <v>17.850344084545565</v>
      </c>
      <c r="M135" s="1" cm="1">
        <f t="array" ref="M135">IF(AND(A135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,A135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),IF(L135&lt;_xlfn.IFNA(INDEX(_xlfn.ANCHORARRAY(Sintesi!$C$17)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,1,IF(L135&gt;=_xlfn.IFNA(INDEX(_xlfn.ANCHORARRAY(Sintesi!$C$18)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,0,1-(L135-_xlfn.IFNA(INDEX(_xlfn.ANCHORARRAY(Sintesi!$C$17)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)/(_xlfn.IFNA(INDEX(_xlfn.ANCHORARRAY(Sintesi!$C$18)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-_xlfn.IFNA(INDEX(_xlfn.ANCHORARRAY(Sintesi!$C$17),1,MATCH(1,(_xlfn.ANCHORARRAY(Sintesi!$C$9)&gt;_xlfn.ANCHORARRAY(Sintesi!$C$10))*(A134&gt;=_xlfn.ANCHORARRAY(Sintesi!$C$9))+(_xlfn.ANCHORARRAY(Sintesi!$C$9)&gt;_xlfn.ANCHORARRAY(Sintesi!$C$10))*(A134&lt;=_xlfn.ANCHORARRAY(Sintesi!$C$10))+(_xlfn.ANCHORARRAY(Sintesi!$C$9)&lt;_xlfn.ANCHORARRAY(Sintesi!$C$10))*(A134&gt;=_xlfn.ANCHORARRAY(Sintesi!$C$9))*(A134&lt;=_xlfn.ANCHORARRAY(Sintesi!$C$10)),0)),0)))),0)</f>
        <v>0</v>
      </c>
    </row>
    <row r="136" spans="1:13">
      <c r="A136" s="1">
        <f>'Paste cell here'!A136</f>
        <v>135</v>
      </c>
      <c r="B136" s="2">
        <f>DATE(Sintesi!$C$4-1,12,31)+A136</f>
        <v>44331</v>
      </c>
      <c r="C136" s="34" cm="1">
        <f t="array" ref="C136">_xlfn.IFNA(MATCH(1,(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)*(_xlfn.ANCHORARRAY(Sintesi!$C$15)&gt;=0)+(_xlfn.ANCHORARRAY(Sintesi!$C$15)&lt;0),0),0)</f>
        <v>1</v>
      </c>
      <c r="D136" s="1" cm="1">
        <f t="array" ref="D136">IF(ISBLANK($E137),IF(ISNUMBER($E135),IF($C136&gt;0,IF(($E136=INDEX(_xlfn.ANCHORARRAY(Sintesi!$C$14),1,$C136))*(INDEX(_xlfn.ANCHORARRAY(Sintesi!$C$15),1,$C136)&gt;0),0,IF(($E136=INDEX(_xlfn.ANCHORARRAY(Sintesi!$C$14),1,$C136))*(INDEX(_xlfn.ANCHORARRAY(Sintesi!$C$15),1,$C136)&lt;0)+($E136&gt;=$E135)*($E136&lt;=INDEX($E:$E,MATCH(TRUE,INDEX((ISNUMBER($E:$E)),0),0)))*($E136&gt;INDEX(_xlfn.ANCHORARRAY(Sintesi!$C$14),1,$C136))*($E136&lt;=INDEX(_xlfn.ANCHORARRAY(Sintesi!$C$15),1,$C136))*(INDEX(_xlfn.ANCHORARRAY(Sintesi!$C$15),1,$C136)&gt;0),1,IF(($E136&gt;=$E135)*($E136&lt;=INDEX($E:$E,MATCH(TRUE,INDEX((ISNUMBER($E:$E)),0),0)))*($E136&gt;INDEX(_xlfn.ANCHORARRAY(Sintesi!$C$14),1,$C136))*($E136&lt;INDEX(_xlfn.ANCHORARRAY(Sintesi!$C$16),1,$C136))*(INDEX(_xlfn.ANCHORARRAY(Sintesi!$C$15),1,$C136)&lt;0)+($E136&gt;=$E135)*($E136&lt;=INDEX($E:$E,MATCH(TRUE,INDEX((ISNUMBER($E:$E)),0),0)))*($E136&gt;INDEX(_xlfn.ANCHORARRAY(Sintesi!$C$15),1,$C136))*($E136&lt;INDEX(_xlfn.ANCHORARRAY(Sintesi!$C$16),1,$C136))*(INDEX(_xlfn.ANCHORARRAY(Sintesi!$C$15),1,$C136)&gt;0),2,IF($E136=(INDEX(_xlfn.ANCHORARRAY(Sintesi!$C$16),1,$C136)),3,4)))),0),IF($C136&gt;0,IF(($E136=INDEX(_xlfn.ANCHORARRAY(Sintesi!$C$14),1,$C136))*(INDEX(_xlfn.ANCHORARRAY(Sintesi!$C$15),1,$C136)&gt;0),0,IF(($E136=INDEX(_xlfn.ANCHORARRAY(Sintesi!$C$14),1,$C136))*(INDEX(_xlfn.ANCHORARRAY(Sintesi!$C$15),1,$C136)&lt;0)+($E136&gt;=LOOKUP(2,1/($E:$E&lt;&gt;""),$E:$E))*($E136&lt;=INDEX($E:$E,MATCH(TRUE,INDEX((ISNUMBER($E:$E)),0),0)))*($E136&gt;INDEX(_xlfn.ANCHORARRAY(Sintesi!$C$14),1,$C136))*($E136&lt;=INDEX(_xlfn.ANCHORARRAY(Sintesi!$C$15),1,$C136))*(INDEX(_xlfn.ANCHORARRAY(Sintesi!$C$15),1,$C136)&gt;0),1,IF(($E136&gt;=LOOKUP(2,1/($E:$E&lt;&gt;""),$E:$E))*($E136&lt;=INDEX($E:$E,MATCH(TRUE,INDEX((ISNUMBER($E:$E)),0),0)))*($E136&gt;INDEX(_xlfn.ANCHORARRAY(Sintesi!$C$14),1,$C136))*($E136&lt;INDEX(_xlfn.ANCHORARRAY(Sintesi!$C$16),1,$C136))*(INDEX(_xlfn.ANCHORARRAY(Sintesi!$C$15),1,$C136)&lt;0)+($E136&gt;=LOOKUP(2,1/($E:$E&lt;&gt;""),$E:$E))*($E136&lt;=INDEX($E:$E,MATCH(TRUE,INDEX((ISNUMBER($E:$E)),0),0)))*($E136&gt;INDEX(_xlfn.ANCHORARRAY(Sintesi!$C$15),1,$C136))*($E136&lt;INDEX(_xlfn.ANCHORARRAY(Sintesi!$C$16),1,$C136))*(INDEX(_xlfn.ANCHORARRAY(Sintesi!$C$15),1,$C136)&gt;0),2,IF($E136=(INDEX(_xlfn.ANCHORARRAY(Sintesi!$C$16),1,$C136)),3,4)))),0)),IF(ISNUMBER($E135),IF($C136&gt;0,IF(($E136=INDEX(_xlfn.ANCHORARRAY(Sintesi!$C$14),1,$C136))*(INDEX(_xlfn.ANCHORARRAY(Sintesi!$C$15),1,$C136)&gt;0),0,IF(($E136=INDEX(_xlfn.ANCHORARRAY(Sintesi!$C$14),1,$C136))*(INDEX(_xlfn.ANCHORARRAY(Sintesi!$C$15),1,$C136)&lt;0)+($E136&gt;=$E135)*($E136&lt;=$E137)*($E136&gt;INDEX(_xlfn.ANCHORARRAY(Sintesi!$C$14),1,$C136))*($E136&lt;=INDEX(_xlfn.ANCHORARRAY(Sintesi!$C$15),1,$C136))*(INDEX(_xlfn.ANCHORARRAY(Sintesi!$C$15),1,$C136)&gt;0),1,IF(($E136&gt;=$E135)*($E136&lt;=$E137)*($E136&gt;INDEX(_xlfn.ANCHORARRAY(Sintesi!$C$14),1,$C136))*($E136&lt;INDEX(_xlfn.ANCHORARRAY(Sintesi!$C$16),1,$C136))*(INDEX(_xlfn.ANCHORARRAY(Sintesi!$C$15),1,$C136)&lt;0)+($E136&gt;=$E135)*($E136&lt;=$E137)*($E136&gt;INDEX(_xlfn.ANCHORARRAY(Sintesi!$C$15),1,$C136))*($E136&lt;INDEX(_xlfn.ANCHORARRAY(Sintesi!$C$16),1,$C136))*(INDEX(_xlfn.ANCHORARRAY(Sintesi!$C$15),1,$C136)&gt;0),2,IF($E136=(INDEX(_xlfn.ANCHORARRAY(Sintesi!$C$16),1,$C136)),3,4)))),0),IF($C136&gt;0,IF(($E136=INDEX(_xlfn.ANCHORARRAY(Sintesi!$C$14),1,$C136))*(INDEX(_xlfn.ANCHORARRAY(Sintesi!$C$15),1,$C136)&gt;0),0,IF(($E136=INDEX(_xlfn.ANCHORARRAY(Sintesi!$C$14),1,$C136))*(INDEX(_xlfn.ANCHORARRAY(Sintesi!$C$15),1,$C136)&lt;0)+($E136&gt;=LOOKUP(2,1/($E:$E&lt;&gt;""),$E:$E))*($E136&lt;=$E137)*($E136&gt;INDEX(_xlfn.ANCHORARRAY(Sintesi!$C$14),1,$C136))*($E136&lt;=INDEX(_xlfn.ANCHORARRAY(Sintesi!$C$15),1,$C136))*(INDEX(_xlfn.ANCHORARRAY(Sintesi!$C$15),1,$C136)&gt;0),1,IF(($E136&gt;=LOOKUP(2,1/($E:$E&lt;&gt;""),$E:$E))*($E136&lt;=$E137)*($E136&gt;INDEX(_xlfn.ANCHORARRAY(Sintesi!$C$14),1,$C136))*($E136&lt;INDEX(_xlfn.ANCHORARRAY(Sintesi!$C$16),1,$C136))*(INDEX(_xlfn.ANCHORARRAY(Sintesi!$C$15),1,$C136)&lt;0)+($E136&gt;=LOOKUP(2,1/($E:$E&lt;&gt;""),$E:$E))*($E136&lt;=$E137)*($E136&gt;INDEX(_xlfn.ANCHORARRAY(Sintesi!$C$15),1,$C136))*($E136&lt;INDEX(_xlfn.ANCHORARRAY(Sintesi!$C$16),1,$C136))*(INDEX(_xlfn.ANCHORARRAY(Sintesi!$C$15),1,$C136)&gt;0),2,IF($E136=(INDEX(_xlfn.ANCHORARRAY(Sintesi!$C$16),1,$C136)),3,4)))),0)))</f>
        <v>2</v>
      </c>
      <c r="E136" s="1">
        <f>'Paste cell here'!F136</f>
        <v>0.42099999999999999</v>
      </c>
      <c r="F136" s="1">
        <f>'Paste cell here'!C136</f>
        <v>20.364055199999999</v>
      </c>
      <c r="G136" s="1">
        <f>'Paste cell here'!D136</f>
        <v>9.3133361299999997</v>
      </c>
      <c r="H136" s="1">
        <f>'Paste cell here'!E136</f>
        <v>3.0383495850000002</v>
      </c>
      <c r="I136" s="1">
        <f>'Paste cell here'!X136</f>
        <v>1.2790918899999999</v>
      </c>
      <c r="J136" s="1">
        <f>'Paste cell here'!Y136+'Paste cell here'!S136</f>
        <v>1.2790918899999999</v>
      </c>
      <c r="K136" s="1">
        <f t="shared" si="5"/>
        <v>0.42098246242457971</v>
      </c>
      <c r="L136" s="1">
        <f t="shared" si="4"/>
        <v>16.776997504987033</v>
      </c>
      <c r="M136" s="1" cm="1">
        <f t="array" ref="M136">IF(AND(A136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,A136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),IF(L136&lt;_xlfn.IFNA(INDEX(_xlfn.ANCHORARRAY(Sintesi!$C$17)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,1,IF(L136&gt;=_xlfn.IFNA(INDEX(_xlfn.ANCHORARRAY(Sintesi!$C$18)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,0,1-(L136-_xlfn.IFNA(INDEX(_xlfn.ANCHORARRAY(Sintesi!$C$17)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)/(_xlfn.IFNA(INDEX(_xlfn.ANCHORARRAY(Sintesi!$C$18)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-_xlfn.IFNA(INDEX(_xlfn.ANCHORARRAY(Sintesi!$C$17),1,MATCH(1,(_xlfn.ANCHORARRAY(Sintesi!$C$9)&gt;_xlfn.ANCHORARRAY(Sintesi!$C$10))*(A135&gt;=_xlfn.ANCHORARRAY(Sintesi!$C$9))+(_xlfn.ANCHORARRAY(Sintesi!$C$9)&gt;_xlfn.ANCHORARRAY(Sintesi!$C$10))*(A135&lt;=_xlfn.ANCHORARRAY(Sintesi!$C$10))+(_xlfn.ANCHORARRAY(Sintesi!$C$9)&lt;_xlfn.ANCHORARRAY(Sintesi!$C$10))*(A135&gt;=_xlfn.ANCHORARRAY(Sintesi!$C$9))*(A135&lt;=_xlfn.ANCHORARRAY(Sintesi!$C$10)),0)),0)))),0)</f>
        <v>0</v>
      </c>
    </row>
    <row r="137" spans="1:13">
      <c r="A137" s="1">
        <f>'Paste cell here'!A137</f>
        <v>136</v>
      </c>
      <c r="B137" s="2">
        <f>DATE(Sintesi!$C$4-1,12,31)+A137</f>
        <v>44332</v>
      </c>
      <c r="C137" s="34" cm="1">
        <f t="array" ref="C137">_xlfn.IFNA(MATCH(1,(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)*(_xlfn.ANCHORARRAY(Sintesi!$C$15)&gt;=0)+(_xlfn.ANCHORARRAY(Sintesi!$C$15)&lt;0),0),0)</f>
        <v>1</v>
      </c>
      <c r="D137" s="1" cm="1">
        <f t="array" ref="D137">IF(ISBLANK($E138),IF(ISNUMBER($E136),IF($C137&gt;0,IF(($E137=INDEX(_xlfn.ANCHORARRAY(Sintesi!$C$14),1,$C137))*(INDEX(_xlfn.ANCHORARRAY(Sintesi!$C$15),1,$C137)&gt;0),0,IF(($E137=INDEX(_xlfn.ANCHORARRAY(Sintesi!$C$14),1,$C137))*(INDEX(_xlfn.ANCHORARRAY(Sintesi!$C$15),1,$C137)&lt;0)+($E137&gt;=$E136)*($E137&lt;=INDEX($E:$E,MATCH(TRUE,INDEX((ISNUMBER($E:$E)),0),0)))*($E137&gt;INDEX(_xlfn.ANCHORARRAY(Sintesi!$C$14),1,$C137))*($E137&lt;=INDEX(_xlfn.ANCHORARRAY(Sintesi!$C$15),1,$C137))*(INDEX(_xlfn.ANCHORARRAY(Sintesi!$C$15),1,$C137)&gt;0),1,IF(($E137&gt;=$E136)*($E137&lt;=INDEX($E:$E,MATCH(TRUE,INDEX((ISNUMBER($E:$E)),0),0)))*($E137&gt;INDEX(_xlfn.ANCHORARRAY(Sintesi!$C$14),1,$C137))*($E137&lt;INDEX(_xlfn.ANCHORARRAY(Sintesi!$C$16),1,$C137))*(INDEX(_xlfn.ANCHORARRAY(Sintesi!$C$15),1,$C137)&lt;0)+($E137&gt;=$E136)*($E137&lt;=INDEX($E:$E,MATCH(TRUE,INDEX((ISNUMBER($E:$E)),0),0)))*($E137&gt;INDEX(_xlfn.ANCHORARRAY(Sintesi!$C$15),1,$C137))*($E137&lt;INDEX(_xlfn.ANCHORARRAY(Sintesi!$C$16),1,$C137))*(INDEX(_xlfn.ANCHORARRAY(Sintesi!$C$15),1,$C137)&gt;0),2,IF($E137=(INDEX(_xlfn.ANCHORARRAY(Sintesi!$C$16),1,$C137)),3,4)))),0),IF($C137&gt;0,IF(($E137=INDEX(_xlfn.ANCHORARRAY(Sintesi!$C$14),1,$C137))*(INDEX(_xlfn.ANCHORARRAY(Sintesi!$C$15),1,$C137)&gt;0),0,IF(($E137=INDEX(_xlfn.ANCHORARRAY(Sintesi!$C$14),1,$C137))*(INDEX(_xlfn.ANCHORARRAY(Sintesi!$C$15),1,$C137)&lt;0)+($E137&gt;=LOOKUP(2,1/($E:$E&lt;&gt;""),$E:$E))*($E137&lt;=INDEX($E:$E,MATCH(TRUE,INDEX((ISNUMBER($E:$E)),0),0)))*($E137&gt;INDEX(_xlfn.ANCHORARRAY(Sintesi!$C$14),1,$C137))*($E137&lt;=INDEX(_xlfn.ANCHORARRAY(Sintesi!$C$15),1,$C137))*(INDEX(_xlfn.ANCHORARRAY(Sintesi!$C$15),1,$C137)&gt;0),1,IF(($E137&gt;=LOOKUP(2,1/($E:$E&lt;&gt;""),$E:$E))*($E137&lt;=INDEX($E:$E,MATCH(TRUE,INDEX((ISNUMBER($E:$E)),0),0)))*($E137&gt;INDEX(_xlfn.ANCHORARRAY(Sintesi!$C$14),1,$C137))*($E137&lt;INDEX(_xlfn.ANCHORARRAY(Sintesi!$C$16),1,$C137))*(INDEX(_xlfn.ANCHORARRAY(Sintesi!$C$15),1,$C137)&lt;0)+($E137&gt;=LOOKUP(2,1/($E:$E&lt;&gt;""),$E:$E))*($E137&lt;=INDEX($E:$E,MATCH(TRUE,INDEX((ISNUMBER($E:$E)),0),0)))*($E137&gt;INDEX(_xlfn.ANCHORARRAY(Sintesi!$C$15),1,$C137))*($E137&lt;INDEX(_xlfn.ANCHORARRAY(Sintesi!$C$16),1,$C137))*(INDEX(_xlfn.ANCHORARRAY(Sintesi!$C$15),1,$C137)&gt;0),2,IF($E137=(INDEX(_xlfn.ANCHORARRAY(Sintesi!$C$16),1,$C137)),3,4)))),0)),IF(ISNUMBER($E136),IF($C137&gt;0,IF(($E137=INDEX(_xlfn.ANCHORARRAY(Sintesi!$C$14),1,$C137))*(INDEX(_xlfn.ANCHORARRAY(Sintesi!$C$15),1,$C137)&gt;0),0,IF(($E137=INDEX(_xlfn.ANCHORARRAY(Sintesi!$C$14),1,$C137))*(INDEX(_xlfn.ANCHORARRAY(Sintesi!$C$15),1,$C137)&lt;0)+($E137&gt;=$E136)*($E137&lt;=$E138)*($E137&gt;INDEX(_xlfn.ANCHORARRAY(Sintesi!$C$14),1,$C137))*($E137&lt;=INDEX(_xlfn.ANCHORARRAY(Sintesi!$C$15),1,$C137))*(INDEX(_xlfn.ANCHORARRAY(Sintesi!$C$15),1,$C137)&gt;0),1,IF(($E137&gt;=$E136)*($E137&lt;=$E138)*($E137&gt;INDEX(_xlfn.ANCHORARRAY(Sintesi!$C$14),1,$C137))*($E137&lt;INDEX(_xlfn.ANCHORARRAY(Sintesi!$C$16),1,$C137))*(INDEX(_xlfn.ANCHORARRAY(Sintesi!$C$15),1,$C137)&lt;0)+($E137&gt;=$E136)*($E137&lt;=$E138)*($E137&gt;INDEX(_xlfn.ANCHORARRAY(Sintesi!$C$15),1,$C137))*($E137&lt;INDEX(_xlfn.ANCHORARRAY(Sintesi!$C$16),1,$C137))*(INDEX(_xlfn.ANCHORARRAY(Sintesi!$C$15),1,$C137)&gt;0),2,IF($E137=(INDEX(_xlfn.ANCHORARRAY(Sintesi!$C$16),1,$C137)),3,4)))),0),IF($C137&gt;0,IF(($E137=INDEX(_xlfn.ANCHORARRAY(Sintesi!$C$14),1,$C137))*(INDEX(_xlfn.ANCHORARRAY(Sintesi!$C$15),1,$C137)&gt;0),0,IF(($E137=INDEX(_xlfn.ANCHORARRAY(Sintesi!$C$14),1,$C137))*(INDEX(_xlfn.ANCHORARRAY(Sintesi!$C$15),1,$C137)&lt;0)+($E137&gt;=LOOKUP(2,1/($E:$E&lt;&gt;""),$E:$E))*($E137&lt;=$E138)*($E137&gt;INDEX(_xlfn.ANCHORARRAY(Sintesi!$C$14),1,$C137))*($E137&lt;=INDEX(_xlfn.ANCHORARRAY(Sintesi!$C$15),1,$C137))*(INDEX(_xlfn.ANCHORARRAY(Sintesi!$C$15),1,$C137)&gt;0),1,IF(($E137&gt;=LOOKUP(2,1/($E:$E&lt;&gt;""),$E:$E))*($E137&lt;=$E138)*($E137&gt;INDEX(_xlfn.ANCHORARRAY(Sintesi!$C$14),1,$C137))*($E137&lt;INDEX(_xlfn.ANCHORARRAY(Sintesi!$C$16),1,$C137))*(INDEX(_xlfn.ANCHORARRAY(Sintesi!$C$15),1,$C137)&lt;0)+($E137&gt;=LOOKUP(2,1/($E:$E&lt;&gt;""),$E:$E))*($E137&lt;=$E138)*($E137&gt;INDEX(_xlfn.ANCHORARRAY(Sintesi!$C$15),1,$C137))*($E137&lt;INDEX(_xlfn.ANCHORARRAY(Sintesi!$C$16),1,$C137))*(INDEX(_xlfn.ANCHORARRAY(Sintesi!$C$15),1,$C137)&gt;0),2,IF($E137=(INDEX(_xlfn.ANCHORARRAY(Sintesi!$C$16),1,$C137)),3,4)))),0)))</f>
        <v>2</v>
      </c>
      <c r="E137" s="1">
        <f>'Paste cell here'!F137</f>
        <v>0.442</v>
      </c>
      <c r="F137" s="1">
        <f>'Paste cell here'!C137</f>
        <v>19.37454387</v>
      </c>
      <c r="G137" s="1">
        <f>'Paste cell here'!D137</f>
        <v>11.231148900000001</v>
      </c>
      <c r="H137" s="1">
        <f>'Paste cell here'!E137</f>
        <v>1.9112001590000001</v>
      </c>
      <c r="I137" s="1">
        <f>'Paste cell here'!X137</f>
        <v>0.84471360699999998</v>
      </c>
      <c r="J137" s="1">
        <f>'Paste cell here'!Y137+'Paste cell here'!S137</f>
        <v>0.84471360699999998</v>
      </c>
      <c r="K137" s="1">
        <f t="shared" si="5"/>
        <v>0.44198071197418731</v>
      </c>
      <c r="L137" s="1">
        <f t="shared" si="4"/>
        <v>16.731202074263955</v>
      </c>
      <c r="M137" s="1" cm="1">
        <f t="array" ref="M137">IF(AND(A137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,A137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),IF(L137&lt;_xlfn.IFNA(INDEX(_xlfn.ANCHORARRAY(Sintesi!$C$17)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,1,IF(L137&gt;=_xlfn.IFNA(INDEX(_xlfn.ANCHORARRAY(Sintesi!$C$18)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,0,1-(L137-_xlfn.IFNA(INDEX(_xlfn.ANCHORARRAY(Sintesi!$C$17)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)/(_xlfn.IFNA(INDEX(_xlfn.ANCHORARRAY(Sintesi!$C$18)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-_xlfn.IFNA(INDEX(_xlfn.ANCHORARRAY(Sintesi!$C$17),1,MATCH(1,(_xlfn.ANCHORARRAY(Sintesi!$C$9)&gt;_xlfn.ANCHORARRAY(Sintesi!$C$10))*(A136&gt;=_xlfn.ANCHORARRAY(Sintesi!$C$9))+(_xlfn.ANCHORARRAY(Sintesi!$C$9)&gt;_xlfn.ANCHORARRAY(Sintesi!$C$10))*(A136&lt;=_xlfn.ANCHORARRAY(Sintesi!$C$10))+(_xlfn.ANCHORARRAY(Sintesi!$C$9)&lt;_xlfn.ANCHORARRAY(Sintesi!$C$10))*(A136&gt;=_xlfn.ANCHORARRAY(Sintesi!$C$9))*(A136&lt;=_xlfn.ANCHORARRAY(Sintesi!$C$10)),0)),0)))),0)</f>
        <v>0</v>
      </c>
    </row>
    <row r="138" spans="1:13">
      <c r="A138" s="1">
        <f>'Paste cell here'!A138</f>
        <v>137</v>
      </c>
      <c r="B138" s="2">
        <f>DATE(Sintesi!$C$4-1,12,31)+A138</f>
        <v>44333</v>
      </c>
      <c r="C138" s="34" cm="1">
        <f t="array" ref="C138">_xlfn.IFNA(MATCH(1,(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)*(_xlfn.ANCHORARRAY(Sintesi!$C$15)&gt;=0)+(_xlfn.ANCHORARRAY(Sintesi!$C$15)&lt;0),0),0)</f>
        <v>1</v>
      </c>
      <c r="D138" s="1" cm="1">
        <f t="array" ref="D138">IF(ISBLANK($E139),IF(ISNUMBER($E137),IF($C138&gt;0,IF(($E138=INDEX(_xlfn.ANCHORARRAY(Sintesi!$C$14),1,$C138))*(INDEX(_xlfn.ANCHORARRAY(Sintesi!$C$15),1,$C138)&gt;0),0,IF(($E138=INDEX(_xlfn.ANCHORARRAY(Sintesi!$C$14),1,$C138))*(INDEX(_xlfn.ANCHORARRAY(Sintesi!$C$15),1,$C138)&lt;0)+($E138&gt;=$E137)*($E138&lt;=INDEX($E:$E,MATCH(TRUE,INDEX((ISNUMBER($E:$E)),0),0)))*($E138&gt;INDEX(_xlfn.ANCHORARRAY(Sintesi!$C$14),1,$C138))*($E138&lt;=INDEX(_xlfn.ANCHORARRAY(Sintesi!$C$15),1,$C138))*(INDEX(_xlfn.ANCHORARRAY(Sintesi!$C$15),1,$C138)&gt;0),1,IF(($E138&gt;=$E137)*($E138&lt;=INDEX($E:$E,MATCH(TRUE,INDEX((ISNUMBER($E:$E)),0),0)))*($E138&gt;INDEX(_xlfn.ANCHORARRAY(Sintesi!$C$14),1,$C138))*($E138&lt;INDEX(_xlfn.ANCHORARRAY(Sintesi!$C$16),1,$C138))*(INDEX(_xlfn.ANCHORARRAY(Sintesi!$C$15),1,$C138)&lt;0)+($E138&gt;=$E137)*($E138&lt;=INDEX($E:$E,MATCH(TRUE,INDEX((ISNUMBER($E:$E)),0),0)))*($E138&gt;INDEX(_xlfn.ANCHORARRAY(Sintesi!$C$15),1,$C138))*($E138&lt;INDEX(_xlfn.ANCHORARRAY(Sintesi!$C$16),1,$C138))*(INDEX(_xlfn.ANCHORARRAY(Sintesi!$C$15),1,$C138)&gt;0),2,IF($E138=(INDEX(_xlfn.ANCHORARRAY(Sintesi!$C$16),1,$C138)),3,4)))),0),IF($C138&gt;0,IF(($E138=INDEX(_xlfn.ANCHORARRAY(Sintesi!$C$14),1,$C138))*(INDEX(_xlfn.ANCHORARRAY(Sintesi!$C$15),1,$C138)&gt;0),0,IF(($E138=INDEX(_xlfn.ANCHORARRAY(Sintesi!$C$14),1,$C138))*(INDEX(_xlfn.ANCHORARRAY(Sintesi!$C$15),1,$C138)&lt;0)+($E138&gt;=LOOKUP(2,1/($E:$E&lt;&gt;""),$E:$E))*($E138&lt;=INDEX($E:$E,MATCH(TRUE,INDEX((ISNUMBER($E:$E)),0),0)))*($E138&gt;INDEX(_xlfn.ANCHORARRAY(Sintesi!$C$14),1,$C138))*($E138&lt;=INDEX(_xlfn.ANCHORARRAY(Sintesi!$C$15),1,$C138))*(INDEX(_xlfn.ANCHORARRAY(Sintesi!$C$15),1,$C138)&gt;0),1,IF(($E138&gt;=LOOKUP(2,1/($E:$E&lt;&gt;""),$E:$E))*($E138&lt;=INDEX($E:$E,MATCH(TRUE,INDEX((ISNUMBER($E:$E)),0),0)))*($E138&gt;INDEX(_xlfn.ANCHORARRAY(Sintesi!$C$14),1,$C138))*($E138&lt;INDEX(_xlfn.ANCHORARRAY(Sintesi!$C$16),1,$C138))*(INDEX(_xlfn.ANCHORARRAY(Sintesi!$C$15),1,$C138)&lt;0)+($E138&gt;=LOOKUP(2,1/($E:$E&lt;&gt;""),$E:$E))*($E138&lt;=INDEX($E:$E,MATCH(TRUE,INDEX((ISNUMBER($E:$E)),0),0)))*($E138&gt;INDEX(_xlfn.ANCHORARRAY(Sintesi!$C$15),1,$C138))*($E138&lt;INDEX(_xlfn.ANCHORARRAY(Sintesi!$C$16),1,$C138))*(INDEX(_xlfn.ANCHORARRAY(Sintesi!$C$15),1,$C138)&gt;0),2,IF($E138=(INDEX(_xlfn.ANCHORARRAY(Sintesi!$C$16),1,$C138)),3,4)))),0)),IF(ISNUMBER($E137),IF($C138&gt;0,IF(($E138=INDEX(_xlfn.ANCHORARRAY(Sintesi!$C$14),1,$C138))*(INDEX(_xlfn.ANCHORARRAY(Sintesi!$C$15),1,$C138)&gt;0),0,IF(($E138=INDEX(_xlfn.ANCHORARRAY(Sintesi!$C$14),1,$C138))*(INDEX(_xlfn.ANCHORARRAY(Sintesi!$C$15),1,$C138)&lt;0)+($E138&gt;=$E137)*($E138&lt;=$E139)*($E138&gt;INDEX(_xlfn.ANCHORARRAY(Sintesi!$C$14),1,$C138))*($E138&lt;=INDEX(_xlfn.ANCHORARRAY(Sintesi!$C$15),1,$C138))*(INDEX(_xlfn.ANCHORARRAY(Sintesi!$C$15),1,$C138)&gt;0),1,IF(($E138&gt;=$E137)*($E138&lt;=$E139)*($E138&gt;INDEX(_xlfn.ANCHORARRAY(Sintesi!$C$14),1,$C138))*($E138&lt;INDEX(_xlfn.ANCHORARRAY(Sintesi!$C$16),1,$C138))*(INDEX(_xlfn.ANCHORARRAY(Sintesi!$C$15),1,$C138)&lt;0)+($E138&gt;=$E137)*($E138&lt;=$E139)*($E138&gt;INDEX(_xlfn.ANCHORARRAY(Sintesi!$C$15),1,$C138))*($E138&lt;INDEX(_xlfn.ANCHORARRAY(Sintesi!$C$16),1,$C138))*(INDEX(_xlfn.ANCHORARRAY(Sintesi!$C$15),1,$C138)&gt;0),2,IF($E138=(INDEX(_xlfn.ANCHORARRAY(Sintesi!$C$16),1,$C138)),3,4)))),0),IF($C138&gt;0,IF(($E138=INDEX(_xlfn.ANCHORARRAY(Sintesi!$C$14),1,$C138))*(INDEX(_xlfn.ANCHORARRAY(Sintesi!$C$15),1,$C138)&gt;0),0,IF(($E138=INDEX(_xlfn.ANCHORARRAY(Sintesi!$C$14),1,$C138))*(INDEX(_xlfn.ANCHORARRAY(Sintesi!$C$15),1,$C138)&lt;0)+($E138&gt;=LOOKUP(2,1/($E:$E&lt;&gt;""),$E:$E))*($E138&lt;=$E139)*($E138&gt;INDEX(_xlfn.ANCHORARRAY(Sintesi!$C$14),1,$C138))*($E138&lt;=INDEX(_xlfn.ANCHORARRAY(Sintesi!$C$15),1,$C138))*(INDEX(_xlfn.ANCHORARRAY(Sintesi!$C$15),1,$C138)&gt;0),1,IF(($E138&gt;=LOOKUP(2,1/($E:$E&lt;&gt;""),$E:$E))*($E138&lt;=$E139)*($E138&gt;INDEX(_xlfn.ANCHORARRAY(Sintesi!$C$14),1,$C138))*($E138&lt;INDEX(_xlfn.ANCHORARRAY(Sintesi!$C$16),1,$C138))*(INDEX(_xlfn.ANCHORARRAY(Sintesi!$C$15),1,$C138)&lt;0)+($E138&gt;=LOOKUP(2,1/($E:$E&lt;&gt;""),$E:$E))*($E138&lt;=$E139)*($E138&gt;INDEX(_xlfn.ANCHORARRAY(Sintesi!$C$15),1,$C138))*($E138&lt;INDEX(_xlfn.ANCHORARRAY(Sintesi!$C$16),1,$C138))*(INDEX(_xlfn.ANCHORARRAY(Sintesi!$C$15),1,$C138)&gt;0),2,IF($E138=(INDEX(_xlfn.ANCHORARRAY(Sintesi!$C$16),1,$C138)),3,4)))),0)))</f>
        <v>2</v>
      </c>
      <c r="E138" s="1">
        <f>'Paste cell here'!F138</f>
        <v>0.46300000000000002</v>
      </c>
      <c r="F138" s="1">
        <f>'Paste cell here'!C138</f>
        <v>24.938750590000001</v>
      </c>
      <c r="G138" s="1">
        <f>'Paste cell here'!D138</f>
        <v>11.674543870000001</v>
      </c>
      <c r="H138" s="1">
        <f>'Paste cell here'!E138</f>
        <v>5.392447164</v>
      </c>
      <c r="I138" s="1">
        <f>'Paste cell here'!X138</f>
        <v>2.496589046</v>
      </c>
      <c r="J138" s="1">
        <f>'Paste cell here'!Y138+'Paste cell here'!S138</f>
        <v>2.496589046</v>
      </c>
      <c r="K138" s="1">
        <f t="shared" si="5"/>
        <v>0.4629788610015948</v>
      </c>
      <c r="L138" s="1">
        <f t="shared" si="4"/>
        <v>20.633195948548181</v>
      </c>
      <c r="M138" s="1" cm="1">
        <f t="array" ref="M138">IF(AND(A138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,A138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),IF(L138&lt;_xlfn.IFNA(INDEX(_xlfn.ANCHORARRAY(Sintesi!$C$17)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,1,IF(L138&gt;=_xlfn.IFNA(INDEX(_xlfn.ANCHORARRAY(Sintesi!$C$18)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,0,1-(L138-_xlfn.IFNA(INDEX(_xlfn.ANCHORARRAY(Sintesi!$C$17)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)/(_xlfn.IFNA(INDEX(_xlfn.ANCHORARRAY(Sintesi!$C$18)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-_xlfn.IFNA(INDEX(_xlfn.ANCHORARRAY(Sintesi!$C$17),1,MATCH(1,(_xlfn.ANCHORARRAY(Sintesi!$C$9)&gt;_xlfn.ANCHORARRAY(Sintesi!$C$10))*(A137&gt;=_xlfn.ANCHORARRAY(Sintesi!$C$9))+(_xlfn.ANCHORARRAY(Sintesi!$C$9)&gt;_xlfn.ANCHORARRAY(Sintesi!$C$10))*(A137&lt;=_xlfn.ANCHORARRAY(Sintesi!$C$10))+(_xlfn.ANCHORARRAY(Sintesi!$C$9)&lt;_xlfn.ANCHORARRAY(Sintesi!$C$10))*(A137&gt;=_xlfn.ANCHORARRAY(Sintesi!$C$9))*(A137&lt;=_xlfn.ANCHORARRAY(Sintesi!$C$10)),0)),0)))),0)</f>
        <v>0</v>
      </c>
    </row>
    <row r="139" spans="1:13">
      <c r="A139" s="1">
        <f>'Paste cell here'!A139</f>
        <v>138</v>
      </c>
      <c r="B139" s="2">
        <f>DATE(Sintesi!$C$4-1,12,31)+A139</f>
        <v>44334</v>
      </c>
      <c r="C139" s="34" cm="1">
        <f t="array" ref="C139">_xlfn.IFNA(MATCH(1,(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)*(_xlfn.ANCHORARRAY(Sintesi!$C$15)&gt;=0)+(_xlfn.ANCHORARRAY(Sintesi!$C$15)&lt;0),0),0)</f>
        <v>1</v>
      </c>
      <c r="D139" s="1" cm="1">
        <f t="array" ref="D139">IF(ISBLANK($E140),IF(ISNUMBER($E138),IF($C139&gt;0,IF(($E139=INDEX(_xlfn.ANCHORARRAY(Sintesi!$C$14),1,$C139))*(INDEX(_xlfn.ANCHORARRAY(Sintesi!$C$15),1,$C139)&gt;0),0,IF(($E139=INDEX(_xlfn.ANCHORARRAY(Sintesi!$C$14),1,$C139))*(INDEX(_xlfn.ANCHORARRAY(Sintesi!$C$15),1,$C139)&lt;0)+($E139&gt;=$E138)*($E139&lt;=INDEX($E:$E,MATCH(TRUE,INDEX((ISNUMBER($E:$E)),0),0)))*($E139&gt;INDEX(_xlfn.ANCHORARRAY(Sintesi!$C$14),1,$C139))*($E139&lt;=INDEX(_xlfn.ANCHORARRAY(Sintesi!$C$15),1,$C139))*(INDEX(_xlfn.ANCHORARRAY(Sintesi!$C$15),1,$C139)&gt;0),1,IF(($E139&gt;=$E138)*($E139&lt;=INDEX($E:$E,MATCH(TRUE,INDEX((ISNUMBER($E:$E)),0),0)))*($E139&gt;INDEX(_xlfn.ANCHORARRAY(Sintesi!$C$14),1,$C139))*($E139&lt;INDEX(_xlfn.ANCHORARRAY(Sintesi!$C$16),1,$C139))*(INDEX(_xlfn.ANCHORARRAY(Sintesi!$C$15),1,$C139)&lt;0)+($E139&gt;=$E138)*($E139&lt;=INDEX($E:$E,MATCH(TRUE,INDEX((ISNUMBER($E:$E)),0),0)))*($E139&gt;INDEX(_xlfn.ANCHORARRAY(Sintesi!$C$15),1,$C139))*($E139&lt;INDEX(_xlfn.ANCHORARRAY(Sintesi!$C$16),1,$C139))*(INDEX(_xlfn.ANCHORARRAY(Sintesi!$C$15),1,$C139)&gt;0),2,IF($E139=(INDEX(_xlfn.ANCHORARRAY(Sintesi!$C$16),1,$C139)),3,4)))),0),IF($C139&gt;0,IF(($E139=INDEX(_xlfn.ANCHORARRAY(Sintesi!$C$14),1,$C139))*(INDEX(_xlfn.ANCHORARRAY(Sintesi!$C$15),1,$C139)&gt;0),0,IF(($E139=INDEX(_xlfn.ANCHORARRAY(Sintesi!$C$14),1,$C139))*(INDEX(_xlfn.ANCHORARRAY(Sintesi!$C$15),1,$C139)&lt;0)+($E139&gt;=LOOKUP(2,1/($E:$E&lt;&gt;""),$E:$E))*($E139&lt;=INDEX($E:$E,MATCH(TRUE,INDEX((ISNUMBER($E:$E)),0),0)))*($E139&gt;INDEX(_xlfn.ANCHORARRAY(Sintesi!$C$14),1,$C139))*($E139&lt;=INDEX(_xlfn.ANCHORARRAY(Sintesi!$C$15),1,$C139))*(INDEX(_xlfn.ANCHORARRAY(Sintesi!$C$15),1,$C139)&gt;0),1,IF(($E139&gt;=LOOKUP(2,1/($E:$E&lt;&gt;""),$E:$E))*($E139&lt;=INDEX($E:$E,MATCH(TRUE,INDEX((ISNUMBER($E:$E)),0),0)))*($E139&gt;INDEX(_xlfn.ANCHORARRAY(Sintesi!$C$14),1,$C139))*($E139&lt;INDEX(_xlfn.ANCHORARRAY(Sintesi!$C$16),1,$C139))*(INDEX(_xlfn.ANCHORARRAY(Sintesi!$C$15),1,$C139)&lt;0)+($E139&gt;=LOOKUP(2,1/($E:$E&lt;&gt;""),$E:$E))*($E139&lt;=INDEX($E:$E,MATCH(TRUE,INDEX((ISNUMBER($E:$E)),0),0)))*($E139&gt;INDEX(_xlfn.ANCHORARRAY(Sintesi!$C$15),1,$C139))*($E139&lt;INDEX(_xlfn.ANCHORARRAY(Sintesi!$C$16),1,$C139))*(INDEX(_xlfn.ANCHORARRAY(Sintesi!$C$15),1,$C139)&gt;0),2,IF($E139=(INDEX(_xlfn.ANCHORARRAY(Sintesi!$C$16),1,$C139)),3,4)))),0)),IF(ISNUMBER($E138),IF($C139&gt;0,IF(($E139=INDEX(_xlfn.ANCHORARRAY(Sintesi!$C$14),1,$C139))*(INDEX(_xlfn.ANCHORARRAY(Sintesi!$C$15),1,$C139)&gt;0),0,IF(($E139=INDEX(_xlfn.ANCHORARRAY(Sintesi!$C$14),1,$C139))*(INDEX(_xlfn.ANCHORARRAY(Sintesi!$C$15),1,$C139)&lt;0)+($E139&gt;=$E138)*($E139&lt;=$E140)*($E139&gt;INDEX(_xlfn.ANCHORARRAY(Sintesi!$C$14),1,$C139))*($E139&lt;=INDEX(_xlfn.ANCHORARRAY(Sintesi!$C$15),1,$C139))*(INDEX(_xlfn.ANCHORARRAY(Sintesi!$C$15),1,$C139)&gt;0),1,IF(($E139&gt;=$E138)*($E139&lt;=$E140)*($E139&gt;INDEX(_xlfn.ANCHORARRAY(Sintesi!$C$14),1,$C139))*($E139&lt;INDEX(_xlfn.ANCHORARRAY(Sintesi!$C$16),1,$C139))*(INDEX(_xlfn.ANCHORARRAY(Sintesi!$C$15),1,$C139)&lt;0)+($E139&gt;=$E138)*($E139&lt;=$E140)*($E139&gt;INDEX(_xlfn.ANCHORARRAY(Sintesi!$C$15),1,$C139))*($E139&lt;INDEX(_xlfn.ANCHORARRAY(Sintesi!$C$16),1,$C139))*(INDEX(_xlfn.ANCHORARRAY(Sintesi!$C$15),1,$C139)&gt;0),2,IF($E139=(INDEX(_xlfn.ANCHORARRAY(Sintesi!$C$16),1,$C139)),3,4)))),0),IF($C139&gt;0,IF(($E139=INDEX(_xlfn.ANCHORARRAY(Sintesi!$C$14),1,$C139))*(INDEX(_xlfn.ANCHORARRAY(Sintesi!$C$15),1,$C139)&gt;0),0,IF(($E139=INDEX(_xlfn.ANCHORARRAY(Sintesi!$C$14),1,$C139))*(INDEX(_xlfn.ANCHORARRAY(Sintesi!$C$15),1,$C139)&lt;0)+($E139&gt;=LOOKUP(2,1/($E:$E&lt;&gt;""),$E:$E))*($E139&lt;=$E140)*($E139&gt;INDEX(_xlfn.ANCHORARRAY(Sintesi!$C$14),1,$C139))*($E139&lt;=INDEX(_xlfn.ANCHORARRAY(Sintesi!$C$15),1,$C139))*(INDEX(_xlfn.ANCHORARRAY(Sintesi!$C$15),1,$C139)&gt;0),1,IF(($E139&gt;=LOOKUP(2,1/($E:$E&lt;&gt;""),$E:$E))*($E139&lt;=$E140)*($E139&gt;INDEX(_xlfn.ANCHORARRAY(Sintesi!$C$14),1,$C139))*($E139&lt;INDEX(_xlfn.ANCHORARRAY(Sintesi!$C$16),1,$C139))*(INDEX(_xlfn.ANCHORARRAY(Sintesi!$C$15),1,$C139)&lt;0)+($E139&gt;=LOOKUP(2,1/($E:$E&lt;&gt;""),$E:$E))*($E139&lt;=$E140)*($E139&gt;INDEX(_xlfn.ANCHORARRAY(Sintesi!$C$15),1,$C139))*($E139&lt;INDEX(_xlfn.ANCHORARRAY(Sintesi!$C$16),1,$C139))*(INDEX(_xlfn.ANCHORARRAY(Sintesi!$C$15),1,$C139)&gt;0),2,IF($E139=(INDEX(_xlfn.ANCHORARRAY(Sintesi!$C$16),1,$C139)),3,4)))),0)))</f>
        <v>2</v>
      </c>
      <c r="E139" s="1">
        <f>'Paste cell here'!F139</f>
        <v>0.48399999999999999</v>
      </c>
      <c r="F139" s="1">
        <f>'Paste cell here'!C139</f>
        <v>25.656605030000001</v>
      </c>
      <c r="G139" s="1">
        <f>'Paste cell here'!D139</f>
        <v>7.3793397680000004</v>
      </c>
      <c r="H139" s="1">
        <f>'Paste cell here'!E139</f>
        <v>4.6945652320000004</v>
      </c>
      <c r="I139" s="1">
        <f>'Paste cell here'!X139</f>
        <v>2.272061168</v>
      </c>
      <c r="J139" s="1">
        <f>'Paste cell here'!Y139+'Paste cell here'!S139</f>
        <v>2.272061168</v>
      </c>
      <c r="K139" s="1">
        <f t="shared" si="5"/>
        <v>0.48397690855645986</v>
      </c>
      <c r="L139" s="1">
        <f t="shared" si="4"/>
        <v>19.723814178422391</v>
      </c>
      <c r="M139" s="1" cm="1">
        <f t="array" ref="M139">IF(AND(A139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,A139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),IF(L139&lt;_xlfn.IFNA(INDEX(_xlfn.ANCHORARRAY(Sintesi!$C$17)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,1,IF(L139&gt;=_xlfn.IFNA(INDEX(_xlfn.ANCHORARRAY(Sintesi!$C$18)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,0,1-(L139-_xlfn.IFNA(INDEX(_xlfn.ANCHORARRAY(Sintesi!$C$17)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)/(_xlfn.IFNA(INDEX(_xlfn.ANCHORARRAY(Sintesi!$C$18)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-_xlfn.IFNA(INDEX(_xlfn.ANCHORARRAY(Sintesi!$C$17),1,MATCH(1,(_xlfn.ANCHORARRAY(Sintesi!$C$9)&gt;_xlfn.ANCHORARRAY(Sintesi!$C$10))*(A138&gt;=_xlfn.ANCHORARRAY(Sintesi!$C$9))+(_xlfn.ANCHORARRAY(Sintesi!$C$9)&gt;_xlfn.ANCHORARRAY(Sintesi!$C$10))*(A138&lt;=_xlfn.ANCHORARRAY(Sintesi!$C$10))+(_xlfn.ANCHORARRAY(Sintesi!$C$9)&lt;_xlfn.ANCHORARRAY(Sintesi!$C$10))*(A138&gt;=_xlfn.ANCHORARRAY(Sintesi!$C$9))*(A138&lt;=_xlfn.ANCHORARRAY(Sintesi!$C$10)),0)),0)))),0)</f>
        <v>0</v>
      </c>
    </row>
    <row r="140" spans="1:13">
      <c r="A140" s="1">
        <f>'Paste cell here'!A140</f>
        <v>139</v>
      </c>
      <c r="B140" s="2">
        <f>DATE(Sintesi!$C$4-1,12,31)+A140</f>
        <v>44335</v>
      </c>
      <c r="C140" s="34" cm="1">
        <f t="array" ref="C140">_xlfn.IFNA(MATCH(1,(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)*(_xlfn.ANCHORARRAY(Sintesi!$C$15)&gt;=0)+(_xlfn.ANCHORARRAY(Sintesi!$C$15)&lt;0),0),0)</f>
        <v>1</v>
      </c>
      <c r="D140" s="1" cm="1">
        <f t="array" ref="D140">IF(ISBLANK($E141),IF(ISNUMBER($E139),IF($C140&gt;0,IF(($E140=INDEX(_xlfn.ANCHORARRAY(Sintesi!$C$14),1,$C140))*(INDEX(_xlfn.ANCHORARRAY(Sintesi!$C$15),1,$C140)&gt;0),0,IF(($E140=INDEX(_xlfn.ANCHORARRAY(Sintesi!$C$14),1,$C140))*(INDEX(_xlfn.ANCHORARRAY(Sintesi!$C$15),1,$C140)&lt;0)+($E140&gt;=$E139)*($E140&lt;=INDEX($E:$E,MATCH(TRUE,INDEX((ISNUMBER($E:$E)),0),0)))*($E140&gt;INDEX(_xlfn.ANCHORARRAY(Sintesi!$C$14),1,$C140))*($E140&lt;=INDEX(_xlfn.ANCHORARRAY(Sintesi!$C$15),1,$C140))*(INDEX(_xlfn.ANCHORARRAY(Sintesi!$C$15),1,$C140)&gt;0),1,IF(($E140&gt;=$E139)*($E140&lt;=INDEX($E:$E,MATCH(TRUE,INDEX((ISNUMBER($E:$E)),0),0)))*($E140&gt;INDEX(_xlfn.ANCHORARRAY(Sintesi!$C$14),1,$C140))*($E140&lt;INDEX(_xlfn.ANCHORARRAY(Sintesi!$C$16),1,$C140))*(INDEX(_xlfn.ANCHORARRAY(Sintesi!$C$15),1,$C140)&lt;0)+($E140&gt;=$E139)*($E140&lt;=INDEX($E:$E,MATCH(TRUE,INDEX((ISNUMBER($E:$E)),0),0)))*($E140&gt;INDEX(_xlfn.ANCHORARRAY(Sintesi!$C$15),1,$C140))*($E140&lt;INDEX(_xlfn.ANCHORARRAY(Sintesi!$C$16),1,$C140))*(INDEX(_xlfn.ANCHORARRAY(Sintesi!$C$15),1,$C140)&gt;0),2,IF($E140=(INDEX(_xlfn.ANCHORARRAY(Sintesi!$C$16),1,$C140)),3,4)))),0),IF($C140&gt;0,IF(($E140=INDEX(_xlfn.ANCHORARRAY(Sintesi!$C$14),1,$C140))*(INDEX(_xlfn.ANCHORARRAY(Sintesi!$C$15),1,$C140)&gt;0),0,IF(($E140=INDEX(_xlfn.ANCHORARRAY(Sintesi!$C$14),1,$C140))*(INDEX(_xlfn.ANCHORARRAY(Sintesi!$C$15),1,$C140)&lt;0)+($E140&gt;=LOOKUP(2,1/($E:$E&lt;&gt;""),$E:$E))*($E140&lt;=INDEX($E:$E,MATCH(TRUE,INDEX((ISNUMBER($E:$E)),0),0)))*($E140&gt;INDEX(_xlfn.ANCHORARRAY(Sintesi!$C$14),1,$C140))*($E140&lt;=INDEX(_xlfn.ANCHORARRAY(Sintesi!$C$15),1,$C140))*(INDEX(_xlfn.ANCHORARRAY(Sintesi!$C$15),1,$C140)&gt;0),1,IF(($E140&gt;=LOOKUP(2,1/($E:$E&lt;&gt;""),$E:$E))*($E140&lt;=INDEX($E:$E,MATCH(TRUE,INDEX((ISNUMBER($E:$E)),0),0)))*($E140&gt;INDEX(_xlfn.ANCHORARRAY(Sintesi!$C$14),1,$C140))*($E140&lt;INDEX(_xlfn.ANCHORARRAY(Sintesi!$C$16),1,$C140))*(INDEX(_xlfn.ANCHORARRAY(Sintesi!$C$15),1,$C140)&lt;0)+($E140&gt;=LOOKUP(2,1/($E:$E&lt;&gt;""),$E:$E))*($E140&lt;=INDEX($E:$E,MATCH(TRUE,INDEX((ISNUMBER($E:$E)),0),0)))*($E140&gt;INDEX(_xlfn.ANCHORARRAY(Sintesi!$C$15),1,$C140))*($E140&lt;INDEX(_xlfn.ANCHORARRAY(Sintesi!$C$16),1,$C140))*(INDEX(_xlfn.ANCHORARRAY(Sintesi!$C$15),1,$C140)&gt;0),2,IF($E140=(INDEX(_xlfn.ANCHORARRAY(Sintesi!$C$16),1,$C140)),3,4)))),0)),IF(ISNUMBER($E139),IF($C140&gt;0,IF(($E140=INDEX(_xlfn.ANCHORARRAY(Sintesi!$C$14),1,$C140))*(INDEX(_xlfn.ANCHORARRAY(Sintesi!$C$15),1,$C140)&gt;0),0,IF(($E140=INDEX(_xlfn.ANCHORARRAY(Sintesi!$C$14),1,$C140))*(INDEX(_xlfn.ANCHORARRAY(Sintesi!$C$15),1,$C140)&lt;0)+($E140&gt;=$E139)*($E140&lt;=$E141)*($E140&gt;INDEX(_xlfn.ANCHORARRAY(Sintesi!$C$14),1,$C140))*($E140&lt;=INDEX(_xlfn.ANCHORARRAY(Sintesi!$C$15),1,$C140))*(INDEX(_xlfn.ANCHORARRAY(Sintesi!$C$15),1,$C140)&gt;0),1,IF(($E140&gt;=$E139)*($E140&lt;=$E141)*($E140&gt;INDEX(_xlfn.ANCHORARRAY(Sintesi!$C$14),1,$C140))*($E140&lt;INDEX(_xlfn.ANCHORARRAY(Sintesi!$C$16),1,$C140))*(INDEX(_xlfn.ANCHORARRAY(Sintesi!$C$15),1,$C140)&lt;0)+($E140&gt;=$E139)*($E140&lt;=$E141)*($E140&gt;INDEX(_xlfn.ANCHORARRAY(Sintesi!$C$15),1,$C140))*($E140&lt;INDEX(_xlfn.ANCHORARRAY(Sintesi!$C$16),1,$C140))*(INDEX(_xlfn.ANCHORARRAY(Sintesi!$C$15),1,$C140)&gt;0),2,IF($E140=(INDEX(_xlfn.ANCHORARRAY(Sintesi!$C$16),1,$C140)),3,4)))),0),IF($C140&gt;0,IF(($E140=INDEX(_xlfn.ANCHORARRAY(Sintesi!$C$14),1,$C140))*(INDEX(_xlfn.ANCHORARRAY(Sintesi!$C$15),1,$C140)&gt;0),0,IF(($E140=INDEX(_xlfn.ANCHORARRAY(Sintesi!$C$14),1,$C140))*(INDEX(_xlfn.ANCHORARRAY(Sintesi!$C$15),1,$C140)&lt;0)+($E140&gt;=LOOKUP(2,1/($E:$E&lt;&gt;""),$E:$E))*($E140&lt;=$E141)*($E140&gt;INDEX(_xlfn.ANCHORARRAY(Sintesi!$C$14),1,$C140))*($E140&lt;=INDEX(_xlfn.ANCHORARRAY(Sintesi!$C$15),1,$C140))*(INDEX(_xlfn.ANCHORARRAY(Sintesi!$C$15),1,$C140)&gt;0),1,IF(($E140&gt;=LOOKUP(2,1/($E:$E&lt;&gt;""),$E:$E))*($E140&lt;=$E141)*($E140&gt;INDEX(_xlfn.ANCHORARRAY(Sintesi!$C$14),1,$C140))*($E140&lt;INDEX(_xlfn.ANCHORARRAY(Sintesi!$C$16),1,$C140))*(INDEX(_xlfn.ANCHORARRAY(Sintesi!$C$15),1,$C140)&lt;0)+($E140&gt;=LOOKUP(2,1/($E:$E&lt;&gt;""),$E:$E))*($E140&lt;=$E141)*($E140&gt;INDEX(_xlfn.ANCHORARRAY(Sintesi!$C$15),1,$C140))*($E140&lt;INDEX(_xlfn.ANCHORARRAY(Sintesi!$C$16),1,$C140))*(INDEX(_xlfn.ANCHORARRAY(Sintesi!$C$15),1,$C140)&gt;0),2,IF($E140=(INDEX(_xlfn.ANCHORARRAY(Sintesi!$C$16),1,$C140)),3,4)))),0)))</f>
        <v>2</v>
      </c>
      <c r="E140" s="1">
        <f>'Paste cell here'!F140</f>
        <v>0.504</v>
      </c>
      <c r="F140" s="1">
        <f>'Paste cell here'!C140</f>
        <v>24.820660230000001</v>
      </c>
      <c r="G140" s="1">
        <f>'Paste cell here'!D140</f>
        <v>9.2387505940000008</v>
      </c>
      <c r="H140" s="1">
        <f>'Paste cell here'!E140</f>
        <v>4.9192681049999996</v>
      </c>
      <c r="I140" s="1">
        <f>'Paste cell here'!X140</f>
        <v>2.4791876720000001</v>
      </c>
      <c r="J140" s="1">
        <f>'Paste cell here'!Y140+'Paste cell here'!S140</f>
        <v>2.4791876720000001</v>
      </c>
      <c r="K140" s="1">
        <f t="shared" si="5"/>
        <v>0.50397490420986113</v>
      </c>
      <c r="L140" s="1">
        <f t="shared" si="4"/>
        <v>19.762780420662811</v>
      </c>
      <c r="M140" s="1" cm="1">
        <f t="array" ref="M140">IF(AND(A140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,A140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),IF(L140&lt;_xlfn.IFNA(INDEX(_xlfn.ANCHORARRAY(Sintesi!$C$17)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,1,IF(L140&gt;=_xlfn.IFNA(INDEX(_xlfn.ANCHORARRAY(Sintesi!$C$18)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,0,1-(L140-_xlfn.IFNA(INDEX(_xlfn.ANCHORARRAY(Sintesi!$C$17)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)/(_xlfn.IFNA(INDEX(_xlfn.ANCHORARRAY(Sintesi!$C$18)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-_xlfn.IFNA(INDEX(_xlfn.ANCHORARRAY(Sintesi!$C$17),1,MATCH(1,(_xlfn.ANCHORARRAY(Sintesi!$C$9)&gt;_xlfn.ANCHORARRAY(Sintesi!$C$10))*(A139&gt;=_xlfn.ANCHORARRAY(Sintesi!$C$9))+(_xlfn.ANCHORARRAY(Sintesi!$C$9)&gt;_xlfn.ANCHORARRAY(Sintesi!$C$10))*(A139&lt;=_xlfn.ANCHORARRAY(Sintesi!$C$10))+(_xlfn.ANCHORARRAY(Sintesi!$C$9)&lt;_xlfn.ANCHORARRAY(Sintesi!$C$10))*(A139&gt;=_xlfn.ANCHORARRAY(Sintesi!$C$9))*(A139&lt;=_xlfn.ANCHORARRAY(Sintesi!$C$10)),0)),0)))),0)</f>
        <v>0</v>
      </c>
    </row>
    <row r="141" spans="1:13">
      <c r="A141" s="1">
        <f>'Paste cell here'!A141</f>
        <v>140</v>
      </c>
      <c r="B141" s="2">
        <f>DATE(Sintesi!$C$4-1,12,31)+A141</f>
        <v>44336</v>
      </c>
      <c r="C141" s="34" cm="1">
        <f t="array" ref="C141">_xlfn.IFNA(MATCH(1,(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)*(_xlfn.ANCHORARRAY(Sintesi!$C$15)&gt;=0)+(_xlfn.ANCHORARRAY(Sintesi!$C$15)&lt;0),0),0)</f>
        <v>1</v>
      </c>
      <c r="D141" s="1" cm="1">
        <f t="array" ref="D141">IF(ISBLANK($E142),IF(ISNUMBER($E140),IF($C141&gt;0,IF(($E141=INDEX(_xlfn.ANCHORARRAY(Sintesi!$C$14),1,$C141))*(INDEX(_xlfn.ANCHORARRAY(Sintesi!$C$15),1,$C141)&gt;0),0,IF(($E141=INDEX(_xlfn.ANCHORARRAY(Sintesi!$C$14),1,$C141))*(INDEX(_xlfn.ANCHORARRAY(Sintesi!$C$15),1,$C141)&lt;0)+($E141&gt;=$E140)*($E141&lt;=INDEX($E:$E,MATCH(TRUE,INDEX((ISNUMBER($E:$E)),0),0)))*($E141&gt;INDEX(_xlfn.ANCHORARRAY(Sintesi!$C$14),1,$C141))*($E141&lt;=INDEX(_xlfn.ANCHORARRAY(Sintesi!$C$15),1,$C141))*(INDEX(_xlfn.ANCHORARRAY(Sintesi!$C$15),1,$C141)&gt;0),1,IF(($E141&gt;=$E140)*($E141&lt;=INDEX($E:$E,MATCH(TRUE,INDEX((ISNUMBER($E:$E)),0),0)))*($E141&gt;INDEX(_xlfn.ANCHORARRAY(Sintesi!$C$14),1,$C141))*($E141&lt;INDEX(_xlfn.ANCHORARRAY(Sintesi!$C$16),1,$C141))*(INDEX(_xlfn.ANCHORARRAY(Sintesi!$C$15),1,$C141)&lt;0)+($E141&gt;=$E140)*($E141&lt;=INDEX($E:$E,MATCH(TRUE,INDEX((ISNUMBER($E:$E)),0),0)))*($E141&gt;INDEX(_xlfn.ANCHORARRAY(Sintesi!$C$15),1,$C141))*($E141&lt;INDEX(_xlfn.ANCHORARRAY(Sintesi!$C$16),1,$C141))*(INDEX(_xlfn.ANCHORARRAY(Sintesi!$C$15),1,$C141)&gt;0),2,IF($E141=(INDEX(_xlfn.ANCHORARRAY(Sintesi!$C$16),1,$C141)),3,4)))),0),IF($C141&gt;0,IF(($E141=INDEX(_xlfn.ANCHORARRAY(Sintesi!$C$14),1,$C141))*(INDEX(_xlfn.ANCHORARRAY(Sintesi!$C$15),1,$C141)&gt;0),0,IF(($E141=INDEX(_xlfn.ANCHORARRAY(Sintesi!$C$14),1,$C141))*(INDEX(_xlfn.ANCHORARRAY(Sintesi!$C$15),1,$C141)&lt;0)+($E141&gt;=LOOKUP(2,1/($E:$E&lt;&gt;""),$E:$E))*($E141&lt;=INDEX($E:$E,MATCH(TRUE,INDEX((ISNUMBER($E:$E)),0),0)))*($E141&gt;INDEX(_xlfn.ANCHORARRAY(Sintesi!$C$14),1,$C141))*($E141&lt;=INDEX(_xlfn.ANCHORARRAY(Sintesi!$C$15),1,$C141))*(INDEX(_xlfn.ANCHORARRAY(Sintesi!$C$15),1,$C141)&gt;0),1,IF(($E141&gt;=LOOKUP(2,1/($E:$E&lt;&gt;""),$E:$E))*($E141&lt;=INDEX($E:$E,MATCH(TRUE,INDEX((ISNUMBER($E:$E)),0),0)))*($E141&gt;INDEX(_xlfn.ANCHORARRAY(Sintesi!$C$14),1,$C141))*($E141&lt;INDEX(_xlfn.ANCHORARRAY(Sintesi!$C$16),1,$C141))*(INDEX(_xlfn.ANCHORARRAY(Sintesi!$C$15),1,$C141)&lt;0)+($E141&gt;=LOOKUP(2,1/($E:$E&lt;&gt;""),$E:$E))*($E141&lt;=INDEX($E:$E,MATCH(TRUE,INDEX((ISNUMBER($E:$E)),0),0)))*($E141&gt;INDEX(_xlfn.ANCHORARRAY(Sintesi!$C$15),1,$C141))*($E141&lt;INDEX(_xlfn.ANCHORARRAY(Sintesi!$C$16),1,$C141))*(INDEX(_xlfn.ANCHORARRAY(Sintesi!$C$15),1,$C141)&gt;0),2,IF($E141=(INDEX(_xlfn.ANCHORARRAY(Sintesi!$C$16),1,$C141)),3,4)))),0)),IF(ISNUMBER($E140),IF($C141&gt;0,IF(($E141=INDEX(_xlfn.ANCHORARRAY(Sintesi!$C$14),1,$C141))*(INDEX(_xlfn.ANCHORARRAY(Sintesi!$C$15),1,$C141)&gt;0),0,IF(($E141=INDEX(_xlfn.ANCHORARRAY(Sintesi!$C$14),1,$C141))*(INDEX(_xlfn.ANCHORARRAY(Sintesi!$C$15),1,$C141)&lt;0)+($E141&gt;=$E140)*($E141&lt;=$E142)*($E141&gt;INDEX(_xlfn.ANCHORARRAY(Sintesi!$C$14),1,$C141))*($E141&lt;=INDEX(_xlfn.ANCHORARRAY(Sintesi!$C$15),1,$C141))*(INDEX(_xlfn.ANCHORARRAY(Sintesi!$C$15),1,$C141)&gt;0),1,IF(($E141&gt;=$E140)*($E141&lt;=$E142)*($E141&gt;INDEX(_xlfn.ANCHORARRAY(Sintesi!$C$14),1,$C141))*($E141&lt;INDEX(_xlfn.ANCHORARRAY(Sintesi!$C$16),1,$C141))*(INDEX(_xlfn.ANCHORARRAY(Sintesi!$C$15),1,$C141)&lt;0)+($E141&gt;=$E140)*($E141&lt;=$E142)*($E141&gt;INDEX(_xlfn.ANCHORARRAY(Sintesi!$C$15),1,$C141))*($E141&lt;INDEX(_xlfn.ANCHORARRAY(Sintesi!$C$16),1,$C141))*(INDEX(_xlfn.ANCHORARRAY(Sintesi!$C$15),1,$C141)&gt;0),2,IF($E141=(INDEX(_xlfn.ANCHORARRAY(Sintesi!$C$16),1,$C141)),3,4)))),0),IF($C141&gt;0,IF(($E141=INDEX(_xlfn.ANCHORARRAY(Sintesi!$C$14),1,$C141))*(INDEX(_xlfn.ANCHORARRAY(Sintesi!$C$15),1,$C141)&gt;0),0,IF(($E141=INDEX(_xlfn.ANCHORARRAY(Sintesi!$C$14),1,$C141))*(INDEX(_xlfn.ANCHORARRAY(Sintesi!$C$15),1,$C141)&lt;0)+($E141&gt;=LOOKUP(2,1/($E:$E&lt;&gt;""),$E:$E))*($E141&lt;=$E142)*($E141&gt;INDEX(_xlfn.ANCHORARRAY(Sintesi!$C$14),1,$C141))*($E141&lt;=INDEX(_xlfn.ANCHORARRAY(Sintesi!$C$15),1,$C141))*(INDEX(_xlfn.ANCHORARRAY(Sintesi!$C$15),1,$C141)&gt;0),1,IF(($E141&gt;=LOOKUP(2,1/($E:$E&lt;&gt;""),$E:$E))*($E141&lt;=$E142)*($E141&gt;INDEX(_xlfn.ANCHORARRAY(Sintesi!$C$14),1,$C141))*($E141&lt;INDEX(_xlfn.ANCHORARRAY(Sintesi!$C$16),1,$C141))*(INDEX(_xlfn.ANCHORARRAY(Sintesi!$C$15),1,$C141)&lt;0)+($E141&gt;=LOOKUP(2,1/($E:$E&lt;&gt;""),$E:$E))*($E141&lt;=$E142)*($E141&gt;INDEX(_xlfn.ANCHORARRAY(Sintesi!$C$15),1,$C141))*($E141&lt;INDEX(_xlfn.ANCHORARRAY(Sintesi!$C$16),1,$C141))*(INDEX(_xlfn.ANCHORARRAY(Sintesi!$C$15),1,$C141)&gt;0),2,IF($E141=(INDEX(_xlfn.ANCHORARRAY(Sintesi!$C$16),1,$C141)),3,4)))),0)))</f>
        <v>2</v>
      </c>
      <c r="E141" s="1">
        <f>'Paste cell here'!F141</f>
        <v>0.52500000000000002</v>
      </c>
      <c r="F141" s="1">
        <f>'Paste cell here'!C141</f>
        <v>25.666734930000001</v>
      </c>
      <c r="G141" s="1">
        <f>'Paste cell here'!D141</f>
        <v>7.561249406</v>
      </c>
      <c r="H141" s="1">
        <f>'Paste cell here'!E141</f>
        <v>5.0384504149999998</v>
      </c>
      <c r="I141" s="1">
        <f>'Paste cell here'!X141</f>
        <v>2.6450491739999999</v>
      </c>
      <c r="J141" s="1">
        <f>'Paste cell here'!Y141+'Paste cell here'!S141</f>
        <v>2.6450491739999999</v>
      </c>
      <c r="K141" s="1">
        <f t="shared" si="5"/>
        <v>0.52497275077381111</v>
      </c>
      <c r="L141" s="1">
        <f t="shared" si="4"/>
        <v>19.789703692537728</v>
      </c>
      <c r="M141" s="1" cm="1">
        <f t="array" ref="M141">IF(AND(A141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,A141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),IF(L141&lt;_xlfn.IFNA(INDEX(_xlfn.ANCHORARRAY(Sintesi!$C$17)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,1,IF(L141&gt;=_xlfn.IFNA(INDEX(_xlfn.ANCHORARRAY(Sintesi!$C$18)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,0,1-(L141-_xlfn.IFNA(INDEX(_xlfn.ANCHORARRAY(Sintesi!$C$17)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)/(_xlfn.IFNA(INDEX(_xlfn.ANCHORARRAY(Sintesi!$C$18)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-_xlfn.IFNA(INDEX(_xlfn.ANCHORARRAY(Sintesi!$C$17),1,MATCH(1,(_xlfn.ANCHORARRAY(Sintesi!$C$9)&gt;_xlfn.ANCHORARRAY(Sintesi!$C$10))*(A140&gt;=_xlfn.ANCHORARRAY(Sintesi!$C$9))+(_xlfn.ANCHORARRAY(Sintesi!$C$9)&gt;_xlfn.ANCHORARRAY(Sintesi!$C$10))*(A140&lt;=_xlfn.ANCHORARRAY(Sintesi!$C$10))+(_xlfn.ANCHORARRAY(Sintesi!$C$9)&lt;_xlfn.ANCHORARRAY(Sintesi!$C$10))*(A140&gt;=_xlfn.ANCHORARRAY(Sintesi!$C$9))*(A140&lt;=_xlfn.ANCHORARRAY(Sintesi!$C$10)),0)),0)))),0)</f>
        <v>0</v>
      </c>
    </row>
    <row r="142" spans="1:13">
      <c r="A142" s="1">
        <f>'Paste cell here'!A142</f>
        <v>141</v>
      </c>
      <c r="B142" s="2">
        <f>DATE(Sintesi!$C$4-1,12,31)+A142</f>
        <v>44337</v>
      </c>
      <c r="C142" s="34" cm="1">
        <f t="array" ref="C142">_xlfn.IFNA(MATCH(1,(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)*(_xlfn.ANCHORARRAY(Sintesi!$C$15)&gt;=0)+(_xlfn.ANCHORARRAY(Sintesi!$C$15)&lt;0),0),0)</f>
        <v>1</v>
      </c>
      <c r="D142" s="1" cm="1">
        <f t="array" ref="D142">IF(ISBLANK($E143),IF(ISNUMBER($E141),IF($C142&gt;0,IF(($E142=INDEX(_xlfn.ANCHORARRAY(Sintesi!$C$14),1,$C142))*(INDEX(_xlfn.ANCHORARRAY(Sintesi!$C$15),1,$C142)&gt;0),0,IF(($E142=INDEX(_xlfn.ANCHORARRAY(Sintesi!$C$14),1,$C142))*(INDEX(_xlfn.ANCHORARRAY(Sintesi!$C$15),1,$C142)&lt;0)+($E142&gt;=$E141)*($E142&lt;=INDEX($E:$E,MATCH(TRUE,INDEX((ISNUMBER($E:$E)),0),0)))*($E142&gt;INDEX(_xlfn.ANCHORARRAY(Sintesi!$C$14),1,$C142))*($E142&lt;=INDEX(_xlfn.ANCHORARRAY(Sintesi!$C$15),1,$C142))*(INDEX(_xlfn.ANCHORARRAY(Sintesi!$C$15),1,$C142)&gt;0),1,IF(($E142&gt;=$E141)*($E142&lt;=INDEX($E:$E,MATCH(TRUE,INDEX((ISNUMBER($E:$E)),0),0)))*($E142&gt;INDEX(_xlfn.ANCHORARRAY(Sintesi!$C$14),1,$C142))*($E142&lt;INDEX(_xlfn.ANCHORARRAY(Sintesi!$C$16),1,$C142))*(INDEX(_xlfn.ANCHORARRAY(Sintesi!$C$15),1,$C142)&lt;0)+($E142&gt;=$E141)*($E142&lt;=INDEX($E:$E,MATCH(TRUE,INDEX((ISNUMBER($E:$E)),0),0)))*($E142&gt;INDEX(_xlfn.ANCHORARRAY(Sintesi!$C$15),1,$C142))*($E142&lt;INDEX(_xlfn.ANCHORARRAY(Sintesi!$C$16),1,$C142))*(INDEX(_xlfn.ANCHORARRAY(Sintesi!$C$15),1,$C142)&gt;0),2,IF($E142=(INDEX(_xlfn.ANCHORARRAY(Sintesi!$C$16),1,$C142)),3,4)))),0),IF($C142&gt;0,IF(($E142=INDEX(_xlfn.ANCHORARRAY(Sintesi!$C$14),1,$C142))*(INDEX(_xlfn.ANCHORARRAY(Sintesi!$C$15),1,$C142)&gt;0),0,IF(($E142=INDEX(_xlfn.ANCHORARRAY(Sintesi!$C$14),1,$C142))*(INDEX(_xlfn.ANCHORARRAY(Sintesi!$C$15),1,$C142)&lt;0)+($E142&gt;=LOOKUP(2,1/($E:$E&lt;&gt;""),$E:$E))*($E142&lt;=INDEX($E:$E,MATCH(TRUE,INDEX((ISNUMBER($E:$E)),0),0)))*($E142&gt;INDEX(_xlfn.ANCHORARRAY(Sintesi!$C$14),1,$C142))*($E142&lt;=INDEX(_xlfn.ANCHORARRAY(Sintesi!$C$15),1,$C142))*(INDEX(_xlfn.ANCHORARRAY(Sintesi!$C$15),1,$C142)&gt;0),1,IF(($E142&gt;=LOOKUP(2,1/($E:$E&lt;&gt;""),$E:$E))*($E142&lt;=INDEX($E:$E,MATCH(TRUE,INDEX((ISNUMBER($E:$E)),0),0)))*($E142&gt;INDEX(_xlfn.ANCHORARRAY(Sintesi!$C$14),1,$C142))*($E142&lt;INDEX(_xlfn.ANCHORARRAY(Sintesi!$C$16),1,$C142))*(INDEX(_xlfn.ANCHORARRAY(Sintesi!$C$15),1,$C142)&lt;0)+($E142&gt;=LOOKUP(2,1/($E:$E&lt;&gt;""),$E:$E))*($E142&lt;=INDEX($E:$E,MATCH(TRUE,INDEX((ISNUMBER($E:$E)),0),0)))*($E142&gt;INDEX(_xlfn.ANCHORARRAY(Sintesi!$C$15),1,$C142))*($E142&lt;INDEX(_xlfn.ANCHORARRAY(Sintesi!$C$16),1,$C142))*(INDEX(_xlfn.ANCHORARRAY(Sintesi!$C$15),1,$C142)&gt;0),2,IF($E142=(INDEX(_xlfn.ANCHORARRAY(Sintesi!$C$16),1,$C142)),3,4)))),0)),IF(ISNUMBER($E141),IF($C142&gt;0,IF(($E142=INDEX(_xlfn.ANCHORARRAY(Sintesi!$C$14),1,$C142))*(INDEX(_xlfn.ANCHORARRAY(Sintesi!$C$15),1,$C142)&gt;0),0,IF(($E142=INDEX(_xlfn.ANCHORARRAY(Sintesi!$C$14),1,$C142))*(INDEX(_xlfn.ANCHORARRAY(Sintesi!$C$15),1,$C142)&lt;0)+($E142&gt;=$E141)*($E142&lt;=$E143)*($E142&gt;INDEX(_xlfn.ANCHORARRAY(Sintesi!$C$14),1,$C142))*($E142&lt;=INDEX(_xlfn.ANCHORARRAY(Sintesi!$C$15),1,$C142))*(INDEX(_xlfn.ANCHORARRAY(Sintesi!$C$15),1,$C142)&gt;0),1,IF(($E142&gt;=$E141)*($E142&lt;=$E143)*($E142&gt;INDEX(_xlfn.ANCHORARRAY(Sintesi!$C$14),1,$C142))*($E142&lt;INDEX(_xlfn.ANCHORARRAY(Sintesi!$C$16),1,$C142))*(INDEX(_xlfn.ANCHORARRAY(Sintesi!$C$15),1,$C142)&lt;0)+($E142&gt;=$E141)*($E142&lt;=$E143)*($E142&gt;INDEX(_xlfn.ANCHORARRAY(Sintesi!$C$15),1,$C142))*($E142&lt;INDEX(_xlfn.ANCHORARRAY(Sintesi!$C$16),1,$C142))*(INDEX(_xlfn.ANCHORARRAY(Sintesi!$C$15),1,$C142)&gt;0),2,IF($E142=(INDEX(_xlfn.ANCHORARRAY(Sintesi!$C$16),1,$C142)),3,4)))),0),IF($C142&gt;0,IF(($E142=INDEX(_xlfn.ANCHORARRAY(Sintesi!$C$14),1,$C142))*(INDEX(_xlfn.ANCHORARRAY(Sintesi!$C$15),1,$C142)&gt;0),0,IF(($E142=INDEX(_xlfn.ANCHORARRAY(Sintesi!$C$14),1,$C142))*(INDEX(_xlfn.ANCHORARRAY(Sintesi!$C$15),1,$C142)&lt;0)+($E142&gt;=LOOKUP(2,1/($E:$E&lt;&gt;""),$E:$E))*($E142&lt;=$E143)*($E142&gt;INDEX(_xlfn.ANCHORARRAY(Sintesi!$C$14),1,$C142))*($E142&lt;=INDEX(_xlfn.ANCHORARRAY(Sintesi!$C$15),1,$C142))*(INDEX(_xlfn.ANCHORARRAY(Sintesi!$C$15),1,$C142)&gt;0),1,IF(($E142&gt;=LOOKUP(2,1/($E:$E&lt;&gt;""),$E:$E))*($E142&lt;=$E143)*($E142&gt;INDEX(_xlfn.ANCHORARRAY(Sintesi!$C$14),1,$C142))*($E142&lt;INDEX(_xlfn.ANCHORARRAY(Sintesi!$C$16),1,$C142))*(INDEX(_xlfn.ANCHORARRAY(Sintesi!$C$15),1,$C142)&lt;0)+($E142&gt;=LOOKUP(2,1/($E:$E&lt;&gt;""),$E:$E))*($E142&lt;=$E143)*($E142&gt;INDEX(_xlfn.ANCHORARRAY(Sintesi!$C$15),1,$C142))*($E142&lt;INDEX(_xlfn.ANCHORARRAY(Sintesi!$C$16),1,$C142))*(INDEX(_xlfn.ANCHORARRAY(Sintesi!$C$15),1,$C142)&gt;0),2,IF($E142=(INDEX(_xlfn.ANCHORARRAY(Sintesi!$C$16),1,$C142)),3,4)))),0)))</f>
        <v>2</v>
      </c>
      <c r="E142" s="1">
        <f>'Paste cell here'!F142</f>
        <v>0.54600000000000004</v>
      </c>
      <c r="F142" s="1">
        <f>'Paste cell here'!C142</f>
        <v>24.238750589999999</v>
      </c>
      <c r="G142" s="1">
        <f>'Paste cell here'!D142</f>
        <v>11.18951133</v>
      </c>
      <c r="H142" s="1">
        <f>'Paste cell here'!E142</f>
        <v>4.536350348</v>
      </c>
      <c r="I142" s="1">
        <f>'Paste cell here'!X142</f>
        <v>2.4767134519999998</v>
      </c>
      <c r="J142" s="1">
        <f>'Paste cell here'!Y142+'Paste cell here'!S142</f>
        <v>2.4767134519999998</v>
      </c>
      <c r="K142" s="1">
        <f t="shared" si="5"/>
        <v>0.54597049654507857</v>
      </c>
      <c r="L142" s="1">
        <f t="shared" si="4"/>
        <v>20.002974274889286</v>
      </c>
      <c r="M142" s="1" cm="1">
        <f t="array" ref="M142">IF(AND(A142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,A142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),IF(L142&lt;_xlfn.IFNA(INDEX(_xlfn.ANCHORARRAY(Sintesi!$C$17)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,1,IF(L142&gt;=_xlfn.IFNA(INDEX(_xlfn.ANCHORARRAY(Sintesi!$C$18)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,0,1-(L142-_xlfn.IFNA(INDEX(_xlfn.ANCHORARRAY(Sintesi!$C$17)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)/(_xlfn.IFNA(INDEX(_xlfn.ANCHORARRAY(Sintesi!$C$18)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-_xlfn.IFNA(INDEX(_xlfn.ANCHORARRAY(Sintesi!$C$17),1,MATCH(1,(_xlfn.ANCHORARRAY(Sintesi!$C$9)&gt;_xlfn.ANCHORARRAY(Sintesi!$C$10))*(A141&gt;=_xlfn.ANCHORARRAY(Sintesi!$C$9))+(_xlfn.ANCHORARRAY(Sintesi!$C$9)&gt;_xlfn.ANCHORARRAY(Sintesi!$C$10))*(A141&lt;=_xlfn.ANCHORARRAY(Sintesi!$C$10))+(_xlfn.ANCHORARRAY(Sintesi!$C$9)&lt;_xlfn.ANCHORARRAY(Sintesi!$C$10))*(A141&gt;=_xlfn.ANCHORARRAY(Sintesi!$C$9))*(A141&lt;=_xlfn.ANCHORARRAY(Sintesi!$C$10)),0)),0)))),0)</f>
        <v>0</v>
      </c>
    </row>
    <row r="143" spans="1:13">
      <c r="A143" s="1">
        <f>'Paste cell here'!A143</f>
        <v>142</v>
      </c>
      <c r="B143" s="2">
        <f>DATE(Sintesi!$C$4-1,12,31)+A143</f>
        <v>44338</v>
      </c>
      <c r="C143" s="34" cm="1">
        <f t="array" ref="C143">_xlfn.IFNA(MATCH(1,(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)*(_xlfn.ANCHORARRAY(Sintesi!$C$15)&gt;=0)+(_xlfn.ANCHORARRAY(Sintesi!$C$15)&lt;0),0),0)</f>
        <v>1</v>
      </c>
      <c r="D143" s="1" cm="1">
        <f t="array" ref="D143">IF(ISBLANK($E144),IF(ISNUMBER($E142),IF($C143&gt;0,IF(($E143=INDEX(_xlfn.ANCHORARRAY(Sintesi!$C$14),1,$C143))*(INDEX(_xlfn.ANCHORARRAY(Sintesi!$C$15),1,$C143)&gt;0),0,IF(($E143=INDEX(_xlfn.ANCHORARRAY(Sintesi!$C$14),1,$C143))*(INDEX(_xlfn.ANCHORARRAY(Sintesi!$C$15),1,$C143)&lt;0)+($E143&gt;=$E142)*($E143&lt;=INDEX($E:$E,MATCH(TRUE,INDEX((ISNUMBER($E:$E)),0),0)))*($E143&gt;INDEX(_xlfn.ANCHORARRAY(Sintesi!$C$14),1,$C143))*($E143&lt;=INDEX(_xlfn.ANCHORARRAY(Sintesi!$C$15),1,$C143))*(INDEX(_xlfn.ANCHORARRAY(Sintesi!$C$15),1,$C143)&gt;0),1,IF(($E143&gt;=$E142)*($E143&lt;=INDEX($E:$E,MATCH(TRUE,INDEX((ISNUMBER($E:$E)),0),0)))*($E143&gt;INDEX(_xlfn.ANCHORARRAY(Sintesi!$C$14),1,$C143))*($E143&lt;INDEX(_xlfn.ANCHORARRAY(Sintesi!$C$16),1,$C143))*(INDEX(_xlfn.ANCHORARRAY(Sintesi!$C$15),1,$C143)&lt;0)+($E143&gt;=$E142)*($E143&lt;=INDEX($E:$E,MATCH(TRUE,INDEX((ISNUMBER($E:$E)),0),0)))*($E143&gt;INDEX(_xlfn.ANCHORARRAY(Sintesi!$C$15),1,$C143))*($E143&lt;INDEX(_xlfn.ANCHORARRAY(Sintesi!$C$16),1,$C143))*(INDEX(_xlfn.ANCHORARRAY(Sintesi!$C$15),1,$C143)&gt;0),2,IF($E143=(INDEX(_xlfn.ANCHORARRAY(Sintesi!$C$16),1,$C143)),3,4)))),0),IF($C143&gt;0,IF(($E143=INDEX(_xlfn.ANCHORARRAY(Sintesi!$C$14),1,$C143))*(INDEX(_xlfn.ANCHORARRAY(Sintesi!$C$15),1,$C143)&gt;0),0,IF(($E143=INDEX(_xlfn.ANCHORARRAY(Sintesi!$C$14),1,$C143))*(INDEX(_xlfn.ANCHORARRAY(Sintesi!$C$15),1,$C143)&lt;0)+($E143&gt;=LOOKUP(2,1/($E:$E&lt;&gt;""),$E:$E))*($E143&lt;=INDEX($E:$E,MATCH(TRUE,INDEX((ISNUMBER($E:$E)),0),0)))*($E143&gt;INDEX(_xlfn.ANCHORARRAY(Sintesi!$C$14),1,$C143))*($E143&lt;=INDEX(_xlfn.ANCHORARRAY(Sintesi!$C$15),1,$C143))*(INDEX(_xlfn.ANCHORARRAY(Sintesi!$C$15),1,$C143)&gt;0),1,IF(($E143&gt;=LOOKUP(2,1/($E:$E&lt;&gt;""),$E:$E))*($E143&lt;=INDEX($E:$E,MATCH(TRUE,INDEX((ISNUMBER($E:$E)),0),0)))*($E143&gt;INDEX(_xlfn.ANCHORARRAY(Sintesi!$C$14),1,$C143))*($E143&lt;INDEX(_xlfn.ANCHORARRAY(Sintesi!$C$16),1,$C143))*(INDEX(_xlfn.ANCHORARRAY(Sintesi!$C$15),1,$C143)&lt;0)+($E143&gt;=LOOKUP(2,1/($E:$E&lt;&gt;""),$E:$E))*($E143&lt;=INDEX($E:$E,MATCH(TRUE,INDEX((ISNUMBER($E:$E)),0),0)))*($E143&gt;INDEX(_xlfn.ANCHORARRAY(Sintesi!$C$15),1,$C143))*($E143&lt;INDEX(_xlfn.ANCHORARRAY(Sintesi!$C$16),1,$C143))*(INDEX(_xlfn.ANCHORARRAY(Sintesi!$C$15),1,$C143)&gt;0),2,IF($E143=(INDEX(_xlfn.ANCHORARRAY(Sintesi!$C$16),1,$C143)),3,4)))),0)),IF(ISNUMBER($E142),IF($C143&gt;0,IF(($E143=INDEX(_xlfn.ANCHORARRAY(Sintesi!$C$14),1,$C143))*(INDEX(_xlfn.ANCHORARRAY(Sintesi!$C$15),1,$C143)&gt;0),0,IF(($E143=INDEX(_xlfn.ANCHORARRAY(Sintesi!$C$14),1,$C143))*(INDEX(_xlfn.ANCHORARRAY(Sintesi!$C$15),1,$C143)&lt;0)+($E143&gt;=$E142)*($E143&lt;=$E144)*($E143&gt;INDEX(_xlfn.ANCHORARRAY(Sintesi!$C$14),1,$C143))*($E143&lt;=INDEX(_xlfn.ANCHORARRAY(Sintesi!$C$15),1,$C143))*(INDEX(_xlfn.ANCHORARRAY(Sintesi!$C$15),1,$C143)&gt;0),1,IF(($E143&gt;=$E142)*($E143&lt;=$E144)*($E143&gt;INDEX(_xlfn.ANCHORARRAY(Sintesi!$C$14),1,$C143))*($E143&lt;INDEX(_xlfn.ANCHORARRAY(Sintesi!$C$16),1,$C143))*(INDEX(_xlfn.ANCHORARRAY(Sintesi!$C$15),1,$C143)&lt;0)+($E143&gt;=$E142)*($E143&lt;=$E144)*($E143&gt;INDEX(_xlfn.ANCHORARRAY(Sintesi!$C$15),1,$C143))*($E143&lt;INDEX(_xlfn.ANCHORARRAY(Sintesi!$C$16),1,$C143))*(INDEX(_xlfn.ANCHORARRAY(Sintesi!$C$15),1,$C143)&gt;0),2,IF($E143=(INDEX(_xlfn.ANCHORARRAY(Sintesi!$C$16),1,$C143)),3,4)))),0),IF($C143&gt;0,IF(($E143=INDEX(_xlfn.ANCHORARRAY(Sintesi!$C$14),1,$C143))*(INDEX(_xlfn.ANCHORARRAY(Sintesi!$C$15),1,$C143)&gt;0),0,IF(($E143=INDEX(_xlfn.ANCHORARRAY(Sintesi!$C$14),1,$C143))*(INDEX(_xlfn.ANCHORARRAY(Sintesi!$C$15),1,$C143)&lt;0)+($E143&gt;=LOOKUP(2,1/($E:$E&lt;&gt;""),$E:$E))*($E143&lt;=$E144)*($E143&gt;INDEX(_xlfn.ANCHORARRAY(Sintesi!$C$14),1,$C143))*($E143&lt;=INDEX(_xlfn.ANCHORARRAY(Sintesi!$C$15),1,$C143))*(INDEX(_xlfn.ANCHORARRAY(Sintesi!$C$15),1,$C143)&gt;0),1,IF(($E143&gt;=LOOKUP(2,1/($E:$E&lt;&gt;""),$E:$E))*($E143&lt;=$E144)*($E143&gt;INDEX(_xlfn.ANCHORARRAY(Sintesi!$C$14),1,$C143))*($E143&lt;INDEX(_xlfn.ANCHORARRAY(Sintesi!$C$16),1,$C143))*(INDEX(_xlfn.ANCHORARRAY(Sintesi!$C$15),1,$C143)&lt;0)+($E143&gt;=LOOKUP(2,1/($E:$E&lt;&gt;""),$E:$E))*($E143&lt;=$E144)*($E143&gt;INDEX(_xlfn.ANCHORARRAY(Sintesi!$C$15),1,$C143))*($E143&lt;INDEX(_xlfn.ANCHORARRAY(Sintesi!$C$16),1,$C143))*(INDEX(_xlfn.ANCHORARRAY(Sintesi!$C$15),1,$C143)&gt;0),2,IF($E143=(INDEX(_xlfn.ANCHORARRAY(Sintesi!$C$16),1,$C143)),3,4)))),0)))</f>
        <v>2</v>
      </c>
      <c r="E143" s="1">
        <f>'Paste cell here'!F143</f>
        <v>0.56699999999999995</v>
      </c>
      <c r="F143" s="1">
        <f>'Paste cell here'!C143</f>
        <v>21.08201949</v>
      </c>
      <c r="G143" s="1">
        <f>'Paste cell here'!D143</f>
        <v>13.31333613</v>
      </c>
      <c r="H143" s="1">
        <f>'Paste cell here'!E143</f>
        <v>3.088979626</v>
      </c>
      <c r="I143" s="1">
        <f>'Paste cell here'!X143</f>
        <v>1.7513530420000001</v>
      </c>
      <c r="J143" s="1">
        <f>'Paste cell here'!Y143+'Paste cell here'!S143</f>
        <v>1.7513530420000001</v>
      </c>
      <c r="K143" s="1">
        <f t="shared" si="5"/>
        <v>0.56696814289703579</v>
      </c>
      <c r="L143" s="1">
        <f t="shared" si="4"/>
        <v>18.560308889080058</v>
      </c>
      <c r="M143" s="1" cm="1">
        <f t="array" ref="M143">IF(AND(A143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,A143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),IF(L143&lt;_xlfn.IFNA(INDEX(_xlfn.ANCHORARRAY(Sintesi!$C$17)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,1,IF(L143&gt;=_xlfn.IFNA(INDEX(_xlfn.ANCHORARRAY(Sintesi!$C$18)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,0,1-(L143-_xlfn.IFNA(INDEX(_xlfn.ANCHORARRAY(Sintesi!$C$17)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)/(_xlfn.IFNA(INDEX(_xlfn.ANCHORARRAY(Sintesi!$C$18)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-_xlfn.IFNA(INDEX(_xlfn.ANCHORARRAY(Sintesi!$C$17),1,MATCH(1,(_xlfn.ANCHORARRAY(Sintesi!$C$9)&gt;_xlfn.ANCHORARRAY(Sintesi!$C$10))*(A142&gt;=_xlfn.ANCHORARRAY(Sintesi!$C$9))+(_xlfn.ANCHORARRAY(Sintesi!$C$9)&gt;_xlfn.ANCHORARRAY(Sintesi!$C$10))*(A142&lt;=_xlfn.ANCHORARRAY(Sintesi!$C$10))+(_xlfn.ANCHORARRAY(Sintesi!$C$9)&lt;_xlfn.ANCHORARRAY(Sintesi!$C$10))*(A142&gt;=_xlfn.ANCHORARRAY(Sintesi!$C$9))*(A142&lt;=_xlfn.ANCHORARRAY(Sintesi!$C$10)),0)),0)))),0)</f>
        <v>0</v>
      </c>
    </row>
    <row r="144" spans="1:13">
      <c r="A144" s="1">
        <f>'Paste cell here'!A144</f>
        <v>143</v>
      </c>
      <c r="B144" s="2">
        <f>DATE(Sintesi!$C$4-1,12,31)+A144</f>
        <v>44339</v>
      </c>
      <c r="C144" s="34" cm="1">
        <f t="array" ref="C144">_xlfn.IFNA(MATCH(1,(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)*(_xlfn.ANCHORARRAY(Sintesi!$C$15)&gt;=0)+(_xlfn.ANCHORARRAY(Sintesi!$C$15)&lt;0),0),0)</f>
        <v>1</v>
      </c>
      <c r="D144" s="1" cm="1">
        <f t="array" ref="D144">IF(ISBLANK($E145),IF(ISNUMBER($E143),IF($C144&gt;0,IF(($E144=INDEX(_xlfn.ANCHORARRAY(Sintesi!$C$14),1,$C144))*(INDEX(_xlfn.ANCHORARRAY(Sintesi!$C$15),1,$C144)&gt;0),0,IF(($E144=INDEX(_xlfn.ANCHORARRAY(Sintesi!$C$14),1,$C144))*(INDEX(_xlfn.ANCHORARRAY(Sintesi!$C$15),1,$C144)&lt;0)+($E144&gt;=$E143)*($E144&lt;=INDEX($E:$E,MATCH(TRUE,INDEX((ISNUMBER($E:$E)),0),0)))*($E144&gt;INDEX(_xlfn.ANCHORARRAY(Sintesi!$C$14),1,$C144))*($E144&lt;=INDEX(_xlfn.ANCHORARRAY(Sintesi!$C$15),1,$C144))*(INDEX(_xlfn.ANCHORARRAY(Sintesi!$C$15),1,$C144)&gt;0),1,IF(($E144&gt;=$E143)*($E144&lt;=INDEX($E:$E,MATCH(TRUE,INDEX((ISNUMBER($E:$E)),0),0)))*($E144&gt;INDEX(_xlfn.ANCHORARRAY(Sintesi!$C$14),1,$C144))*($E144&lt;INDEX(_xlfn.ANCHORARRAY(Sintesi!$C$16),1,$C144))*(INDEX(_xlfn.ANCHORARRAY(Sintesi!$C$15),1,$C144)&lt;0)+($E144&gt;=$E143)*($E144&lt;=INDEX($E:$E,MATCH(TRUE,INDEX((ISNUMBER($E:$E)),0),0)))*($E144&gt;INDEX(_xlfn.ANCHORARRAY(Sintesi!$C$15),1,$C144))*($E144&lt;INDEX(_xlfn.ANCHORARRAY(Sintesi!$C$16),1,$C144))*(INDEX(_xlfn.ANCHORARRAY(Sintesi!$C$15),1,$C144)&gt;0),2,IF($E144=(INDEX(_xlfn.ANCHORARRAY(Sintesi!$C$16),1,$C144)),3,4)))),0),IF($C144&gt;0,IF(($E144=INDEX(_xlfn.ANCHORARRAY(Sintesi!$C$14),1,$C144))*(INDEX(_xlfn.ANCHORARRAY(Sintesi!$C$15),1,$C144)&gt;0),0,IF(($E144=INDEX(_xlfn.ANCHORARRAY(Sintesi!$C$14),1,$C144))*(INDEX(_xlfn.ANCHORARRAY(Sintesi!$C$15),1,$C144)&lt;0)+($E144&gt;=LOOKUP(2,1/($E:$E&lt;&gt;""),$E:$E))*($E144&lt;=INDEX($E:$E,MATCH(TRUE,INDEX((ISNUMBER($E:$E)),0),0)))*($E144&gt;INDEX(_xlfn.ANCHORARRAY(Sintesi!$C$14),1,$C144))*($E144&lt;=INDEX(_xlfn.ANCHORARRAY(Sintesi!$C$15),1,$C144))*(INDEX(_xlfn.ANCHORARRAY(Sintesi!$C$15),1,$C144)&gt;0),1,IF(($E144&gt;=LOOKUP(2,1/($E:$E&lt;&gt;""),$E:$E))*($E144&lt;=INDEX($E:$E,MATCH(TRUE,INDEX((ISNUMBER($E:$E)),0),0)))*($E144&gt;INDEX(_xlfn.ANCHORARRAY(Sintesi!$C$14),1,$C144))*($E144&lt;INDEX(_xlfn.ANCHORARRAY(Sintesi!$C$16),1,$C144))*(INDEX(_xlfn.ANCHORARRAY(Sintesi!$C$15),1,$C144)&lt;0)+($E144&gt;=LOOKUP(2,1/($E:$E&lt;&gt;""),$E:$E))*($E144&lt;=INDEX($E:$E,MATCH(TRUE,INDEX((ISNUMBER($E:$E)),0),0)))*($E144&gt;INDEX(_xlfn.ANCHORARRAY(Sintesi!$C$15),1,$C144))*($E144&lt;INDEX(_xlfn.ANCHORARRAY(Sintesi!$C$16),1,$C144))*(INDEX(_xlfn.ANCHORARRAY(Sintesi!$C$15),1,$C144)&gt;0),2,IF($E144=(INDEX(_xlfn.ANCHORARRAY(Sintesi!$C$16),1,$C144)),3,4)))),0)),IF(ISNUMBER($E143),IF($C144&gt;0,IF(($E144=INDEX(_xlfn.ANCHORARRAY(Sintesi!$C$14),1,$C144))*(INDEX(_xlfn.ANCHORARRAY(Sintesi!$C$15),1,$C144)&gt;0),0,IF(($E144=INDEX(_xlfn.ANCHORARRAY(Sintesi!$C$14),1,$C144))*(INDEX(_xlfn.ANCHORARRAY(Sintesi!$C$15),1,$C144)&lt;0)+($E144&gt;=$E143)*($E144&lt;=$E145)*($E144&gt;INDEX(_xlfn.ANCHORARRAY(Sintesi!$C$14),1,$C144))*($E144&lt;=INDEX(_xlfn.ANCHORARRAY(Sintesi!$C$15),1,$C144))*(INDEX(_xlfn.ANCHORARRAY(Sintesi!$C$15),1,$C144)&gt;0),1,IF(($E144&gt;=$E143)*($E144&lt;=$E145)*($E144&gt;INDEX(_xlfn.ANCHORARRAY(Sintesi!$C$14),1,$C144))*($E144&lt;INDEX(_xlfn.ANCHORARRAY(Sintesi!$C$16),1,$C144))*(INDEX(_xlfn.ANCHORARRAY(Sintesi!$C$15),1,$C144)&lt;0)+($E144&gt;=$E143)*($E144&lt;=$E145)*($E144&gt;INDEX(_xlfn.ANCHORARRAY(Sintesi!$C$15),1,$C144))*($E144&lt;INDEX(_xlfn.ANCHORARRAY(Sintesi!$C$16),1,$C144))*(INDEX(_xlfn.ANCHORARRAY(Sintesi!$C$15),1,$C144)&gt;0),2,IF($E144=(INDEX(_xlfn.ANCHORARRAY(Sintesi!$C$16),1,$C144)),3,4)))),0),IF($C144&gt;0,IF(($E144=INDEX(_xlfn.ANCHORARRAY(Sintesi!$C$14),1,$C144))*(INDEX(_xlfn.ANCHORARRAY(Sintesi!$C$15),1,$C144)&gt;0),0,IF(($E144=INDEX(_xlfn.ANCHORARRAY(Sintesi!$C$14),1,$C144))*(INDEX(_xlfn.ANCHORARRAY(Sintesi!$C$15),1,$C144)&lt;0)+($E144&gt;=LOOKUP(2,1/($E:$E&lt;&gt;""),$E:$E))*($E144&lt;=$E145)*($E144&gt;INDEX(_xlfn.ANCHORARRAY(Sintesi!$C$14),1,$C144))*($E144&lt;=INDEX(_xlfn.ANCHORARRAY(Sintesi!$C$15),1,$C144))*(INDEX(_xlfn.ANCHORARRAY(Sintesi!$C$15),1,$C144)&gt;0),1,IF(($E144&gt;=LOOKUP(2,1/($E:$E&lt;&gt;""),$E:$E))*($E144&lt;=$E145)*($E144&gt;INDEX(_xlfn.ANCHORARRAY(Sintesi!$C$14),1,$C144))*($E144&lt;INDEX(_xlfn.ANCHORARRAY(Sintesi!$C$16),1,$C144))*(INDEX(_xlfn.ANCHORARRAY(Sintesi!$C$15),1,$C144)&lt;0)+($E144&gt;=LOOKUP(2,1/($E:$E&lt;&gt;""),$E:$E))*($E144&lt;=$E145)*($E144&gt;INDEX(_xlfn.ANCHORARRAY(Sintesi!$C$15),1,$C144))*($E144&lt;INDEX(_xlfn.ANCHORARRAY(Sintesi!$C$16),1,$C144))*(INDEX(_xlfn.ANCHORARRAY(Sintesi!$C$15),1,$C144)&gt;0),2,IF($E144=(INDEX(_xlfn.ANCHORARRAY(Sintesi!$C$16),1,$C144)),3,4)))),0)))</f>
        <v>2</v>
      </c>
      <c r="E144" s="1">
        <f>'Paste cell here'!F144</f>
        <v>0.58799999999999997</v>
      </c>
      <c r="F144" s="1">
        <f>'Paste cell here'!C144</f>
        <v>26.1640552</v>
      </c>
      <c r="G144" s="1">
        <f>'Paste cell here'!D144</f>
        <v>13.73326507</v>
      </c>
      <c r="H144" s="1">
        <f>'Paste cell here'!E144</f>
        <v>4.945277645</v>
      </c>
      <c r="I144" s="1">
        <f>'Paste cell here'!X144</f>
        <v>2.9076535899999998</v>
      </c>
      <c r="J144" s="1">
        <f>'Paste cell here'!Y144+'Paste cell here'!S144</f>
        <v>2.9076535899999998</v>
      </c>
      <c r="K144" s="1">
        <f t="shared" si="5"/>
        <v>0.58796569145916977</v>
      </c>
      <c r="L144" s="1">
        <f t="shared" si="4"/>
        <v>22.129027152643467</v>
      </c>
      <c r="M144" s="1" cm="1">
        <f t="array" ref="M144">IF(AND(A144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,A144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),IF(L144&lt;_xlfn.IFNA(INDEX(_xlfn.ANCHORARRAY(Sintesi!$C$17)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,1,IF(L144&gt;=_xlfn.IFNA(INDEX(_xlfn.ANCHORARRAY(Sintesi!$C$18)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,0,1-(L144-_xlfn.IFNA(INDEX(_xlfn.ANCHORARRAY(Sintesi!$C$17)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)/(_xlfn.IFNA(INDEX(_xlfn.ANCHORARRAY(Sintesi!$C$18)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-_xlfn.IFNA(INDEX(_xlfn.ANCHORARRAY(Sintesi!$C$17),1,MATCH(1,(_xlfn.ANCHORARRAY(Sintesi!$C$9)&gt;_xlfn.ANCHORARRAY(Sintesi!$C$10))*(A143&gt;=_xlfn.ANCHORARRAY(Sintesi!$C$9))+(_xlfn.ANCHORARRAY(Sintesi!$C$9)&gt;_xlfn.ANCHORARRAY(Sintesi!$C$10))*(A143&lt;=_xlfn.ANCHORARRAY(Sintesi!$C$10))+(_xlfn.ANCHORARRAY(Sintesi!$C$9)&lt;_xlfn.ANCHORARRAY(Sintesi!$C$10))*(A143&gt;=_xlfn.ANCHORARRAY(Sintesi!$C$9))*(A143&lt;=_xlfn.ANCHORARRAY(Sintesi!$C$10)),0)),0)))),0)</f>
        <v>0</v>
      </c>
    </row>
    <row r="145" spans="1:13">
      <c r="A145" s="1">
        <f>'Paste cell here'!A145</f>
        <v>144</v>
      </c>
      <c r="B145" s="2">
        <f>DATE(Sintesi!$C$4-1,12,31)+A145</f>
        <v>44340</v>
      </c>
      <c r="C145" s="34" cm="1">
        <f t="array" ref="C145">_xlfn.IFNA(MATCH(1,(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)*(_xlfn.ANCHORARRAY(Sintesi!$C$15)&gt;=0)+(_xlfn.ANCHORARRAY(Sintesi!$C$15)&lt;0),0),0)</f>
        <v>1</v>
      </c>
      <c r="D145" s="1" cm="1">
        <f t="array" ref="D145">IF(ISBLANK($E146),IF(ISNUMBER($E144),IF($C145&gt;0,IF(($E145=INDEX(_xlfn.ANCHORARRAY(Sintesi!$C$14),1,$C145))*(INDEX(_xlfn.ANCHORARRAY(Sintesi!$C$15),1,$C145)&gt;0),0,IF(($E145=INDEX(_xlfn.ANCHORARRAY(Sintesi!$C$14),1,$C145))*(INDEX(_xlfn.ANCHORARRAY(Sintesi!$C$15),1,$C145)&lt;0)+($E145&gt;=$E144)*($E145&lt;=INDEX($E:$E,MATCH(TRUE,INDEX((ISNUMBER($E:$E)),0),0)))*($E145&gt;INDEX(_xlfn.ANCHORARRAY(Sintesi!$C$14),1,$C145))*($E145&lt;=INDEX(_xlfn.ANCHORARRAY(Sintesi!$C$15),1,$C145))*(INDEX(_xlfn.ANCHORARRAY(Sintesi!$C$15),1,$C145)&gt;0),1,IF(($E145&gt;=$E144)*($E145&lt;=INDEX($E:$E,MATCH(TRUE,INDEX((ISNUMBER($E:$E)),0),0)))*($E145&gt;INDEX(_xlfn.ANCHORARRAY(Sintesi!$C$14),1,$C145))*($E145&lt;INDEX(_xlfn.ANCHORARRAY(Sintesi!$C$16),1,$C145))*(INDEX(_xlfn.ANCHORARRAY(Sintesi!$C$15),1,$C145)&lt;0)+($E145&gt;=$E144)*($E145&lt;=INDEX($E:$E,MATCH(TRUE,INDEX((ISNUMBER($E:$E)),0),0)))*($E145&gt;INDEX(_xlfn.ANCHORARRAY(Sintesi!$C$15),1,$C145))*($E145&lt;INDEX(_xlfn.ANCHORARRAY(Sintesi!$C$16),1,$C145))*(INDEX(_xlfn.ANCHORARRAY(Sintesi!$C$15),1,$C145)&gt;0),2,IF($E145=(INDEX(_xlfn.ANCHORARRAY(Sintesi!$C$16),1,$C145)),3,4)))),0),IF($C145&gt;0,IF(($E145=INDEX(_xlfn.ANCHORARRAY(Sintesi!$C$14),1,$C145))*(INDEX(_xlfn.ANCHORARRAY(Sintesi!$C$15),1,$C145)&gt;0),0,IF(($E145=INDEX(_xlfn.ANCHORARRAY(Sintesi!$C$14),1,$C145))*(INDEX(_xlfn.ANCHORARRAY(Sintesi!$C$15),1,$C145)&lt;0)+($E145&gt;=LOOKUP(2,1/($E:$E&lt;&gt;""),$E:$E))*($E145&lt;=INDEX($E:$E,MATCH(TRUE,INDEX((ISNUMBER($E:$E)),0),0)))*($E145&gt;INDEX(_xlfn.ANCHORARRAY(Sintesi!$C$14),1,$C145))*($E145&lt;=INDEX(_xlfn.ANCHORARRAY(Sintesi!$C$15),1,$C145))*(INDEX(_xlfn.ANCHORARRAY(Sintesi!$C$15),1,$C145)&gt;0),1,IF(($E145&gt;=LOOKUP(2,1/($E:$E&lt;&gt;""),$E:$E))*($E145&lt;=INDEX($E:$E,MATCH(TRUE,INDEX((ISNUMBER($E:$E)),0),0)))*($E145&gt;INDEX(_xlfn.ANCHORARRAY(Sintesi!$C$14),1,$C145))*($E145&lt;INDEX(_xlfn.ANCHORARRAY(Sintesi!$C$16),1,$C145))*(INDEX(_xlfn.ANCHORARRAY(Sintesi!$C$15),1,$C145)&lt;0)+($E145&gt;=LOOKUP(2,1/($E:$E&lt;&gt;""),$E:$E))*($E145&lt;=INDEX($E:$E,MATCH(TRUE,INDEX((ISNUMBER($E:$E)),0),0)))*($E145&gt;INDEX(_xlfn.ANCHORARRAY(Sintesi!$C$15),1,$C145))*($E145&lt;INDEX(_xlfn.ANCHORARRAY(Sintesi!$C$16),1,$C145))*(INDEX(_xlfn.ANCHORARRAY(Sintesi!$C$15),1,$C145)&gt;0),2,IF($E145=(INDEX(_xlfn.ANCHORARRAY(Sintesi!$C$16),1,$C145)),3,4)))),0)),IF(ISNUMBER($E144),IF($C145&gt;0,IF(($E145=INDEX(_xlfn.ANCHORARRAY(Sintesi!$C$14),1,$C145))*(INDEX(_xlfn.ANCHORARRAY(Sintesi!$C$15),1,$C145)&gt;0),0,IF(($E145=INDEX(_xlfn.ANCHORARRAY(Sintesi!$C$14),1,$C145))*(INDEX(_xlfn.ANCHORARRAY(Sintesi!$C$15),1,$C145)&lt;0)+($E145&gt;=$E144)*($E145&lt;=$E146)*($E145&gt;INDEX(_xlfn.ANCHORARRAY(Sintesi!$C$14),1,$C145))*($E145&lt;=INDEX(_xlfn.ANCHORARRAY(Sintesi!$C$15),1,$C145))*(INDEX(_xlfn.ANCHORARRAY(Sintesi!$C$15),1,$C145)&gt;0),1,IF(($E145&gt;=$E144)*($E145&lt;=$E146)*($E145&gt;INDEX(_xlfn.ANCHORARRAY(Sintesi!$C$14),1,$C145))*($E145&lt;INDEX(_xlfn.ANCHORARRAY(Sintesi!$C$16),1,$C145))*(INDEX(_xlfn.ANCHORARRAY(Sintesi!$C$15),1,$C145)&lt;0)+($E145&gt;=$E144)*($E145&lt;=$E146)*($E145&gt;INDEX(_xlfn.ANCHORARRAY(Sintesi!$C$15),1,$C145))*($E145&lt;INDEX(_xlfn.ANCHORARRAY(Sintesi!$C$16),1,$C145))*(INDEX(_xlfn.ANCHORARRAY(Sintesi!$C$15),1,$C145)&gt;0),2,IF($E145=(INDEX(_xlfn.ANCHORARRAY(Sintesi!$C$16),1,$C145)),3,4)))),0),IF($C145&gt;0,IF(($E145=INDEX(_xlfn.ANCHORARRAY(Sintesi!$C$14),1,$C145))*(INDEX(_xlfn.ANCHORARRAY(Sintesi!$C$15),1,$C145)&gt;0),0,IF(($E145=INDEX(_xlfn.ANCHORARRAY(Sintesi!$C$14),1,$C145))*(INDEX(_xlfn.ANCHORARRAY(Sintesi!$C$15),1,$C145)&lt;0)+($E145&gt;=LOOKUP(2,1/($E:$E&lt;&gt;""),$E:$E))*($E145&lt;=$E146)*($E145&gt;INDEX(_xlfn.ANCHORARRAY(Sintesi!$C$14),1,$C145))*($E145&lt;=INDEX(_xlfn.ANCHORARRAY(Sintesi!$C$15),1,$C145))*(INDEX(_xlfn.ANCHORARRAY(Sintesi!$C$15),1,$C145)&gt;0),1,IF(($E145&gt;=LOOKUP(2,1/($E:$E&lt;&gt;""),$E:$E))*($E145&lt;=$E146)*($E145&gt;INDEX(_xlfn.ANCHORARRAY(Sintesi!$C$14),1,$C145))*($E145&lt;INDEX(_xlfn.ANCHORARRAY(Sintesi!$C$16),1,$C145))*(INDEX(_xlfn.ANCHORARRAY(Sintesi!$C$15),1,$C145)&lt;0)+($E145&gt;=LOOKUP(2,1/($E:$E&lt;&gt;""),$E:$E))*($E145&lt;=$E146)*($E145&gt;INDEX(_xlfn.ANCHORARRAY(Sintesi!$C$15),1,$C145))*($E145&lt;INDEX(_xlfn.ANCHORARRAY(Sintesi!$C$16),1,$C145))*(INDEX(_xlfn.ANCHORARRAY(Sintesi!$C$15),1,$C145)&gt;0),2,IF($E145=(INDEX(_xlfn.ANCHORARRAY(Sintesi!$C$16),1,$C145)),3,4)))),0)))</f>
        <v>2</v>
      </c>
      <c r="E145" s="1">
        <f>'Paste cell here'!F145</f>
        <v>0.60899999999999999</v>
      </c>
      <c r="F145" s="1">
        <f>'Paste cell here'!C145</f>
        <v>15.910488669999999</v>
      </c>
      <c r="G145" s="1">
        <f>'Paste cell here'!D145</f>
        <v>13.22798433</v>
      </c>
      <c r="H145" s="1">
        <f>'Paste cell here'!E145</f>
        <v>1.298410793</v>
      </c>
      <c r="I145" s="1">
        <f>'Paste cell here'!X145</f>
        <v>0.79068431900000002</v>
      </c>
      <c r="J145" s="1">
        <f>'Paste cell here'!Y145+'Paste cell here'!S145</f>
        <v>0.79068431900000002</v>
      </c>
      <c r="K145" s="1">
        <f t="shared" si="5"/>
        <v>0.60896314422426401</v>
      </c>
      <c r="L145" s="1">
        <f t="shared" si="4"/>
        <v>15.039749148548868</v>
      </c>
      <c r="M145" s="1" cm="1">
        <f t="array" ref="M145">IF(AND(A145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,A145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),IF(L145&lt;_xlfn.IFNA(INDEX(_xlfn.ANCHORARRAY(Sintesi!$C$17)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,1,IF(L145&gt;=_xlfn.IFNA(INDEX(_xlfn.ANCHORARRAY(Sintesi!$C$18)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,0,1-(L145-_xlfn.IFNA(INDEX(_xlfn.ANCHORARRAY(Sintesi!$C$17)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)/(_xlfn.IFNA(INDEX(_xlfn.ANCHORARRAY(Sintesi!$C$18)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-_xlfn.IFNA(INDEX(_xlfn.ANCHORARRAY(Sintesi!$C$17),1,MATCH(1,(_xlfn.ANCHORARRAY(Sintesi!$C$9)&gt;_xlfn.ANCHORARRAY(Sintesi!$C$10))*(A144&gt;=_xlfn.ANCHORARRAY(Sintesi!$C$9))+(_xlfn.ANCHORARRAY(Sintesi!$C$9)&gt;_xlfn.ANCHORARRAY(Sintesi!$C$10))*(A144&lt;=_xlfn.ANCHORARRAY(Sintesi!$C$10))+(_xlfn.ANCHORARRAY(Sintesi!$C$9)&lt;_xlfn.ANCHORARRAY(Sintesi!$C$10))*(A144&gt;=_xlfn.ANCHORARRAY(Sintesi!$C$9))*(A144&lt;=_xlfn.ANCHORARRAY(Sintesi!$C$10)),0)),0)))),0)</f>
        <v>0</v>
      </c>
    </row>
    <row r="146" spans="1:13">
      <c r="A146" s="1">
        <f>'Paste cell here'!A146</f>
        <v>145</v>
      </c>
      <c r="B146" s="2">
        <f>DATE(Sintesi!$C$4-1,12,31)+A146</f>
        <v>44341</v>
      </c>
      <c r="C146" s="34" cm="1">
        <f t="array" ref="C146">_xlfn.IFNA(MATCH(1,(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)*(_xlfn.ANCHORARRAY(Sintesi!$C$15)&gt;=0)+(_xlfn.ANCHORARRAY(Sintesi!$C$15)&lt;0),0),0)</f>
        <v>1</v>
      </c>
      <c r="D146" s="1" cm="1">
        <f t="array" ref="D146">IF(ISBLANK($E147),IF(ISNUMBER($E145),IF($C146&gt;0,IF(($E146=INDEX(_xlfn.ANCHORARRAY(Sintesi!$C$14),1,$C146))*(INDEX(_xlfn.ANCHORARRAY(Sintesi!$C$15),1,$C146)&gt;0),0,IF(($E146=INDEX(_xlfn.ANCHORARRAY(Sintesi!$C$14),1,$C146))*(INDEX(_xlfn.ANCHORARRAY(Sintesi!$C$15),1,$C146)&lt;0)+($E146&gt;=$E145)*($E146&lt;=INDEX($E:$E,MATCH(TRUE,INDEX((ISNUMBER($E:$E)),0),0)))*($E146&gt;INDEX(_xlfn.ANCHORARRAY(Sintesi!$C$14),1,$C146))*($E146&lt;=INDEX(_xlfn.ANCHORARRAY(Sintesi!$C$15),1,$C146))*(INDEX(_xlfn.ANCHORARRAY(Sintesi!$C$15),1,$C146)&gt;0),1,IF(($E146&gt;=$E145)*($E146&lt;=INDEX($E:$E,MATCH(TRUE,INDEX((ISNUMBER($E:$E)),0),0)))*($E146&gt;INDEX(_xlfn.ANCHORARRAY(Sintesi!$C$14),1,$C146))*($E146&lt;INDEX(_xlfn.ANCHORARRAY(Sintesi!$C$16),1,$C146))*(INDEX(_xlfn.ANCHORARRAY(Sintesi!$C$15),1,$C146)&lt;0)+($E146&gt;=$E145)*($E146&lt;=INDEX($E:$E,MATCH(TRUE,INDEX((ISNUMBER($E:$E)),0),0)))*($E146&gt;INDEX(_xlfn.ANCHORARRAY(Sintesi!$C$15),1,$C146))*($E146&lt;INDEX(_xlfn.ANCHORARRAY(Sintesi!$C$16),1,$C146))*(INDEX(_xlfn.ANCHORARRAY(Sintesi!$C$15),1,$C146)&gt;0),2,IF($E146=(INDEX(_xlfn.ANCHORARRAY(Sintesi!$C$16),1,$C146)),3,4)))),0),IF($C146&gt;0,IF(($E146=INDEX(_xlfn.ANCHORARRAY(Sintesi!$C$14),1,$C146))*(INDEX(_xlfn.ANCHORARRAY(Sintesi!$C$15),1,$C146)&gt;0),0,IF(($E146=INDEX(_xlfn.ANCHORARRAY(Sintesi!$C$14),1,$C146))*(INDEX(_xlfn.ANCHORARRAY(Sintesi!$C$15),1,$C146)&lt;0)+($E146&gt;=LOOKUP(2,1/($E:$E&lt;&gt;""),$E:$E))*($E146&lt;=INDEX($E:$E,MATCH(TRUE,INDEX((ISNUMBER($E:$E)),0),0)))*($E146&gt;INDEX(_xlfn.ANCHORARRAY(Sintesi!$C$14),1,$C146))*($E146&lt;=INDEX(_xlfn.ANCHORARRAY(Sintesi!$C$15),1,$C146))*(INDEX(_xlfn.ANCHORARRAY(Sintesi!$C$15),1,$C146)&gt;0),1,IF(($E146&gt;=LOOKUP(2,1/($E:$E&lt;&gt;""),$E:$E))*($E146&lt;=INDEX($E:$E,MATCH(TRUE,INDEX((ISNUMBER($E:$E)),0),0)))*($E146&gt;INDEX(_xlfn.ANCHORARRAY(Sintesi!$C$14),1,$C146))*($E146&lt;INDEX(_xlfn.ANCHORARRAY(Sintesi!$C$16),1,$C146))*(INDEX(_xlfn.ANCHORARRAY(Sintesi!$C$15),1,$C146)&lt;0)+($E146&gt;=LOOKUP(2,1/($E:$E&lt;&gt;""),$E:$E))*($E146&lt;=INDEX($E:$E,MATCH(TRUE,INDEX((ISNUMBER($E:$E)),0),0)))*($E146&gt;INDEX(_xlfn.ANCHORARRAY(Sintesi!$C$15),1,$C146))*($E146&lt;INDEX(_xlfn.ANCHORARRAY(Sintesi!$C$16),1,$C146))*(INDEX(_xlfn.ANCHORARRAY(Sintesi!$C$15),1,$C146)&gt;0),2,IF($E146=(INDEX(_xlfn.ANCHORARRAY(Sintesi!$C$16),1,$C146)),3,4)))),0)),IF(ISNUMBER($E145),IF($C146&gt;0,IF(($E146=INDEX(_xlfn.ANCHORARRAY(Sintesi!$C$14),1,$C146))*(INDEX(_xlfn.ANCHORARRAY(Sintesi!$C$15),1,$C146)&gt;0),0,IF(($E146=INDEX(_xlfn.ANCHORARRAY(Sintesi!$C$14),1,$C146))*(INDEX(_xlfn.ANCHORARRAY(Sintesi!$C$15),1,$C146)&lt;0)+($E146&gt;=$E145)*($E146&lt;=$E147)*($E146&gt;INDEX(_xlfn.ANCHORARRAY(Sintesi!$C$14),1,$C146))*($E146&lt;=INDEX(_xlfn.ANCHORARRAY(Sintesi!$C$15),1,$C146))*(INDEX(_xlfn.ANCHORARRAY(Sintesi!$C$15),1,$C146)&gt;0),1,IF(($E146&gt;=$E145)*($E146&lt;=$E147)*($E146&gt;INDEX(_xlfn.ANCHORARRAY(Sintesi!$C$14),1,$C146))*($E146&lt;INDEX(_xlfn.ANCHORARRAY(Sintesi!$C$16),1,$C146))*(INDEX(_xlfn.ANCHORARRAY(Sintesi!$C$15),1,$C146)&lt;0)+($E146&gt;=$E145)*($E146&lt;=$E147)*($E146&gt;INDEX(_xlfn.ANCHORARRAY(Sintesi!$C$15),1,$C146))*($E146&lt;INDEX(_xlfn.ANCHORARRAY(Sintesi!$C$16),1,$C146))*(INDEX(_xlfn.ANCHORARRAY(Sintesi!$C$15),1,$C146)&gt;0),2,IF($E146=(INDEX(_xlfn.ANCHORARRAY(Sintesi!$C$16),1,$C146)),3,4)))),0),IF($C146&gt;0,IF(($E146=INDEX(_xlfn.ANCHORARRAY(Sintesi!$C$14),1,$C146))*(INDEX(_xlfn.ANCHORARRAY(Sintesi!$C$15),1,$C146)&gt;0),0,IF(($E146=INDEX(_xlfn.ANCHORARRAY(Sintesi!$C$14),1,$C146))*(INDEX(_xlfn.ANCHORARRAY(Sintesi!$C$15),1,$C146)&lt;0)+($E146&gt;=LOOKUP(2,1/($E:$E&lt;&gt;""),$E:$E))*($E146&lt;=$E147)*($E146&gt;INDEX(_xlfn.ANCHORARRAY(Sintesi!$C$14),1,$C146))*($E146&lt;=INDEX(_xlfn.ANCHORARRAY(Sintesi!$C$15),1,$C146))*(INDEX(_xlfn.ANCHORARRAY(Sintesi!$C$15),1,$C146)&gt;0),1,IF(($E146&gt;=LOOKUP(2,1/($E:$E&lt;&gt;""),$E:$E))*($E146&lt;=$E147)*($E146&gt;INDEX(_xlfn.ANCHORARRAY(Sintesi!$C$14),1,$C146))*($E146&lt;INDEX(_xlfn.ANCHORARRAY(Sintesi!$C$16),1,$C146))*(INDEX(_xlfn.ANCHORARRAY(Sintesi!$C$15),1,$C146)&lt;0)+($E146&gt;=LOOKUP(2,1/($E:$E&lt;&gt;""),$E:$E))*($E146&lt;=$E147)*($E146&gt;INDEX(_xlfn.ANCHORARRAY(Sintesi!$C$15),1,$C146))*($E146&lt;INDEX(_xlfn.ANCHORARRAY(Sintesi!$C$16),1,$C146))*(INDEX(_xlfn.ANCHORARRAY(Sintesi!$C$15),1,$C146)&gt;0),2,IF($E146=(INDEX(_xlfn.ANCHORARRAY(Sintesi!$C$16),1,$C146)),3,4)))),0)))</f>
        <v>2</v>
      </c>
      <c r="E146" s="1">
        <f>'Paste cell here'!F146</f>
        <v>0.629</v>
      </c>
      <c r="F146" s="1">
        <f>'Paste cell here'!C146</f>
        <v>24.227984330000002</v>
      </c>
      <c r="G146" s="1">
        <f>'Paste cell here'!D146</f>
        <v>10.425456130000001</v>
      </c>
      <c r="H146" s="1">
        <f>'Paste cell here'!E146</f>
        <v>5.2652234360000003</v>
      </c>
      <c r="I146" s="1">
        <f>'Paste cell here'!X146</f>
        <v>3.3116179209999999</v>
      </c>
      <c r="J146" s="1">
        <f>'Paste cell here'!Y146+'Paste cell here'!S146</f>
        <v>3.3116179209999999</v>
      </c>
      <c r="K146" s="1">
        <f t="shared" si="5"/>
        <v>0.62896056762898589</v>
      </c>
      <c r="L146" s="1">
        <f t="shared" si="4"/>
        <v>19.747690814544317</v>
      </c>
      <c r="M146" s="1" cm="1">
        <f t="array" ref="M146">IF(AND(A146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,A146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),IF(L146&lt;_xlfn.IFNA(INDEX(_xlfn.ANCHORARRAY(Sintesi!$C$17)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,1,IF(L146&gt;=_xlfn.IFNA(INDEX(_xlfn.ANCHORARRAY(Sintesi!$C$18)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,0,1-(L146-_xlfn.IFNA(INDEX(_xlfn.ANCHORARRAY(Sintesi!$C$17)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)/(_xlfn.IFNA(INDEX(_xlfn.ANCHORARRAY(Sintesi!$C$18)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-_xlfn.IFNA(INDEX(_xlfn.ANCHORARRAY(Sintesi!$C$17),1,MATCH(1,(_xlfn.ANCHORARRAY(Sintesi!$C$9)&gt;_xlfn.ANCHORARRAY(Sintesi!$C$10))*(A145&gt;=_xlfn.ANCHORARRAY(Sintesi!$C$9))+(_xlfn.ANCHORARRAY(Sintesi!$C$9)&gt;_xlfn.ANCHORARRAY(Sintesi!$C$10))*(A145&lt;=_xlfn.ANCHORARRAY(Sintesi!$C$10))+(_xlfn.ANCHORARRAY(Sintesi!$C$9)&lt;_xlfn.ANCHORARRAY(Sintesi!$C$10))*(A145&gt;=_xlfn.ANCHORARRAY(Sintesi!$C$9))*(A145&lt;=_xlfn.ANCHORARRAY(Sintesi!$C$10)),0)),0)))),0)</f>
        <v>0</v>
      </c>
    </row>
    <row r="147" spans="1:13">
      <c r="A147" s="1">
        <f>'Paste cell here'!A147</f>
        <v>146</v>
      </c>
      <c r="B147" s="2">
        <f>DATE(Sintesi!$C$4-1,12,31)+A147</f>
        <v>44342</v>
      </c>
      <c r="C147" s="34" cm="1">
        <f t="array" ref="C147">_xlfn.IFNA(MATCH(1,(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)*(_xlfn.ANCHORARRAY(Sintesi!$C$15)&gt;=0)+(_xlfn.ANCHORARRAY(Sintesi!$C$15)&lt;0),0),0)</f>
        <v>1</v>
      </c>
      <c r="D147" s="1" cm="1">
        <f t="array" ref="D147">IF(ISBLANK($E148),IF(ISNUMBER($E146),IF($C147&gt;0,IF(($E147=INDEX(_xlfn.ANCHORARRAY(Sintesi!$C$14),1,$C147))*(INDEX(_xlfn.ANCHORARRAY(Sintesi!$C$15),1,$C147)&gt;0),0,IF(($E147=INDEX(_xlfn.ANCHORARRAY(Sintesi!$C$14),1,$C147))*(INDEX(_xlfn.ANCHORARRAY(Sintesi!$C$15),1,$C147)&lt;0)+($E147&gt;=$E146)*($E147&lt;=INDEX($E:$E,MATCH(TRUE,INDEX((ISNUMBER($E:$E)),0),0)))*($E147&gt;INDEX(_xlfn.ANCHORARRAY(Sintesi!$C$14),1,$C147))*($E147&lt;=INDEX(_xlfn.ANCHORARRAY(Sintesi!$C$15),1,$C147))*(INDEX(_xlfn.ANCHORARRAY(Sintesi!$C$15),1,$C147)&gt;0),1,IF(($E147&gt;=$E146)*($E147&lt;=INDEX($E:$E,MATCH(TRUE,INDEX((ISNUMBER($E:$E)),0),0)))*($E147&gt;INDEX(_xlfn.ANCHORARRAY(Sintesi!$C$14),1,$C147))*($E147&lt;INDEX(_xlfn.ANCHORARRAY(Sintesi!$C$16),1,$C147))*(INDEX(_xlfn.ANCHORARRAY(Sintesi!$C$15),1,$C147)&lt;0)+($E147&gt;=$E146)*($E147&lt;=INDEX($E:$E,MATCH(TRUE,INDEX((ISNUMBER($E:$E)),0),0)))*($E147&gt;INDEX(_xlfn.ANCHORARRAY(Sintesi!$C$15),1,$C147))*($E147&lt;INDEX(_xlfn.ANCHORARRAY(Sintesi!$C$16),1,$C147))*(INDEX(_xlfn.ANCHORARRAY(Sintesi!$C$15),1,$C147)&gt;0),2,IF($E147=(INDEX(_xlfn.ANCHORARRAY(Sintesi!$C$16),1,$C147)),3,4)))),0),IF($C147&gt;0,IF(($E147=INDEX(_xlfn.ANCHORARRAY(Sintesi!$C$14),1,$C147))*(INDEX(_xlfn.ANCHORARRAY(Sintesi!$C$15),1,$C147)&gt;0),0,IF(($E147=INDEX(_xlfn.ANCHORARRAY(Sintesi!$C$14),1,$C147))*(INDEX(_xlfn.ANCHORARRAY(Sintesi!$C$15),1,$C147)&lt;0)+($E147&gt;=LOOKUP(2,1/($E:$E&lt;&gt;""),$E:$E))*($E147&lt;=INDEX($E:$E,MATCH(TRUE,INDEX((ISNUMBER($E:$E)),0),0)))*($E147&gt;INDEX(_xlfn.ANCHORARRAY(Sintesi!$C$14),1,$C147))*($E147&lt;=INDEX(_xlfn.ANCHORARRAY(Sintesi!$C$15),1,$C147))*(INDEX(_xlfn.ANCHORARRAY(Sintesi!$C$15),1,$C147)&gt;0),1,IF(($E147&gt;=LOOKUP(2,1/($E:$E&lt;&gt;""),$E:$E))*($E147&lt;=INDEX($E:$E,MATCH(TRUE,INDEX((ISNUMBER($E:$E)),0),0)))*($E147&gt;INDEX(_xlfn.ANCHORARRAY(Sintesi!$C$14),1,$C147))*($E147&lt;INDEX(_xlfn.ANCHORARRAY(Sintesi!$C$16),1,$C147))*(INDEX(_xlfn.ANCHORARRAY(Sintesi!$C$15),1,$C147)&lt;0)+($E147&gt;=LOOKUP(2,1/($E:$E&lt;&gt;""),$E:$E))*($E147&lt;=INDEX($E:$E,MATCH(TRUE,INDEX((ISNUMBER($E:$E)),0),0)))*($E147&gt;INDEX(_xlfn.ANCHORARRAY(Sintesi!$C$15),1,$C147))*($E147&lt;INDEX(_xlfn.ANCHORARRAY(Sintesi!$C$16),1,$C147))*(INDEX(_xlfn.ANCHORARRAY(Sintesi!$C$15),1,$C147)&gt;0),2,IF($E147=(INDEX(_xlfn.ANCHORARRAY(Sintesi!$C$16),1,$C147)),3,4)))),0)),IF(ISNUMBER($E146),IF($C147&gt;0,IF(($E147=INDEX(_xlfn.ANCHORARRAY(Sintesi!$C$14),1,$C147))*(INDEX(_xlfn.ANCHORARRAY(Sintesi!$C$15),1,$C147)&gt;0),0,IF(($E147=INDEX(_xlfn.ANCHORARRAY(Sintesi!$C$14),1,$C147))*(INDEX(_xlfn.ANCHORARRAY(Sintesi!$C$15),1,$C147)&lt;0)+($E147&gt;=$E146)*($E147&lt;=$E148)*($E147&gt;INDEX(_xlfn.ANCHORARRAY(Sintesi!$C$14),1,$C147))*($E147&lt;=INDEX(_xlfn.ANCHORARRAY(Sintesi!$C$15),1,$C147))*(INDEX(_xlfn.ANCHORARRAY(Sintesi!$C$15),1,$C147)&gt;0),1,IF(($E147&gt;=$E146)*($E147&lt;=$E148)*($E147&gt;INDEX(_xlfn.ANCHORARRAY(Sintesi!$C$14),1,$C147))*($E147&lt;INDEX(_xlfn.ANCHORARRAY(Sintesi!$C$16),1,$C147))*(INDEX(_xlfn.ANCHORARRAY(Sintesi!$C$15),1,$C147)&lt;0)+($E147&gt;=$E146)*($E147&lt;=$E148)*($E147&gt;INDEX(_xlfn.ANCHORARRAY(Sintesi!$C$15),1,$C147))*($E147&lt;INDEX(_xlfn.ANCHORARRAY(Sintesi!$C$16),1,$C147))*(INDEX(_xlfn.ANCHORARRAY(Sintesi!$C$15),1,$C147)&gt;0),2,IF($E147=(INDEX(_xlfn.ANCHORARRAY(Sintesi!$C$16),1,$C147)),3,4)))),0),IF($C147&gt;0,IF(($E147=INDEX(_xlfn.ANCHORARRAY(Sintesi!$C$14),1,$C147))*(INDEX(_xlfn.ANCHORARRAY(Sintesi!$C$15),1,$C147)&gt;0),0,IF(($E147=INDEX(_xlfn.ANCHORARRAY(Sintesi!$C$14),1,$C147))*(INDEX(_xlfn.ANCHORARRAY(Sintesi!$C$15),1,$C147)&lt;0)+($E147&gt;=LOOKUP(2,1/($E:$E&lt;&gt;""),$E:$E))*($E147&lt;=$E148)*($E147&gt;INDEX(_xlfn.ANCHORARRAY(Sintesi!$C$14),1,$C147))*($E147&lt;=INDEX(_xlfn.ANCHORARRAY(Sintesi!$C$15),1,$C147))*(INDEX(_xlfn.ANCHORARRAY(Sintesi!$C$15),1,$C147)&gt;0),1,IF(($E147&gt;=LOOKUP(2,1/($E:$E&lt;&gt;""),$E:$E))*($E147&lt;=$E148)*($E147&gt;INDEX(_xlfn.ANCHORARRAY(Sintesi!$C$14),1,$C147))*($E147&lt;INDEX(_xlfn.ANCHORARRAY(Sintesi!$C$16),1,$C147))*(INDEX(_xlfn.ANCHORARRAY(Sintesi!$C$15),1,$C147)&lt;0)+($E147&gt;=LOOKUP(2,1/($E:$E&lt;&gt;""),$E:$E))*($E147&lt;=$E148)*($E147&gt;INDEX(_xlfn.ANCHORARRAY(Sintesi!$C$15),1,$C147))*($E147&lt;INDEX(_xlfn.ANCHORARRAY(Sintesi!$C$16),1,$C147))*(INDEX(_xlfn.ANCHORARRAY(Sintesi!$C$15),1,$C147)&gt;0),2,IF($E147=(INDEX(_xlfn.ANCHORARRAY(Sintesi!$C$16),1,$C147)),3,4)))),0)))</f>
        <v>2</v>
      </c>
      <c r="E147" s="1">
        <f>'Paste cell here'!F147</f>
        <v>0.65</v>
      </c>
      <c r="F147" s="1">
        <f>'Paste cell here'!C147</f>
        <v>24.20267973</v>
      </c>
      <c r="G147" s="1">
        <f>'Paste cell here'!D147</f>
        <v>9.0332650730000008</v>
      </c>
      <c r="H147" s="1">
        <f>'Paste cell here'!E147</f>
        <v>4.7506182749999999</v>
      </c>
      <c r="I147" s="1">
        <f>'Paste cell here'!X147</f>
        <v>3.0877015989999999</v>
      </c>
      <c r="J147" s="1">
        <f>'Paste cell here'!Y147+'Paste cell here'!S147</f>
        <v>3.0877015989999999</v>
      </c>
      <c r="K147" s="1">
        <f t="shared" si="5"/>
        <v>0.64995784132961087</v>
      </c>
      <c r="L147" s="1">
        <f t="shared" si="4"/>
        <v>19.278695577515862</v>
      </c>
      <c r="M147" s="1" cm="1">
        <f t="array" ref="M147">IF(AND(A147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,A147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),IF(L147&lt;_xlfn.IFNA(INDEX(_xlfn.ANCHORARRAY(Sintesi!$C$17)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,1,IF(L147&gt;=_xlfn.IFNA(INDEX(_xlfn.ANCHORARRAY(Sintesi!$C$18)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,0,1-(L147-_xlfn.IFNA(INDEX(_xlfn.ANCHORARRAY(Sintesi!$C$17)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)/(_xlfn.IFNA(INDEX(_xlfn.ANCHORARRAY(Sintesi!$C$18)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-_xlfn.IFNA(INDEX(_xlfn.ANCHORARRAY(Sintesi!$C$17),1,MATCH(1,(_xlfn.ANCHORARRAY(Sintesi!$C$9)&gt;_xlfn.ANCHORARRAY(Sintesi!$C$10))*(A146&gt;=_xlfn.ANCHORARRAY(Sintesi!$C$9))+(_xlfn.ANCHORARRAY(Sintesi!$C$9)&gt;_xlfn.ANCHORARRAY(Sintesi!$C$10))*(A146&lt;=_xlfn.ANCHORARRAY(Sintesi!$C$10))+(_xlfn.ANCHORARRAY(Sintesi!$C$9)&lt;_xlfn.ANCHORARRAY(Sintesi!$C$10))*(A146&gt;=_xlfn.ANCHORARRAY(Sintesi!$C$9))*(A146&lt;=_xlfn.ANCHORARRAY(Sintesi!$C$10)),0)),0)))),0)</f>
        <v>0</v>
      </c>
    </row>
    <row r="148" spans="1:13">
      <c r="A148" s="1">
        <f>'Paste cell here'!A148</f>
        <v>147</v>
      </c>
      <c r="B148" s="2">
        <f>DATE(Sintesi!$C$4-1,12,31)+A148</f>
        <v>44343</v>
      </c>
      <c r="C148" s="34" cm="1">
        <f t="array" ref="C148">_xlfn.IFNA(MATCH(1,(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)*(_xlfn.ANCHORARRAY(Sintesi!$C$15)&gt;=0)+(_xlfn.ANCHORARRAY(Sintesi!$C$15)&lt;0),0),0)</f>
        <v>1</v>
      </c>
      <c r="D148" s="1" cm="1">
        <f t="array" ref="D148">IF(ISBLANK($E149),IF(ISNUMBER($E147),IF($C148&gt;0,IF(($E148=INDEX(_xlfn.ANCHORARRAY(Sintesi!$C$14),1,$C148))*(INDEX(_xlfn.ANCHORARRAY(Sintesi!$C$15),1,$C148)&gt;0),0,IF(($E148=INDEX(_xlfn.ANCHORARRAY(Sintesi!$C$14),1,$C148))*(INDEX(_xlfn.ANCHORARRAY(Sintesi!$C$15),1,$C148)&lt;0)+($E148&gt;=$E147)*($E148&lt;=INDEX($E:$E,MATCH(TRUE,INDEX((ISNUMBER($E:$E)),0),0)))*($E148&gt;INDEX(_xlfn.ANCHORARRAY(Sintesi!$C$14),1,$C148))*($E148&lt;=INDEX(_xlfn.ANCHORARRAY(Sintesi!$C$15),1,$C148))*(INDEX(_xlfn.ANCHORARRAY(Sintesi!$C$15),1,$C148)&gt;0),1,IF(($E148&gt;=$E147)*($E148&lt;=INDEX($E:$E,MATCH(TRUE,INDEX((ISNUMBER($E:$E)),0),0)))*($E148&gt;INDEX(_xlfn.ANCHORARRAY(Sintesi!$C$14),1,$C148))*($E148&lt;INDEX(_xlfn.ANCHORARRAY(Sintesi!$C$16),1,$C148))*(INDEX(_xlfn.ANCHORARRAY(Sintesi!$C$15),1,$C148)&lt;0)+($E148&gt;=$E147)*($E148&lt;=INDEX($E:$E,MATCH(TRUE,INDEX((ISNUMBER($E:$E)),0),0)))*($E148&gt;INDEX(_xlfn.ANCHORARRAY(Sintesi!$C$15),1,$C148))*($E148&lt;INDEX(_xlfn.ANCHORARRAY(Sintesi!$C$16),1,$C148))*(INDEX(_xlfn.ANCHORARRAY(Sintesi!$C$15),1,$C148)&gt;0),2,IF($E148=(INDEX(_xlfn.ANCHORARRAY(Sintesi!$C$16),1,$C148)),3,4)))),0),IF($C148&gt;0,IF(($E148=INDEX(_xlfn.ANCHORARRAY(Sintesi!$C$14),1,$C148))*(INDEX(_xlfn.ANCHORARRAY(Sintesi!$C$15),1,$C148)&gt;0),0,IF(($E148=INDEX(_xlfn.ANCHORARRAY(Sintesi!$C$14),1,$C148))*(INDEX(_xlfn.ANCHORARRAY(Sintesi!$C$15),1,$C148)&lt;0)+($E148&gt;=LOOKUP(2,1/($E:$E&lt;&gt;""),$E:$E))*($E148&lt;=INDEX($E:$E,MATCH(TRUE,INDEX((ISNUMBER($E:$E)),0),0)))*($E148&gt;INDEX(_xlfn.ANCHORARRAY(Sintesi!$C$14),1,$C148))*($E148&lt;=INDEX(_xlfn.ANCHORARRAY(Sintesi!$C$15),1,$C148))*(INDEX(_xlfn.ANCHORARRAY(Sintesi!$C$15),1,$C148)&gt;0),1,IF(($E148&gt;=LOOKUP(2,1/($E:$E&lt;&gt;""),$E:$E))*($E148&lt;=INDEX($E:$E,MATCH(TRUE,INDEX((ISNUMBER($E:$E)),0),0)))*($E148&gt;INDEX(_xlfn.ANCHORARRAY(Sintesi!$C$14),1,$C148))*($E148&lt;INDEX(_xlfn.ANCHORARRAY(Sintesi!$C$16),1,$C148))*(INDEX(_xlfn.ANCHORARRAY(Sintesi!$C$15),1,$C148)&lt;0)+($E148&gt;=LOOKUP(2,1/($E:$E&lt;&gt;""),$E:$E))*($E148&lt;=INDEX($E:$E,MATCH(TRUE,INDEX((ISNUMBER($E:$E)),0),0)))*($E148&gt;INDEX(_xlfn.ANCHORARRAY(Sintesi!$C$15),1,$C148))*($E148&lt;INDEX(_xlfn.ANCHORARRAY(Sintesi!$C$16),1,$C148))*(INDEX(_xlfn.ANCHORARRAY(Sintesi!$C$15),1,$C148)&gt;0),2,IF($E148=(INDEX(_xlfn.ANCHORARRAY(Sintesi!$C$16),1,$C148)),3,4)))),0)),IF(ISNUMBER($E147),IF($C148&gt;0,IF(($E148=INDEX(_xlfn.ANCHORARRAY(Sintesi!$C$14),1,$C148))*(INDEX(_xlfn.ANCHORARRAY(Sintesi!$C$15),1,$C148)&gt;0),0,IF(($E148=INDEX(_xlfn.ANCHORARRAY(Sintesi!$C$14),1,$C148))*(INDEX(_xlfn.ANCHORARRAY(Sintesi!$C$15),1,$C148)&lt;0)+($E148&gt;=$E147)*($E148&lt;=$E149)*($E148&gt;INDEX(_xlfn.ANCHORARRAY(Sintesi!$C$14),1,$C148))*($E148&lt;=INDEX(_xlfn.ANCHORARRAY(Sintesi!$C$15),1,$C148))*(INDEX(_xlfn.ANCHORARRAY(Sintesi!$C$15),1,$C148)&gt;0),1,IF(($E148&gt;=$E147)*($E148&lt;=$E149)*($E148&gt;INDEX(_xlfn.ANCHORARRAY(Sintesi!$C$14),1,$C148))*($E148&lt;INDEX(_xlfn.ANCHORARRAY(Sintesi!$C$16),1,$C148))*(INDEX(_xlfn.ANCHORARRAY(Sintesi!$C$15),1,$C148)&lt;0)+($E148&gt;=$E147)*($E148&lt;=$E149)*($E148&gt;INDEX(_xlfn.ANCHORARRAY(Sintesi!$C$15),1,$C148))*($E148&lt;INDEX(_xlfn.ANCHORARRAY(Sintesi!$C$16),1,$C148))*(INDEX(_xlfn.ANCHORARRAY(Sintesi!$C$15),1,$C148)&gt;0),2,IF($E148=(INDEX(_xlfn.ANCHORARRAY(Sintesi!$C$16),1,$C148)),3,4)))),0),IF($C148&gt;0,IF(($E148=INDEX(_xlfn.ANCHORARRAY(Sintesi!$C$14),1,$C148))*(INDEX(_xlfn.ANCHORARRAY(Sintesi!$C$15),1,$C148)&gt;0),0,IF(($E148=INDEX(_xlfn.ANCHORARRAY(Sintesi!$C$14),1,$C148))*(INDEX(_xlfn.ANCHORARRAY(Sintesi!$C$15),1,$C148)&lt;0)+($E148&gt;=LOOKUP(2,1/($E:$E&lt;&gt;""),$E:$E))*($E148&lt;=$E149)*($E148&gt;INDEX(_xlfn.ANCHORARRAY(Sintesi!$C$14),1,$C148))*($E148&lt;=INDEX(_xlfn.ANCHORARRAY(Sintesi!$C$15),1,$C148))*(INDEX(_xlfn.ANCHORARRAY(Sintesi!$C$15),1,$C148)&gt;0),1,IF(($E148&gt;=LOOKUP(2,1/($E:$E&lt;&gt;""),$E:$E))*($E148&lt;=$E149)*($E148&gt;INDEX(_xlfn.ANCHORARRAY(Sintesi!$C$14),1,$C148))*($E148&lt;INDEX(_xlfn.ANCHORARRAY(Sintesi!$C$16),1,$C148))*(INDEX(_xlfn.ANCHORARRAY(Sintesi!$C$15),1,$C148)&lt;0)+($E148&gt;=LOOKUP(2,1/($E:$E&lt;&gt;""),$E:$E))*($E148&lt;=$E149)*($E148&gt;INDEX(_xlfn.ANCHORARRAY(Sintesi!$C$15),1,$C148))*($E148&lt;INDEX(_xlfn.ANCHORARRAY(Sintesi!$C$16),1,$C148))*(INDEX(_xlfn.ANCHORARRAY(Sintesi!$C$15),1,$C148)&gt;0),2,IF($E148=(INDEX(_xlfn.ANCHORARRAY(Sintesi!$C$16),1,$C148)),3,4)))),0)))</f>
        <v>2</v>
      </c>
      <c r="E148" s="1">
        <f>'Paste cell here'!F148</f>
        <v>0.67100000000000004</v>
      </c>
      <c r="F148" s="1">
        <f>'Paste cell here'!C148</f>
        <v>26.910488669999999</v>
      </c>
      <c r="G148" s="1">
        <f>'Paste cell here'!D148</f>
        <v>10.15867954</v>
      </c>
      <c r="H148" s="1">
        <f>'Paste cell here'!E148</f>
        <v>5.0661972310000003</v>
      </c>
      <c r="I148" s="1">
        <f>'Paste cell here'!X148</f>
        <v>3.3991905149999999</v>
      </c>
      <c r="J148" s="1">
        <f>'Paste cell here'!Y148+'Paste cell here'!S148</f>
        <v>3.3991905149999999</v>
      </c>
      <c r="K148" s="1">
        <f t="shared" si="5"/>
        <v>0.67095502997798695</v>
      </c>
      <c r="L148" s="1">
        <f t="shared" si="4"/>
        <v>21.472860089948249</v>
      </c>
      <c r="M148" s="1" cm="1">
        <f t="array" ref="M148">IF(AND(A148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,A148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),IF(L148&lt;_xlfn.IFNA(INDEX(_xlfn.ANCHORARRAY(Sintesi!$C$17)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,1,IF(L148&gt;=_xlfn.IFNA(INDEX(_xlfn.ANCHORARRAY(Sintesi!$C$18)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,0,1-(L148-_xlfn.IFNA(INDEX(_xlfn.ANCHORARRAY(Sintesi!$C$17)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)/(_xlfn.IFNA(INDEX(_xlfn.ANCHORARRAY(Sintesi!$C$18)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-_xlfn.IFNA(INDEX(_xlfn.ANCHORARRAY(Sintesi!$C$17),1,MATCH(1,(_xlfn.ANCHORARRAY(Sintesi!$C$9)&gt;_xlfn.ANCHORARRAY(Sintesi!$C$10))*(A147&gt;=_xlfn.ANCHORARRAY(Sintesi!$C$9))+(_xlfn.ANCHORARRAY(Sintesi!$C$9)&gt;_xlfn.ANCHORARRAY(Sintesi!$C$10))*(A147&lt;=_xlfn.ANCHORARRAY(Sintesi!$C$10))+(_xlfn.ANCHORARRAY(Sintesi!$C$9)&lt;_xlfn.ANCHORARRAY(Sintesi!$C$10))*(A147&gt;=_xlfn.ANCHORARRAY(Sintesi!$C$9))*(A147&lt;=_xlfn.ANCHORARRAY(Sintesi!$C$10)),0)),0)))),0)</f>
        <v>0</v>
      </c>
    </row>
    <row r="149" spans="1:13">
      <c r="A149" s="1">
        <f>'Paste cell here'!A149</f>
        <v>148</v>
      </c>
      <c r="B149" s="2">
        <f>DATE(Sintesi!$C$4-1,12,31)+A149</f>
        <v>44344</v>
      </c>
      <c r="C149" s="34" cm="1">
        <f t="array" ref="C149">_xlfn.IFNA(MATCH(1,(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)*(_xlfn.ANCHORARRAY(Sintesi!$C$15)&gt;=0)+(_xlfn.ANCHORARRAY(Sintesi!$C$15)&lt;0),0),0)</f>
        <v>1</v>
      </c>
      <c r="D149" s="1" cm="1">
        <f t="array" ref="D149">IF(ISBLANK($E150),IF(ISNUMBER($E148),IF($C149&gt;0,IF(($E149=INDEX(_xlfn.ANCHORARRAY(Sintesi!$C$14),1,$C149))*(INDEX(_xlfn.ANCHORARRAY(Sintesi!$C$15),1,$C149)&gt;0),0,IF(($E149=INDEX(_xlfn.ANCHORARRAY(Sintesi!$C$14),1,$C149))*(INDEX(_xlfn.ANCHORARRAY(Sintesi!$C$15),1,$C149)&lt;0)+($E149&gt;=$E148)*($E149&lt;=INDEX($E:$E,MATCH(TRUE,INDEX((ISNUMBER($E:$E)),0),0)))*($E149&gt;INDEX(_xlfn.ANCHORARRAY(Sintesi!$C$14),1,$C149))*($E149&lt;=INDEX(_xlfn.ANCHORARRAY(Sintesi!$C$15),1,$C149))*(INDEX(_xlfn.ANCHORARRAY(Sintesi!$C$15),1,$C149)&gt;0),1,IF(($E149&gt;=$E148)*($E149&lt;=INDEX($E:$E,MATCH(TRUE,INDEX((ISNUMBER($E:$E)),0),0)))*($E149&gt;INDEX(_xlfn.ANCHORARRAY(Sintesi!$C$14),1,$C149))*($E149&lt;INDEX(_xlfn.ANCHORARRAY(Sintesi!$C$16),1,$C149))*(INDEX(_xlfn.ANCHORARRAY(Sintesi!$C$15),1,$C149)&lt;0)+($E149&gt;=$E148)*($E149&lt;=INDEX($E:$E,MATCH(TRUE,INDEX((ISNUMBER($E:$E)),0),0)))*($E149&gt;INDEX(_xlfn.ANCHORARRAY(Sintesi!$C$15),1,$C149))*($E149&lt;INDEX(_xlfn.ANCHORARRAY(Sintesi!$C$16),1,$C149))*(INDEX(_xlfn.ANCHORARRAY(Sintesi!$C$15),1,$C149)&gt;0),2,IF($E149=(INDEX(_xlfn.ANCHORARRAY(Sintesi!$C$16),1,$C149)),3,4)))),0),IF($C149&gt;0,IF(($E149=INDEX(_xlfn.ANCHORARRAY(Sintesi!$C$14),1,$C149))*(INDEX(_xlfn.ANCHORARRAY(Sintesi!$C$15),1,$C149)&gt;0),0,IF(($E149=INDEX(_xlfn.ANCHORARRAY(Sintesi!$C$14),1,$C149))*(INDEX(_xlfn.ANCHORARRAY(Sintesi!$C$15),1,$C149)&lt;0)+($E149&gt;=LOOKUP(2,1/($E:$E&lt;&gt;""),$E:$E))*($E149&lt;=INDEX($E:$E,MATCH(TRUE,INDEX((ISNUMBER($E:$E)),0),0)))*($E149&gt;INDEX(_xlfn.ANCHORARRAY(Sintesi!$C$14),1,$C149))*($E149&lt;=INDEX(_xlfn.ANCHORARRAY(Sintesi!$C$15),1,$C149))*(INDEX(_xlfn.ANCHORARRAY(Sintesi!$C$15),1,$C149)&gt;0),1,IF(($E149&gt;=LOOKUP(2,1/($E:$E&lt;&gt;""),$E:$E))*($E149&lt;=INDEX($E:$E,MATCH(TRUE,INDEX((ISNUMBER($E:$E)),0),0)))*($E149&gt;INDEX(_xlfn.ANCHORARRAY(Sintesi!$C$14),1,$C149))*($E149&lt;INDEX(_xlfn.ANCHORARRAY(Sintesi!$C$16),1,$C149))*(INDEX(_xlfn.ANCHORARRAY(Sintesi!$C$15),1,$C149)&lt;0)+($E149&gt;=LOOKUP(2,1/($E:$E&lt;&gt;""),$E:$E))*($E149&lt;=INDEX($E:$E,MATCH(TRUE,INDEX((ISNUMBER($E:$E)),0),0)))*($E149&gt;INDEX(_xlfn.ANCHORARRAY(Sintesi!$C$15),1,$C149))*($E149&lt;INDEX(_xlfn.ANCHORARRAY(Sintesi!$C$16),1,$C149))*(INDEX(_xlfn.ANCHORARRAY(Sintesi!$C$15),1,$C149)&gt;0),2,IF($E149=(INDEX(_xlfn.ANCHORARRAY(Sintesi!$C$16),1,$C149)),3,4)))),0)),IF(ISNUMBER($E148),IF($C149&gt;0,IF(($E149=INDEX(_xlfn.ANCHORARRAY(Sintesi!$C$14),1,$C149))*(INDEX(_xlfn.ANCHORARRAY(Sintesi!$C$15),1,$C149)&gt;0),0,IF(($E149=INDEX(_xlfn.ANCHORARRAY(Sintesi!$C$14),1,$C149))*(INDEX(_xlfn.ANCHORARRAY(Sintesi!$C$15),1,$C149)&lt;0)+($E149&gt;=$E148)*($E149&lt;=$E150)*($E149&gt;INDEX(_xlfn.ANCHORARRAY(Sintesi!$C$14),1,$C149))*($E149&lt;=INDEX(_xlfn.ANCHORARRAY(Sintesi!$C$15),1,$C149))*(INDEX(_xlfn.ANCHORARRAY(Sintesi!$C$15),1,$C149)&gt;0),1,IF(($E149&gt;=$E148)*($E149&lt;=$E150)*($E149&gt;INDEX(_xlfn.ANCHORARRAY(Sintesi!$C$14),1,$C149))*($E149&lt;INDEX(_xlfn.ANCHORARRAY(Sintesi!$C$16),1,$C149))*(INDEX(_xlfn.ANCHORARRAY(Sintesi!$C$15),1,$C149)&lt;0)+($E149&gt;=$E148)*($E149&lt;=$E150)*($E149&gt;INDEX(_xlfn.ANCHORARRAY(Sintesi!$C$15),1,$C149))*($E149&lt;INDEX(_xlfn.ANCHORARRAY(Sintesi!$C$16),1,$C149))*(INDEX(_xlfn.ANCHORARRAY(Sintesi!$C$15),1,$C149)&gt;0),2,IF($E149=(INDEX(_xlfn.ANCHORARRAY(Sintesi!$C$16),1,$C149)),3,4)))),0),IF($C149&gt;0,IF(($E149=INDEX(_xlfn.ANCHORARRAY(Sintesi!$C$14),1,$C149))*(INDEX(_xlfn.ANCHORARRAY(Sintesi!$C$15),1,$C149)&gt;0),0,IF(($E149=INDEX(_xlfn.ANCHORARRAY(Sintesi!$C$14),1,$C149))*(INDEX(_xlfn.ANCHORARRAY(Sintesi!$C$15),1,$C149)&lt;0)+($E149&gt;=LOOKUP(2,1/($E:$E&lt;&gt;""),$E:$E))*($E149&lt;=$E150)*($E149&gt;INDEX(_xlfn.ANCHORARRAY(Sintesi!$C$14),1,$C149))*($E149&lt;=INDEX(_xlfn.ANCHORARRAY(Sintesi!$C$15),1,$C149))*(INDEX(_xlfn.ANCHORARRAY(Sintesi!$C$15),1,$C149)&gt;0),1,IF(($E149&gt;=LOOKUP(2,1/($E:$E&lt;&gt;""),$E:$E))*($E149&lt;=$E150)*($E149&gt;INDEX(_xlfn.ANCHORARRAY(Sintesi!$C$14),1,$C149))*($E149&lt;INDEX(_xlfn.ANCHORARRAY(Sintesi!$C$16),1,$C149))*(INDEX(_xlfn.ANCHORARRAY(Sintesi!$C$15),1,$C149)&lt;0)+($E149&gt;=LOOKUP(2,1/($E:$E&lt;&gt;""),$E:$E))*($E149&lt;=$E150)*($E149&gt;INDEX(_xlfn.ANCHORARRAY(Sintesi!$C$15),1,$C149))*($E149&lt;INDEX(_xlfn.ANCHORARRAY(Sintesi!$C$16),1,$C149))*(INDEX(_xlfn.ANCHORARRAY(Sintesi!$C$15),1,$C149)&gt;0),2,IF($E149=(INDEX(_xlfn.ANCHORARRAY(Sintesi!$C$16),1,$C149)),3,4)))),0)))</f>
        <v>2</v>
      </c>
      <c r="E149" s="1">
        <f>'Paste cell here'!F149</f>
        <v>0.69199999999999995</v>
      </c>
      <c r="F149" s="1">
        <f>'Paste cell here'!C149</f>
        <v>27.059410830000001</v>
      </c>
      <c r="G149" s="1">
        <f>'Paste cell here'!D149</f>
        <v>11.45867954</v>
      </c>
      <c r="H149" s="1">
        <f>'Paste cell here'!E149</f>
        <v>5.097823666</v>
      </c>
      <c r="I149" s="1">
        <f>'Paste cell here'!X149</f>
        <v>3.5274499860000001</v>
      </c>
      <c r="J149" s="1">
        <f>'Paste cell here'!Y149+'Paste cell here'!S149</f>
        <v>3.5274499860000001</v>
      </c>
      <c r="K149" s="1">
        <f t="shared" si="5"/>
        <v>0.69195213822839197</v>
      </c>
      <c r="L149" s="1">
        <f t="shared" si="4"/>
        <v>21.995421521508415</v>
      </c>
      <c r="M149" s="1" cm="1">
        <f t="array" ref="M149">IF(AND(A149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,A149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),IF(L149&lt;_xlfn.IFNA(INDEX(_xlfn.ANCHORARRAY(Sintesi!$C$17)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,1,IF(L149&gt;=_xlfn.IFNA(INDEX(_xlfn.ANCHORARRAY(Sintesi!$C$18)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,0,1-(L149-_xlfn.IFNA(INDEX(_xlfn.ANCHORARRAY(Sintesi!$C$17)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)/(_xlfn.IFNA(INDEX(_xlfn.ANCHORARRAY(Sintesi!$C$18)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-_xlfn.IFNA(INDEX(_xlfn.ANCHORARRAY(Sintesi!$C$17),1,MATCH(1,(_xlfn.ANCHORARRAY(Sintesi!$C$9)&gt;_xlfn.ANCHORARRAY(Sintesi!$C$10))*(A148&gt;=_xlfn.ANCHORARRAY(Sintesi!$C$9))+(_xlfn.ANCHORARRAY(Sintesi!$C$9)&gt;_xlfn.ANCHORARRAY(Sintesi!$C$10))*(A148&lt;=_xlfn.ANCHORARRAY(Sintesi!$C$10))+(_xlfn.ANCHORARRAY(Sintesi!$C$9)&lt;_xlfn.ANCHORARRAY(Sintesi!$C$10))*(A148&gt;=_xlfn.ANCHORARRAY(Sintesi!$C$9))*(A148&lt;=_xlfn.ANCHORARRAY(Sintesi!$C$10)),0)),0)))),0)</f>
        <v>0</v>
      </c>
    </row>
    <row r="150" spans="1:13">
      <c r="A150" s="1">
        <f>'Paste cell here'!A150</f>
        <v>149</v>
      </c>
      <c r="B150" s="2">
        <f>DATE(Sintesi!$C$4-1,12,31)+A150</f>
        <v>44345</v>
      </c>
      <c r="C150" s="34" cm="1">
        <f t="array" ref="C150">_xlfn.IFNA(MATCH(1,(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)*(_xlfn.ANCHORARRAY(Sintesi!$C$15)&gt;=0)+(_xlfn.ANCHORARRAY(Sintesi!$C$15)&lt;0),0),0)</f>
        <v>1</v>
      </c>
      <c r="D150" s="1" cm="1">
        <f t="array" ref="D150">IF(ISBLANK($E151),IF(ISNUMBER($E149),IF($C150&gt;0,IF(($E150=INDEX(_xlfn.ANCHORARRAY(Sintesi!$C$14),1,$C150))*(INDEX(_xlfn.ANCHORARRAY(Sintesi!$C$15),1,$C150)&gt;0),0,IF(($E150=INDEX(_xlfn.ANCHORARRAY(Sintesi!$C$14),1,$C150))*(INDEX(_xlfn.ANCHORARRAY(Sintesi!$C$15),1,$C150)&lt;0)+($E150&gt;=$E149)*($E150&lt;=INDEX($E:$E,MATCH(TRUE,INDEX((ISNUMBER($E:$E)),0),0)))*($E150&gt;INDEX(_xlfn.ANCHORARRAY(Sintesi!$C$14),1,$C150))*($E150&lt;=INDEX(_xlfn.ANCHORARRAY(Sintesi!$C$15),1,$C150))*(INDEX(_xlfn.ANCHORARRAY(Sintesi!$C$15),1,$C150)&gt;0),1,IF(($E150&gt;=$E149)*($E150&lt;=INDEX($E:$E,MATCH(TRUE,INDEX((ISNUMBER($E:$E)),0),0)))*($E150&gt;INDEX(_xlfn.ANCHORARRAY(Sintesi!$C$14),1,$C150))*($E150&lt;INDEX(_xlfn.ANCHORARRAY(Sintesi!$C$16),1,$C150))*(INDEX(_xlfn.ANCHORARRAY(Sintesi!$C$15),1,$C150)&lt;0)+($E150&gt;=$E149)*($E150&lt;=INDEX($E:$E,MATCH(TRUE,INDEX((ISNUMBER($E:$E)),0),0)))*($E150&gt;INDEX(_xlfn.ANCHORARRAY(Sintesi!$C$15),1,$C150))*($E150&lt;INDEX(_xlfn.ANCHORARRAY(Sintesi!$C$16),1,$C150))*(INDEX(_xlfn.ANCHORARRAY(Sintesi!$C$15),1,$C150)&gt;0),2,IF($E150=(INDEX(_xlfn.ANCHORARRAY(Sintesi!$C$16),1,$C150)),3,4)))),0),IF($C150&gt;0,IF(($E150=INDEX(_xlfn.ANCHORARRAY(Sintesi!$C$14),1,$C150))*(INDEX(_xlfn.ANCHORARRAY(Sintesi!$C$15),1,$C150)&gt;0),0,IF(($E150=INDEX(_xlfn.ANCHORARRAY(Sintesi!$C$14),1,$C150))*(INDEX(_xlfn.ANCHORARRAY(Sintesi!$C$15),1,$C150)&lt;0)+($E150&gt;=LOOKUP(2,1/($E:$E&lt;&gt;""),$E:$E))*($E150&lt;=INDEX($E:$E,MATCH(TRUE,INDEX((ISNUMBER($E:$E)),0),0)))*($E150&gt;INDEX(_xlfn.ANCHORARRAY(Sintesi!$C$14),1,$C150))*($E150&lt;=INDEX(_xlfn.ANCHORARRAY(Sintesi!$C$15),1,$C150))*(INDEX(_xlfn.ANCHORARRAY(Sintesi!$C$15),1,$C150)&gt;0),1,IF(($E150&gt;=LOOKUP(2,1/($E:$E&lt;&gt;""),$E:$E))*($E150&lt;=INDEX($E:$E,MATCH(TRUE,INDEX((ISNUMBER($E:$E)),0),0)))*($E150&gt;INDEX(_xlfn.ANCHORARRAY(Sintesi!$C$14),1,$C150))*($E150&lt;INDEX(_xlfn.ANCHORARRAY(Sintesi!$C$16),1,$C150))*(INDEX(_xlfn.ANCHORARRAY(Sintesi!$C$15),1,$C150)&lt;0)+($E150&gt;=LOOKUP(2,1/($E:$E&lt;&gt;""),$E:$E))*($E150&lt;=INDEX($E:$E,MATCH(TRUE,INDEX((ISNUMBER($E:$E)),0),0)))*($E150&gt;INDEX(_xlfn.ANCHORARRAY(Sintesi!$C$15),1,$C150))*($E150&lt;INDEX(_xlfn.ANCHORARRAY(Sintesi!$C$16),1,$C150))*(INDEX(_xlfn.ANCHORARRAY(Sintesi!$C$15),1,$C150)&gt;0),2,IF($E150=(INDEX(_xlfn.ANCHORARRAY(Sintesi!$C$16),1,$C150)),3,4)))),0)),IF(ISNUMBER($E149),IF($C150&gt;0,IF(($E150=INDEX(_xlfn.ANCHORARRAY(Sintesi!$C$14),1,$C150))*(INDEX(_xlfn.ANCHORARRAY(Sintesi!$C$15),1,$C150)&gt;0),0,IF(($E150=INDEX(_xlfn.ANCHORARRAY(Sintesi!$C$14),1,$C150))*(INDEX(_xlfn.ANCHORARRAY(Sintesi!$C$15),1,$C150)&lt;0)+($E150&gt;=$E149)*($E150&lt;=$E151)*($E150&gt;INDEX(_xlfn.ANCHORARRAY(Sintesi!$C$14),1,$C150))*($E150&lt;=INDEX(_xlfn.ANCHORARRAY(Sintesi!$C$15),1,$C150))*(INDEX(_xlfn.ANCHORARRAY(Sintesi!$C$15),1,$C150)&gt;0),1,IF(($E150&gt;=$E149)*($E150&lt;=$E151)*($E150&gt;INDEX(_xlfn.ANCHORARRAY(Sintesi!$C$14),1,$C150))*($E150&lt;INDEX(_xlfn.ANCHORARRAY(Sintesi!$C$16),1,$C150))*(INDEX(_xlfn.ANCHORARRAY(Sintesi!$C$15),1,$C150)&lt;0)+($E150&gt;=$E149)*($E150&lt;=$E151)*($E150&gt;INDEX(_xlfn.ANCHORARRAY(Sintesi!$C$15),1,$C150))*($E150&lt;INDEX(_xlfn.ANCHORARRAY(Sintesi!$C$16),1,$C150))*(INDEX(_xlfn.ANCHORARRAY(Sintesi!$C$15),1,$C150)&gt;0),2,IF($E150=(INDEX(_xlfn.ANCHORARRAY(Sintesi!$C$16),1,$C150)),3,4)))),0),IF($C150&gt;0,IF(($E150=INDEX(_xlfn.ANCHORARRAY(Sintesi!$C$14),1,$C150))*(INDEX(_xlfn.ANCHORARRAY(Sintesi!$C$15),1,$C150)&gt;0),0,IF(($E150=INDEX(_xlfn.ANCHORARRAY(Sintesi!$C$14),1,$C150))*(INDEX(_xlfn.ANCHORARRAY(Sintesi!$C$15),1,$C150)&lt;0)+($E150&gt;=LOOKUP(2,1/($E:$E&lt;&gt;""),$E:$E))*($E150&lt;=$E151)*($E150&gt;INDEX(_xlfn.ANCHORARRAY(Sintesi!$C$14),1,$C150))*($E150&lt;=INDEX(_xlfn.ANCHORARRAY(Sintesi!$C$15),1,$C150))*(INDEX(_xlfn.ANCHORARRAY(Sintesi!$C$15),1,$C150)&gt;0),1,IF(($E150&gt;=LOOKUP(2,1/($E:$E&lt;&gt;""),$E:$E))*($E150&lt;=$E151)*($E150&gt;INDEX(_xlfn.ANCHORARRAY(Sintesi!$C$14),1,$C150))*($E150&lt;INDEX(_xlfn.ANCHORARRAY(Sintesi!$C$16),1,$C150))*(INDEX(_xlfn.ANCHORARRAY(Sintesi!$C$15),1,$C150)&lt;0)+($E150&gt;=LOOKUP(2,1/($E:$E&lt;&gt;""),$E:$E))*($E150&lt;=$E151)*($E150&gt;INDEX(_xlfn.ANCHORARRAY(Sintesi!$C$15),1,$C150))*($E150&lt;INDEX(_xlfn.ANCHORARRAY(Sintesi!$C$16),1,$C150))*(INDEX(_xlfn.ANCHORARRAY(Sintesi!$C$15),1,$C150)&gt;0),2,IF($E150=(INDEX(_xlfn.ANCHORARRAY(Sintesi!$C$16),1,$C150)),3,4)))),0)))</f>
        <v>2</v>
      </c>
      <c r="E150" s="1">
        <f>'Paste cell here'!F150</f>
        <v>0.71299999999999997</v>
      </c>
      <c r="F150" s="1">
        <f>'Paste cell here'!C150</f>
        <v>27.977265259999999</v>
      </c>
      <c r="G150" s="1">
        <f>'Paste cell here'!D150</f>
        <v>13.25599981</v>
      </c>
      <c r="H150" s="1">
        <f>'Paste cell here'!E150</f>
        <v>5.1341111469999996</v>
      </c>
      <c r="I150" s="1">
        <f>'Paste cell here'!X150</f>
        <v>3.6603602899999998</v>
      </c>
      <c r="J150" s="1">
        <f>'Paste cell here'!Y150+'Paste cell here'!S150</f>
        <v>3.6603602899999998</v>
      </c>
      <c r="K150" s="1">
        <f t="shared" si="5"/>
        <v>0.71294917176439543</v>
      </c>
      <c r="L150" s="1">
        <f t="shared" si="4"/>
        <v>23.19875010833838</v>
      </c>
      <c r="M150" s="1" cm="1">
        <f t="array" ref="M150">IF(AND(A150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,A150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),IF(L150&lt;_xlfn.IFNA(INDEX(_xlfn.ANCHORARRAY(Sintesi!$C$17)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,1,IF(L150&gt;=_xlfn.IFNA(INDEX(_xlfn.ANCHORARRAY(Sintesi!$C$18)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,0,1-(L150-_xlfn.IFNA(INDEX(_xlfn.ANCHORARRAY(Sintesi!$C$17)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)/(_xlfn.IFNA(INDEX(_xlfn.ANCHORARRAY(Sintesi!$C$18)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-_xlfn.IFNA(INDEX(_xlfn.ANCHORARRAY(Sintesi!$C$17),1,MATCH(1,(_xlfn.ANCHORARRAY(Sintesi!$C$9)&gt;_xlfn.ANCHORARRAY(Sintesi!$C$10))*(A149&gt;=_xlfn.ANCHORARRAY(Sintesi!$C$9))+(_xlfn.ANCHORARRAY(Sintesi!$C$9)&gt;_xlfn.ANCHORARRAY(Sintesi!$C$10))*(A149&lt;=_xlfn.ANCHORARRAY(Sintesi!$C$10))+(_xlfn.ANCHORARRAY(Sintesi!$C$9)&lt;_xlfn.ANCHORARRAY(Sintesi!$C$10))*(A149&gt;=_xlfn.ANCHORARRAY(Sintesi!$C$9))*(A149&lt;=_xlfn.ANCHORARRAY(Sintesi!$C$10)),0)),0)))),0)</f>
        <v>0</v>
      </c>
    </row>
    <row r="151" spans="1:13">
      <c r="A151" s="1">
        <f>'Paste cell here'!A151</f>
        <v>150</v>
      </c>
      <c r="B151" s="2">
        <f>DATE(Sintesi!$C$4-1,12,31)+A151</f>
        <v>44346</v>
      </c>
      <c r="C151" s="34" cm="1">
        <f t="array" ref="C151">_xlfn.IFNA(MATCH(1,(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)*(_xlfn.ANCHORARRAY(Sintesi!$C$15)&gt;=0)+(_xlfn.ANCHORARRAY(Sintesi!$C$15)&lt;0),0),0)</f>
        <v>1</v>
      </c>
      <c r="D151" s="1" cm="1">
        <f t="array" ref="D151">IF(ISBLANK($E152),IF(ISNUMBER($E150),IF($C151&gt;0,IF(($E151=INDEX(_xlfn.ANCHORARRAY(Sintesi!$C$14),1,$C151))*(INDEX(_xlfn.ANCHORARRAY(Sintesi!$C$15),1,$C151)&gt;0),0,IF(($E151=INDEX(_xlfn.ANCHORARRAY(Sintesi!$C$14),1,$C151))*(INDEX(_xlfn.ANCHORARRAY(Sintesi!$C$15),1,$C151)&lt;0)+($E151&gt;=$E150)*($E151&lt;=INDEX($E:$E,MATCH(TRUE,INDEX((ISNUMBER($E:$E)),0),0)))*($E151&gt;INDEX(_xlfn.ANCHORARRAY(Sintesi!$C$14),1,$C151))*($E151&lt;=INDEX(_xlfn.ANCHORARRAY(Sintesi!$C$15),1,$C151))*(INDEX(_xlfn.ANCHORARRAY(Sintesi!$C$15),1,$C151)&gt;0),1,IF(($E151&gt;=$E150)*($E151&lt;=INDEX($E:$E,MATCH(TRUE,INDEX((ISNUMBER($E:$E)),0),0)))*($E151&gt;INDEX(_xlfn.ANCHORARRAY(Sintesi!$C$14),1,$C151))*($E151&lt;INDEX(_xlfn.ANCHORARRAY(Sintesi!$C$16),1,$C151))*(INDEX(_xlfn.ANCHORARRAY(Sintesi!$C$15),1,$C151)&lt;0)+($E151&gt;=$E150)*($E151&lt;=INDEX($E:$E,MATCH(TRUE,INDEX((ISNUMBER($E:$E)),0),0)))*($E151&gt;INDEX(_xlfn.ANCHORARRAY(Sintesi!$C$15),1,$C151))*($E151&lt;INDEX(_xlfn.ANCHORARRAY(Sintesi!$C$16),1,$C151))*(INDEX(_xlfn.ANCHORARRAY(Sintesi!$C$15),1,$C151)&gt;0),2,IF($E151=(INDEX(_xlfn.ANCHORARRAY(Sintesi!$C$16),1,$C151)),3,4)))),0),IF($C151&gt;0,IF(($E151=INDEX(_xlfn.ANCHORARRAY(Sintesi!$C$14),1,$C151))*(INDEX(_xlfn.ANCHORARRAY(Sintesi!$C$15),1,$C151)&gt;0),0,IF(($E151=INDEX(_xlfn.ANCHORARRAY(Sintesi!$C$14),1,$C151))*(INDEX(_xlfn.ANCHORARRAY(Sintesi!$C$15),1,$C151)&lt;0)+($E151&gt;=LOOKUP(2,1/($E:$E&lt;&gt;""),$E:$E))*($E151&lt;=INDEX($E:$E,MATCH(TRUE,INDEX((ISNUMBER($E:$E)),0),0)))*($E151&gt;INDEX(_xlfn.ANCHORARRAY(Sintesi!$C$14),1,$C151))*($E151&lt;=INDEX(_xlfn.ANCHORARRAY(Sintesi!$C$15),1,$C151))*(INDEX(_xlfn.ANCHORARRAY(Sintesi!$C$15),1,$C151)&gt;0),1,IF(($E151&gt;=LOOKUP(2,1/($E:$E&lt;&gt;""),$E:$E))*($E151&lt;=INDEX($E:$E,MATCH(TRUE,INDEX((ISNUMBER($E:$E)),0),0)))*($E151&gt;INDEX(_xlfn.ANCHORARRAY(Sintesi!$C$14),1,$C151))*($E151&lt;INDEX(_xlfn.ANCHORARRAY(Sintesi!$C$16),1,$C151))*(INDEX(_xlfn.ANCHORARRAY(Sintesi!$C$15),1,$C151)&lt;0)+($E151&gt;=LOOKUP(2,1/($E:$E&lt;&gt;""),$E:$E))*($E151&lt;=INDEX($E:$E,MATCH(TRUE,INDEX((ISNUMBER($E:$E)),0),0)))*($E151&gt;INDEX(_xlfn.ANCHORARRAY(Sintesi!$C$15),1,$C151))*($E151&lt;INDEX(_xlfn.ANCHORARRAY(Sintesi!$C$16),1,$C151))*(INDEX(_xlfn.ANCHORARRAY(Sintesi!$C$15),1,$C151)&gt;0),2,IF($E151=(INDEX(_xlfn.ANCHORARRAY(Sintesi!$C$16),1,$C151)),3,4)))),0)),IF(ISNUMBER($E150),IF($C151&gt;0,IF(($E151=INDEX(_xlfn.ANCHORARRAY(Sintesi!$C$14),1,$C151))*(INDEX(_xlfn.ANCHORARRAY(Sintesi!$C$15),1,$C151)&gt;0),0,IF(($E151=INDEX(_xlfn.ANCHORARRAY(Sintesi!$C$14),1,$C151))*(INDEX(_xlfn.ANCHORARRAY(Sintesi!$C$15),1,$C151)&lt;0)+($E151&gt;=$E150)*($E151&lt;=$E152)*($E151&gt;INDEX(_xlfn.ANCHORARRAY(Sintesi!$C$14),1,$C151))*($E151&lt;=INDEX(_xlfn.ANCHORARRAY(Sintesi!$C$15),1,$C151))*(INDEX(_xlfn.ANCHORARRAY(Sintesi!$C$15),1,$C151)&gt;0),1,IF(($E151&gt;=$E150)*($E151&lt;=$E152)*($E151&gt;INDEX(_xlfn.ANCHORARRAY(Sintesi!$C$14),1,$C151))*($E151&lt;INDEX(_xlfn.ANCHORARRAY(Sintesi!$C$16),1,$C151))*(INDEX(_xlfn.ANCHORARRAY(Sintesi!$C$15),1,$C151)&lt;0)+($E151&gt;=$E150)*($E151&lt;=$E152)*($E151&gt;INDEX(_xlfn.ANCHORARRAY(Sintesi!$C$15),1,$C151))*($E151&lt;INDEX(_xlfn.ANCHORARRAY(Sintesi!$C$16),1,$C151))*(INDEX(_xlfn.ANCHORARRAY(Sintesi!$C$15),1,$C151)&gt;0),2,IF($E151=(INDEX(_xlfn.ANCHORARRAY(Sintesi!$C$16),1,$C151)),3,4)))),0),IF($C151&gt;0,IF(($E151=INDEX(_xlfn.ANCHORARRAY(Sintesi!$C$14),1,$C151))*(INDEX(_xlfn.ANCHORARRAY(Sintesi!$C$15),1,$C151)&gt;0),0,IF(($E151=INDEX(_xlfn.ANCHORARRAY(Sintesi!$C$14),1,$C151))*(INDEX(_xlfn.ANCHORARRAY(Sintesi!$C$15),1,$C151)&lt;0)+($E151&gt;=LOOKUP(2,1/($E:$E&lt;&gt;""),$E:$E))*($E151&lt;=$E152)*($E151&gt;INDEX(_xlfn.ANCHORARRAY(Sintesi!$C$14),1,$C151))*($E151&lt;=INDEX(_xlfn.ANCHORARRAY(Sintesi!$C$15),1,$C151))*(INDEX(_xlfn.ANCHORARRAY(Sintesi!$C$15),1,$C151)&gt;0),1,IF(($E151&gt;=LOOKUP(2,1/($E:$E&lt;&gt;""),$E:$E))*($E151&lt;=$E152)*($E151&gt;INDEX(_xlfn.ANCHORARRAY(Sintesi!$C$14),1,$C151))*($E151&lt;INDEX(_xlfn.ANCHORARRAY(Sintesi!$C$16),1,$C151))*(INDEX(_xlfn.ANCHORARRAY(Sintesi!$C$15),1,$C151)&lt;0)+($E151&gt;=LOOKUP(2,1/($E:$E&lt;&gt;""),$E:$E))*($E151&lt;=$E152)*($E151&gt;INDEX(_xlfn.ANCHORARRAY(Sintesi!$C$15),1,$C151))*($E151&lt;INDEX(_xlfn.ANCHORARRAY(Sintesi!$C$16),1,$C151))*(INDEX(_xlfn.ANCHORARRAY(Sintesi!$C$15),1,$C151)&gt;0),2,IF($E151=(INDEX(_xlfn.ANCHORARRAY(Sintesi!$C$16),1,$C151)),3,4)))),0)))</f>
        <v>2</v>
      </c>
      <c r="E151" s="1">
        <f>'Paste cell here'!F151</f>
        <v>0.73399999999999999</v>
      </c>
      <c r="F151" s="1">
        <f>'Paste cell here'!C151</f>
        <v>25.731148900000001</v>
      </c>
      <c r="G151" s="1">
        <f>'Paste cell here'!D151</f>
        <v>13.85071907</v>
      </c>
      <c r="H151" s="1">
        <f>'Paste cell here'!E151</f>
        <v>5.4872975220000004</v>
      </c>
      <c r="I151" s="1">
        <f>'Paste cell here'!X151</f>
        <v>4.0273808149999999</v>
      </c>
      <c r="J151" s="1">
        <f>'Paste cell here'!Y151+'Paste cell here'!S151</f>
        <v>4.0273808149999999</v>
      </c>
      <c r="K151" s="1">
        <f t="shared" si="5"/>
        <v>0.73394613629991534</v>
      </c>
      <c r="L151" s="1">
        <f t="shared" si="4"/>
        <v>21.874767521393203</v>
      </c>
      <c r="M151" s="1" cm="1">
        <f t="array" ref="M151">IF(AND(A151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,A151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),IF(L151&lt;_xlfn.IFNA(INDEX(_xlfn.ANCHORARRAY(Sintesi!$C$17)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,1,IF(L151&gt;=_xlfn.IFNA(INDEX(_xlfn.ANCHORARRAY(Sintesi!$C$18)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,0,1-(L151-_xlfn.IFNA(INDEX(_xlfn.ANCHORARRAY(Sintesi!$C$17)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)/(_xlfn.IFNA(INDEX(_xlfn.ANCHORARRAY(Sintesi!$C$18)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-_xlfn.IFNA(INDEX(_xlfn.ANCHORARRAY(Sintesi!$C$17),1,MATCH(1,(_xlfn.ANCHORARRAY(Sintesi!$C$9)&gt;_xlfn.ANCHORARRAY(Sintesi!$C$10))*(A150&gt;=_xlfn.ANCHORARRAY(Sintesi!$C$9))+(_xlfn.ANCHORARRAY(Sintesi!$C$9)&gt;_xlfn.ANCHORARRAY(Sintesi!$C$10))*(A150&lt;=_xlfn.ANCHORARRAY(Sintesi!$C$10))+(_xlfn.ANCHORARRAY(Sintesi!$C$9)&lt;_xlfn.ANCHORARRAY(Sintesi!$C$10))*(A150&gt;=_xlfn.ANCHORARRAY(Sintesi!$C$9))*(A150&lt;=_xlfn.ANCHORARRAY(Sintesi!$C$10)),0)),0)))),0)</f>
        <v>0</v>
      </c>
    </row>
    <row r="152" spans="1:13">
      <c r="A152" s="1">
        <f>'Paste cell here'!A152</f>
        <v>151</v>
      </c>
      <c r="B152" s="2">
        <f>DATE(Sintesi!$C$4-1,12,31)+A152</f>
        <v>44347</v>
      </c>
      <c r="C152" s="34" cm="1">
        <f t="array" ref="C152">_xlfn.IFNA(MATCH(1,(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)*(_xlfn.ANCHORARRAY(Sintesi!$C$15)&gt;=0)+(_xlfn.ANCHORARRAY(Sintesi!$C$15)&lt;0),0),0)</f>
        <v>1</v>
      </c>
      <c r="D152" s="1" cm="1">
        <f t="array" ref="D152">IF(ISBLANK($E153),IF(ISNUMBER($E151),IF($C152&gt;0,IF(($E152=INDEX(_xlfn.ANCHORARRAY(Sintesi!$C$14),1,$C152))*(INDEX(_xlfn.ANCHORARRAY(Sintesi!$C$15),1,$C152)&gt;0),0,IF(($E152=INDEX(_xlfn.ANCHORARRAY(Sintesi!$C$14),1,$C152))*(INDEX(_xlfn.ANCHORARRAY(Sintesi!$C$15),1,$C152)&lt;0)+($E152&gt;=$E151)*($E152&lt;=INDEX($E:$E,MATCH(TRUE,INDEX((ISNUMBER($E:$E)),0),0)))*($E152&gt;INDEX(_xlfn.ANCHORARRAY(Sintesi!$C$14),1,$C152))*($E152&lt;=INDEX(_xlfn.ANCHORARRAY(Sintesi!$C$15),1,$C152))*(INDEX(_xlfn.ANCHORARRAY(Sintesi!$C$15),1,$C152)&gt;0),1,IF(($E152&gt;=$E151)*($E152&lt;=INDEX($E:$E,MATCH(TRUE,INDEX((ISNUMBER($E:$E)),0),0)))*($E152&gt;INDEX(_xlfn.ANCHORARRAY(Sintesi!$C$14),1,$C152))*($E152&lt;INDEX(_xlfn.ANCHORARRAY(Sintesi!$C$16),1,$C152))*(INDEX(_xlfn.ANCHORARRAY(Sintesi!$C$15),1,$C152)&lt;0)+($E152&gt;=$E151)*($E152&lt;=INDEX($E:$E,MATCH(TRUE,INDEX((ISNUMBER($E:$E)),0),0)))*($E152&gt;INDEX(_xlfn.ANCHORARRAY(Sintesi!$C$15),1,$C152))*($E152&lt;INDEX(_xlfn.ANCHORARRAY(Sintesi!$C$16),1,$C152))*(INDEX(_xlfn.ANCHORARRAY(Sintesi!$C$15),1,$C152)&gt;0),2,IF($E152=(INDEX(_xlfn.ANCHORARRAY(Sintesi!$C$16),1,$C152)),3,4)))),0),IF($C152&gt;0,IF(($E152=INDEX(_xlfn.ANCHORARRAY(Sintesi!$C$14),1,$C152))*(INDEX(_xlfn.ANCHORARRAY(Sintesi!$C$15),1,$C152)&gt;0),0,IF(($E152=INDEX(_xlfn.ANCHORARRAY(Sintesi!$C$14),1,$C152))*(INDEX(_xlfn.ANCHORARRAY(Sintesi!$C$15),1,$C152)&lt;0)+($E152&gt;=LOOKUP(2,1/($E:$E&lt;&gt;""),$E:$E))*($E152&lt;=INDEX($E:$E,MATCH(TRUE,INDEX((ISNUMBER($E:$E)),0),0)))*($E152&gt;INDEX(_xlfn.ANCHORARRAY(Sintesi!$C$14),1,$C152))*($E152&lt;=INDEX(_xlfn.ANCHORARRAY(Sintesi!$C$15),1,$C152))*(INDEX(_xlfn.ANCHORARRAY(Sintesi!$C$15),1,$C152)&gt;0),1,IF(($E152&gt;=LOOKUP(2,1/($E:$E&lt;&gt;""),$E:$E))*($E152&lt;=INDEX($E:$E,MATCH(TRUE,INDEX((ISNUMBER($E:$E)),0),0)))*($E152&gt;INDEX(_xlfn.ANCHORARRAY(Sintesi!$C$14),1,$C152))*($E152&lt;INDEX(_xlfn.ANCHORARRAY(Sintesi!$C$16),1,$C152))*(INDEX(_xlfn.ANCHORARRAY(Sintesi!$C$15),1,$C152)&lt;0)+($E152&gt;=LOOKUP(2,1/($E:$E&lt;&gt;""),$E:$E))*($E152&lt;=INDEX($E:$E,MATCH(TRUE,INDEX((ISNUMBER($E:$E)),0),0)))*($E152&gt;INDEX(_xlfn.ANCHORARRAY(Sintesi!$C$15),1,$C152))*($E152&lt;INDEX(_xlfn.ANCHORARRAY(Sintesi!$C$16),1,$C152))*(INDEX(_xlfn.ANCHORARRAY(Sintesi!$C$15),1,$C152)&gt;0),2,IF($E152=(INDEX(_xlfn.ANCHORARRAY(Sintesi!$C$16),1,$C152)),3,4)))),0)),IF(ISNUMBER($E151),IF($C152&gt;0,IF(($E152=INDEX(_xlfn.ANCHORARRAY(Sintesi!$C$14),1,$C152))*(INDEX(_xlfn.ANCHORARRAY(Sintesi!$C$15),1,$C152)&gt;0),0,IF(($E152=INDEX(_xlfn.ANCHORARRAY(Sintesi!$C$14),1,$C152))*(INDEX(_xlfn.ANCHORARRAY(Sintesi!$C$15),1,$C152)&lt;0)+($E152&gt;=$E151)*($E152&lt;=$E153)*($E152&gt;INDEX(_xlfn.ANCHORARRAY(Sintesi!$C$14),1,$C152))*($E152&lt;=INDEX(_xlfn.ANCHORARRAY(Sintesi!$C$15),1,$C152))*(INDEX(_xlfn.ANCHORARRAY(Sintesi!$C$15),1,$C152)&gt;0),1,IF(($E152&gt;=$E151)*($E152&lt;=$E153)*($E152&gt;INDEX(_xlfn.ANCHORARRAY(Sintesi!$C$14),1,$C152))*($E152&lt;INDEX(_xlfn.ANCHORARRAY(Sintesi!$C$16),1,$C152))*(INDEX(_xlfn.ANCHORARRAY(Sintesi!$C$15),1,$C152)&lt;0)+($E152&gt;=$E151)*($E152&lt;=$E153)*($E152&gt;INDEX(_xlfn.ANCHORARRAY(Sintesi!$C$15),1,$C152))*($E152&lt;INDEX(_xlfn.ANCHORARRAY(Sintesi!$C$16),1,$C152))*(INDEX(_xlfn.ANCHORARRAY(Sintesi!$C$15),1,$C152)&gt;0),2,IF($E152=(INDEX(_xlfn.ANCHORARRAY(Sintesi!$C$16),1,$C152)),3,4)))),0),IF($C152&gt;0,IF(($E152=INDEX(_xlfn.ANCHORARRAY(Sintesi!$C$14),1,$C152))*(INDEX(_xlfn.ANCHORARRAY(Sintesi!$C$15),1,$C152)&gt;0),0,IF(($E152=INDEX(_xlfn.ANCHORARRAY(Sintesi!$C$14),1,$C152))*(INDEX(_xlfn.ANCHORARRAY(Sintesi!$C$15),1,$C152)&lt;0)+($E152&gt;=LOOKUP(2,1/($E:$E&lt;&gt;""),$E:$E))*($E152&lt;=$E153)*($E152&gt;INDEX(_xlfn.ANCHORARRAY(Sintesi!$C$14),1,$C152))*($E152&lt;=INDEX(_xlfn.ANCHORARRAY(Sintesi!$C$15),1,$C152))*(INDEX(_xlfn.ANCHORARRAY(Sintesi!$C$15),1,$C152)&gt;0),1,IF(($E152&gt;=LOOKUP(2,1/($E:$E&lt;&gt;""),$E:$E))*($E152&lt;=$E153)*($E152&gt;INDEX(_xlfn.ANCHORARRAY(Sintesi!$C$14),1,$C152))*($E152&lt;INDEX(_xlfn.ANCHORARRAY(Sintesi!$C$16),1,$C152))*(INDEX(_xlfn.ANCHORARRAY(Sintesi!$C$15),1,$C152)&lt;0)+($E152&gt;=LOOKUP(2,1/($E:$E&lt;&gt;""),$E:$E))*($E152&lt;=$E153)*($E152&gt;INDEX(_xlfn.ANCHORARRAY(Sintesi!$C$15),1,$C152))*($E152&lt;INDEX(_xlfn.ANCHORARRAY(Sintesi!$C$16),1,$C152))*(INDEX(_xlfn.ANCHORARRAY(Sintesi!$C$15),1,$C152)&gt;0),2,IF($E152=(INDEX(_xlfn.ANCHORARRAY(Sintesi!$C$16),1,$C152)),3,4)))),0)))</f>
        <v>2</v>
      </c>
      <c r="E152" s="1">
        <f>'Paste cell here'!F152</f>
        <v>0.755</v>
      </c>
      <c r="F152" s="1">
        <f>'Paste cell here'!C152</f>
        <v>25.402679729999999</v>
      </c>
      <c r="G152" s="1">
        <f>'Paste cell here'!D152</f>
        <v>14.3539253</v>
      </c>
      <c r="H152" s="1">
        <f>'Paste cell here'!E152</f>
        <v>4.8238479590000001</v>
      </c>
      <c r="I152" s="1">
        <f>'Paste cell here'!X152</f>
        <v>3.6417304349999999</v>
      </c>
      <c r="J152" s="1">
        <f>'Paste cell here'!Y152+'Paste cell here'!S152</f>
        <v>3.6417304349999999</v>
      </c>
      <c r="K152" s="1">
        <f t="shared" si="5"/>
        <v>0.75494303841096666</v>
      </c>
      <c r="L152" s="1">
        <f t="shared" si="4"/>
        <v>21.816259756114984</v>
      </c>
      <c r="M152" s="1" cm="1">
        <f t="array" ref="M152">IF(AND(A152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,A152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),IF(L152&lt;_xlfn.IFNA(INDEX(_xlfn.ANCHORARRAY(Sintesi!$C$17)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,1,IF(L152&gt;=_xlfn.IFNA(INDEX(_xlfn.ANCHORARRAY(Sintesi!$C$18)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,0,1-(L152-_xlfn.IFNA(INDEX(_xlfn.ANCHORARRAY(Sintesi!$C$17)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)/(_xlfn.IFNA(INDEX(_xlfn.ANCHORARRAY(Sintesi!$C$18)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-_xlfn.IFNA(INDEX(_xlfn.ANCHORARRAY(Sintesi!$C$17),1,MATCH(1,(_xlfn.ANCHORARRAY(Sintesi!$C$9)&gt;_xlfn.ANCHORARRAY(Sintesi!$C$10))*(A151&gt;=_xlfn.ANCHORARRAY(Sintesi!$C$9))+(_xlfn.ANCHORARRAY(Sintesi!$C$9)&gt;_xlfn.ANCHORARRAY(Sintesi!$C$10))*(A151&lt;=_xlfn.ANCHORARRAY(Sintesi!$C$10))+(_xlfn.ANCHORARRAY(Sintesi!$C$9)&lt;_xlfn.ANCHORARRAY(Sintesi!$C$10))*(A151&gt;=_xlfn.ANCHORARRAY(Sintesi!$C$9))*(A151&lt;=_xlfn.ANCHORARRAY(Sintesi!$C$10)),0)),0)))),0)</f>
        <v>0</v>
      </c>
    </row>
    <row r="153" spans="1:13">
      <c r="A153" s="1">
        <f>'Paste cell here'!A153</f>
        <v>152</v>
      </c>
      <c r="B153" s="2">
        <f>DATE(Sintesi!$C$4-1,12,31)+A153</f>
        <v>44348</v>
      </c>
      <c r="C153" s="34" cm="1">
        <f t="array" ref="C153">_xlfn.IFNA(MATCH(1,(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)*(_xlfn.ANCHORARRAY(Sintesi!$C$15)&gt;=0)+(_xlfn.ANCHORARRAY(Sintesi!$C$15)&lt;0),0),0)</f>
        <v>1</v>
      </c>
      <c r="D153" s="1" cm="1">
        <f t="array" ref="D153">IF(ISBLANK($E154),IF(ISNUMBER($E152),IF($C153&gt;0,IF(($E153=INDEX(_xlfn.ANCHORARRAY(Sintesi!$C$14),1,$C153))*(INDEX(_xlfn.ANCHORARRAY(Sintesi!$C$15),1,$C153)&gt;0),0,IF(($E153=INDEX(_xlfn.ANCHORARRAY(Sintesi!$C$14),1,$C153))*(INDEX(_xlfn.ANCHORARRAY(Sintesi!$C$15),1,$C153)&lt;0)+($E153&gt;=$E152)*($E153&lt;=INDEX($E:$E,MATCH(TRUE,INDEX((ISNUMBER($E:$E)),0),0)))*($E153&gt;INDEX(_xlfn.ANCHORARRAY(Sintesi!$C$14),1,$C153))*($E153&lt;=INDEX(_xlfn.ANCHORARRAY(Sintesi!$C$15),1,$C153))*(INDEX(_xlfn.ANCHORARRAY(Sintesi!$C$15),1,$C153)&gt;0),1,IF(($E153&gt;=$E152)*($E153&lt;=INDEX($E:$E,MATCH(TRUE,INDEX((ISNUMBER($E:$E)),0),0)))*($E153&gt;INDEX(_xlfn.ANCHORARRAY(Sintesi!$C$14),1,$C153))*($E153&lt;INDEX(_xlfn.ANCHORARRAY(Sintesi!$C$16),1,$C153))*(INDEX(_xlfn.ANCHORARRAY(Sintesi!$C$15),1,$C153)&lt;0)+($E153&gt;=$E152)*($E153&lt;=INDEX($E:$E,MATCH(TRUE,INDEX((ISNUMBER($E:$E)),0),0)))*($E153&gt;INDEX(_xlfn.ANCHORARRAY(Sintesi!$C$15),1,$C153))*($E153&lt;INDEX(_xlfn.ANCHORARRAY(Sintesi!$C$16),1,$C153))*(INDEX(_xlfn.ANCHORARRAY(Sintesi!$C$15),1,$C153)&gt;0),2,IF($E153=(INDEX(_xlfn.ANCHORARRAY(Sintesi!$C$16),1,$C153)),3,4)))),0),IF($C153&gt;0,IF(($E153=INDEX(_xlfn.ANCHORARRAY(Sintesi!$C$14),1,$C153))*(INDEX(_xlfn.ANCHORARRAY(Sintesi!$C$15),1,$C153)&gt;0),0,IF(($E153=INDEX(_xlfn.ANCHORARRAY(Sintesi!$C$14),1,$C153))*(INDEX(_xlfn.ANCHORARRAY(Sintesi!$C$15),1,$C153)&lt;0)+($E153&gt;=LOOKUP(2,1/($E:$E&lt;&gt;""),$E:$E))*($E153&lt;=INDEX($E:$E,MATCH(TRUE,INDEX((ISNUMBER($E:$E)),0),0)))*($E153&gt;INDEX(_xlfn.ANCHORARRAY(Sintesi!$C$14),1,$C153))*($E153&lt;=INDEX(_xlfn.ANCHORARRAY(Sintesi!$C$15),1,$C153))*(INDEX(_xlfn.ANCHORARRAY(Sintesi!$C$15),1,$C153)&gt;0),1,IF(($E153&gt;=LOOKUP(2,1/($E:$E&lt;&gt;""),$E:$E))*($E153&lt;=INDEX($E:$E,MATCH(TRUE,INDEX((ISNUMBER($E:$E)),0),0)))*($E153&gt;INDEX(_xlfn.ANCHORARRAY(Sintesi!$C$14),1,$C153))*($E153&lt;INDEX(_xlfn.ANCHORARRAY(Sintesi!$C$16),1,$C153))*(INDEX(_xlfn.ANCHORARRAY(Sintesi!$C$15),1,$C153)&lt;0)+($E153&gt;=LOOKUP(2,1/($E:$E&lt;&gt;""),$E:$E))*($E153&lt;=INDEX($E:$E,MATCH(TRUE,INDEX((ISNUMBER($E:$E)),0),0)))*($E153&gt;INDEX(_xlfn.ANCHORARRAY(Sintesi!$C$15),1,$C153))*($E153&lt;INDEX(_xlfn.ANCHORARRAY(Sintesi!$C$16),1,$C153))*(INDEX(_xlfn.ANCHORARRAY(Sintesi!$C$15),1,$C153)&gt;0),2,IF($E153=(INDEX(_xlfn.ANCHORARRAY(Sintesi!$C$16),1,$C153)),3,4)))),0)),IF(ISNUMBER($E152),IF($C153&gt;0,IF(($E153=INDEX(_xlfn.ANCHORARRAY(Sintesi!$C$14),1,$C153))*(INDEX(_xlfn.ANCHORARRAY(Sintesi!$C$15),1,$C153)&gt;0),0,IF(($E153=INDEX(_xlfn.ANCHORARRAY(Sintesi!$C$14),1,$C153))*(INDEX(_xlfn.ANCHORARRAY(Sintesi!$C$15),1,$C153)&lt;0)+($E153&gt;=$E152)*($E153&lt;=$E154)*($E153&gt;INDEX(_xlfn.ANCHORARRAY(Sintesi!$C$14),1,$C153))*($E153&lt;=INDEX(_xlfn.ANCHORARRAY(Sintesi!$C$15),1,$C153))*(INDEX(_xlfn.ANCHORARRAY(Sintesi!$C$15),1,$C153)&gt;0),1,IF(($E153&gt;=$E152)*($E153&lt;=$E154)*($E153&gt;INDEX(_xlfn.ANCHORARRAY(Sintesi!$C$14),1,$C153))*($E153&lt;INDEX(_xlfn.ANCHORARRAY(Sintesi!$C$16),1,$C153))*(INDEX(_xlfn.ANCHORARRAY(Sintesi!$C$15),1,$C153)&lt;0)+($E153&gt;=$E152)*($E153&lt;=$E154)*($E153&gt;INDEX(_xlfn.ANCHORARRAY(Sintesi!$C$15),1,$C153))*($E153&lt;INDEX(_xlfn.ANCHORARRAY(Sintesi!$C$16),1,$C153))*(INDEX(_xlfn.ANCHORARRAY(Sintesi!$C$15),1,$C153)&gt;0),2,IF($E153=(INDEX(_xlfn.ANCHORARRAY(Sintesi!$C$16),1,$C153)),3,4)))),0),IF($C153&gt;0,IF(($E153=INDEX(_xlfn.ANCHORARRAY(Sintesi!$C$14),1,$C153))*(INDEX(_xlfn.ANCHORARRAY(Sintesi!$C$15),1,$C153)&gt;0),0,IF(($E153=INDEX(_xlfn.ANCHORARRAY(Sintesi!$C$14),1,$C153))*(INDEX(_xlfn.ANCHORARRAY(Sintesi!$C$15),1,$C153)&lt;0)+($E153&gt;=LOOKUP(2,1/($E:$E&lt;&gt;""),$E:$E))*($E153&lt;=$E154)*($E153&gt;INDEX(_xlfn.ANCHORARRAY(Sintesi!$C$14),1,$C153))*($E153&lt;=INDEX(_xlfn.ANCHORARRAY(Sintesi!$C$15),1,$C153))*(INDEX(_xlfn.ANCHORARRAY(Sintesi!$C$15),1,$C153)&gt;0),1,IF(($E153&gt;=LOOKUP(2,1/($E:$E&lt;&gt;""),$E:$E))*($E153&lt;=$E154)*($E153&gt;INDEX(_xlfn.ANCHORARRAY(Sintesi!$C$14),1,$C153))*($E153&lt;INDEX(_xlfn.ANCHORARRAY(Sintesi!$C$16),1,$C153))*(INDEX(_xlfn.ANCHORARRAY(Sintesi!$C$15),1,$C153)&lt;0)+($E153&gt;=LOOKUP(2,1/($E:$E&lt;&gt;""),$E:$E))*($E153&lt;=$E154)*($E153&gt;INDEX(_xlfn.ANCHORARRAY(Sintesi!$C$15),1,$C153))*($E153&lt;INDEX(_xlfn.ANCHORARRAY(Sintesi!$C$16),1,$C153))*(INDEX(_xlfn.ANCHORARRAY(Sintesi!$C$15),1,$C153)&gt;0),2,IF($E153=(INDEX(_xlfn.ANCHORARRAY(Sintesi!$C$16),1,$C153)),3,4)))),0)))</f>
        <v>2</v>
      </c>
      <c r="E153" s="1">
        <f>'Paste cell here'!F153</f>
        <v>0.77500000000000002</v>
      </c>
      <c r="F153" s="1">
        <f>'Paste cell here'!C153</f>
        <v>27.523339960000001</v>
      </c>
      <c r="G153" s="1">
        <f>'Paste cell here'!D153</f>
        <v>14.9460747</v>
      </c>
      <c r="H153" s="1">
        <f>'Paste cell here'!E153</f>
        <v>5.3812721489999999</v>
      </c>
      <c r="I153" s="1">
        <f>'Paste cell here'!X153</f>
        <v>4.1701628380000004</v>
      </c>
      <c r="J153" s="1">
        <f>'Paste cell here'!Y153+'Paste cell here'!S153</f>
        <v>4.1701628380000004</v>
      </c>
      <c r="K153" s="1">
        <f t="shared" si="5"/>
        <v>0.77493996262109521</v>
      </c>
      <c r="L153" s="1">
        <f t="shared" si="4"/>
        <v>22.647971671387388</v>
      </c>
      <c r="M153" s="1" cm="1">
        <f t="array" ref="M153">IF(AND(A153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,A153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),IF(L153&lt;_xlfn.IFNA(INDEX(_xlfn.ANCHORARRAY(Sintesi!$C$17)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,1,IF(L153&gt;=_xlfn.IFNA(INDEX(_xlfn.ANCHORARRAY(Sintesi!$C$18)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,0,1-(L153-_xlfn.IFNA(INDEX(_xlfn.ANCHORARRAY(Sintesi!$C$17)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)/(_xlfn.IFNA(INDEX(_xlfn.ANCHORARRAY(Sintesi!$C$18)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-_xlfn.IFNA(INDEX(_xlfn.ANCHORARRAY(Sintesi!$C$17),1,MATCH(1,(_xlfn.ANCHORARRAY(Sintesi!$C$9)&gt;_xlfn.ANCHORARRAY(Sintesi!$C$10))*(A152&gt;=_xlfn.ANCHORARRAY(Sintesi!$C$9))+(_xlfn.ANCHORARRAY(Sintesi!$C$9)&gt;_xlfn.ANCHORARRAY(Sintesi!$C$10))*(A152&lt;=_xlfn.ANCHORARRAY(Sintesi!$C$10))+(_xlfn.ANCHORARRAY(Sintesi!$C$9)&lt;_xlfn.ANCHORARRAY(Sintesi!$C$10))*(A152&gt;=_xlfn.ANCHORARRAY(Sintesi!$C$9))*(A152&lt;=_xlfn.ANCHORARRAY(Sintesi!$C$10)),0)),0)))),0)</f>
        <v>0</v>
      </c>
    </row>
    <row r="154" spans="1:13">
      <c r="A154" s="1">
        <f>'Paste cell here'!A154</f>
        <v>153</v>
      </c>
      <c r="B154" s="2">
        <f>DATE(Sintesi!$C$4-1,12,31)+A154</f>
        <v>44349</v>
      </c>
      <c r="C154" s="34" cm="1">
        <f t="array" ref="C154">_xlfn.IFNA(MATCH(1,(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)*(_xlfn.ANCHORARRAY(Sintesi!$C$15)&gt;=0)+(_xlfn.ANCHORARRAY(Sintesi!$C$15)&lt;0),0),0)</f>
        <v>1</v>
      </c>
      <c r="D154" s="1" cm="1">
        <f t="array" ref="D154">IF(ISBLANK($E155),IF(ISNUMBER($E153),IF($C154&gt;0,IF(($E154=INDEX(_xlfn.ANCHORARRAY(Sintesi!$C$14),1,$C154))*(INDEX(_xlfn.ANCHORARRAY(Sintesi!$C$15),1,$C154)&gt;0),0,IF(($E154=INDEX(_xlfn.ANCHORARRAY(Sintesi!$C$14),1,$C154))*(INDEX(_xlfn.ANCHORARRAY(Sintesi!$C$15),1,$C154)&lt;0)+($E154&gt;=$E153)*($E154&lt;=INDEX($E:$E,MATCH(TRUE,INDEX((ISNUMBER($E:$E)),0),0)))*($E154&gt;INDEX(_xlfn.ANCHORARRAY(Sintesi!$C$14),1,$C154))*($E154&lt;=INDEX(_xlfn.ANCHORARRAY(Sintesi!$C$15),1,$C154))*(INDEX(_xlfn.ANCHORARRAY(Sintesi!$C$15),1,$C154)&gt;0),1,IF(($E154&gt;=$E153)*($E154&lt;=INDEX($E:$E,MATCH(TRUE,INDEX((ISNUMBER($E:$E)),0),0)))*($E154&gt;INDEX(_xlfn.ANCHORARRAY(Sintesi!$C$14),1,$C154))*($E154&lt;INDEX(_xlfn.ANCHORARRAY(Sintesi!$C$16),1,$C154))*(INDEX(_xlfn.ANCHORARRAY(Sintesi!$C$15),1,$C154)&lt;0)+($E154&gt;=$E153)*($E154&lt;=INDEX($E:$E,MATCH(TRUE,INDEX((ISNUMBER($E:$E)),0),0)))*($E154&gt;INDEX(_xlfn.ANCHORARRAY(Sintesi!$C$15),1,$C154))*($E154&lt;INDEX(_xlfn.ANCHORARRAY(Sintesi!$C$16),1,$C154))*(INDEX(_xlfn.ANCHORARRAY(Sintesi!$C$15),1,$C154)&gt;0),2,IF($E154=(INDEX(_xlfn.ANCHORARRAY(Sintesi!$C$16),1,$C154)),3,4)))),0),IF($C154&gt;0,IF(($E154=INDEX(_xlfn.ANCHORARRAY(Sintesi!$C$14),1,$C154))*(INDEX(_xlfn.ANCHORARRAY(Sintesi!$C$15),1,$C154)&gt;0),0,IF(($E154=INDEX(_xlfn.ANCHORARRAY(Sintesi!$C$14),1,$C154))*(INDEX(_xlfn.ANCHORARRAY(Sintesi!$C$15),1,$C154)&lt;0)+($E154&gt;=LOOKUP(2,1/($E:$E&lt;&gt;""),$E:$E))*($E154&lt;=INDEX($E:$E,MATCH(TRUE,INDEX((ISNUMBER($E:$E)),0),0)))*($E154&gt;INDEX(_xlfn.ANCHORARRAY(Sintesi!$C$14),1,$C154))*($E154&lt;=INDEX(_xlfn.ANCHORARRAY(Sintesi!$C$15),1,$C154))*(INDEX(_xlfn.ANCHORARRAY(Sintesi!$C$15),1,$C154)&gt;0),1,IF(($E154&gt;=LOOKUP(2,1/($E:$E&lt;&gt;""),$E:$E))*($E154&lt;=INDEX($E:$E,MATCH(TRUE,INDEX((ISNUMBER($E:$E)),0),0)))*($E154&gt;INDEX(_xlfn.ANCHORARRAY(Sintesi!$C$14),1,$C154))*($E154&lt;INDEX(_xlfn.ANCHORARRAY(Sintesi!$C$16),1,$C154))*(INDEX(_xlfn.ANCHORARRAY(Sintesi!$C$15),1,$C154)&lt;0)+($E154&gt;=LOOKUP(2,1/($E:$E&lt;&gt;""),$E:$E))*($E154&lt;=INDEX($E:$E,MATCH(TRUE,INDEX((ISNUMBER($E:$E)),0),0)))*($E154&gt;INDEX(_xlfn.ANCHORARRAY(Sintesi!$C$15),1,$C154))*($E154&lt;INDEX(_xlfn.ANCHORARRAY(Sintesi!$C$16),1,$C154))*(INDEX(_xlfn.ANCHORARRAY(Sintesi!$C$15),1,$C154)&gt;0),2,IF($E154=(INDEX(_xlfn.ANCHORARRAY(Sintesi!$C$16),1,$C154)),3,4)))),0)),IF(ISNUMBER($E153),IF($C154&gt;0,IF(($E154=INDEX(_xlfn.ANCHORARRAY(Sintesi!$C$14),1,$C154))*(INDEX(_xlfn.ANCHORARRAY(Sintesi!$C$15),1,$C154)&gt;0),0,IF(($E154=INDEX(_xlfn.ANCHORARRAY(Sintesi!$C$14),1,$C154))*(INDEX(_xlfn.ANCHORARRAY(Sintesi!$C$15),1,$C154)&lt;0)+($E154&gt;=$E153)*($E154&lt;=$E155)*($E154&gt;INDEX(_xlfn.ANCHORARRAY(Sintesi!$C$14),1,$C154))*($E154&lt;=INDEX(_xlfn.ANCHORARRAY(Sintesi!$C$15),1,$C154))*(INDEX(_xlfn.ANCHORARRAY(Sintesi!$C$15),1,$C154)&gt;0),1,IF(($E154&gt;=$E153)*($E154&lt;=$E155)*($E154&gt;INDEX(_xlfn.ANCHORARRAY(Sintesi!$C$14),1,$C154))*($E154&lt;INDEX(_xlfn.ANCHORARRAY(Sintesi!$C$16),1,$C154))*(INDEX(_xlfn.ANCHORARRAY(Sintesi!$C$15),1,$C154)&lt;0)+($E154&gt;=$E153)*($E154&lt;=$E155)*($E154&gt;INDEX(_xlfn.ANCHORARRAY(Sintesi!$C$15),1,$C154))*($E154&lt;INDEX(_xlfn.ANCHORARRAY(Sintesi!$C$16),1,$C154))*(INDEX(_xlfn.ANCHORARRAY(Sintesi!$C$15),1,$C154)&gt;0),2,IF($E154=(INDEX(_xlfn.ANCHORARRAY(Sintesi!$C$16),1,$C154)),3,4)))),0),IF($C154&gt;0,IF(($E154=INDEX(_xlfn.ANCHORARRAY(Sintesi!$C$14),1,$C154))*(INDEX(_xlfn.ANCHORARRAY(Sintesi!$C$15),1,$C154)&gt;0),0,IF(($E154=INDEX(_xlfn.ANCHORARRAY(Sintesi!$C$14),1,$C154))*(INDEX(_xlfn.ANCHORARRAY(Sintesi!$C$15),1,$C154)&lt;0)+($E154&gt;=LOOKUP(2,1/($E:$E&lt;&gt;""),$E:$E))*($E154&lt;=$E155)*($E154&gt;INDEX(_xlfn.ANCHORARRAY(Sintesi!$C$14),1,$C154))*($E154&lt;=INDEX(_xlfn.ANCHORARRAY(Sintesi!$C$15),1,$C154))*(INDEX(_xlfn.ANCHORARRAY(Sintesi!$C$15),1,$C154)&gt;0),1,IF(($E154&gt;=LOOKUP(2,1/($E:$E&lt;&gt;""),$E:$E))*($E154&lt;=$E155)*($E154&gt;INDEX(_xlfn.ANCHORARRAY(Sintesi!$C$14),1,$C154))*($E154&lt;INDEX(_xlfn.ANCHORARRAY(Sintesi!$C$16),1,$C154))*(INDEX(_xlfn.ANCHORARRAY(Sintesi!$C$15),1,$C154)&lt;0)+($E154&gt;=LOOKUP(2,1/($E:$E&lt;&gt;""),$E:$E))*($E154&lt;=$E155)*($E154&gt;INDEX(_xlfn.ANCHORARRAY(Sintesi!$C$15),1,$C154))*($E154&lt;INDEX(_xlfn.ANCHORARRAY(Sintesi!$C$16),1,$C154))*(INDEX(_xlfn.ANCHORARRAY(Sintesi!$C$15),1,$C154)&gt;0),2,IF($E154=(INDEX(_xlfn.ANCHORARRAY(Sintesi!$C$16),1,$C154)),3,4)))),0)))</f>
        <v>2</v>
      </c>
      <c r="E154" s="1">
        <f>'Paste cell here'!F154</f>
        <v>0.79600000000000004</v>
      </c>
      <c r="F154" s="1">
        <f>'Paste cell here'!C154</f>
        <v>26.749280930000001</v>
      </c>
      <c r="G154" s="1">
        <f>'Paste cell here'!D154</f>
        <v>13.79926871</v>
      </c>
      <c r="H154" s="1">
        <f>'Paste cell here'!E154</f>
        <v>4.6684186800000003</v>
      </c>
      <c r="I154" s="1">
        <f>'Paste cell here'!X154</f>
        <v>3.715766055</v>
      </c>
      <c r="J154" s="1">
        <f>'Paste cell here'!Y154+'Paste cell here'!S154</f>
        <v>3.715766055</v>
      </c>
      <c r="K154" s="1">
        <f t="shared" si="5"/>
        <v>0.79593676353809806</v>
      </c>
      <c r="L154" s="1">
        <f t="shared" si="4"/>
        <v>21.729423464217827</v>
      </c>
      <c r="M154" s="1" cm="1">
        <f t="array" ref="M154">IF(AND(A154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,A154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),IF(L154&lt;_xlfn.IFNA(INDEX(_xlfn.ANCHORARRAY(Sintesi!$C$17)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,1,IF(L154&gt;=_xlfn.IFNA(INDEX(_xlfn.ANCHORARRAY(Sintesi!$C$18)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,0,1-(L154-_xlfn.IFNA(INDEX(_xlfn.ANCHORARRAY(Sintesi!$C$17)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)/(_xlfn.IFNA(INDEX(_xlfn.ANCHORARRAY(Sintesi!$C$18)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-_xlfn.IFNA(INDEX(_xlfn.ANCHORARRAY(Sintesi!$C$17),1,MATCH(1,(_xlfn.ANCHORARRAY(Sintesi!$C$9)&gt;_xlfn.ANCHORARRAY(Sintesi!$C$10))*(A153&gt;=_xlfn.ANCHORARRAY(Sintesi!$C$9))+(_xlfn.ANCHORARRAY(Sintesi!$C$9)&gt;_xlfn.ANCHORARRAY(Sintesi!$C$10))*(A153&lt;=_xlfn.ANCHORARRAY(Sintesi!$C$10))+(_xlfn.ANCHORARRAY(Sintesi!$C$9)&lt;_xlfn.ANCHORARRAY(Sintesi!$C$10))*(A153&gt;=_xlfn.ANCHORARRAY(Sintesi!$C$9))*(A153&lt;=_xlfn.ANCHORARRAY(Sintesi!$C$10)),0)),0)))),0)</f>
        <v>0</v>
      </c>
    </row>
    <row r="155" spans="1:13">
      <c r="A155" s="1">
        <f>'Paste cell here'!A155</f>
        <v>154</v>
      </c>
      <c r="B155" s="2">
        <f>DATE(Sintesi!$C$4-1,12,31)+A155</f>
        <v>44350</v>
      </c>
      <c r="C155" s="34" cm="1">
        <f t="array" ref="C155">_xlfn.IFNA(MATCH(1,(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)*(_xlfn.ANCHORARRAY(Sintesi!$C$15)&gt;=0)+(_xlfn.ANCHORARRAY(Sintesi!$C$15)&lt;0),0),0)</f>
        <v>1</v>
      </c>
      <c r="D155" s="1" cm="1">
        <f t="array" ref="D155">IF(ISBLANK($E156),IF(ISNUMBER($E154),IF($C155&gt;0,IF(($E155=INDEX(_xlfn.ANCHORARRAY(Sintesi!$C$14),1,$C155))*(INDEX(_xlfn.ANCHORARRAY(Sintesi!$C$15),1,$C155)&gt;0),0,IF(($E155=INDEX(_xlfn.ANCHORARRAY(Sintesi!$C$14),1,$C155))*(INDEX(_xlfn.ANCHORARRAY(Sintesi!$C$15),1,$C155)&lt;0)+($E155&gt;=$E154)*($E155&lt;=INDEX($E:$E,MATCH(TRUE,INDEX((ISNUMBER($E:$E)),0),0)))*($E155&gt;INDEX(_xlfn.ANCHORARRAY(Sintesi!$C$14),1,$C155))*($E155&lt;=INDEX(_xlfn.ANCHORARRAY(Sintesi!$C$15),1,$C155))*(INDEX(_xlfn.ANCHORARRAY(Sintesi!$C$15),1,$C155)&gt;0),1,IF(($E155&gt;=$E154)*($E155&lt;=INDEX($E:$E,MATCH(TRUE,INDEX((ISNUMBER($E:$E)),0),0)))*($E155&gt;INDEX(_xlfn.ANCHORARRAY(Sintesi!$C$14),1,$C155))*($E155&lt;INDEX(_xlfn.ANCHORARRAY(Sintesi!$C$16),1,$C155))*(INDEX(_xlfn.ANCHORARRAY(Sintesi!$C$15),1,$C155)&lt;0)+($E155&gt;=$E154)*($E155&lt;=INDEX($E:$E,MATCH(TRUE,INDEX((ISNUMBER($E:$E)),0),0)))*($E155&gt;INDEX(_xlfn.ANCHORARRAY(Sintesi!$C$15),1,$C155))*($E155&lt;INDEX(_xlfn.ANCHORARRAY(Sintesi!$C$16),1,$C155))*(INDEX(_xlfn.ANCHORARRAY(Sintesi!$C$15),1,$C155)&gt;0),2,IF($E155=(INDEX(_xlfn.ANCHORARRAY(Sintesi!$C$16),1,$C155)),3,4)))),0),IF($C155&gt;0,IF(($E155=INDEX(_xlfn.ANCHORARRAY(Sintesi!$C$14),1,$C155))*(INDEX(_xlfn.ANCHORARRAY(Sintesi!$C$15),1,$C155)&gt;0),0,IF(($E155=INDEX(_xlfn.ANCHORARRAY(Sintesi!$C$14),1,$C155))*(INDEX(_xlfn.ANCHORARRAY(Sintesi!$C$15),1,$C155)&lt;0)+($E155&gt;=LOOKUP(2,1/($E:$E&lt;&gt;""),$E:$E))*($E155&lt;=INDEX($E:$E,MATCH(TRUE,INDEX((ISNUMBER($E:$E)),0),0)))*($E155&gt;INDEX(_xlfn.ANCHORARRAY(Sintesi!$C$14),1,$C155))*($E155&lt;=INDEX(_xlfn.ANCHORARRAY(Sintesi!$C$15),1,$C155))*(INDEX(_xlfn.ANCHORARRAY(Sintesi!$C$15),1,$C155)&gt;0),1,IF(($E155&gt;=LOOKUP(2,1/($E:$E&lt;&gt;""),$E:$E))*($E155&lt;=INDEX($E:$E,MATCH(TRUE,INDEX((ISNUMBER($E:$E)),0),0)))*($E155&gt;INDEX(_xlfn.ANCHORARRAY(Sintesi!$C$14),1,$C155))*($E155&lt;INDEX(_xlfn.ANCHORARRAY(Sintesi!$C$16),1,$C155))*(INDEX(_xlfn.ANCHORARRAY(Sintesi!$C$15),1,$C155)&lt;0)+($E155&gt;=LOOKUP(2,1/($E:$E&lt;&gt;""),$E:$E))*($E155&lt;=INDEX($E:$E,MATCH(TRUE,INDEX((ISNUMBER($E:$E)),0),0)))*($E155&gt;INDEX(_xlfn.ANCHORARRAY(Sintesi!$C$15),1,$C155))*($E155&lt;INDEX(_xlfn.ANCHORARRAY(Sintesi!$C$16),1,$C155))*(INDEX(_xlfn.ANCHORARRAY(Sintesi!$C$15),1,$C155)&gt;0),2,IF($E155=(INDEX(_xlfn.ANCHORARRAY(Sintesi!$C$16),1,$C155)),3,4)))),0)),IF(ISNUMBER($E154),IF($C155&gt;0,IF(($E155=INDEX(_xlfn.ANCHORARRAY(Sintesi!$C$14),1,$C155))*(INDEX(_xlfn.ANCHORARRAY(Sintesi!$C$15),1,$C155)&gt;0),0,IF(($E155=INDEX(_xlfn.ANCHORARRAY(Sintesi!$C$14),1,$C155))*(INDEX(_xlfn.ANCHORARRAY(Sintesi!$C$15),1,$C155)&lt;0)+($E155&gt;=$E154)*($E155&lt;=$E156)*($E155&gt;INDEX(_xlfn.ANCHORARRAY(Sintesi!$C$14),1,$C155))*($E155&lt;=INDEX(_xlfn.ANCHORARRAY(Sintesi!$C$15),1,$C155))*(INDEX(_xlfn.ANCHORARRAY(Sintesi!$C$15),1,$C155)&gt;0),1,IF(($E155&gt;=$E154)*($E155&lt;=$E156)*($E155&gt;INDEX(_xlfn.ANCHORARRAY(Sintesi!$C$14),1,$C155))*($E155&lt;INDEX(_xlfn.ANCHORARRAY(Sintesi!$C$16),1,$C155))*(INDEX(_xlfn.ANCHORARRAY(Sintesi!$C$15),1,$C155)&lt;0)+($E155&gt;=$E154)*($E155&lt;=$E156)*($E155&gt;INDEX(_xlfn.ANCHORARRAY(Sintesi!$C$15),1,$C155))*($E155&lt;INDEX(_xlfn.ANCHORARRAY(Sintesi!$C$16),1,$C155))*(INDEX(_xlfn.ANCHORARRAY(Sintesi!$C$15),1,$C155)&gt;0),2,IF($E155=(INDEX(_xlfn.ANCHORARRAY(Sintesi!$C$16),1,$C155)),3,4)))),0),IF($C155&gt;0,IF(($E155=INDEX(_xlfn.ANCHORARRAY(Sintesi!$C$14),1,$C155))*(INDEX(_xlfn.ANCHORARRAY(Sintesi!$C$15),1,$C155)&gt;0),0,IF(($E155=INDEX(_xlfn.ANCHORARRAY(Sintesi!$C$14),1,$C155))*(INDEX(_xlfn.ANCHORARRAY(Sintesi!$C$15),1,$C155)&lt;0)+($E155&gt;=LOOKUP(2,1/($E:$E&lt;&gt;""),$E:$E))*($E155&lt;=$E156)*($E155&gt;INDEX(_xlfn.ANCHORARRAY(Sintesi!$C$14),1,$C155))*($E155&lt;=INDEX(_xlfn.ANCHORARRAY(Sintesi!$C$15),1,$C155))*(INDEX(_xlfn.ANCHORARRAY(Sintesi!$C$15),1,$C155)&gt;0),1,IF(($E155&gt;=LOOKUP(2,1/($E:$E&lt;&gt;""),$E:$E))*($E155&lt;=$E156)*($E155&gt;INDEX(_xlfn.ANCHORARRAY(Sintesi!$C$14),1,$C155))*($E155&lt;INDEX(_xlfn.ANCHORARRAY(Sintesi!$C$16),1,$C155))*(INDEX(_xlfn.ANCHORARRAY(Sintesi!$C$15),1,$C155)&lt;0)+($E155&gt;=LOOKUP(2,1/($E:$E&lt;&gt;""),$E:$E))*($E155&lt;=$E156)*($E155&gt;INDEX(_xlfn.ANCHORARRAY(Sintesi!$C$15),1,$C155))*($E155&lt;INDEX(_xlfn.ANCHORARRAY(Sintesi!$C$16),1,$C155))*(INDEX(_xlfn.ANCHORARRAY(Sintesi!$C$15),1,$C155)&gt;0),2,IF($E155=(INDEX(_xlfn.ANCHORARRAY(Sintesi!$C$16),1,$C155)),3,4)))),0)))</f>
        <v>2</v>
      </c>
      <c r="E155" s="1">
        <f>'Paste cell here'!F155</f>
        <v>0.81699999999999995</v>
      </c>
      <c r="F155" s="1">
        <f>'Paste cell here'!C155</f>
        <v>29.802679730000001</v>
      </c>
      <c r="G155" s="1">
        <f>'Paste cell here'!D155</f>
        <v>15.750719070000001</v>
      </c>
      <c r="H155" s="1">
        <f>'Paste cell here'!E155</f>
        <v>5.5948488999999997</v>
      </c>
      <c r="I155" s="1">
        <f>'Paste cell here'!X155</f>
        <v>4.570619636</v>
      </c>
      <c r="J155" s="1">
        <f>'Paste cell here'!Y155+'Paste cell here'!S155</f>
        <v>4.570619636</v>
      </c>
      <c r="K155" s="1">
        <f t="shared" si="5"/>
        <v>0.81693352540762987</v>
      </c>
      <c r="L155" s="1">
        <f t="shared" si="4"/>
        <v>24.35567022687087</v>
      </c>
      <c r="M155" s="1" cm="1">
        <f t="array" ref="M155">IF(AND(A155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,A155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),IF(L155&lt;_xlfn.IFNA(INDEX(_xlfn.ANCHORARRAY(Sintesi!$C$17)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,1,IF(L155&gt;=_xlfn.IFNA(INDEX(_xlfn.ANCHORARRAY(Sintesi!$C$18)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,0,1-(L155-_xlfn.IFNA(INDEX(_xlfn.ANCHORARRAY(Sintesi!$C$17)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)/(_xlfn.IFNA(INDEX(_xlfn.ANCHORARRAY(Sintesi!$C$18)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-_xlfn.IFNA(INDEX(_xlfn.ANCHORARRAY(Sintesi!$C$17),1,MATCH(1,(_xlfn.ANCHORARRAY(Sintesi!$C$9)&gt;_xlfn.ANCHORARRAY(Sintesi!$C$10))*(A154&gt;=_xlfn.ANCHORARRAY(Sintesi!$C$9))+(_xlfn.ANCHORARRAY(Sintesi!$C$9)&gt;_xlfn.ANCHORARRAY(Sintesi!$C$10))*(A154&lt;=_xlfn.ANCHORARRAY(Sintesi!$C$10))+(_xlfn.ANCHORARRAY(Sintesi!$C$9)&lt;_xlfn.ANCHORARRAY(Sintesi!$C$10))*(A154&gt;=_xlfn.ANCHORARRAY(Sintesi!$C$9))*(A154&lt;=_xlfn.ANCHORARRAY(Sintesi!$C$10)),0)),0)))),0)</f>
        <v>0</v>
      </c>
    </row>
    <row r="156" spans="1:13">
      <c r="A156" s="1">
        <f>'Paste cell here'!A156</f>
        <v>155</v>
      </c>
      <c r="B156" s="2">
        <f>DATE(Sintesi!$C$4-1,12,31)+A156</f>
        <v>44351</v>
      </c>
      <c r="C156" s="34" cm="1">
        <f t="array" ref="C156">_xlfn.IFNA(MATCH(1,(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)*(_xlfn.ANCHORARRAY(Sintesi!$C$15)&gt;=0)+(_xlfn.ANCHORARRAY(Sintesi!$C$15)&lt;0),0),0)</f>
        <v>1</v>
      </c>
      <c r="D156" s="1" cm="1">
        <f t="array" ref="D156">IF(ISBLANK($E157),IF(ISNUMBER($E155),IF($C156&gt;0,IF(($E156=INDEX(_xlfn.ANCHORARRAY(Sintesi!$C$14),1,$C156))*(INDEX(_xlfn.ANCHORARRAY(Sintesi!$C$15),1,$C156)&gt;0),0,IF(($E156=INDEX(_xlfn.ANCHORARRAY(Sintesi!$C$14),1,$C156))*(INDEX(_xlfn.ANCHORARRAY(Sintesi!$C$15),1,$C156)&lt;0)+($E156&gt;=$E155)*($E156&lt;=INDEX($E:$E,MATCH(TRUE,INDEX((ISNUMBER($E:$E)),0),0)))*($E156&gt;INDEX(_xlfn.ANCHORARRAY(Sintesi!$C$14),1,$C156))*($E156&lt;=INDEX(_xlfn.ANCHORARRAY(Sintesi!$C$15),1,$C156))*(INDEX(_xlfn.ANCHORARRAY(Sintesi!$C$15),1,$C156)&gt;0),1,IF(($E156&gt;=$E155)*($E156&lt;=INDEX($E:$E,MATCH(TRUE,INDEX((ISNUMBER($E:$E)),0),0)))*($E156&gt;INDEX(_xlfn.ANCHORARRAY(Sintesi!$C$14),1,$C156))*($E156&lt;INDEX(_xlfn.ANCHORARRAY(Sintesi!$C$16),1,$C156))*(INDEX(_xlfn.ANCHORARRAY(Sintesi!$C$15),1,$C156)&lt;0)+($E156&gt;=$E155)*($E156&lt;=INDEX($E:$E,MATCH(TRUE,INDEX((ISNUMBER($E:$E)),0),0)))*($E156&gt;INDEX(_xlfn.ANCHORARRAY(Sintesi!$C$15),1,$C156))*($E156&lt;INDEX(_xlfn.ANCHORARRAY(Sintesi!$C$16),1,$C156))*(INDEX(_xlfn.ANCHORARRAY(Sintesi!$C$15),1,$C156)&gt;0),2,IF($E156=(INDEX(_xlfn.ANCHORARRAY(Sintesi!$C$16),1,$C156)),3,4)))),0),IF($C156&gt;0,IF(($E156=INDEX(_xlfn.ANCHORARRAY(Sintesi!$C$14),1,$C156))*(INDEX(_xlfn.ANCHORARRAY(Sintesi!$C$15),1,$C156)&gt;0),0,IF(($E156=INDEX(_xlfn.ANCHORARRAY(Sintesi!$C$14),1,$C156))*(INDEX(_xlfn.ANCHORARRAY(Sintesi!$C$15),1,$C156)&lt;0)+($E156&gt;=LOOKUP(2,1/($E:$E&lt;&gt;""),$E:$E))*($E156&lt;=INDEX($E:$E,MATCH(TRUE,INDEX((ISNUMBER($E:$E)),0),0)))*($E156&gt;INDEX(_xlfn.ANCHORARRAY(Sintesi!$C$14),1,$C156))*($E156&lt;=INDEX(_xlfn.ANCHORARRAY(Sintesi!$C$15),1,$C156))*(INDEX(_xlfn.ANCHORARRAY(Sintesi!$C$15),1,$C156)&gt;0),1,IF(($E156&gt;=LOOKUP(2,1/($E:$E&lt;&gt;""),$E:$E))*($E156&lt;=INDEX($E:$E,MATCH(TRUE,INDEX((ISNUMBER($E:$E)),0),0)))*($E156&gt;INDEX(_xlfn.ANCHORARRAY(Sintesi!$C$14),1,$C156))*($E156&lt;INDEX(_xlfn.ANCHORARRAY(Sintesi!$C$16),1,$C156))*(INDEX(_xlfn.ANCHORARRAY(Sintesi!$C$15),1,$C156)&lt;0)+($E156&gt;=LOOKUP(2,1/($E:$E&lt;&gt;""),$E:$E))*($E156&lt;=INDEX($E:$E,MATCH(TRUE,INDEX((ISNUMBER($E:$E)),0),0)))*($E156&gt;INDEX(_xlfn.ANCHORARRAY(Sintesi!$C$15),1,$C156))*($E156&lt;INDEX(_xlfn.ANCHORARRAY(Sintesi!$C$16),1,$C156))*(INDEX(_xlfn.ANCHORARRAY(Sintesi!$C$15),1,$C156)&gt;0),2,IF($E156=(INDEX(_xlfn.ANCHORARRAY(Sintesi!$C$16),1,$C156)),3,4)))),0)),IF(ISNUMBER($E155),IF($C156&gt;0,IF(($E156=INDEX(_xlfn.ANCHORARRAY(Sintesi!$C$14),1,$C156))*(INDEX(_xlfn.ANCHORARRAY(Sintesi!$C$15),1,$C156)&gt;0),0,IF(($E156=INDEX(_xlfn.ANCHORARRAY(Sintesi!$C$14),1,$C156))*(INDEX(_xlfn.ANCHORARRAY(Sintesi!$C$15),1,$C156)&lt;0)+($E156&gt;=$E155)*($E156&lt;=$E157)*($E156&gt;INDEX(_xlfn.ANCHORARRAY(Sintesi!$C$14),1,$C156))*($E156&lt;=INDEX(_xlfn.ANCHORARRAY(Sintesi!$C$15),1,$C156))*(INDEX(_xlfn.ANCHORARRAY(Sintesi!$C$15),1,$C156)&gt;0),1,IF(($E156&gt;=$E155)*($E156&lt;=$E157)*($E156&gt;INDEX(_xlfn.ANCHORARRAY(Sintesi!$C$14),1,$C156))*($E156&lt;INDEX(_xlfn.ANCHORARRAY(Sintesi!$C$16),1,$C156))*(INDEX(_xlfn.ANCHORARRAY(Sintesi!$C$15),1,$C156)&lt;0)+($E156&gt;=$E155)*($E156&lt;=$E157)*($E156&gt;INDEX(_xlfn.ANCHORARRAY(Sintesi!$C$15),1,$C156))*($E156&lt;INDEX(_xlfn.ANCHORARRAY(Sintesi!$C$16),1,$C156))*(INDEX(_xlfn.ANCHORARRAY(Sintesi!$C$15),1,$C156)&gt;0),2,IF($E156=(INDEX(_xlfn.ANCHORARRAY(Sintesi!$C$16),1,$C156)),3,4)))),0),IF($C156&gt;0,IF(($E156=INDEX(_xlfn.ANCHORARRAY(Sintesi!$C$14),1,$C156))*(INDEX(_xlfn.ANCHORARRAY(Sintesi!$C$15),1,$C156)&gt;0),0,IF(($E156=INDEX(_xlfn.ANCHORARRAY(Sintesi!$C$14),1,$C156))*(INDEX(_xlfn.ANCHORARRAY(Sintesi!$C$15),1,$C156)&lt;0)+($E156&gt;=LOOKUP(2,1/($E:$E&lt;&gt;""),$E:$E))*($E156&lt;=$E157)*($E156&gt;INDEX(_xlfn.ANCHORARRAY(Sintesi!$C$14),1,$C156))*($E156&lt;=INDEX(_xlfn.ANCHORARRAY(Sintesi!$C$15),1,$C156))*(INDEX(_xlfn.ANCHORARRAY(Sintesi!$C$15),1,$C156)&gt;0),1,IF(($E156&gt;=LOOKUP(2,1/($E:$E&lt;&gt;""),$E:$E))*($E156&lt;=$E157)*($E156&gt;INDEX(_xlfn.ANCHORARRAY(Sintesi!$C$14),1,$C156))*($E156&lt;INDEX(_xlfn.ANCHORARRAY(Sintesi!$C$16),1,$C156))*(INDEX(_xlfn.ANCHORARRAY(Sintesi!$C$15),1,$C156)&lt;0)+($E156&gt;=LOOKUP(2,1/($E:$E&lt;&gt;""),$E:$E))*($E156&lt;=$E157)*($E156&gt;INDEX(_xlfn.ANCHORARRAY(Sintesi!$C$15),1,$C156))*($E156&lt;INDEX(_xlfn.ANCHORARRAY(Sintesi!$C$16),1,$C156))*(INDEX(_xlfn.ANCHORARRAY(Sintesi!$C$15),1,$C156)&gt;0),2,IF($E156=(INDEX(_xlfn.ANCHORARRAY(Sintesi!$C$16),1,$C156)),3,4)))),0)))</f>
        <v>2</v>
      </c>
      <c r="E156" s="1">
        <f>'Paste cell here'!F156</f>
        <v>0.83799999999999997</v>
      </c>
      <c r="F156" s="1">
        <f>'Paste cell here'!C156</f>
        <v>31.37454387</v>
      </c>
      <c r="G156" s="1">
        <f>'Paste cell here'!D156</f>
        <v>13.758679539999999</v>
      </c>
      <c r="H156" s="1">
        <f>'Paste cell here'!E156</f>
        <v>5.5618228070000004</v>
      </c>
      <c r="I156" s="1">
        <f>'Paste cell here'!X156</f>
        <v>4.660419611</v>
      </c>
      <c r="J156" s="1">
        <f>'Paste cell here'!Y156+'Paste cell here'!S156</f>
        <v>4.660419611</v>
      </c>
      <c r="K156" s="1">
        <f t="shared" si="5"/>
        <v>0.83793025645018537</v>
      </c>
      <c r="L156" s="1">
        <f t="shared" si="4"/>
        <v>24.546046215257523</v>
      </c>
      <c r="M156" s="1" cm="1">
        <f t="array" ref="M156">IF(AND(A156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,A156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),IF(L156&lt;_xlfn.IFNA(INDEX(_xlfn.ANCHORARRAY(Sintesi!$C$17)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,1,IF(L156&gt;=_xlfn.IFNA(INDEX(_xlfn.ANCHORARRAY(Sintesi!$C$18)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,0,1-(L156-_xlfn.IFNA(INDEX(_xlfn.ANCHORARRAY(Sintesi!$C$17)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)/(_xlfn.IFNA(INDEX(_xlfn.ANCHORARRAY(Sintesi!$C$18)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-_xlfn.IFNA(INDEX(_xlfn.ANCHORARRAY(Sintesi!$C$17),1,MATCH(1,(_xlfn.ANCHORARRAY(Sintesi!$C$9)&gt;_xlfn.ANCHORARRAY(Sintesi!$C$10))*(A155&gt;=_xlfn.ANCHORARRAY(Sintesi!$C$9))+(_xlfn.ANCHORARRAY(Sintesi!$C$9)&gt;_xlfn.ANCHORARRAY(Sintesi!$C$10))*(A155&lt;=_xlfn.ANCHORARRAY(Sintesi!$C$10))+(_xlfn.ANCHORARRAY(Sintesi!$C$9)&lt;_xlfn.ANCHORARRAY(Sintesi!$C$10))*(A155&gt;=_xlfn.ANCHORARRAY(Sintesi!$C$9))*(A155&lt;=_xlfn.ANCHORARRAY(Sintesi!$C$10)),0)),0)))),0)</f>
        <v>0</v>
      </c>
    </row>
    <row r="157" spans="1:13">
      <c r="A157" s="1">
        <f>'Paste cell here'!A157</f>
        <v>156</v>
      </c>
      <c r="B157" s="2">
        <f>DATE(Sintesi!$C$4-1,12,31)+A157</f>
        <v>44352</v>
      </c>
      <c r="C157" s="34" cm="1">
        <f t="array" ref="C157">_xlfn.IFNA(MATCH(1,(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)*(_xlfn.ANCHORARRAY(Sintesi!$C$15)&gt;=0)+(_xlfn.ANCHORARRAY(Sintesi!$C$15)&lt;0),0),0)</f>
        <v>1</v>
      </c>
      <c r="D157" s="1" cm="1">
        <f t="array" ref="D157">IF(ISBLANK($E158),IF(ISNUMBER($E156),IF($C157&gt;0,IF(($E157=INDEX(_xlfn.ANCHORARRAY(Sintesi!$C$14),1,$C157))*(INDEX(_xlfn.ANCHORARRAY(Sintesi!$C$15),1,$C157)&gt;0),0,IF(($E157=INDEX(_xlfn.ANCHORARRAY(Sintesi!$C$14),1,$C157))*(INDEX(_xlfn.ANCHORARRAY(Sintesi!$C$15),1,$C157)&lt;0)+($E157&gt;=$E156)*($E157&lt;=INDEX($E:$E,MATCH(TRUE,INDEX((ISNUMBER($E:$E)),0),0)))*($E157&gt;INDEX(_xlfn.ANCHORARRAY(Sintesi!$C$14),1,$C157))*($E157&lt;=INDEX(_xlfn.ANCHORARRAY(Sintesi!$C$15),1,$C157))*(INDEX(_xlfn.ANCHORARRAY(Sintesi!$C$15),1,$C157)&gt;0),1,IF(($E157&gt;=$E156)*($E157&lt;=INDEX($E:$E,MATCH(TRUE,INDEX((ISNUMBER($E:$E)),0),0)))*($E157&gt;INDEX(_xlfn.ANCHORARRAY(Sintesi!$C$14),1,$C157))*($E157&lt;INDEX(_xlfn.ANCHORARRAY(Sintesi!$C$16),1,$C157))*(INDEX(_xlfn.ANCHORARRAY(Sintesi!$C$15),1,$C157)&lt;0)+($E157&gt;=$E156)*($E157&lt;=INDEX($E:$E,MATCH(TRUE,INDEX((ISNUMBER($E:$E)),0),0)))*($E157&gt;INDEX(_xlfn.ANCHORARRAY(Sintesi!$C$15),1,$C157))*($E157&lt;INDEX(_xlfn.ANCHORARRAY(Sintesi!$C$16),1,$C157))*(INDEX(_xlfn.ANCHORARRAY(Sintesi!$C$15),1,$C157)&gt;0),2,IF($E157=(INDEX(_xlfn.ANCHORARRAY(Sintesi!$C$16),1,$C157)),3,4)))),0),IF($C157&gt;0,IF(($E157=INDEX(_xlfn.ANCHORARRAY(Sintesi!$C$14),1,$C157))*(INDEX(_xlfn.ANCHORARRAY(Sintesi!$C$15),1,$C157)&gt;0),0,IF(($E157=INDEX(_xlfn.ANCHORARRAY(Sintesi!$C$14),1,$C157))*(INDEX(_xlfn.ANCHORARRAY(Sintesi!$C$15),1,$C157)&lt;0)+($E157&gt;=LOOKUP(2,1/($E:$E&lt;&gt;""),$E:$E))*($E157&lt;=INDEX($E:$E,MATCH(TRUE,INDEX((ISNUMBER($E:$E)),0),0)))*($E157&gt;INDEX(_xlfn.ANCHORARRAY(Sintesi!$C$14),1,$C157))*($E157&lt;=INDEX(_xlfn.ANCHORARRAY(Sintesi!$C$15),1,$C157))*(INDEX(_xlfn.ANCHORARRAY(Sintesi!$C$15),1,$C157)&gt;0),1,IF(($E157&gt;=LOOKUP(2,1/($E:$E&lt;&gt;""),$E:$E))*($E157&lt;=INDEX($E:$E,MATCH(TRUE,INDEX((ISNUMBER($E:$E)),0),0)))*($E157&gt;INDEX(_xlfn.ANCHORARRAY(Sintesi!$C$14),1,$C157))*($E157&lt;INDEX(_xlfn.ANCHORARRAY(Sintesi!$C$16),1,$C157))*(INDEX(_xlfn.ANCHORARRAY(Sintesi!$C$15),1,$C157)&lt;0)+($E157&gt;=LOOKUP(2,1/($E:$E&lt;&gt;""),$E:$E))*($E157&lt;=INDEX($E:$E,MATCH(TRUE,INDEX((ISNUMBER($E:$E)),0),0)))*($E157&gt;INDEX(_xlfn.ANCHORARRAY(Sintesi!$C$15),1,$C157))*($E157&lt;INDEX(_xlfn.ANCHORARRAY(Sintesi!$C$16),1,$C157))*(INDEX(_xlfn.ANCHORARRAY(Sintesi!$C$15),1,$C157)&gt;0),2,IF($E157=(INDEX(_xlfn.ANCHORARRAY(Sintesi!$C$16),1,$C157)),3,4)))),0)),IF(ISNUMBER($E156),IF($C157&gt;0,IF(($E157=INDEX(_xlfn.ANCHORARRAY(Sintesi!$C$14),1,$C157))*(INDEX(_xlfn.ANCHORARRAY(Sintesi!$C$15),1,$C157)&gt;0),0,IF(($E157=INDEX(_xlfn.ANCHORARRAY(Sintesi!$C$14),1,$C157))*(INDEX(_xlfn.ANCHORARRAY(Sintesi!$C$15),1,$C157)&lt;0)+($E157&gt;=$E156)*($E157&lt;=$E158)*($E157&gt;INDEX(_xlfn.ANCHORARRAY(Sintesi!$C$14),1,$C157))*($E157&lt;=INDEX(_xlfn.ANCHORARRAY(Sintesi!$C$15),1,$C157))*(INDEX(_xlfn.ANCHORARRAY(Sintesi!$C$15),1,$C157)&gt;0),1,IF(($E157&gt;=$E156)*($E157&lt;=$E158)*($E157&gt;INDEX(_xlfn.ANCHORARRAY(Sintesi!$C$14),1,$C157))*($E157&lt;INDEX(_xlfn.ANCHORARRAY(Sintesi!$C$16),1,$C157))*(INDEX(_xlfn.ANCHORARRAY(Sintesi!$C$15),1,$C157)&lt;0)+($E157&gt;=$E156)*($E157&lt;=$E158)*($E157&gt;INDEX(_xlfn.ANCHORARRAY(Sintesi!$C$15),1,$C157))*($E157&lt;INDEX(_xlfn.ANCHORARRAY(Sintesi!$C$16),1,$C157))*(INDEX(_xlfn.ANCHORARRAY(Sintesi!$C$15),1,$C157)&gt;0),2,IF($E157=(INDEX(_xlfn.ANCHORARRAY(Sintesi!$C$16),1,$C157)),3,4)))),0),IF($C157&gt;0,IF(($E157=INDEX(_xlfn.ANCHORARRAY(Sintesi!$C$14),1,$C157))*(INDEX(_xlfn.ANCHORARRAY(Sintesi!$C$15),1,$C157)&gt;0),0,IF(($E157=INDEX(_xlfn.ANCHORARRAY(Sintesi!$C$14),1,$C157))*(INDEX(_xlfn.ANCHORARRAY(Sintesi!$C$15),1,$C157)&lt;0)+($E157&gt;=LOOKUP(2,1/($E:$E&lt;&gt;""),$E:$E))*($E157&lt;=$E158)*($E157&gt;INDEX(_xlfn.ANCHORARRAY(Sintesi!$C$14),1,$C157))*($E157&lt;=INDEX(_xlfn.ANCHORARRAY(Sintesi!$C$15),1,$C157))*(INDEX(_xlfn.ANCHORARRAY(Sintesi!$C$15),1,$C157)&gt;0),1,IF(($E157&gt;=LOOKUP(2,1/($E:$E&lt;&gt;""),$E:$E))*($E157&lt;=$E158)*($E157&gt;INDEX(_xlfn.ANCHORARRAY(Sintesi!$C$14),1,$C157))*($E157&lt;INDEX(_xlfn.ANCHORARRAY(Sintesi!$C$16),1,$C157))*(INDEX(_xlfn.ANCHORARRAY(Sintesi!$C$15),1,$C157)&lt;0)+($E157&gt;=LOOKUP(2,1/($E:$E&lt;&gt;""),$E:$E))*($E157&lt;=$E158)*($E157&gt;INDEX(_xlfn.ANCHORARRAY(Sintesi!$C$15),1,$C157))*($E157&lt;INDEX(_xlfn.ANCHORARRAY(Sintesi!$C$16),1,$C157))*(INDEX(_xlfn.ANCHORARRAY(Sintesi!$C$15),1,$C157)&gt;0),2,IF($E157=(INDEX(_xlfn.ANCHORARRAY(Sintesi!$C$16),1,$C157)),3,4)))),0)))</f>
        <v>2</v>
      </c>
      <c r="E157" s="1">
        <f>'Paste cell here'!F157</f>
        <v>0.85899999999999999</v>
      </c>
      <c r="F157" s="1">
        <f>'Paste cell here'!C157</f>
        <v>28.474543870000002</v>
      </c>
      <c r="G157" s="1">
        <f>'Paste cell here'!D157</f>
        <v>17.135944800000001</v>
      </c>
      <c r="H157" s="1">
        <f>'Paste cell here'!E157</f>
        <v>4.1440389169999996</v>
      </c>
      <c r="I157" s="1">
        <f>'Paste cell here'!X157</f>
        <v>3.5594267749999999</v>
      </c>
      <c r="J157" s="1">
        <f>'Paste cell here'!Y157+'Paste cell here'!S157</f>
        <v>3.5594267749999999</v>
      </c>
      <c r="K157" s="1">
        <f t="shared" si="5"/>
        <v>0.85892696624982012</v>
      </c>
      <c r="L157" s="1">
        <f t="shared" si="4"/>
        <v>24.079323987107077</v>
      </c>
      <c r="M157" s="1" cm="1">
        <f t="array" ref="M157">IF(AND(A157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,A157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),IF(L157&lt;_xlfn.IFNA(INDEX(_xlfn.ANCHORARRAY(Sintesi!$C$17)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,1,IF(L157&gt;=_xlfn.IFNA(INDEX(_xlfn.ANCHORARRAY(Sintesi!$C$18)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,0,1-(L157-_xlfn.IFNA(INDEX(_xlfn.ANCHORARRAY(Sintesi!$C$17)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)/(_xlfn.IFNA(INDEX(_xlfn.ANCHORARRAY(Sintesi!$C$18)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-_xlfn.IFNA(INDEX(_xlfn.ANCHORARRAY(Sintesi!$C$17),1,MATCH(1,(_xlfn.ANCHORARRAY(Sintesi!$C$9)&gt;_xlfn.ANCHORARRAY(Sintesi!$C$10))*(A156&gt;=_xlfn.ANCHORARRAY(Sintesi!$C$9))+(_xlfn.ANCHORARRAY(Sintesi!$C$9)&gt;_xlfn.ANCHORARRAY(Sintesi!$C$10))*(A156&lt;=_xlfn.ANCHORARRAY(Sintesi!$C$10))+(_xlfn.ANCHORARRAY(Sintesi!$C$9)&lt;_xlfn.ANCHORARRAY(Sintesi!$C$10))*(A156&gt;=_xlfn.ANCHORARRAY(Sintesi!$C$9))*(A156&lt;=_xlfn.ANCHORARRAY(Sintesi!$C$10)),0)),0)))),0)</f>
        <v>0</v>
      </c>
    </row>
    <row r="158" spans="1:13">
      <c r="A158" s="1">
        <f>'Paste cell here'!A158</f>
        <v>157</v>
      </c>
      <c r="B158" s="2">
        <f>DATE(Sintesi!$C$4-1,12,31)+A158</f>
        <v>44353</v>
      </c>
      <c r="C158" s="34" cm="1">
        <f t="array" ref="C158">_xlfn.IFNA(MATCH(1,(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)*(_xlfn.ANCHORARRAY(Sintesi!$C$15)&gt;=0)+(_xlfn.ANCHORARRAY(Sintesi!$C$15)&lt;0),0),0)</f>
        <v>1</v>
      </c>
      <c r="D158" s="1" cm="1">
        <f t="array" ref="D158">IF(ISBLANK($E159),IF(ISNUMBER($E157),IF($C158&gt;0,IF(($E158=INDEX(_xlfn.ANCHORARRAY(Sintesi!$C$14),1,$C158))*(INDEX(_xlfn.ANCHORARRAY(Sintesi!$C$15),1,$C158)&gt;0),0,IF(($E158=INDEX(_xlfn.ANCHORARRAY(Sintesi!$C$14),1,$C158))*(INDEX(_xlfn.ANCHORARRAY(Sintesi!$C$15),1,$C158)&lt;0)+($E158&gt;=$E157)*($E158&lt;=INDEX($E:$E,MATCH(TRUE,INDEX((ISNUMBER($E:$E)),0),0)))*($E158&gt;INDEX(_xlfn.ANCHORARRAY(Sintesi!$C$14),1,$C158))*($E158&lt;=INDEX(_xlfn.ANCHORARRAY(Sintesi!$C$15),1,$C158))*(INDEX(_xlfn.ANCHORARRAY(Sintesi!$C$15),1,$C158)&gt;0),1,IF(($E158&gt;=$E157)*($E158&lt;=INDEX($E:$E,MATCH(TRUE,INDEX((ISNUMBER($E:$E)),0),0)))*($E158&gt;INDEX(_xlfn.ANCHORARRAY(Sintesi!$C$14),1,$C158))*($E158&lt;INDEX(_xlfn.ANCHORARRAY(Sintesi!$C$16),1,$C158))*(INDEX(_xlfn.ANCHORARRAY(Sintesi!$C$15),1,$C158)&lt;0)+($E158&gt;=$E157)*($E158&lt;=INDEX($E:$E,MATCH(TRUE,INDEX((ISNUMBER($E:$E)),0),0)))*($E158&gt;INDEX(_xlfn.ANCHORARRAY(Sintesi!$C$15),1,$C158))*($E158&lt;INDEX(_xlfn.ANCHORARRAY(Sintesi!$C$16),1,$C158))*(INDEX(_xlfn.ANCHORARRAY(Sintesi!$C$15),1,$C158)&gt;0),2,IF($E158=(INDEX(_xlfn.ANCHORARRAY(Sintesi!$C$16),1,$C158)),3,4)))),0),IF($C158&gt;0,IF(($E158=INDEX(_xlfn.ANCHORARRAY(Sintesi!$C$14),1,$C158))*(INDEX(_xlfn.ANCHORARRAY(Sintesi!$C$15),1,$C158)&gt;0),0,IF(($E158=INDEX(_xlfn.ANCHORARRAY(Sintesi!$C$14),1,$C158))*(INDEX(_xlfn.ANCHORARRAY(Sintesi!$C$15),1,$C158)&lt;0)+($E158&gt;=LOOKUP(2,1/($E:$E&lt;&gt;""),$E:$E))*($E158&lt;=INDEX($E:$E,MATCH(TRUE,INDEX((ISNUMBER($E:$E)),0),0)))*($E158&gt;INDEX(_xlfn.ANCHORARRAY(Sintesi!$C$14),1,$C158))*($E158&lt;=INDEX(_xlfn.ANCHORARRAY(Sintesi!$C$15),1,$C158))*(INDEX(_xlfn.ANCHORARRAY(Sintesi!$C$15),1,$C158)&gt;0),1,IF(($E158&gt;=LOOKUP(2,1/($E:$E&lt;&gt;""),$E:$E))*($E158&lt;=INDEX($E:$E,MATCH(TRUE,INDEX((ISNUMBER($E:$E)),0),0)))*($E158&gt;INDEX(_xlfn.ANCHORARRAY(Sintesi!$C$14),1,$C158))*($E158&lt;INDEX(_xlfn.ANCHORARRAY(Sintesi!$C$16),1,$C158))*(INDEX(_xlfn.ANCHORARRAY(Sintesi!$C$15),1,$C158)&lt;0)+($E158&gt;=LOOKUP(2,1/($E:$E&lt;&gt;""),$E:$E))*($E158&lt;=INDEX($E:$E,MATCH(TRUE,INDEX((ISNUMBER($E:$E)),0),0)))*($E158&gt;INDEX(_xlfn.ANCHORARRAY(Sintesi!$C$15),1,$C158))*($E158&lt;INDEX(_xlfn.ANCHORARRAY(Sintesi!$C$16),1,$C158))*(INDEX(_xlfn.ANCHORARRAY(Sintesi!$C$15),1,$C158)&gt;0),2,IF($E158=(INDEX(_xlfn.ANCHORARRAY(Sintesi!$C$16),1,$C158)),3,4)))),0)),IF(ISNUMBER($E157),IF($C158&gt;0,IF(($E158=INDEX(_xlfn.ANCHORARRAY(Sintesi!$C$14),1,$C158))*(INDEX(_xlfn.ANCHORARRAY(Sintesi!$C$15),1,$C158)&gt;0),0,IF(($E158=INDEX(_xlfn.ANCHORARRAY(Sintesi!$C$14),1,$C158))*(INDEX(_xlfn.ANCHORARRAY(Sintesi!$C$15),1,$C158)&lt;0)+($E158&gt;=$E157)*($E158&lt;=$E159)*($E158&gt;INDEX(_xlfn.ANCHORARRAY(Sintesi!$C$14),1,$C158))*($E158&lt;=INDEX(_xlfn.ANCHORARRAY(Sintesi!$C$15),1,$C158))*(INDEX(_xlfn.ANCHORARRAY(Sintesi!$C$15),1,$C158)&gt;0),1,IF(($E158&gt;=$E157)*($E158&lt;=$E159)*($E158&gt;INDEX(_xlfn.ANCHORARRAY(Sintesi!$C$14),1,$C158))*($E158&lt;INDEX(_xlfn.ANCHORARRAY(Sintesi!$C$16),1,$C158))*(INDEX(_xlfn.ANCHORARRAY(Sintesi!$C$15),1,$C158)&lt;0)+($E158&gt;=$E157)*($E158&lt;=$E159)*($E158&gt;INDEX(_xlfn.ANCHORARRAY(Sintesi!$C$15),1,$C158))*($E158&lt;INDEX(_xlfn.ANCHORARRAY(Sintesi!$C$16),1,$C158))*(INDEX(_xlfn.ANCHORARRAY(Sintesi!$C$15),1,$C158)&gt;0),2,IF($E158=(INDEX(_xlfn.ANCHORARRAY(Sintesi!$C$16),1,$C158)),3,4)))),0),IF($C158&gt;0,IF(($E158=INDEX(_xlfn.ANCHORARRAY(Sintesi!$C$14),1,$C158))*(INDEX(_xlfn.ANCHORARRAY(Sintesi!$C$15),1,$C158)&gt;0),0,IF(($E158=INDEX(_xlfn.ANCHORARRAY(Sintesi!$C$14),1,$C158))*(INDEX(_xlfn.ANCHORARRAY(Sintesi!$C$15),1,$C158)&lt;0)+($E158&gt;=LOOKUP(2,1/($E:$E&lt;&gt;""),$E:$E))*($E158&lt;=$E159)*($E158&gt;INDEX(_xlfn.ANCHORARRAY(Sintesi!$C$14),1,$C158))*($E158&lt;=INDEX(_xlfn.ANCHORARRAY(Sintesi!$C$15),1,$C158))*(INDEX(_xlfn.ANCHORARRAY(Sintesi!$C$15),1,$C158)&gt;0),1,IF(($E158&gt;=LOOKUP(2,1/($E:$E&lt;&gt;""),$E:$E))*($E158&lt;=$E159)*($E158&gt;INDEX(_xlfn.ANCHORARRAY(Sintesi!$C$14),1,$C158))*($E158&lt;INDEX(_xlfn.ANCHORARRAY(Sintesi!$C$16),1,$C158))*(INDEX(_xlfn.ANCHORARRAY(Sintesi!$C$15),1,$C158)&lt;0)+($E158&gt;=LOOKUP(2,1/($E:$E&lt;&gt;""),$E:$E))*($E158&lt;=$E159)*($E158&gt;INDEX(_xlfn.ANCHORARRAY(Sintesi!$C$15),1,$C158))*($E158&lt;INDEX(_xlfn.ANCHORARRAY(Sintesi!$C$16),1,$C158))*(INDEX(_xlfn.ANCHORARRAY(Sintesi!$C$15),1,$C158)&gt;0),2,IF($E158=(INDEX(_xlfn.ANCHORARRAY(Sintesi!$C$16),1,$C158)),3,4)))),0)))</f>
        <v>2</v>
      </c>
      <c r="E158" s="1">
        <f>'Paste cell here'!F158</f>
        <v>0.88</v>
      </c>
      <c r="F158" s="1">
        <f>'Paste cell here'!C158</f>
        <v>29.938750590000001</v>
      </c>
      <c r="G158" s="1">
        <f>'Paste cell here'!D158</f>
        <v>15.913336129999999</v>
      </c>
      <c r="H158" s="1">
        <f>'Paste cell here'!E158</f>
        <v>5.5094186350000003</v>
      </c>
      <c r="I158" s="1">
        <f>'Paste cell here'!X158</f>
        <v>4.8478678329999996</v>
      </c>
      <c r="J158" s="1">
        <f>'Paste cell here'!Y158+'Paste cell here'!S158</f>
        <v>4.8478678329999996</v>
      </c>
      <c r="K158" s="1">
        <f t="shared" si="5"/>
        <v>0.87992366421434576</v>
      </c>
      <c r="L158" s="1">
        <f t="shared" si="4"/>
        <v>24.502031281041674</v>
      </c>
      <c r="M158" s="1" cm="1">
        <f t="array" ref="M158">IF(AND(A158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,A158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),IF(L158&lt;_xlfn.IFNA(INDEX(_xlfn.ANCHORARRAY(Sintesi!$C$17)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,1,IF(L158&gt;=_xlfn.IFNA(INDEX(_xlfn.ANCHORARRAY(Sintesi!$C$18)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,0,1-(L158-_xlfn.IFNA(INDEX(_xlfn.ANCHORARRAY(Sintesi!$C$17)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)/(_xlfn.IFNA(INDEX(_xlfn.ANCHORARRAY(Sintesi!$C$18)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-_xlfn.IFNA(INDEX(_xlfn.ANCHORARRAY(Sintesi!$C$17),1,MATCH(1,(_xlfn.ANCHORARRAY(Sintesi!$C$9)&gt;_xlfn.ANCHORARRAY(Sintesi!$C$10))*(A157&gt;=_xlfn.ANCHORARRAY(Sintesi!$C$9))+(_xlfn.ANCHORARRAY(Sintesi!$C$9)&gt;_xlfn.ANCHORARRAY(Sintesi!$C$10))*(A157&lt;=_xlfn.ANCHORARRAY(Sintesi!$C$10))+(_xlfn.ANCHORARRAY(Sintesi!$C$9)&lt;_xlfn.ANCHORARRAY(Sintesi!$C$10))*(A157&gt;=_xlfn.ANCHORARRAY(Sintesi!$C$9))*(A157&lt;=_xlfn.ANCHORARRAY(Sintesi!$C$10)),0)),0)))),0)</f>
        <v>1</v>
      </c>
    </row>
    <row r="159" spans="1:13">
      <c r="A159" s="1">
        <f>'Paste cell here'!A159</f>
        <v>158</v>
      </c>
      <c r="B159" s="2">
        <f>DATE(Sintesi!$C$4-1,12,31)+A159</f>
        <v>44354</v>
      </c>
      <c r="C159" s="34" cm="1">
        <f t="array" ref="C159">_xlfn.IFNA(MATCH(1,(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)*(_xlfn.ANCHORARRAY(Sintesi!$C$15)&gt;=0)+(_xlfn.ANCHORARRAY(Sintesi!$C$15)&lt;0),0),0)</f>
        <v>1</v>
      </c>
      <c r="D159" s="1" cm="1">
        <f t="array" ref="D159">IF(ISBLANK($E160),IF(ISNUMBER($E158),IF($C159&gt;0,IF(($E159=INDEX(_xlfn.ANCHORARRAY(Sintesi!$C$14),1,$C159))*(INDEX(_xlfn.ANCHORARRAY(Sintesi!$C$15),1,$C159)&gt;0),0,IF(($E159=INDEX(_xlfn.ANCHORARRAY(Sintesi!$C$14),1,$C159))*(INDEX(_xlfn.ANCHORARRAY(Sintesi!$C$15),1,$C159)&lt;0)+($E159&gt;=$E158)*($E159&lt;=INDEX($E:$E,MATCH(TRUE,INDEX((ISNUMBER($E:$E)),0),0)))*($E159&gt;INDEX(_xlfn.ANCHORARRAY(Sintesi!$C$14),1,$C159))*($E159&lt;=INDEX(_xlfn.ANCHORARRAY(Sintesi!$C$15),1,$C159))*(INDEX(_xlfn.ANCHORARRAY(Sintesi!$C$15),1,$C159)&gt;0),1,IF(($E159&gt;=$E158)*($E159&lt;=INDEX($E:$E,MATCH(TRUE,INDEX((ISNUMBER($E:$E)),0),0)))*($E159&gt;INDEX(_xlfn.ANCHORARRAY(Sintesi!$C$14),1,$C159))*($E159&lt;INDEX(_xlfn.ANCHORARRAY(Sintesi!$C$16),1,$C159))*(INDEX(_xlfn.ANCHORARRAY(Sintesi!$C$15),1,$C159)&lt;0)+($E159&gt;=$E158)*($E159&lt;=INDEX($E:$E,MATCH(TRUE,INDEX((ISNUMBER($E:$E)),0),0)))*($E159&gt;INDEX(_xlfn.ANCHORARRAY(Sintesi!$C$15),1,$C159))*($E159&lt;INDEX(_xlfn.ANCHORARRAY(Sintesi!$C$16),1,$C159))*(INDEX(_xlfn.ANCHORARRAY(Sintesi!$C$15),1,$C159)&gt;0),2,IF($E159=(INDEX(_xlfn.ANCHORARRAY(Sintesi!$C$16),1,$C159)),3,4)))),0),IF($C159&gt;0,IF(($E159=INDEX(_xlfn.ANCHORARRAY(Sintesi!$C$14),1,$C159))*(INDEX(_xlfn.ANCHORARRAY(Sintesi!$C$15),1,$C159)&gt;0),0,IF(($E159=INDEX(_xlfn.ANCHORARRAY(Sintesi!$C$14),1,$C159))*(INDEX(_xlfn.ANCHORARRAY(Sintesi!$C$15),1,$C159)&lt;0)+($E159&gt;=LOOKUP(2,1/($E:$E&lt;&gt;""),$E:$E))*($E159&lt;=INDEX($E:$E,MATCH(TRUE,INDEX((ISNUMBER($E:$E)),0),0)))*($E159&gt;INDEX(_xlfn.ANCHORARRAY(Sintesi!$C$14),1,$C159))*($E159&lt;=INDEX(_xlfn.ANCHORARRAY(Sintesi!$C$15),1,$C159))*(INDEX(_xlfn.ANCHORARRAY(Sintesi!$C$15),1,$C159)&gt;0),1,IF(($E159&gt;=LOOKUP(2,1/($E:$E&lt;&gt;""),$E:$E))*($E159&lt;=INDEX($E:$E,MATCH(TRUE,INDEX((ISNUMBER($E:$E)),0),0)))*($E159&gt;INDEX(_xlfn.ANCHORARRAY(Sintesi!$C$14),1,$C159))*($E159&lt;INDEX(_xlfn.ANCHORARRAY(Sintesi!$C$16),1,$C159))*(INDEX(_xlfn.ANCHORARRAY(Sintesi!$C$15),1,$C159)&lt;0)+($E159&gt;=LOOKUP(2,1/($E:$E&lt;&gt;""),$E:$E))*($E159&lt;=INDEX($E:$E,MATCH(TRUE,INDEX((ISNUMBER($E:$E)),0),0)))*($E159&gt;INDEX(_xlfn.ANCHORARRAY(Sintesi!$C$15),1,$C159))*($E159&lt;INDEX(_xlfn.ANCHORARRAY(Sintesi!$C$16),1,$C159))*(INDEX(_xlfn.ANCHORARRAY(Sintesi!$C$15),1,$C159)&gt;0),2,IF($E159=(INDEX(_xlfn.ANCHORARRAY(Sintesi!$C$16),1,$C159)),3,4)))),0)),IF(ISNUMBER($E158),IF($C159&gt;0,IF(($E159=INDEX(_xlfn.ANCHORARRAY(Sintesi!$C$14),1,$C159))*(INDEX(_xlfn.ANCHORARRAY(Sintesi!$C$15),1,$C159)&gt;0),0,IF(($E159=INDEX(_xlfn.ANCHORARRAY(Sintesi!$C$14),1,$C159))*(INDEX(_xlfn.ANCHORARRAY(Sintesi!$C$15),1,$C159)&lt;0)+($E159&gt;=$E158)*($E159&lt;=$E160)*($E159&gt;INDEX(_xlfn.ANCHORARRAY(Sintesi!$C$14),1,$C159))*($E159&lt;=INDEX(_xlfn.ANCHORARRAY(Sintesi!$C$15),1,$C159))*(INDEX(_xlfn.ANCHORARRAY(Sintesi!$C$15),1,$C159)&gt;0),1,IF(($E159&gt;=$E158)*($E159&lt;=$E160)*($E159&gt;INDEX(_xlfn.ANCHORARRAY(Sintesi!$C$14),1,$C159))*($E159&lt;INDEX(_xlfn.ANCHORARRAY(Sintesi!$C$16),1,$C159))*(INDEX(_xlfn.ANCHORARRAY(Sintesi!$C$15),1,$C159)&lt;0)+($E159&gt;=$E158)*($E159&lt;=$E160)*($E159&gt;INDEX(_xlfn.ANCHORARRAY(Sintesi!$C$15),1,$C159))*($E159&lt;INDEX(_xlfn.ANCHORARRAY(Sintesi!$C$16),1,$C159))*(INDEX(_xlfn.ANCHORARRAY(Sintesi!$C$15),1,$C159)&gt;0),2,IF($E159=(INDEX(_xlfn.ANCHORARRAY(Sintesi!$C$16),1,$C159)),3,4)))),0),IF($C159&gt;0,IF(($E159=INDEX(_xlfn.ANCHORARRAY(Sintesi!$C$14),1,$C159))*(INDEX(_xlfn.ANCHORARRAY(Sintesi!$C$15),1,$C159)&gt;0),0,IF(($E159=INDEX(_xlfn.ANCHORARRAY(Sintesi!$C$14),1,$C159))*(INDEX(_xlfn.ANCHORARRAY(Sintesi!$C$15),1,$C159)&lt;0)+($E159&gt;=LOOKUP(2,1/($E:$E&lt;&gt;""),$E:$E))*($E159&lt;=$E160)*($E159&gt;INDEX(_xlfn.ANCHORARRAY(Sintesi!$C$14),1,$C159))*($E159&lt;=INDEX(_xlfn.ANCHORARRAY(Sintesi!$C$15),1,$C159))*(INDEX(_xlfn.ANCHORARRAY(Sintesi!$C$15),1,$C159)&gt;0),1,IF(($E159&gt;=LOOKUP(2,1/($E:$E&lt;&gt;""),$E:$E))*($E159&lt;=$E160)*($E159&gt;INDEX(_xlfn.ANCHORARRAY(Sintesi!$C$14),1,$C159))*($E159&lt;INDEX(_xlfn.ANCHORARRAY(Sintesi!$C$16),1,$C159))*(INDEX(_xlfn.ANCHORARRAY(Sintesi!$C$15),1,$C159)&lt;0)+($E159&gt;=LOOKUP(2,1/($E:$E&lt;&gt;""),$E:$E))*($E159&lt;=$E160)*($E159&gt;INDEX(_xlfn.ANCHORARRAY(Sintesi!$C$15),1,$C159))*($E159&lt;INDEX(_xlfn.ANCHORARRAY(Sintesi!$C$16),1,$C159))*(INDEX(_xlfn.ANCHORARRAY(Sintesi!$C$15),1,$C159)&gt;0),2,IF($E159=(INDEX(_xlfn.ANCHORARRAY(Sintesi!$C$16),1,$C159)),3,4)))),0)))</f>
        <v>2</v>
      </c>
      <c r="E159" s="1">
        <f>'Paste cell here'!F159</f>
        <v>0.9</v>
      </c>
      <c r="F159" s="1">
        <f>'Paste cell here'!C159</f>
        <v>27.587879999999998</v>
      </c>
      <c r="G159" s="1">
        <f>'Paste cell here'!D159</f>
        <v>17.0539253</v>
      </c>
      <c r="H159" s="1">
        <f>'Paste cell here'!E159</f>
        <v>3.9606898240000001</v>
      </c>
      <c r="I159" s="1">
        <f>'Paste cell here'!X159</f>
        <v>3.5643057649999998</v>
      </c>
      <c r="J159" s="1">
        <f>'Paste cell here'!Y159+'Paste cell here'!S159</f>
        <v>3.5643057649999998</v>
      </c>
      <c r="K159" s="1">
        <f t="shared" si="5"/>
        <v>0.8999204490596332</v>
      </c>
      <c r="L159" s="1">
        <f t="shared" si="4"/>
        <v>23.504567162399745</v>
      </c>
      <c r="M159" s="1" cm="1">
        <f t="array" ref="M159">IF(AND(A159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,A159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),IF(L159&lt;_xlfn.IFNA(INDEX(_xlfn.ANCHORARRAY(Sintesi!$C$17)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,1,IF(L159&gt;=_xlfn.IFNA(INDEX(_xlfn.ANCHORARRAY(Sintesi!$C$18)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,0,1-(L159-_xlfn.IFNA(INDEX(_xlfn.ANCHORARRAY(Sintesi!$C$17)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)/(_xlfn.IFNA(INDEX(_xlfn.ANCHORARRAY(Sintesi!$C$18)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-_xlfn.IFNA(INDEX(_xlfn.ANCHORARRAY(Sintesi!$C$17),1,MATCH(1,(_xlfn.ANCHORARRAY(Sintesi!$C$9)&gt;_xlfn.ANCHORARRAY(Sintesi!$C$10))*(A158&gt;=_xlfn.ANCHORARRAY(Sintesi!$C$9))+(_xlfn.ANCHORARRAY(Sintesi!$C$9)&gt;_xlfn.ANCHORARRAY(Sintesi!$C$10))*(A158&lt;=_xlfn.ANCHORARRAY(Sintesi!$C$10))+(_xlfn.ANCHORARRAY(Sintesi!$C$9)&lt;_xlfn.ANCHORARRAY(Sintesi!$C$10))*(A158&gt;=_xlfn.ANCHORARRAY(Sintesi!$C$9))*(A158&lt;=_xlfn.ANCHORARRAY(Sintesi!$C$10)),0)),0)))),0)</f>
        <v>1</v>
      </c>
    </row>
    <row r="160" spans="1:13">
      <c r="A160" s="1">
        <f>'Paste cell here'!A160</f>
        <v>159</v>
      </c>
      <c r="B160" s="2">
        <f>DATE(Sintesi!$C$4-1,12,31)+A160</f>
        <v>44355</v>
      </c>
      <c r="C160" s="34" cm="1">
        <f t="array" ref="C160">_xlfn.IFNA(MATCH(1,(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)*(_xlfn.ANCHORARRAY(Sintesi!$C$15)&gt;=0)+(_xlfn.ANCHORARRAY(Sintesi!$C$15)&lt;0),0),0)</f>
        <v>1</v>
      </c>
      <c r="D160" s="1" cm="1">
        <f t="array" ref="D160">IF(ISBLANK($E161),IF(ISNUMBER($E159),IF($C160&gt;0,IF(($E160=INDEX(_xlfn.ANCHORARRAY(Sintesi!$C$14),1,$C160))*(INDEX(_xlfn.ANCHORARRAY(Sintesi!$C$15),1,$C160)&gt;0),0,IF(($E160=INDEX(_xlfn.ANCHORARRAY(Sintesi!$C$14),1,$C160))*(INDEX(_xlfn.ANCHORARRAY(Sintesi!$C$15),1,$C160)&lt;0)+($E160&gt;=$E159)*($E160&lt;=INDEX($E:$E,MATCH(TRUE,INDEX((ISNUMBER($E:$E)),0),0)))*($E160&gt;INDEX(_xlfn.ANCHORARRAY(Sintesi!$C$14),1,$C160))*($E160&lt;=INDEX(_xlfn.ANCHORARRAY(Sintesi!$C$15),1,$C160))*(INDEX(_xlfn.ANCHORARRAY(Sintesi!$C$15),1,$C160)&gt;0),1,IF(($E160&gt;=$E159)*($E160&lt;=INDEX($E:$E,MATCH(TRUE,INDEX((ISNUMBER($E:$E)),0),0)))*($E160&gt;INDEX(_xlfn.ANCHORARRAY(Sintesi!$C$14),1,$C160))*($E160&lt;INDEX(_xlfn.ANCHORARRAY(Sintesi!$C$16),1,$C160))*(INDEX(_xlfn.ANCHORARRAY(Sintesi!$C$15),1,$C160)&lt;0)+($E160&gt;=$E159)*($E160&lt;=INDEX($E:$E,MATCH(TRUE,INDEX((ISNUMBER($E:$E)),0),0)))*($E160&gt;INDEX(_xlfn.ANCHORARRAY(Sintesi!$C$15),1,$C160))*($E160&lt;INDEX(_xlfn.ANCHORARRAY(Sintesi!$C$16),1,$C160))*(INDEX(_xlfn.ANCHORARRAY(Sintesi!$C$15),1,$C160)&gt;0),2,IF($E160=(INDEX(_xlfn.ANCHORARRAY(Sintesi!$C$16),1,$C160)),3,4)))),0),IF($C160&gt;0,IF(($E160=INDEX(_xlfn.ANCHORARRAY(Sintesi!$C$14),1,$C160))*(INDEX(_xlfn.ANCHORARRAY(Sintesi!$C$15),1,$C160)&gt;0),0,IF(($E160=INDEX(_xlfn.ANCHORARRAY(Sintesi!$C$14),1,$C160))*(INDEX(_xlfn.ANCHORARRAY(Sintesi!$C$15),1,$C160)&lt;0)+($E160&gt;=LOOKUP(2,1/($E:$E&lt;&gt;""),$E:$E))*($E160&lt;=INDEX($E:$E,MATCH(TRUE,INDEX((ISNUMBER($E:$E)),0),0)))*($E160&gt;INDEX(_xlfn.ANCHORARRAY(Sintesi!$C$14),1,$C160))*($E160&lt;=INDEX(_xlfn.ANCHORARRAY(Sintesi!$C$15),1,$C160))*(INDEX(_xlfn.ANCHORARRAY(Sintesi!$C$15),1,$C160)&gt;0),1,IF(($E160&gt;=LOOKUP(2,1/($E:$E&lt;&gt;""),$E:$E))*($E160&lt;=INDEX($E:$E,MATCH(TRUE,INDEX((ISNUMBER($E:$E)),0),0)))*($E160&gt;INDEX(_xlfn.ANCHORARRAY(Sintesi!$C$14),1,$C160))*($E160&lt;INDEX(_xlfn.ANCHORARRAY(Sintesi!$C$16),1,$C160))*(INDEX(_xlfn.ANCHORARRAY(Sintesi!$C$15),1,$C160)&lt;0)+($E160&gt;=LOOKUP(2,1/($E:$E&lt;&gt;""),$E:$E))*($E160&lt;=INDEX($E:$E,MATCH(TRUE,INDEX((ISNUMBER($E:$E)),0),0)))*($E160&gt;INDEX(_xlfn.ANCHORARRAY(Sintesi!$C$15),1,$C160))*($E160&lt;INDEX(_xlfn.ANCHORARRAY(Sintesi!$C$16),1,$C160))*(INDEX(_xlfn.ANCHORARRAY(Sintesi!$C$15),1,$C160)&gt;0),2,IF($E160=(INDEX(_xlfn.ANCHORARRAY(Sintesi!$C$16),1,$C160)),3,4)))),0)),IF(ISNUMBER($E159),IF($C160&gt;0,IF(($E160=INDEX(_xlfn.ANCHORARRAY(Sintesi!$C$14),1,$C160))*(INDEX(_xlfn.ANCHORARRAY(Sintesi!$C$15),1,$C160)&gt;0),0,IF(($E160=INDEX(_xlfn.ANCHORARRAY(Sintesi!$C$14),1,$C160))*(INDEX(_xlfn.ANCHORARRAY(Sintesi!$C$15),1,$C160)&lt;0)+($E160&gt;=$E159)*($E160&lt;=$E161)*($E160&gt;INDEX(_xlfn.ANCHORARRAY(Sintesi!$C$14),1,$C160))*($E160&lt;=INDEX(_xlfn.ANCHORARRAY(Sintesi!$C$15),1,$C160))*(INDEX(_xlfn.ANCHORARRAY(Sintesi!$C$15),1,$C160)&gt;0),1,IF(($E160&gt;=$E159)*($E160&lt;=$E161)*($E160&gt;INDEX(_xlfn.ANCHORARRAY(Sintesi!$C$14),1,$C160))*($E160&lt;INDEX(_xlfn.ANCHORARRAY(Sintesi!$C$16),1,$C160))*(INDEX(_xlfn.ANCHORARRAY(Sintesi!$C$15),1,$C160)&lt;0)+($E160&gt;=$E159)*($E160&lt;=$E161)*($E160&gt;INDEX(_xlfn.ANCHORARRAY(Sintesi!$C$15),1,$C160))*($E160&lt;INDEX(_xlfn.ANCHORARRAY(Sintesi!$C$16),1,$C160))*(INDEX(_xlfn.ANCHORARRAY(Sintesi!$C$15),1,$C160)&gt;0),2,IF($E160=(INDEX(_xlfn.ANCHORARRAY(Sintesi!$C$16),1,$C160)),3,4)))),0),IF($C160&gt;0,IF(($E160=INDEX(_xlfn.ANCHORARRAY(Sintesi!$C$14),1,$C160))*(INDEX(_xlfn.ANCHORARRAY(Sintesi!$C$15),1,$C160)&gt;0),0,IF(($E160=INDEX(_xlfn.ANCHORARRAY(Sintesi!$C$14),1,$C160))*(INDEX(_xlfn.ANCHORARRAY(Sintesi!$C$15),1,$C160)&lt;0)+($E160&gt;=LOOKUP(2,1/($E:$E&lt;&gt;""),$E:$E))*($E160&lt;=$E161)*($E160&gt;INDEX(_xlfn.ANCHORARRAY(Sintesi!$C$14),1,$C160))*($E160&lt;=INDEX(_xlfn.ANCHORARRAY(Sintesi!$C$15),1,$C160))*(INDEX(_xlfn.ANCHORARRAY(Sintesi!$C$15),1,$C160)&gt;0),1,IF(($E160&gt;=LOOKUP(2,1/($E:$E&lt;&gt;""),$E:$E))*($E160&lt;=$E161)*($E160&gt;INDEX(_xlfn.ANCHORARRAY(Sintesi!$C$14),1,$C160))*($E160&lt;INDEX(_xlfn.ANCHORARRAY(Sintesi!$C$16),1,$C160))*(INDEX(_xlfn.ANCHORARRAY(Sintesi!$C$15),1,$C160)&lt;0)+($E160&gt;=LOOKUP(2,1/($E:$E&lt;&gt;""),$E:$E))*($E160&lt;=$E161)*($E160&gt;INDEX(_xlfn.ANCHORARRAY(Sintesi!$C$15),1,$C160))*($E160&lt;INDEX(_xlfn.ANCHORARRAY(Sintesi!$C$16),1,$C160))*(INDEX(_xlfn.ANCHORARRAY(Sintesi!$C$15),1,$C160)&gt;0),2,IF($E160=(INDEX(_xlfn.ANCHORARRAY(Sintesi!$C$16),1,$C160)),3,4)))),0)))</f>
        <v>2</v>
      </c>
      <c r="E160" s="1">
        <f>'Paste cell here'!F160</f>
        <v>0.92100000000000004</v>
      </c>
      <c r="F160" s="1">
        <f>'Paste cell here'!C160</f>
        <v>28.566734929999999</v>
      </c>
      <c r="G160" s="1">
        <f>'Paste cell here'!D160</f>
        <v>17.389511330000001</v>
      </c>
      <c r="H160" s="1">
        <f>'Paste cell here'!E160</f>
        <v>4.2355942280000001</v>
      </c>
      <c r="I160" s="1">
        <f>'Paste cell here'!X160</f>
        <v>3.9006313889999999</v>
      </c>
      <c r="J160" s="1">
        <f>'Paste cell here'!Y160+'Paste cell here'!S160</f>
        <v>3.9006313889999999</v>
      </c>
      <c r="K160" s="1">
        <f t="shared" si="5"/>
        <v>0.92091715566479893</v>
      </c>
      <c r="L160" s="1">
        <f t="shared" si="4"/>
        <v>24.234069571698377</v>
      </c>
      <c r="M160" s="1" cm="1">
        <f t="array" ref="M160">IF(AND(A160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,A160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),IF(L160&lt;_xlfn.IFNA(INDEX(_xlfn.ANCHORARRAY(Sintesi!$C$17)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,1,IF(L160&gt;=_xlfn.IFNA(INDEX(_xlfn.ANCHORARRAY(Sintesi!$C$18)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,0,1-(L160-_xlfn.IFNA(INDEX(_xlfn.ANCHORARRAY(Sintesi!$C$17)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)/(_xlfn.IFNA(INDEX(_xlfn.ANCHORARRAY(Sintesi!$C$18)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-_xlfn.IFNA(INDEX(_xlfn.ANCHORARRAY(Sintesi!$C$17),1,MATCH(1,(_xlfn.ANCHORARRAY(Sintesi!$C$9)&gt;_xlfn.ANCHORARRAY(Sintesi!$C$10))*(A159&gt;=_xlfn.ANCHORARRAY(Sintesi!$C$9))+(_xlfn.ANCHORARRAY(Sintesi!$C$9)&gt;_xlfn.ANCHORARRAY(Sintesi!$C$10))*(A159&lt;=_xlfn.ANCHORARRAY(Sintesi!$C$10))+(_xlfn.ANCHORARRAY(Sintesi!$C$9)&lt;_xlfn.ANCHORARRAY(Sintesi!$C$10))*(A159&gt;=_xlfn.ANCHORARRAY(Sintesi!$C$9))*(A159&lt;=_xlfn.ANCHORARRAY(Sintesi!$C$10)),0)),0)))),0)</f>
        <v>1</v>
      </c>
    </row>
    <row r="161" spans="1:13">
      <c r="A161" s="1">
        <f>'Paste cell here'!A161</f>
        <v>160</v>
      </c>
      <c r="B161" s="2">
        <f>DATE(Sintesi!$C$4-1,12,31)+A161</f>
        <v>44356</v>
      </c>
      <c r="C161" s="34" cm="1">
        <f t="array" ref="C161">_xlfn.IFNA(MATCH(1,(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)*(_xlfn.ANCHORARRAY(Sintesi!$C$15)&gt;=0)+(_xlfn.ANCHORARRAY(Sintesi!$C$15)&lt;0),0),0)</f>
        <v>1</v>
      </c>
      <c r="D161" s="1" cm="1">
        <f t="array" ref="D161">IF(ISBLANK($E162),IF(ISNUMBER($E160),IF($C161&gt;0,IF(($E161=INDEX(_xlfn.ANCHORARRAY(Sintesi!$C$14),1,$C161))*(INDEX(_xlfn.ANCHORARRAY(Sintesi!$C$15),1,$C161)&gt;0),0,IF(($E161=INDEX(_xlfn.ANCHORARRAY(Sintesi!$C$14),1,$C161))*(INDEX(_xlfn.ANCHORARRAY(Sintesi!$C$15),1,$C161)&lt;0)+($E161&gt;=$E160)*($E161&lt;=INDEX($E:$E,MATCH(TRUE,INDEX((ISNUMBER($E:$E)),0),0)))*($E161&gt;INDEX(_xlfn.ANCHORARRAY(Sintesi!$C$14),1,$C161))*($E161&lt;=INDEX(_xlfn.ANCHORARRAY(Sintesi!$C$15),1,$C161))*(INDEX(_xlfn.ANCHORARRAY(Sintesi!$C$15),1,$C161)&gt;0),1,IF(($E161&gt;=$E160)*($E161&lt;=INDEX($E:$E,MATCH(TRUE,INDEX((ISNUMBER($E:$E)),0),0)))*($E161&gt;INDEX(_xlfn.ANCHORARRAY(Sintesi!$C$14),1,$C161))*($E161&lt;INDEX(_xlfn.ANCHORARRAY(Sintesi!$C$16),1,$C161))*(INDEX(_xlfn.ANCHORARRAY(Sintesi!$C$15),1,$C161)&lt;0)+($E161&gt;=$E160)*($E161&lt;=INDEX($E:$E,MATCH(TRUE,INDEX((ISNUMBER($E:$E)),0),0)))*($E161&gt;INDEX(_xlfn.ANCHORARRAY(Sintesi!$C$15),1,$C161))*($E161&lt;INDEX(_xlfn.ANCHORARRAY(Sintesi!$C$16),1,$C161))*(INDEX(_xlfn.ANCHORARRAY(Sintesi!$C$15),1,$C161)&gt;0),2,IF($E161=(INDEX(_xlfn.ANCHORARRAY(Sintesi!$C$16),1,$C161)),3,4)))),0),IF($C161&gt;0,IF(($E161=INDEX(_xlfn.ANCHORARRAY(Sintesi!$C$14),1,$C161))*(INDEX(_xlfn.ANCHORARRAY(Sintesi!$C$15),1,$C161)&gt;0),0,IF(($E161=INDEX(_xlfn.ANCHORARRAY(Sintesi!$C$14),1,$C161))*(INDEX(_xlfn.ANCHORARRAY(Sintesi!$C$15),1,$C161)&lt;0)+($E161&gt;=LOOKUP(2,1/($E:$E&lt;&gt;""),$E:$E))*($E161&lt;=INDEX($E:$E,MATCH(TRUE,INDEX((ISNUMBER($E:$E)),0),0)))*($E161&gt;INDEX(_xlfn.ANCHORARRAY(Sintesi!$C$14),1,$C161))*($E161&lt;=INDEX(_xlfn.ANCHORARRAY(Sintesi!$C$15),1,$C161))*(INDEX(_xlfn.ANCHORARRAY(Sintesi!$C$15),1,$C161)&gt;0),1,IF(($E161&gt;=LOOKUP(2,1/($E:$E&lt;&gt;""),$E:$E))*($E161&lt;=INDEX($E:$E,MATCH(TRUE,INDEX((ISNUMBER($E:$E)),0),0)))*($E161&gt;INDEX(_xlfn.ANCHORARRAY(Sintesi!$C$14),1,$C161))*($E161&lt;INDEX(_xlfn.ANCHORARRAY(Sintesi!$C$16),1,$C161))*(INDEX(_xlfn.ANCHORARRAY(Sintesi!$C$15),1,$C161)&lt;0)+($E161&gt;=LOOKUP(2,1/($E:$E&lt;&gt;""),$E:$E))*($E161&lt;=INDEX($E:$E,MATCH(TRUE,INDEX((ISNUMBER($E:$E)),0),0)))*($E161&gt;INDEX(_xlfn.ANCHORARRAY(Sintesi!$C$15),1,$C161))*($E161&lt;INDEX(_xlfn.ANCHORARRAY(Sintesi!$C$16),1,$C161))*(INDEX(_xlfn.ANCHORARRAY(Sintesi!$C$15),1,$C161)&gt;0),2,IF($E161=(INDEX(_xlfn.ANCHORARRAY(Sintesi!$C$16),1,$C161)),3,4)))),0)),IF(ISNUMBER($E160),IF($C161&gt;0,IF(($E161=INDEX(_xlfn.ANCHORARRAY(Sintesi!$C$14),1,$C161))*(INDEX(_xlfn.ANCHORARRAY(Sintesi!$C$15),1,$C161)&gt;0),0,IF(($E161=INDEX(_xlfn.ANCHORARRAY(Sintesi!$C$14),1,$C161))*(INDEX(_xlfn.ANCHORARRAY(Sintesi!$C$15),1,$C161)&lt;0)+($E161&gt;=$E160)*($E161&lt;=$E162)*($E161&gt;INDEX(_xlfn.ANCHORARRAY(Sintesi!$C$14),1,$C161))*($E161&lt;=INDEX(_xlfn.ANCHORARRAY(Sintesi!$C$15),1,$C161))*(INDEX(_xlfn.ANCHORARRAY(Sintesi!$C$15),1,$C161)&gt;0),1,IF(($E161&gt;=$E160)*($E161&lt;=$E162)*($E161&gt;INDEX(_xlfn.ANCHORARRAY(Sintesi!$C$14),1,$C161))*($E161&lt;INDEX(_xlfn.ANCHORARRAY(Sintesi!$C$16),1,$C161))*(INDEX(_xlfn.ANCHORARRAY(Sintesi!$C$15),1,$C161)&lt;0)+($E161&gt;=$E160)*($E161&lt;=$E162)*($E161&gt;INDEX(_xlfn.ANCHORARRAY(Sintesi!$C$15),1,$C161))*($E161&lt;INDEX(_xlfn.ANCHORARRAY(Sintesi!$C$16),1,$C161))*(INDEX(_xlfn.ANCHORARRAY(Sintesi!$C$15),1,$C161)&gt;0),2,IF($E161=(INDEX(_xlfn.ANCHORARRAY(Sintesi!$C$16),1,$C161)),3,4)))),0),IF($C161&gt;0,IF(($E161=INDEX(_xlfn.ANCHORARRAY(Sintesi!$C$14),1,$C161))*(INDEX(_xlfn.ANCHORARRAY(Sintesi!$C$15),1,$C161)&gt;0),0,IF(($E161=INDEX(_xlfn.ANCHORARRAY(Sintesi!$C$14),1,$C161))*(INDEX(_xlfn.ANCHORARRAY(Sintesi!$C$15),1,$C161)&lt;0)+($E161&gt;=LOOKUP(2,1/($E:$E&lt;&gt;""),$E:$E))*($E161&lt;=$E162)*($E161&gt;INDEX(_xlfn.ANCHORARRAY(Sintesi!$C$14),1,$C161))*($E161&lt;=INDEX(_xlfn.ANCHORARRAY(Sintesi!$C$15),1,$C161))*(INDEX(_xlfn.ANCHORARRAY(Sintesi!$C$15),1,$C161)&gt;0),1,IF(($E161&gt;=LOOKUP(2,1/($E:$E&lt;&gt;""),$E:$E))*($E161&lt;=$E162)*($E161&gt;INDEX(_xlfn.ANCHORARRAY(Sintesi!$C$14),1,$C161))*($E161&lt;INDEX(_xlfn.ANCHORARRAY(Sintesi!$C$16),1,$C161))*(INDEX(_xlfn.ANCHORARRAY(Sintesi!$C$15),1,$C161)&lt;0)+($E161&gt;=LOOKUP(2,1/($E:$E&lt;&gt;""),$E:$E))*($E161&lt;=$E162)*($E161&gt;INDEX(_xlfn.ANCHORARRAY(Sintesi!$C$15),1,$C161))*($E161&lt;INDEX(_xlfn.ANCHORARRAY(Sintesi!$C$16),1,$C161))*(INDEX(_xlfn.ANCHORARRAY(Sintesi!$C$15),1,$C161)&gt;0),2,IF($E161=(INDEX(_xlfn.ANCHORARRAY(Sintesi!$C$16),1,$C161)),3,4)))),0)))</f>
        <v>2</v>
      </c>
      <c r="E161" s="1">
        <f>'Paste cell here'!F161</f>
        <v>0.94199999999999995</v>
      </c>
      <c r="F161" s="1">
        <f>'Paste cell here'!C161</f>
        <v>31.010488670000001</v>
      </c>
      <c r="G161" s="1">
        <f>'Paste cell here'!D161</f>
        <v>14.73326507</v>
      </c>
      <c r="H161" s="1">
        <f>'Paste cell here'!E161</f>
        <v>5.4722578669999997</v>
      </c>
      <c r="I161" s="1">
        <f>'Paste cell here'!X161</f>
        <v>5.1543956499999997</v>
      </c>
      <c r="J161" s="1">
        <f>'Paste cell here'!Y161+'Paste cell here'!S161</f>
        <v>5.1543956499999997</v>
      </c>
      <c r="K161" s="1">
        <f t="shared" si="5"/>
        <v>0.94191388185179614</v>
      </c>
      <c r="L161" s="1">
        <f t="shared" si="4"/>
        <v>24.700892893366383</v>
      </c>
      <c r="M161" s="1" cm="1">
        <f t="array" ref="M161">IF(AND(A161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,A161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),IF(L161&lt;_xlfn.IFNA(INDEX(_xlfn.ANCHORARRAY(Sintesi!$C$17)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,1,IF(L161&gt;=_xlfn.IFNA(INDEX(_xlfn.ANCHORARRAY(Sintesi!$C$18)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,0,1-(L161-_xlfn.IFNA(INDEX(_xlfn.ANCHORARRAY(Sintesi!$C$17)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)/(_xlfn.IFNA(INDEX(_xlfn.ANCHORARRAY(Sintesi!$C$18)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-_xlfn.IFNA(INDEX(_xlfn.ANCHORARRAY(Sintesi!$C$17),1,MATCH(1,(_xlfn.ANCHORARRAY(Sintesi!$C$9)&gt;_xlfn.ANCHORARRAY(Sintesi!$C$10))*(A160&gt;=_xlfn.ANCHORARRAY(Sintesi!$C$9))+(_xlfn.ANCHORARRAY(Sintesi!$C$9)&gt;_xlfn.ANCHORARRAY(Sintesi!$C$10))*(A160&lt;=_xlfn.ANCHORARRAY(Sintesi!$C$10))+(_xlfn.ANCHORARRAY(Sintesi!$C$9)&lt;_xlfn.ANCHORARRAY(Sintesi!$C$10))*(A160&gt;=_xlfn.ANCHORARRAY(Sintesi!$C$9))*(A160&lt;=_xlfn.ANCHORARRAY(Sintesi!$C$10)),0)),0)))),0)</f>
        <v>1</v>
      </c>
    </row>
    <row r="162" spans="1:13">
      <c r="A162" s="1">
        <f>'Paste cell here'!A162</f>
        <v>161</v>
      </c>
      <c r="B162" s="2">
        <f>DATE(Sintesi!$C$4-1,12,31)+A162</f>
        <v>44357</v>
      </c>
      <c r="C162" s="34" cm="1">
        <f t="array" ref="C162">_xlfn.IFNA(MATCH(1,(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)*(_xlfn.ANCHORARRAY(Sintesi!$C$15)&gt;=0)+(_xlfn.ANCHORARRAY(Sintesi!$C$15)&lt;0),0),0)</f>
        <v>1</v>
      </c>
      <c r="D162" s="1" cm="1">
        <f t="array" ref="D162">IF(ISBLANK($E163),IF(ISNUMBER($E161),IF($C162&gt;0,IF(($E162=INDEX(_xlfn.ANCHORARRAY(Sintesi!$C$14),1,$C162))*(INDEX(_xlfn.ANCHORARRAY(Sintesi!$C$15),1,$C162)&gt;0),0,IF(($E162=INDEX(_xlfn.ANCHORARRAY(Sintesi!$C$14),1,$C162))*(INDEX(_xlfn.ANCHORARRAY(Sintesi!$C$15),1,$C162)&lt;0)+($E162&gt;=$E161)*($E162&lt;=INDEX($E:$E,MATCH(TRUE,INDEX((ISNUMBER($E:$E)),0),0)))*($E162&gt;INDEX(_xlfn.ANCHORARRAY(Sintesi!$C$14),1,$C162))*($E162&lt;=INDEX(_xlfn.ANCHORARRAY(Sintesi!$C$15),1,$C162))*(INDEX(_xlfn.ANCHORARRAY(Sintesi!$C$15),1,$C162)&gt;0),1,IF(($E162&gt;=$E161)*($E162&lt;=INDEX($E:$E,MATCH(TRUE,INDEX((ISNUMBER($E:$E)),0),0)))*($E162&gt;INDEX(_xlfn.ANCHORARRAY(Sintesi!$C$14),1,$C162))*($E162&lt;INDEX(_xlfn.ANCHORARRAY(Sintesi!$C$16),1,$C162))*(INDEX(_xlfn.ANCHORARRAY(Sintesi!$C$15),1,$C162)&lt;0)+($E162&gt;=$E161)*($E162&lt;=INDEX($E:$E,MATCH(TRUE,INDEX((ISNUMBER($E:$E)),0),0)))*($E162&gt;INDEX(_xlfn.ANCHORARRAY(Sintesi!$C$15),1,$C162))*($E162&lt;INDEX(_xlfn.ANCHORARRAY(Sintesi!$C$16),1,$C162))*(INDEX(_xlfn.ANCHORARRAY(Sintesi!$C$15),1,$C162)&gt;0),2,IF($E162=(INDEX(_xlfn.ANCHORARRAY(Sintesi!$C$16),1,$C162)),3,4)))),0),IF($C162&gt;0,IF(($E162=INDEX(_xlfn.ANCHORARRAY(Sintesi!$C$14),1,$C162))*(INDEX(_xlfn.ANCHORARRAY(Sintesi!$C$15),1,$C162)&gt;0),0,IF(($E162=INDEX(_xlfn.ANCHORARRAY(Sintesi!$C$14),1,$C162))*(INDEX(_xlfn.ANCHORARRAY(Sintesi!$C$15),1,$C162)&lt;0)+($E162&gt;=LOOKUP(2,1/($E:$E&lt;&gt;""),$E:$E))*($E162&lt;=INDEX($E:$E,MATCH(TRUE,INDEX((ISNUMBER($E:$E)),0),0)))*($E162&gt;INDEX(_xlfn.ANCHORARRAY(Sintesi!$C$14),1,$C162))*($E162&lt;=INDEX(_xlfn.ANCHORARRAY(Sintesi!$C$15),1,$C162))*(INDEX(_xlfn.ANCHORARRAY(Sintesi!$C$15),1,$C162)&gt;0),1,IF(($E162&gt;=LOOKUP(2,1/($E:$E&lt;&gt;""),$E:$E))*($E162&lt;=INDEX($E:$E,MATCH(TRUE,INDEX((ISNUMBER($E:$E)),0),0)))*($E162&gt;INDEX(_xlfn.ANCHORARRAY(Sintesi!$C$14),1,$C162))*($E162&lt;INDEX(_xlfn.ANCHORARRAY(Sintesi!$C$16),1,$C162))*(INDEX(_xlfn.ANCHORARRAY(Sintesi!$C$15),1,$C162)&lt;0)+($E162&gt;=LOOKUP(2,1/($E:$E&lt;&gt;""),$E:$E))*($E162&lt;=INDEX($E:$E,MATCH(TRUE,INDEX((ISNUMBER($E:$E)),0),0)))*($E162&gt;INDEX(_xlfn.ANCHORARRAY(Sintesi!$C$15),1,$C162))*($E162&lt;INDEX(_xlfn.ANCHORARRAY(Sintesi!$C$16),1,$C162))*(INDEX(_xlfn.ANCHORARRAY(Sintesi!$C$15),1,$C162)&gt;0),2,IF($E162=(INDEX(_xlfn.ANCHORARRAY(Sintesi!$C$16),1,$C162)),3,4)))),0)),IF(ISNUMBER($E161),IF($C162&gt;0,IF(($E162=INDEX(_xlfn.ANCHORARRAY(Sintesi!$C$14),1,$C162))*(INDEX(_xlfn.ANCHORARRAY(Sintesi!$C$15),1,$C162)&gt;0),0,IF(($E162=INDEX(_xlfn.ANCHORARRAY(Sintesi!$C$14),1,$C162))*(INDEX(_xlfn.ANCHORARRAY(Sintesi!$C$15),1,$C162)&lt;0)+($E162&gt;=$E161)*($E162&lt;=$E163)*($E162&gt;INDEX(_xlfn.ANCHORARRAY(Sintesi!$C$14),1,$C162))*($E162&lt;=INDEX(_xlfn.ANCHORARRAY(Sintesi!$C$15),1,$C162))*(INDEX(_xlfn.ANCHORARRAY(Sintesi!$C$15),1,$C162)&gt;0),1,IF(($E162&gt;=$E161)*($E162&lt;=$E163)*($E162&gt;INDEX(_xlfn.ANCHORARRAY(Sintesi!$C$14),1,$C162))*($E162&lt;INDEX(_xlfn.ANCHORARRAY(Sintesi!$C$16),1,$C162))*(INDEX(_xlfn.ANCHORARRAY(Sintesi!$C$15),1,$C162)&lt;0)+($E162&gt;=$E161)*($E162&lt;=$E163)*($E162&gt;INDEX(_xlfn.ANCHORARRAY(Sintesi!$C$15),1,$C162))*($E162&lt;INDEX(_xlfn.ANCHORARRAY(Sintesi!$C$16),1,$C162))*(INDEX(_xlfn.ANCHORARRAY(Sintesi!$C$15),1,$C162)&gt;0),2,IF($E162=(INDEX(_xlfn.ANCHORARRAY(Sintesi!$C$16),1,$C162)),3,4)))),0),IF($C162&gt;0,IF(($E162=INDEX(_xlfn.ANCHORARRAY(Sintesi!$C$14),1,$C162))*(INDEX(_xlfn.ANCHORARRAY(Sintesi!$C$15),1,$C162)&gt;0),0,IF(($E162=INDEX(_xlfn.ANCHORARRAY(Sintesi!$C$14),1,$C162))*(INDEX(_xlfn.ANCHORARRAY(Sintesi!$C$15),1,$C162)&lt;0)+($E162&gt;=LOOKUP(2,1/($E:$E&lt;&gt;""),$E:$E))*($E162&lt;=$E163)*($E162&gt;INDEX(_xlfn.ANCHORARRAY(Sintesi!$C$14),1,$C162))*($E162&lt;=INDEX(_xlfn.ANCHORARRAY(Sintesi!$C$15),1,$C162))*(INDEX(_xlfn.ANCHORARRAY(Sintesi!$C$15),1,$C162)&gt;0),1,IF(($E162&gt;=LOOKUP(2,1/($E:$E&lt;&gt;""),$E:$E))*($E162&lt;=$E163)*($E162&gt;INDEX(_xlfn.ANCHORARRAY(Sintesi!$C$14),1,$C162))*($E162&lt;INDEX(_xlfn.ANCHORARRAY(Sintesi!$C$16),1,$C162))*(INDEX(_xlfn.ANCHORARRAY(Sintesi!$C$15),1,$C162)&lt;0)+($E162&gt;=LOOKUP(2,1/($E:$E&lt;&gt;""),$E:$E))*($E162&lt;=$E163)*($E162&gt;INDEX(_xlfn.ANCHORARRAY(Sintesi!$C$15),1,$C162))*($E162&lt;INDEX(_xlfn.ANCHORARRAY(Sintesi!$C$16),1,$C162))*(INDEX(_xlfn.ANCHORARRAY(Sintesi!$C$15),1,$C162)&gt;0),2,IF($E162=(INDEX(_xlfn.ANCHORARRAY(Sintesi!$C$16),1,$C162)),3,4)))),0)))</f>
        <v>2</v>
      </c>
      <c r="E162" s="1">
        <f>'Paste cell here'!F162</f>
        <v>0.96299999999999997</v>
      </c>
      <c r="F162" s="1">
        <f>'Paste cell here'!C162</f>
        <v>30.513336129999999</v>
      </c>
      <c r="G162" s="1">
        <f>'Paste cell here'!D162</f>
        <v>15.41798051</v>
      </c>
      <c r="H162" s="1">
        <f>'Paste cell here'!E162</f>
        <v>5.5678926000000004</v>
      </c>
      <c r="I162" s="1">
        <f>'Paste cell here'!X162</f>
        <v>5.3613830179999997</v>
      </c>
      <c r="J162" s="1">
        <f>'Paste cell here'!Y162+'Paste cell here'!S162</f>
        <v>5.3613830179999997</v>
      </c>
      <c r="K162" s="1">
        <f t="shared" si="5"/>
        <v>0.96291063839844893</v>
      </c>
      <c r="L162" s="1">
        <f t="shared" si="4"/>
        <v>24.661871874957477</v>
      </c>
      <c r="M162" s="1" cm="1">
        <f t="array" ref="M162">IF(AND(A162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,A162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),IF(L162&lt;_xlfn.IFNA(INDEX(_xlfn.ANCHORARRAY(Sintesi!$C$17)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,1,IF(L162&gt;=_xlfn.IFNA(INDEX(_xlfn.ANCHORARRAY(Sintesi!$C$18)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,0,1-(L162-_xlfn.IFNA(INDEX(_xlfn.ANCHORARRAY(Sintesi!$C$17)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)/(_xlfn.IFNA(INDEX(_xlfn.ANCHORARRAY(Sintesi!$C$18)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-_xlfn.IFNA(INDEX(_xlfn.ANCHORARRAY(Sintesi!$C$17),1,MATCH(1,(_xlfn.ANCHORARRAY(Sintesi!$C$9)&gt;_xlfn.ANCHORARRAY(Sintesi!$C$10))*(A161&gt;=_xlfn.ANCHORARRAY(Sintesi!$C$9))+(_xlfn.ANCHORARRAY(Sintesi!$C$9)&gt;_xlfn.ANCHORARRAY(Sintesi!$C$10))*(A161&lt;=_xlfn.ANCHORARRAY(Sintesi!$C$10))+(_xlfn.ANCHORARRAY(Sintesi!$C$9)&lt;_xlfn.ANCHORARRAY(Sintesi!$C$10))*(A161&gt;=_xlfn.ANCHORARRAY(Sintesi!$C$9))*(A161&lt;=_xlfn.ANCHORARRAY(Sintesi!$C$10)),0)),0)))),0)</f>
        <v>1</v>
      </c>
    </row>
    <row r="163" spans="1:13">
      <c r="A163" s="1">
        <f>'Paste cell here'!A163</f>
        <v>162</v>
      </c>
      <c r="B163" s="2">
        <f>DATE(Sintesi!$C$4-1,12,31)+A163</f>
        <v>44358</v>
      </c>
      <c r="C163" s="34" cm="1">
        <f t="array" ref="C163">_xlfn.IFNA(MATCH(1,(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)*(_xlfn.ANCHORARRAY(Sintesi!$C$15)&gt;=0)+(_xlfn.ANCHORARRAY(Sintesi!$C$15)&lt;0),0),0)</f>
        <v>1</v>
      </c>
      <c r="D163" s="1" cm="1">
        <f t="array" ref="D163">IF(ISBLANK($E164),IF(ISNUMBER($E162),IF($C163&gt;0,IF(($E163=INDEX(_xlfn.ANCHORARRAY(Sintesi!$C$14),1,$C163))*(INDEX(_xlfn.ANCHORARRAY(Sintesi!$C$15),1,$C163)&gt;0),0,IF(($E163=INDEX(_xlfn.ANCHORARRAY(Sintesi!$C$14),1,$C163))*(INDEX(_xlfn.ANCHORARRAY(Sintesi!$C$15),1,$C163)&lt;0)+($E163&gt;=$E162)*($E163&lt;=INDEX($E:$E,MATCH(TRUE,INDEX((ISNUMBER($E:$E)),0),0)))*($E163&gt;INDEX(_xlfn.ANCHORARRAY(Sintesi!$C$14),1,$C163))*($E163&lt;=INDEX(_xlfn.ANCHORARRAY(Sintesi!$C$15),1,$C163))*(INDEX(_xlfn.ANCHORARRAY(Sintesi!$C$15),1,$C163)&gt;0),1,IF(($E163&gt;=$E162)*($E163&lt;=INDEX($E:$E,MATCH(TRUE,INDEX((ISNUMBER($E:$E)),0),0)))*($E163&gt;INDEX(_xlfn.ANCHORARRAY(Sintesi!$C$14),1,$C163))*($E163&lt;INDEX(_xlfn.ANCHORARRAY(Sintesi!$C$16),1,$C163))*(INDEX(_xlfn.ANCHORARRAY(Sintesi!$C$15),1,$C163)&lt;0)+($E163&gt;=$E162)*($E163&lt;=INDEX($E:$E,MATCH(TRUE,INDEX((ISNUMBER($E:$E)),0),0)))*($E163&gt;INDEX(_xlfn.ANCHORARRAY(Sintesi!$C$15),1,$C163))*($E163&lt;INDEX(_xlfn.ANCHORARRAY(Sintesi!$C$16),1,$C163))*(INDEX(_xlfn.ANCHORARRAY(Sintesi!$C$15),1,$C163)&gt;0),2,IF($E163=(INDEX(_xlfn.ANCHORARRAY(Sintesi!$C$16),1,$C163)),3,4)))),0),IF($C163&gt;0,IF(($E163=INDEX(_xlfn.ANCHORARRAY(Sintesi!$C$14),1,$C163))*(INDEX(_xlfn.ANCHORARRAY(Sintesi!$C$15),1,$C163)&gt;0),0,IF(($E163=INDEX(_xlfn.ANCHORARRAY(Sintesi!$C$14),1,$C163))*(INDEX(_xlfn.ANCHORARRAY(Sintesi!$C$15),1,$C163)&lt;0)+($E163&gt;=LOOKUP(2,1/($E:$E&lt;&gt;""),$E:$E))*($E163&lt;=INDEX($E:$E,MATCH(TRUE,INDEX((ISNUMBER($E:$E)),0),0)))*($E163&gt;INDEX(_xlfn.ANCHORARRAY(Sintesi!$C$14),1,$C163))*($E163&lt;=INDEX(_xlfn.ANCHORARRAY(Sintesi!$C$15),1,$C163))*(INDEX(_xlfn.ANCHORARRAY(Sintesi!$C$15),1,$C163)&gt;0),1,IF(($E163&gt;=LOOKUP(2,1/($E:$E&lt;&gt;""),$E:$E))*($E163&lt;=INDEX($E:$E,MATCH(TRUE,INDEX((ISNUMBER($E:$E)),0),0)))*($E163&gt;INDEX(_xlfn.ANCHORARRAY(Sintesi!$C$14),1,$C163))*($E163&lt;INDEX(_xlfn.ANCHORARRAY(Sintesi!$C$16),1,$C163))*(INDEX(_xlfn.ANCHORARRAY(Sintesi!$C$15),1,$C163)&lt;0)+($E163&gt;=LOOKUP(2,1/($E:$E&lt;&gt;""),$E:$E))*($E163&lt;=INDEX($E:$E,MATCH(TRUE,INDEX((ISNUMBER($E:$E)),0),0)))*($E163&gt;INDEX(_xlfn.ANCHORARRAY(Sintesi!$C$15),1,$C163))*($E163&lt;INDEX(_xlfn.ANCHORARRAY(Sintesi!$C$16),1,$C163))*(INDEX(_xlfn.ANCHORARRAY(Sintesi!$C$15),1,$C163)&gt;0),2,IF($E163=(INDEX(_xlfn.ANCHORARRAY(Sintesi!$C$16),1,$C163)),3,4)))),0)),IF(ISNUMBER($E162),IF($C163&gt;0,IF(($E163=INDEX(_xlfn.ANCHORARRAY(Sintesi!$C$14),1,$C163))*(INDEX(_xlfn.ANCHORARRAY(Sintesi!$C$15),1,$C163)&gt;0),0,IF(($E163=INDEX(_xlfn.ANCHORARRAY(Sintesi!$C$14),1,$C163))*(INDEX(_xlfn.ANCHORARRAY(Sintesi!$C$15),1,$C163)&lt;0)+($E163&gt;=$E162)*($E163&lt;=$E164)*($E163&gt;INDEX(_xlfn.ANCHORARRAY(Sintesi!$C$14),1,$C163))*($E163&lt;=INDEX(_xlfn.ANCHORARRAY(Sintesi!$C$15),1,$C163))*(INDEX(_xlfn.ANCHORARRAY(Sintesi!$C$15),1,$C163)&gt;0),1,IF(($E163&gt;=$E162)*($E163&lt;=$E164)*($E163&gt;INDEX(_xlfn.ANCHORARRAY(Sintesi!$C$14),1,$C163))*($E163&lt;INDEX(_xlfn.ANCHORARRAY(Sintesi!$C$16),1,$C163))*(INDEX(_xlfn.ANCHORARRAY(Sintesi!$C$15),1,$C163)&lt;0)+($E163&gt;=$E162)*($E163&lt;=$E164)*($E163&gt;INDEX(_xlfn.ANCHORARRAY(Sintesi!$C$15),1,$C163))*($E163&lt;INDEX(_xlfn.ANCHORARRAY(Sintesi!$C$16),1,$C163))*(INDEX(_xlfn.ANCHORARRAY(Sintesi!$C$15),1,$C163)&gt;0),2,IF($E163=(INDEX(_xlfn.ANCHORARRAY(Sintesi!$C$16),1,$C163)),3,4)))),0),IF($C163&gt;0,IF(($E163=INDEX(_xlfn.ANCHORARRAY(Sintesi!$C$14),1,$C163))*(INDEX(_xlfn.ANCHORARRAY(Sintesi!$C$15),1,$C163)&gt;0),0,IF(($E163=INDEX(_xlfn.ANCHORARRAY(Sintesi!$C$14),1,$C163))*(INDEX(_xlfn.ANCHORARRAY(Sintesi!$C$15),1,$C163)&lt;0)+($E163&gt;=LOOKUP(2,1/($E:$E&lt;&gt;""),$E:$E))*($E163&lt;=$E164)*($E163&gt;INDEX(_xlfn.ANCHORARRAY(Sintesi!$C$14),1,$C163))*($E163&lt;=INDEX(_xlfn.ANCHORARRAY(Sintesi!$C$15),1,$C163))*(INDEX(_xlfn.ANCHORARRAY(Sintesi!$C$15),1,$C163)&gt;0),1,IF(($E163&gt;=LOOKUP(2,1/($E:$E&lt;&gt;""),$E:$E))*($E163&lt;=$E164)*($E163&gt;INDEX(_xlfn.ANCHORARRAY(Sintesi!$C$14),1,$C163))*($E163&lt;INDEX(_xlfn.ANCHORARRAY(Sintesi!$C$16),1,$C163))*(INDEX(_xlfn.ANCHORARRAY(Sintesi!$C$15),1,$C163)&lt;0)+($E163&gt;=LOOKUP(2,1/($E:$E&lt;&gt;""),$E:$E))*($E163&lt;=$E164)*($E163&gt;INDEX(_xlfn.ANCHORARRAY(Sintesi!$C$15),1,$C163))*($E163&lt;INDEX(_xlfn.ANCHORARRAY(Sintesi!$C$16),1,$C163))*(INDEX(_xlfn.ANCHORARRAY(Sintesi!$C$15),1,$C163)&gt;0),2,IF($E163=(INDEX(_xlfn.ANCHORARRAY(Sintesi!$C$16),1,$C163)),3,4)))),0)))</f>
        <v>2</v>
      </c>
      <c r="E163" s="1">
        <f>'Paste cell here'!F163</f>
        <v>0.98399999999999999</v>
      </c>
      <c r="F163" s="1">
        <f>'Paste cell here'!C163</f>
        <v>31.131148899999999</v>
      </c>
      <c r="G163" s="1">
        <f>'Paste cell here'!D163</f>
        <v>18</v>
      </c>
      <c r="H163" s="1">
        <f>'Paste cell here'!E163</f>
        <v>5.5652975629999997</v>
      </c>
      <c r="I163" s="1">
        <f>'Paste cell here'!X163</f>
        <v>5.4757376579999999</v>
      </c>
      <c r="J163" s="1">
        <f>'Paste cell here'!Y163+'Paste cell here'!S163</f>
        <v>5.4757376579999999</v>
      </c>
      <c r="K163" s="1">
        <f t="shared" si="5"/>
        <v>0.98390743639739509</v>
      </c>
      <c r="L163" s="1">
        <f t="shared" si="4"/>
        <v>26.041076804302595</v>
      </c>
      <c r="M163" s="1" cm="1">
        <f t="array" ref="M163">IF(AND(A163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,A163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),IF(L163&lt;_xlfn.IFNA(INDEX(_xlfn.ANCHORARRAY(Sintesi!$C$17)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,1,IF(L163&gt;=_xlfn.IFNA(INDEX(_xlfn.ANCHORARRAY(Sintesi!$C$18)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,0,1-(L163-_xlfn.IFNA(INDEX(_xlfn.ANCHORARRAY(Sintesi!$C$17)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)/(_xlfn.IFNA(INDEX(_xlfn.ANCHORARRAY(Sintesi!$C$18)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-_xlfn.IFNA(INDEX(_xlfn.ANCHORARRAY(Sintesi!$C$17),1,MATCH(1,(_xlfn.ANCHORARRAY(Sintesi!$C$9)&gt;_xlfn.ANCHORARRAY(Sintesi!$C$10))*(A162&gt;=_xlfn.ANCHORARRAY(Sintesi!$C$9))+(_xlfn.ANCHORARRAY(Sintesi!$C$9)&gt;_xlfn.ANCHORARRAY(Sintesi!$C$10))*(A162&lt;=_xlfn.ANCHORARRAY(Sintesi!$C$10))+(_xlfn.ANCHORARRAY(Sintesi!$C$9)&lt;_xlfn.ANCHORARRAY(Sintesi!$C$10))*(A162&gt;=_xlfn.ANCHORARRAY(Sintesi!$C$9))*(A162&lt;=_xlfn.ANCHORARRAY(Sintesi!$C$10)),0)),0)))),0)</f>
        <v>1</v>
      </c>
    </row>
    <row r="164" spans="1:13">
      <c r="A164" s="1">
        <f>'Paste cell here'!A164</f>
        <v>163</v>
      </c>
      <c r="B164" s="2">
        <f>DATE(Sintesi!$C$4-1,12,31)+A164</f>
        <v>44359</v>
      </c>
      <c r="C164" s="34" cm="1">
        <f t="array" ref="C164">_xlfn.IFNA(MATCH(1,(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)*(_xlfn.ANCHORARRAY(Sintesi!$C$15)&gt;=0)+(_xlfn.ANCHORARRAY(Sintesi!$C$15)&lt;0),0),0)</f>
        <v>1</v>
      </c>
      <c r="D164" s="1" cm="1">
        <f t="array" ref="D164">IF(ISBLANK($E165),IF(ISNUMBER($E163),IF($C164&gt;0,IF(($E164=INDEX(_xlfn.ANCHORARRAY(Sintesi!$C$14),1,$C164))*(INDEX(_xlfn.ANCHORARRAY(Sintesi!$C$15),1,$C164)&gt;0),0,IF(($E164=INDEX(_xlfn.ANCHORARRAY(Sintesi!$C$14),1,$C164))*(INDEX(_xlfn.ANCHORARRAY(Sintesi!$C$15),1,$C164)&lt;0)+($E164&gt;=$E163)*($E164&lt;=INDEX($E:$E,MATCH(TRUE,INDEX((ISNUMBER($E:$E)),0),0)))*($E164&gt;INDEX(_xlfn.ANCHORARRAY(Sintesi!$C$14),1,$C164))*($E164&lt;=INDEX(_xlfn.ANCHORARRAY(Sintesi!$C$15),1,$C164))*(INDEX(_xlfn.ANCHORARRAY(Sintesi!$C$15),1,$C164)&gt;0),1,IF(($E164&gt;=$E163)*($E164&lt;=INDEX($E:$E,MATCH(TRUE,INDEX((ISNUMBER($E:$E)),0),0)))*($E164&gt;INDEX(_xlfn.ANCHORARRAY(Sintesi!$C$14),1,$C164))*($E164&lt;INDEX(_xlfn.ANCHORARRAY(Sintesi!$C$16),1,$C164))*(INDEX(_xlfn.ANCHORARRAY(Sintesi!$C$15),1,$C164)&lt;0)+($E164&gt;=$E163)*($E164&lt;=INDEX($E:$E,MATCH(TRUE,INDEX((ISNUMBER($E:$E)),0),0)))*($E164&gt;INDEX(_xlfn.ANCHORARRAY(Sintesi!$C$15),1,$C164))*($E164&lt;INDEX(_xlfn.ANCHORARRAY(Sintesi!$C$16),1,$C164))*(INDEX(_xlfn.ANCHORARRAY(Sintesi!$C$15),1,$C164)&gt;0),2,IF($E164=(INDEX(_xlfn.ANCHORARRAY(Sintesi!$C$16),1,$C164)),3,4)))),0),IF($C164&gt;0,IF(($E164=INDEX(_xlfn.ANCHORARRAY(Sintesi!$C$14),1,$C164))*(INDEX(_xlfn.ANCHORARRAY(Sintesi!$C$15),1,$C164)&gt;0),0,IF(($E164=INDEX(_xlfn.ANCHORARRAY(Sintesi!$C$14),1,$C164))*(INDEX(_xlfn.ANCHORARRAY(Sintesi!$C$15),1,$C164)&lt;0)+($E164&gt;=LOOKUP(2,1/($E:$E&lt;&gt;""),$E:$E))*($E164&lt;=INDEX($E:$E,MATCH(TRUE,INDEX((ISNUMBER($E:$E)),0),0)))*($E164&gt;INDEX(_xlfn.ANCHORARRAY(Sintesi!$C$14),1,$C164))*($E164&lt;=INDEX(_xlfn.ANCHORARRAY(Sintesi!$C$15),1,$C164))*(INDEX(_xlfn.ANCHORARRAY(Sintesi!$C$15),1,$C164)&gt;0),1,IF(($E164&gt;=LOOKUP(2,1/($E:$E&lt;&gt;""),$E:$E))*($E164&lt;=INDEX($E:$E,MATCH(TRUE,INDEX((ISNUMBER($E:$E)),0),0)))*($E164&gt;INDEX(_xlfn.ANCHORARRAY(Sintesi!$C$14),1,$C164))*($E164&lt;INDEX(_xlfn.ANCHORARRAY(Sintesi!$C$16),1,$C164))*(INDEX(_xlfn.ANCHORARRAY(Sintesi!$C$15),1,$C164)&lt;0)+($E164&gt;=LOOKUP(2,1/($E:$E&lt;&gt;""),$E:$E))*($E164&lt;=INDEX($E:$E,MATCH(TRUE,INDEX((ISNUMBER($E:$E)),0),0)))*($E164&gt;INDEX(_xlfn.ANCHORARRAY(Sintesi!$C$15),1,$C164))*($E164&lt;INDEX(_xlfn.ANCHORARRAY(Sintesi!$C$16),1,$C164))*(INDEX(_xlfn.ANCHORARRAY(Sintesi!$C$15),1,$C164)&gt;0),2,IF($E164=(INDEX(_xlfn.ANCHORARRAY(Sintesi!$C$16),1,$C164)),3,4)))),0)),IF(ISNUMBER($E163),IF($C164&gt;0,IF(($E164=INDEX(_xlfn.ANCHORARRAY(Sintesi!$C$14),1,$C164))*(INDEX(_xlfn.ANCHORARRAY(Sintesi!$C$15),1,$C164)&gt;0),0,IF(($E164=INDEX(_xlfn.ANCHORARRAY(Sintesi!$C$14),1,$C164))*(INDEX(_xlfn.ANCHORARRAY(Sintesi!$C$15),1,$C164)&lt;0)+($E164&gt;=$E163)*($E164&lt;=$E165)*($E164&gt;INDEX(_xlfn.ANCHORARRAY(Sintesi!$C$14),1,$C164))*($E164&lt;=INDEX(_xlfn.ANCHORARRAY(Sintesi!$C$15),1,$C164))*(INDEX(_xlfn.ANCHORARRAY(Sintesi!$C$15),1,$C164)&gt;0),1,IF(($E164&gt;=$E163)*($E164&lt;=$E165)*($E164&gt;INDEX(_xlfn.ANCHORARRAY(Sintesi!$C$14),1,$C164))*($E164&lt;INDEX(_xlfn.ANCHORARRAY(Sintesi!$C$16),1,$C164))*(INDEX(_xlfn.ANCHORARRAY(Sintesi!$C$15),1,$C164)&lt;0)+($E164&gt;=$E163)*($E164&lt;=$E165)*($E164&gt;INDEX(_xlfn.ANCHORARRAY(Sintesi!$C$15),1,$C164))*($E164&lt;INDEX(_xlfn.ANCHORARRAY(Sintesi!$C$16),1,$C164))*(INDEX(_xlfn.ANCHORARRAY(Sintesi!$C$15),1,$C164)&gt;0),2,IF($E164=(INDEX(_xlfn.ANCHORARRAY(Sintesi!$C$16),1,$C164)),3,4)))),0),IF($C164&gt;0,IF(($E164=INDEX(_xlfn.ANCHORARRAY(Sintesi!$C$14),1,$C164))*(INDEX(_xlfn.ANCHORARRAY(Sintesi!$C$15),1,$C164)&gt;0),0,IF(($E164=INDEX(_xlfn.ANCHORARRAY(Sintesi!$C$14),1,$C164))*(INDEX(_xlfn.ANCHORARRAY(Sintesi!$C$15),1,$C164)&lt;0)+($E164&gt;=LOOKUP(2,1/($E:$E&lt;&gt;""),$E:$E))*($E164&lt;=$E165)*($E164&gt;INDEX(_xlfn.ANCHORARRAY(Sintesi!$C$14),1,$C164))*($E164&lt;=INDEX(_xlfn.ANCHORARRAY(Sintesi!$C$15),1,$C164))*(INDEX(_xlfn.ANCHORARRAY(Sintesi!$C$15),1,$C164)&gt;0),1,IF(($E164&gt;=LOOKUP(2,1/($E:$E&lt;&gt;""),$E:$E))*($E164&lt;=$E165)*($E164&gt;INDEX(_xlfn.ANCHORARRAY(Sintesi!$C$14),1,$C164))*($E164&lt;INDEX(_xlfn.ANCHORARRAY(Sintesi!$C$16),1,$C164))*(INDEX(_xlfn.ANCHORARRAY(Sintesi!$C$15),1,$C164)&lt;0)+($E164&gt;=LOOKUP(2,1/($E:$E&lt;&gt;""),$E:$E))*($E164&lt;=$E165)*($E164&gt;INDEX(_xlfn.ANCHORARRAY(Sintesi!$C$15),1,$C164))*($E164&lt;INDEX(_xlfn.ANCHORARRAY(Sintesi!$C$16),1,$C164))*(INDEX(_xlfn.ANCHORARRAY(Sintesi!$C$15),1,$C164)&gt;0),2,IF($E164=(INDEX(_xlfn.ANCHORARRAY(Sintesi!$C$16),1,$C164)),3,4)))),0)))</f>
        <v>2</v>
      </c>
      <c r="E164" s="1">
        <f>'Paste cell here'!F164</f>
        <v>1.0049999999999999</v>
      </c>
      <c r="F164" s="1">
        <f>'Paste cell here'!C164</f>
        <v>32.44928093</v>
      </c>
      <c r="G164" s="1">
        <f>'Paste cell here'!D164</f>
        <v>15.76124941</v>
      </c>
      <c r="H164" s="1">
        <f>'Paste cell here'!E164</f>
        <v>5.8659113810000001</v>
      </c>
      <c r="I164" s="1">
        <f>'Paste cell here'!X164</f>
        <v>5.8946794960000002</v>
      </c>
      <c r="J164" s="1">
        <f>'Paste cell here'!Y164+'Paste cell here'!S164</f>
        <v>5.8946794960000002</v>
      </c>
      <c r="K164" s="1">
        <f t="shared" si="5"/>
        <v>1.0049042873530585</v>
      </c>
      <c r="L164" s="1">
        <f t="shared" si="4"/>
        <v>25.980442276280161</v>
      </c>
      <c r="M164" s="1" cm="1">
        <f t="array" ref="M164">IF(AND(A164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,A164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),IF(L164&lt;_xlfn.IFNA(INDEX(_xlfn.ANCHORARRAY(Sintesi!$C$17)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,1,IF(L164&gt;=_xlfn.IFNA(INDEX(_xlfn.ANCHORARRAY(Sintesi!$C$18)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,0,1-(L164-_xlfn.IFNA(INDEX(_xlfn.ANCHORARRAY(Sintesi!$C$17)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)/(_xlfn.IFNA(INDEX(_xlfn.ANCHORARRAY(Sintesi!$C$18)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-_xlfn.IFNA(INDEX(_xlfn.ANCHORARRAY(Sintesi!$C$17),1,MATCH(1,(_xlfn.ANCHORARRAY(Sintesi!$C$9)&gt;_xlfn.ANCHORARRAY(Sintesi!$C$10))*(A163&gt;=_xlfn.ANCHORARRAY(Sintesi!$C$9))+(_xlfn.ANCHORARRAY(Sintesi!$C$9)&gt;_xlfn.ANCHORARRAY(Sintesi!$C$10))*(A163&lt;=_xlfn.ANCHORARRAY(Sintesi!$C$10))+(_xlfn.ANCHORARRAY(Sintesi!$C$9)&lt;_xlfn.ANCHORARRAY(Sintesi!$C$10))*(A163&gt;=_xlfn.ANCHORARRAY(Sintesi!$C$9))*(A163&lt;=_xlfn.ANCHORARRAY(Sintesi!$C$10)),0)),0)))),0)</f>
        <v>1</v>
      </c>
    </row>
    <row r="165" spans="1:13">
      <c r="A165" s="1">
        <f>'Paste cell here'!A165</f>
        <v>164</v>
      </c>
      <c r="B165" s="2">
        <f>DATE(Sintesi!$C$4-1,12,31)+A165</f>
        <v>44360</v>
      </c>
      <c r="C165" s="34" cm="1">
        <f t="array" ref="C165">_xlfn.IFNA(MATCH(1,(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)*(_xlfn.ANCHORARRAY(Sintesi!$C$15)&gt;=0)+(_xlfn.ANCHORARRAY(Sintesi!$C$15)&lt;0),0),0)</f>
        <v>1</v>
      </c>
      <c r="D165" s="1" cm="1">
        <f t="array" ref="D165">IF(ISBLANK($E166),IF(ISNUMBER($E164),IF($C165&gt;0,IF(($E165=INDEX(_xlfn.ANCHORARRAY(Sintesi!$C$14),1,$C165))*(INDEX(_xlfn.ANCHORARRAY(Sintesi!$C$15),1,$C165)&gt;0),0,IF(($E165=INDEX(_xlfn.ANCHORARRAY(Sintesi!$C$14),1,$C165))*(INDEX(_xlfn.ANCHORARRAY(Sintesi!$C$15),1,$C165)&lt;0)+($E165&gt;=$E164)*($E165&lt;=INDEX($E:$E,MATCH(TRUE,INDEX((ISNUMBER($E:$E)),0),0)))*($E165&gt;INDEX(_xlfn.ANCHORARRAY(Sintesi!$C$14),1,$C165))*($E165&lt;=INDEX(_xlfn.ANCHORARRAY(Sintesi!$C$15),1,$C165))*(INDEX(_xlfn.ANCHORARRAY(Sintesi!$C$15),1,$C165)&gt;0),1,IF(($E165&gt;=$E164)*($E165&lt;=INDEX($E:$E,MATCH(TRUE,INDEX((ISNUMBER($E:$E)),0),0)))*($E165&gt;INDEX(_xlfn.ANCHORARRAY(Sintesi!$C$14),1,$C165))*($E165&lt;INDEX(_xlfn.ANCHORARRAY(Sintesi!$C$16),1,$C165))*(INDEX(_xlfn.ANCHORARRAY(Sintesi!$C$15),1,$C165)&lt;0)+($E165&gt;=$E164)*($E165&lt;=INDEX($E:$E,MATCH(TRUE,INDEX((ISNUMBER($E:$E)),0),0)))*($E165&gt;INDEX(_xlfn.ANCHORARRAY(Sintesi!$C$15),1,$C165))*($E165&lt;INDEX(_xlfn.ANCHORARRAY(Sintesi!$C$16),1,$C165))*(INDEX(_xlfn.ANCHORARRAY(Sintesi!$C$15),1,$C165)&gt;0),2,IF($E165=(INDEX(_xlfn.ANCHORARRAY(Sintesi!$C$16),1,$C165)),3,4)))),0),IF($C165&gt;0,IF(($E165=INDEX(_xlfn.ANCHORARRAY(Sintesi!$C$14),1,$C165))*(INDEX(_xlfn.ANCHORARRAY(Sintesi!$C$15),1,$C165)&gt;0),0,IF(($E165=INDEX(_xlfn.ANCHORARRAY(Sintesi!$C$14),1,$C165))*(INDEX(_xlfn.ANCHORARRAY(Sintesi!$C$15),1,$C165)&lt;0)+($E165&gt;=LOOKUP(2,1/($E:$E&lt;&gt;""),$E:$E))*($E165&lt;=INDEX($E:$E,MATCH(TRUE,INDEX((ISNUMBER($E:$E)),0),0)))*($E165&gt;INDEX(_xlfn.ANCHORARRAY(Sintesi!$C$14),1,$C165))*($E165&lt;=INDEX(_xlfn.ANCHORARRAY(Sintesi!$C$15),1,$C165))*(INDEX(_xlfn.ANCHORARRAY(Sintesi!$C$15),1,$C165)&gt;0),1,IF(($E165&gt;=LOOKUP(2,1/($E:$E&lt;&gt;""),$E:$E))*($E165&lt;=INDEX($E:$E,MATCH(TRUE,INDEX((ISNUMBER($E:$E)),0),0)))*($E165&gt;INDEX(_xlfn.ANCHORARRAY(Sintesi!$C$14),1,$C165))*($E165&lt;INDEX(_xlfn.ANCHORARRAY(Sintesi!$C$16),1,$C165))*(INDEX(_xlfn.ANCHORARRAY(Sintesi!$C$15),1,$C165)&lt;0)+($E165&gt;=LOOKUP(2,1/($E:$E&lt;&gt;""),$E:$E))*($E165&lt;=INDEX($E:$E,MATCH(TRUE,INDEX((ISNUMBER($E:$E)),0),0)))*($E165&gt;INDEX(_xlfn.ANCHORARRAY(Sintesi!$C$15),1,$C165))*($E165&lt;INDEX(_xlfn.ANCHORARRAY(Sintesi!$C$16),1,$C165))*(INDEX(_xlfn.ANCHORARRAY(Sintesi!$C$15),1,$C165)&gt;0),2,IF($E165=(INDEX(_xlfn.ANCHORARRAY(Sintesi!$C$16),1,$C165)),3,4)))),0)),IF(ISNUMBER($E164),IF($C165&gt;0,IF(($E165=INDEX(_xlfn.ANCHORARRAY(Sintesi!$C$14),1,$C165))*(INDEX(_xlfn.ANCHORARRAY(Sintesi!$C$15),1,$C165)&gt;0),0,IF(($E165=INDEX(_xlfn.ANCHORARRAY(Sintesi!$C$14),1,$C165))*(INDEX(_xlfn.ANCHORARRAY(Sintesi!$C$15),1,$C165)&lt;0)+($E165&gt;=$E164)*($E165&lt;=$E166)*($E165&gt;INDEX(_xlfn.ANCHORARRAY(Sintesi!$C$14),1,$C165))*($E165&lt;=INDEX(_xlfn.ANCHORARRAY(Sintesi!$C$15),1,$C165))*(INDEX(_xlfn.ANCHORARRAY(Sintesi!$C$15),1,$C165)&gt;0),1,IF(($E165&gt;=$E164)*($E165&lt;=$E166)*($E165&gt;INDEX(_xlfn.ANCHORARRAY(Sintesi!$C$14),1,$C165))*($E165&lt;INDEX(_xlfn.ANCHORARRAY(Sintesi!$C$16),1,$C165))*(INDEX(_xlfn.ANCHORARRAY(Sintesi!$C$15),1,$C165)&lt;0)+($E165&gt;=$E164)*($E165&lt;=$E166)*($E165&gt;INDEX(_xlfn.ANCHORARRAY(Sintesi!$C$15),1,$C165))*($E165&lt;INDEX(_xlfn.ANCHORARRAY(Sintesi!$C$16),1,$C165))*(INDEX(_xlfn.ANCHORARRAY(Sintesi!$C$15),1,$C165)&gt;0),2,IF($E165=(INDEX(_xlfn.ANCHORARRAY(Sintesi!$C$16),1,$C165)),3,4)))),0),IF($C165&gt;0,IF(($E165=INDEX(_xlfn.ANCHORARRAY(Sintesi!$C$14),1,$C165))*(INDEX(_xlfn.ANCHORARRAY(Sintesi!$C$15),1,$C165)&gt;0),0,IF(($E165=INDEX(_xlfn.ANCHORARRAY(Sintesi!$C$14),1,$C165))*(INDEX(_xlfn.ANCHORARRAY(Sintesi!$C$15),1,$C165)&lt;0)+($E165&gt;=LOOKUP(2,1/($E:$E&lt;&gt;""),$E:$E))*($E165&lt;=$E166)*($E165&gt;INDEX(_xlfn.ANCHORARRAY(Sintesi!$C$14),1,$C165))*($E165&lt;=INDEX(_xlfn.ANCHORARRAY(Sintesi!$C$15),1,$C165))*(INDEX(_xlfn.ANCHORARRAY(Sintesi!$C$15),1,$C165)&gt;0),1,IF(($E165&gt;=LOOKUP(2,1/($E:$E&lt;&gt;""),$E:$E))*($E165&lt;=$E166)*($E165&gt;INDEX(_xlfn.ANCHORARRAY(Sintesi!$C$14),1,$C165))*($E165&lt;INDEX(_xlfn.ANCHORARRAY(Sintesi!$C$16),1,$C165))*(INDEX(_xlfn.ANCHORARRAY(Sintesi!$C$15),1,$C165)&lt;0)+($E165&gt;=LOOKUP(2,1/($E:$E&lt;&gt;""),$E:$E))*($E165&lt;=$E166)*($E165&gt;INDEX(_xlfn.ANCHORARRAY(Sintesi!$C$15),1,$C165))*($E165&lt;INDEX(_xlfn.ANCHORARRAY(Sintesi!$C$16),1,$C165))*(INDEX(_xlfn.ANCHORARRAY(Sintesi!$C$15),1,$C165)&gt;0),2,IF($E165=(INDEX(_xlfn.ANCHORARRAY(Sintesi!$C$16),1,$C165)),3,4)))),0)))</f>
        <v>2</v>
      </c>
      <c r="E165" s="1">
        <f>'Paste cell here'!F165</f>
        <v>1.0249999999999999</v>
      </c>
      <c r="F165" s="1">
        <f>'Paste cell here'!C165</f>
        <v>35.902679730000003</v>
      </c>
      <c r="G165" s="1">
        <f>'Paste cell here'!D165</f>
        <v>18.71798051</v>
      </c>
      <c r="H165" s="1">
        <f>'Paste cell here'!E165</f>
        <v>6.8476630580000002</v>
      </c>
      <c r="I165" s="1">
        <f>'Paste cell here'!X165</f>
        <v>7.0181787599999996</v>
      </c>
      <c r="J165" s="1">
        <f>'Paste cell here'!Y165+'Paste cell here'!S165</f>
        <v>7.0181787599999996</v>
      </c>
      <c r="K165" s="1">
        <f t="shared" si="5"/>
        <v>1.0249012985241424</v>
      </c>
      <c r="L165" s="1">
        <f t="shared" si="4"/>
        <v>29.241316079430561</v>
      </c>
      <c r="M165" s="1" cm="1">
        <f t="array" ref="M165">IF(AND(A165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,A165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),IF(L165&lt;_xlfn.IFNA(INDEX(_xlfn.ANCHORARRAY(Sintesi!$C$17)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,1,IF(L165&gt;=_xlfn.IFNA(INDEX(_xlfn.ANCHORARRAY(Sintesi!$C$18)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,0,1-(L165-_xlfn.IFNA(INDEX(_xlfn.ANCHORARRAY(Sintesi!$C$17)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)/(_xlfn.IFNA(INDEX(_xlfn.ANCHORARRAY(Sintesi!$C$18)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-_xlfn.IFNA(INDEX(_xlfn.ANCHORARRAY(Sintesi!$C$17),1,MATCH(1,(_xlfn.ANCHORARRAY(Sintesi!$C$9)&gt;_xlfn.ANCHORARRAY(Sintesi!$C$10))*(A164&gt;=_xlfn.ANCHORARRAY(Sintesi!$C$9))+(_xlfn.ANCHORARRAY(Sintesi!$C$9)&gt;_xlfn.ANCHORARRAY(Sintesi!$C$10))*(A164&lt;=_xlfn.ANCHORARRAY(Sintesi!$C$10))+(_xlfn.ANCHORARRAY(Sintesi!$C$9)&lt;_xlfn.ANCHORARRAY(Sintesi!$C$10))*(A164&gt;=_xlfn.ANCHORARRAY(Sintesi!$C$9))*(A164&lt;=_xlfn.ANCHORARRAY(Sintesi!$C$10)),0)),0)))),0)</f>
        <v>1</v>
      </c>
    </row>
    <row r="166" spans="1:13">
      <c r="A166" s="1">
        <f>'Paste cell here'!A166</f>
        <v>165</v>
      </c>
      <c r="B166" s="2">
        <f>DATE(Sintesi!$C$4-1,12,31)+A166</f>
        <v>44361</v>
      </c>
      <c r="C166" s="34" cm="1">
        <f t="array" ref="C166">_xlfn.IFNA(MATCH(1,(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)*(_xlfn.ANCHORARRAY(Sintesi!$C$15)&gt;=0)+(_xlfn.ANCHORARRAY(Sintesi!$C$15)&lt;0),0),0)</f>
        <v>1</v>
      </c>
      <c r="D166" s="1" cm="1">
        <f t="array" ref="D166">IF(ISBLANK($E167),IF(ISNUMBER($E165),IF($C166&gt;0,IF(($E166=INDEX(_xlfn.ANCHORARRAY(Sintesi!$C$14),1,$C166))*(INDEX(_xlfn.ANCHORARRAY(Sintesi!$C$15),1,$C166)&gt;0),0,IF(($E166=INDEX(_xlfn.ANCHORARRAY(Sintesi!$C$14),1,$C166))*(INDEX(_xlfn.ANCHORARRAY(Sintesi!$C$15),1,$C166)&lt;0)+($E166&gt;=$E165)*($E166&lt;=INDEX($E:$E,MATCH(TRUE,INDEX((ISNUMBER($E:$E)),0),0)))*($E166&gt;INDEX(_xlfn.ANCHORARRAY(Sintesi!$C$14),1,$C166))*($E166&lt;=INDEX(_xlfn.ANCHORARRAY(Sintesi!$C$15),1,$C166))*(INDEX(_xlfn.ANCHORARRAY(Sintesi!$C$15),1,$C166)&gt;0),1,IF(($E166&gt;=$E165)*($E166&lt;=INDEX($E:$E,MATCH(TRUE,INDEX((ISNUMBER($E:$E)),0),0)))*($E166&gt;INDEX(_xlfn.ANCHORARRAY(Sintesi!$C$14),1,$C166))*($E166&lt;INDEX(_xlfn.ANCHORARRAY(Sintesi!$C$16),1,$C166))*(INDEX(_xlfn.ANCHORARRAY(Sintesi!$C$15),1,$C166)&lt;0)+($E166&gt;=$E165)*($E166&lt;=INDEX($E:$E,MATCH(TRUE,INDEX((ISNUMBER($E:$E)),0),0)))*($E166&gt;INDEX(_xlfn.ANCHORARRAY(Sintesi!$C$15),1,$C166))*($E166&lt;INDEX(_xlfn.ANCHORARRAY(Sintesi!$C$16),1,$C166))*(INDEX(_xlfn.ANCHORARRAY(Sintesi!$C$15),1,$C166)&gt;0),2,IF($E166=(INDEX(_xlfn.ANCHORARRAY(Sintesi!$C$16),1,$C166)),3,4)))),0),IF($C166&gt;0,IF(($E166=INDEX(_xlfn.ANCHORARRAY(Sintesi!$C$14),1,$C166))*(INDEX(_xlfn.ANCHORARRAY(Sintesi!$C$15),1,$C166)&gt;0),0,IF(($E166=INDEX(_xlfn.ANCHORARRAY(Sintesi!$C$14),1,$C166))*(INDEX(_xlfn.ANCHORARRAY(Sintesi!$C$15),1,$C166)&lt;0)+($E166&gt;=LOOKUP(2,1/($E:$E&lt;&gt;""),$E:$E))*($E166&lt;=INDEX($E:$E,MATCH(TRUE,INDEX((ISNUMBER($E:$E)),0),0)))*($E166&gt;INDEX(_xlfn.ANCHORARRAY(Sintesi!$C$14),1,$C166))*($E166&lt;=INDEX(_xlfn.ANCHORARRAY(Sintesi!$C$15),1,$C166))*(INDEX(_xlfn.ANCHORARRAY(Sintesi!$C$15),1,$C166)&gt;0),1,IF(($E166&gt;=LOOKUP(2,1/($E:$E&lt;&gt;""),$E:$E))*($E166&lt;=INDEX($E:$E,MATCH(TRUE,INDEX((ISNUMBER($E:$E)),0),0)))*($E166&gt;INDEX(_xlfn.ANCHORARRAY(Sintesi!$C$14),1,$C166))*($E166&lt;INDEX(_xlfn.ANCHORARRAY(Sintesi!$C$16),1,$C166))*(INDEX(_xlfn.ANCHORARRAY(Sintesi!$C$15),1,$C166)&lt;0)+($E166&gt;=LOOKUP(2,1/($E:$E&lt;&gt;""),$E:$E))*($E166&lt;=INDEX($E:$E,MATCH(TRUE,INDEX((ISNUMBER($E:$E)),0),0)))*($E166&gt;INDEX(_xlfn.ANCHORARRAY(Sintesi!$C$15),1,$C166))*($E166&lt;INDEX(_xlfn.ANCHORARRAY(Sintesi!$C$16),1,$C166))*(INDEX(_xlfn.ANCHORARRAY(Sintesi!$C$15),1,$C166)&gt;0),2,IF($E166=(INDEX(_xlfn.ANCHORARRAY(Sintesi!$C$16),1,$C166)),3,4)))),0)),IF(ISNUMBER($E165),IF($C166&gt;0,IF(($E166=INDEX(_xlfn.ANCHORARRAY(Sintesi!$C$14),1,$C166))*(INDEX(_xlfn.ANCHORARRAY(Sintesi!$C$15),1,$C166)&gt;0),0,IF(($E166=INDEX(_xlfn.ANCHORARRAY(Sintesi!$C$14),1,$C166))*(INDEX(_xlfn.ANCHORARRAY(Sintesi!$C$15),1,$C166)&lt;0)+($E166&gt;=$E165)*($E166&lt;=$E167)*($E166&gt;INDEX(_xlfn.ANCHORARRAY(Sintesi!$C$14),1,$C166))*($E166&lt;=INDEX(_xlfn.ANCHORARRAY(Sintesi!$C$15),1,$C166))*(INDEX(_xlfn.ANCHORARRAY(Sintesi!$C$15),1,$C166)&gt;0),1,IF(($E166&gt;=$E165)*($E166&lt;=$E167)*($E166&gt;INDEX(_xlfn.ANCHORARRAY(Sintesi!$C$14),1,$C166))*($E166&lt;INDEX(_xlfn.ANCHORARRAY(Sintesi!$C$16),1,$C166))*(INDEX(_xlfn.ANCHORARRAY(Sintesi!$C$15),1,$C166)&lt;0)+($E166&gt;=$E165)*($E166&lt;=$E167)*($E166&gt;INDEX(_xlfn.ANCHORARRAY(Sintesi!$C$15),1,$C166))*($E166&lt;INDEX(_xlfn.ANCHORARRAY(Sintesi!$C$16),1,$C166))*(INDEX(_xlfn.ANCHORARRAY(Sintesi!$C$15),1,$C166)&gt;0),2,IF($E166=(INDEX(_xlfn.ANCHORARRAY(Sintesi!$C$16),1,$C166)),3,4)))),0),IF($C166&gt;0,IF(($E166=INDEX(_xlfn.ANCHORARRAY(Sintesi!$C$14),1,$C166))*(INDEX(_xlfn.ANCHORARRAY(Sintesi!$C$15),1,$C166)&gt;0),0,IF(($E166=INDEX(_xlfn.ANCHORARRAY(Sintesi!$C$14),1,$C166))*(INDEX(_xlfn.ANCHORARRAY(Sintesi!$C$15),1,$C166)&lt;0)+($E166&gt;=LOOKUP(2,1/($E:$E&lt;&gt;""),$E:$E))*($E166&lt;=$E167)*($E166&gt;INDEX(_xlfn.ANCHORARRAY(Sintesi!$C$14),1,$C166))*($E166&lt;=INDEX(_xlfn.ANCHORARRAY(Sintesi!$C$15),1,$C166))*(INDEX(_xlfn.ANCHORARRAY(Sintesi!$C$15),1,$C166)&gt;0),1,IF(($E166&gt;=LOOKUP(2,1/($E:$E&lt;&gt;""),$E:$E))*($E166&lt;=$E167)*($E166&gt;INDEX(_xlfn.ANCHORARRAY(Sintesi!$C$14),1,$C166))*($E166&lt;INDEX(_xlfn.ANCHORARRAY(Sintesi!$C$16),1,$C166))*(INDEX(_xlfn.ANCHORARRAY(Sintesi!$C$15),1,$C166)&lt;0)+($E166&gt;=LOOKUP(2,1/($E:$E&lt;&gt;""),$E:$E))*($E166&lt;=$E167)*($E166&gt;INDEX(_xlfn.ANCHORARRAY(Sintesi!$C$15),1,$C166))*($E166&lt;INDEX(_xlfn.ANCHORARRAY(Sintesi!$C$16),1,$C166))*(INDEX(_xlfn.ANCHORARRAY(Sintesi!$C$15),1,$C166)&gt;0),2,IF($E166=(INDEX(_xlfn.ANCHORARRAY(Sintesi!$C$16),1,$C166)),3,4)))),0)))</f>
        <v>3</v>
      </c>
      <c r="E166" s="1">
        <f>'Paste cell here'!F166</f>
        <v>1.046</v>
      </c>
      <c r="F166" s="1">
        <f>'Paste cell here'!C166</f>
        <v>31.72066023</v>
      </c>
      <c r="G166" s="1">
        <f>'Paste cell here'!D166</f>
        <v>19.086663869999999</v>
      </c>
      <c r="H166" s="1">
        <f>'Paste cell here'!E166</f>
        <v>6.2389895429999997</v>
      </c>
      <c r="I166" s="1">
        <f>'Paste cell here'!X166</f>
        <v>6.525348492</v>
      </c>
      <c r="J166" s="1">
        <f>'Paste cell here'!Y166+'Paste cell here'!S166</f>
        <v>6.525348492</v>
      </c>
      <c r="K166" s="1">
        <f t="shared" si="5"/>
        <v>1.0458982896230831</v>
      </c>
      <c r="L166" s="1">
        <f t="shared" si="4"/>
        <v>26.823301071337312</v>
      </c>
      <c r="M166" s="1" cm="1">
        <f t="array" ref="M166">IF(AND(A166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,A166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),IF(L166&lt;_xlfn.IFNA(INDEX(_xlfn.ANCHORARRAY(Sintesi!$C$17)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,1,IF(L166&gt;=_xlfn.IFNA(INDEX(_xlfn.ANCHORARRAY(Sintesi!$C$18)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,0,1-(L166-_xlfn.IFNA(INDEX(_xlfn.ANCHORARRAY(Sintesi!$C$17)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)/(_xlfn.IFNA(INDEX(_xlfn.ANCHORARRAY(Sintesi!$C$18)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-_xlfn.IFNA(INDEX(_xlfn.ANCHORARRAY(Sintesi!$C$17),1,MATCH(1,(_xlfn.ANCHORARRAY(Sintesi!$C$9)&gt;_xlfn.ANCHORARRAY(Sintesi!$C$10))*(A165&gt;=_xlfn.ANCHORARRAY(Sintesi!$C$9))+(_xlfn.ANCHORARRAY(Sintesi!$C$9)&gt;_xlfn.ANCHORARRAY(Sintesi!$C$10))*(A165&lt;=_xlfn.ANCHORARRAY(Sintesi!$C$10))+(_xlfn.ANCHORARRAY(Sintesi!$C$9)&lt;_xlfn.ANCHORARRAY(Sintesi!$C$10))*(A165&gt;=_xlfn.ANCHORARRAY(Sintesi!$C$9))*(A165&lt;=_xlfn.ANCHORARRAY(Sintesi!$C$10)),0)),0)))),0)</f>
        <v>1</v>
      </c>
    </row>
    <row r="167" spans="1:13">
      <c r="A167" s="1">
        <f>'Paste cell here'!A167</f>
        <v>166</v>
      </c>
      <c r="B167" s="2">
        <f>DATE(Sintesi!$C$4-1,12,31)+A167</f>
        <v>44362</v>
      </c>
      <c r="C167" s="34" cm="1">
        <f t="array" ref="C167">_xlfn.IFNA(MATCH(1,(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)*(_xlfn.ANCHORARRAY(Sintesi!$C$15)&gt;=0)+(_xlfn.ANCHORARRAY(Sintesi!$C$15)&lt;0),0),0)</f>
        <v>1</v>
      </c>
      <c r="D167" s="1" cm="1">
        <f t="array" ref="D167">IF(ISBLANK($E168),IF(ISNUMBER($E166),IF($C167&gt;0,IF(($E167=INDEX(_xlfn.ANCHORARRAY(Sintesi!$C$14),1,$C167))*(INDEX(_xlfn.ANCHORARRAY(Sintesi!$C$15),1,$C167)&gt;0),0,IF(($E167=INDEX(_xlfn.ANCHORARRAY(Sintesi!$C$14),1,$C167))*(INDEX(_xlfn.ANCHORARRAY(Sintesi!$C$15),1,$C167)&lt;0)+($E167&gt;=$E166)*($E167&lt;=INDEX($E:$E,MATCH(TRUE,INDEX((ISNUMBER($E:$E)),0),0)))*($E167&gt;INDEX(_xlfn.ANCHORARRAY(Sintesi!$C$14),1,$C167))*($E167&lt;=INDEX(_xlfn.ANCHORARRAY(Sintesi!$C$15),1,$C167))*(INDEX(_xlfn.ANCHORARRAY(Sintesi!$C$15),1,$C167)&gt;0),1,IF(($E167&gt;=$E166)*($E167&lt;=INDEX($E:$E,MATCH(TRUE,INDEX((ISNUMBER($E:$E)),0),0)))*($E167&gt;INDEX(_xlfn.ANCHORARRAY(Sintesi!$C$14),1,$C167))*($E167&lt;INDEX(_xlfn.ANCHORARRAY(Sintesi!$C$16),1,$C167))*(INDEX(_xlfn.ANCHORARRAY(Sintesi!$C$15),1,$C167)&lt;0)+($E167&gt;=$E166)*($E167&lt;=INDEX($E:$E,MATCH(TRUE,INDEX((ISNUMBER($E:$E)),0),0)))*($E167&gt;INDEX(_xlfn.ANCHORARRAY(Sintesi!$C$15),1,$C167))*($E167&lt;INDEX(_xlfn.ANCHORARRAY(Sintesi!$C$16),1,$C167))*(INDEX(_xlfn.ANCHORARRAY(Sintesi!$C$15),1,$C167)&gt;0),2,IF($E167=(INDEX(_xlfn.ANCHORARRAY(Sintesi!$C$16),1,$C167)),3,4)))),0),IF($C167&gt;0,IF(($E167=INDEX(_xlfn.ANCHORARRAY(Sintesi!$C$14),1,$C167))*(INDEX(_xlfn.ANCHORARRAY(Sintesi!$C$15),1,$C167)&gt;0),0,IF(($E167=INDEX(_xlfn.ANCHORARRAY(Sintesi!$C$14),1,$C167))*(INDEX(_xlfn.ANCHORARRAY(Sintesi!$C$15),1,$C167)&lt;0)+($E167&gt;=LOOKUP(2,1/($E:$E&lt;&gt;""),$E:$E))*($E167&lt;=INDEX($E:$E,MATCH(TRUE,INDEX((ISNUMBER($E:$E)),0),0)))*($E167&gt;INDEX(_xlfn.ANCHORARRAY(Sintesi!$C$14),1,$C167))*($E167&lt;=INDEX(_xlfn.ANCHORARRAY(Sintesi!$C$15),1,$C167))*(INDEX(_xlfn.ANCHORARRAY(Sintesi!$C$15),1,$C167)&gt;0),1,IF(($E167&gt;=LOOKUP(2,1/($E:$E&lt;&gt;""),$E:$E))*($E167&lt;=INDEX($E:$E,MATCH(TRUE,INDEX((ISNUMBER($E:$E)),0),0)))*($E167&gt;INDEX(_xlfn.ANCHORARRAY(Sintesi!$C$14),1,$C167))*($E167&lt;INDEX(_xlfn.ANCHORARRAY(Sintesi!$C$16),1,$C167))*(INDEX(_xlfn.ANCHORARRAY(Sintesi!$C$15),1,$C167)&lt;0)+($E167&gt;=LOOKUP(2,1/($E:$E&lt;&gt;""),$E:$E))*($E167&lt;=INDEX($E:$E,MATCH(TRUE,INDEX((ISNUMBER($E:$E)),0),0)))*($E167&gt;INDEX(_xlfn.ANCHORARRAY(Sintesi!$C$15),1,$C167))*($E167&lt;INDEX(_xlfn.ANCHORARRAY(Sintesi!$C$16),1,$C167))*(INDEX(_xlfn.ANCHORARRAY(Sintesi!$C$15),1,$C167)&gt;0),2,IF($E167=(INDEX(_xlfn.ANCHORARRAY(Sintesi!$C$16),1,$C167)),3,4)))),0)),IF(ISNUMBER($E166),IF($C167&gt;0,IF(($E167=INDEX(_xlfn.ANCHORARRAY(Sintesi!$C$14),1,$C167))*(INDEX(_xlfn.ANCHORARRAY(Sintesi!$C$15),1,$C167)&gt;0),0,IF(($E167=INDEX(_xlfn.ANCHORARRAY(Sintesi!$C$14),1,$C167))*(INDEX(_xlfn.ANCHORARRAY(Sintesi!$C$15),1,$C167)&lt;0)+($E167&gt;=$E166)*($E167&lt;=$E168)*($E167&gt;INDEX(_xlfn.ANCHORARRAY(Sintesi!$C$14),1,$C167))*($E167&lt;=INDEX(_xlfn.ANCHORARRAY(Sintesi!$C$15),1,$C167))*(INDEX(_xlfn.ANCHORARRAY(Sintesi!$C$15),1,$C167)&gt;0),1,IF(($E167&gt;=$E166)*($E167&lt;=$E168)*($E167&gt;INDEX(_xlfn.ANCHORARRAY(Sintesi!$C$14),1,$C167))*($E167&lt;INDEX(_xlfn.ANCHORARRAY(Sintesi!$C$16),1,$C167))*(INDEX(_xlfn.ANCHORARRAY(Sintesi!$C$15),1,$C167)&lt;0)+($E167&gt;=$E166)*($E167&lt;=$E168)*($E167&gt;INDEX(_xlfn.ANCHORARRAY(Sintesi!$C$15),1,$C167))*($E167&lt;INDEX(_xlfn.ANCHORARRAY(Sintesi!$C$16),1,$C167))*(INDEX(_xlfn.ANCHORARRAY(Sintesi!$C$15),1,$C167)&gt;0),2,IF($E167=(INDEX(_xlfn.ANCHORARRAY(Sintesi!$C$16),1,$C167)),3,4)))),0),IF($C167&gt;0,IF(($E167=INDEX(_xlfn.ANCHORARRAY(Sintesi!$C$14),1,$C167))*(INDEX(_xlfn.ANCHORARRAY(Sintesi!$C$15),1,$C167)&gt;0),0,IF(($E167=INDEX(_xlfn.ANCHORARRAY(Sintesi!$C$14),1,$C167))*(INDEX(_xlfn.ANCHORARRAY(Sintesi!$C$15),1,$C167)&lt;0)+($E167&gt;=LOOKUP(2,1/($E:$E&lt;&gt;""),$E:$E))*($E167&lt;=$E168)*($E167&gt;INDEX(_xlfn.ANCHORARRAY(Sintesi!$C$14),1,$C167))*($E167&lt;=INDEX(_xlfn.ANCHORARRAY(Sintesi!$C$15),1,$C167))*(INDEX(_xlfn.ANCHORARRAY(Sintesi!$C$15),1,$C167)&gt;0),1,IF(($E167&gt;=LOOKUP(2,1/($E:$E&lt;&gt;""),$E:$E))*($E167&lt;=$E168)*($E167&gt;INDEX(_xlfn.ANCHORARRAY(Sintesi!$C$14),1,$C167))*($E167&lt;INDEX(_xlfn.ANCHORARRAY(Sintesi!$C$16),1,$C167))*(INDEX(_xlfn.ANCHORARRAY(Sintesi!$C$15),1,$C167)&lt;0)+($E167&gt;=LOOKUP(2,1/($E:$E&lt;&gt;""),$E:$E))*($E167&lt;=$E168)*($E167&gt;INDEX(_xlfn.ANCHORARRAY(Sintesi!$C$15),1,$C167))*($E167&lt;INDEX(_xlfn.ANCHORARRAY(Sintesi!$C$16),1,$C167))*(INDEX(_xlfn.ANCHORARRAY(Sintesi!$C$15),1,$C167)&gt;0),2,IF($E167=(INDEX(_xlfn.ANCHORARRAY(Sintesi!$C$16),1,$C167)),3,4)))),0)))</f>
        <v>3</v>
      </c>
      <c r="E167" s="1">
        <f>'Paste cell here'!F167</f>
        <v>1.046</v>
      </c>
      <c r="F167" s="1">
        <f>'Paste cell here'!C167</f>
        <v>31.320660230000001</v>
      </c>
      <c r="G167" s="1">
        <f>'Paste cell here'!D167</f>
        <v>19.540589170000001</v>
      </c>
      <c r="H167" s="1">
        <f>'Paste cell here'!E167</f>
        <v>6.0753672649999997</v>
      </c>
      <c r="I167" s="1">
        <f>'Paste cell here'!X167</f>
        <v>6.3542109880000002</v>
      </c>
      <c r="J167" s="1">
        <f>'Paste cell here'!Y167+'Paste cell here'!S167</f>
        <v>6.3542109880000002</v>
      </c>
      <c r="K167" s="1">
        <f t="shared" si="5"/>
        <v>1.0458974265813379</v>
      </c>
      <c r="L167" s="1">
        <f t="shared" si="4"/>
        <v>26.754311051837952</v>
      </c>
      <c r="M167" s="1" cm="1">
        <f t="array" ref="M167">IF(AND(A167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,A167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),IF(L167&lt;_xlfn.IFNA(INDEX(_xlfn.ANCHORARRAY(Sintesi!$C$17)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,1,IF(L167&gt;=_xlfn.IFNA(INDEX(_xlfn.ANCHORARRAY(Sintesi!$C$18)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,0,1-(L167-_xlfn.IFNA(INDEX(_xlfn.ANCHORARRAY(Sintesi!$C$17)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)/(_xlfn.IFNA(INDEX(_xlfn.ANCHORARRAY(Sintesi!$C$18)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-_xlfn.IFNA(INDEX(_xlfn.ANCHORARRAY(Sintesi!$C$17),1,MATCH(1,(_xlfn.ANCHORARRAY(Sintesi!$C$9)&gt;_xlfn.ANCHORARRAY(Sintesi!$C$10))*(A166&gt;=_xlfn.ANCHORARRAY(Sintesi!$C$9))+(_xlfn.ANCHORARRAY(Sintesi!$C$9)&gt;_xlfn.ANCHORARRAY(Sintesi!$C$10))*(A166&lt;=_xlfn.ANCHORARRAY(Sintesi!$C$10))+(_xlfn.ANCHORARRAY(Sintesi!$C$9)&lt;_xlfn.ANCHORARRAY(Sintesi!$C$10))*(A166&gt;=_xlfn.ANCHORARRAY(Sintesi!$C$9))*(A166&lt;=_xlfn.ANCHORARRAY(Sintesi!$C$10)),0)),0)))),0)</f>
        <v>1</v>
      </c>
    </row>
    <row r="168" spans="1:13">
      <c r="A168" s="1">
        <f>'Paste cell here'!A168</f>
        <v>167</v>
      </c>
      <c r="B168" s="2">
        <f>DATE(Sintesi!$C$4-1,12,31)+A168</f>
        <v>44363</v>
      </c>
      <c r="C168" s="34" cm="1">
        <f t="array" ref="C168">_xlfn.IFNA(MATCH(1,(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)*(_xlfn.ANCHORARRAY(Sintesi!$C$15)&gt;=0)+(_xlfn.ANCHORARRAY(Sintesi!$C$15)&lt;0),0),0)</f>
        <v>1</v>
      </c>
      <c r="D168" s="1" cm="1">
        <f t="array" ref="D168">IF(ISBLANK($E169),IF(ISNUMBER($E167),IF($C168&gt;0,IF(($E168=INDEX(_xlfn.ANCHORARRAY(Sintesi!$C$14),1,$C168))*(INDEX(_xlfn.ANCHORARRAY(Sintesi!$C$15),1,$C168)&gt;0),0,IF(($E168=INDEX(_xlfn.ANCHORARRAY(Sintesi!$C$14),1,$C168))*(INDEX(_xlfn.ANCHORARRAY(Sintesi!$C$15),1,$C168)&lt;0)+($E168&gt;=$E167)*($E168&lt;=INDEX($E:$E,MATCH(TRUE,INDEX((ISNUMBER($E:$E)),0),0)))*($E168&gt;INDEX(_xlfn.ANCHORARRAY(Sintesi!$C$14),1,$C168))*($E168&lt;=INDEX(_xlfn.ANCHORARRAY(Sintesi!$C$15),1,$C168))*(INDEX(_xlfn.ANCHORARRAY(Sintesi!$C$15),1,$C168)&gt;0),1,IF(($E168&gt;=$E167)*($E168&lt;=INDEX($E:$E,MATCH(TRUE,INDEX((ISNUMBER($E:$E)),0),0)))*($E168&gt;INDEX(_xlfn.ANCHORARRAY(Sintesi!$C$14),1,$C168))*($E168&lt;INDEX(_xlfn.ANCHORARRAY(Sintesi!$C$16),1,$C168))*(INDEX(_xlfn.ANCHORARRAY(Sintesi!$C$15),1,$C168)&lt;0)+($E168&gt;=$E167)*($E168&lt;=INDEX($E:$E,MATCH(TRUE,INDEX((ISNUMBER($E:$E)),0),0)))*($E168&gt;INDEX(_xlfn.ANCHORARRAY(Sintesi!$C$15),1,$C168))*($E168&lt;INDEX(_xlfn.ANCHORARRAY(Sintesi!$C$16),1,$C168))*(INDEX(_xlfn.ANCHORARRAY(Sintesi!$C$15),1,$C168)&gt;0),2,IF($E168=(INDEX(_xlfn.ANCHORARRAY(Sintesi!$C$16),1,$C168)),3,4)))),0),IF($C168&gt;0,IF(($E168=INDEX(_xlfn.ANCHORARRAY(Sintesi!$C$14),1,$C168))*(INDEX(_xlfn.ANCHORARRAY(Sintesi!$C$15),1,$C168)&gt;0),0,IF(($E168=INDEX(_xlfn.ANCHORARRAY(Sintesi!$C$14),1,$C168))*(INDEX(_xlfn.ANCHORARRAY(Sintesi!$C$15),1,$C168)&lt;0)+($E168&gt;=LOOKUP(2,1/($E:$E&lt;&gt;""),$E:$E))*($E168&lt;=INDEX($E:$E,MATCH(TRUE,INDEX((ISNUMBER($E:$E)),0),0)))*($E168&gt;INDEX(_xlfn.ANCHORARRAY(Sintesi!$C$14),1,$C168))*($E168&lt;=INDEX(_xlfn.ANCHORARRAY(Sintesi!$C$15),1,$C168))*(INDEX(_xlfn.ANCHORARRAY(Sintesi!$C$15),1,$C168)&gt;0),1,IF(($E168&gt;=LOOKUP(2,1/($E:$E&lt;&gt;""),$E:$E))*($E168&lt;=INDEX($E:$E,MATCH(TRUE,INDEX((ISNUMBER($E:$E)),0),0)))*($E168&gt;INDEX(_xlfn.ANCHORARRAY(Sintesi!$C$14),1,$C168))*($E168&lt;INDEX(_xlfn.ANCHORARRAY(Sintesi!$C$16),1,$C168))*(INDEX(_xlfn.ANCHORARRAY(Sintesi!$C$15),1,$C168)&lt;0)+($E168&gt;=LOOKUP(2,1/($E:$E&lt;&gt;""),$E:$E))*($E168&lt;=INDEX($E:$E,MATCH(TRUE,INDEX((ISNUMBER($E:$E)),0),0)))*($E168&gt;INDEX(_xlfn.ANCHORARRAY(Sintesi!$C$15),1,$C168))*($E168&lt;INDEX(_xlfn.ANCHORARRAY(Sintesi!$C$16),1,$C168))*(INDEX(_xlfn.ANCHORARRAY(Sintesi!$C$15),1,$C168)&gt;0),2,IF($E168=(INDEX(_xlfn.ANCHORARRAY(Sintesi!$C$16),1,$C168)),3,4)))),0)),IF(ISNUMBER($E167),IF($C168&gt;0,IF(($E168=INDEX(_xlfn.ANCHORARRAY(Sintesi!$C$14),1,$C168))*(INDEX(_xlfn.ANCHORARRAY(Sintesi!$C$15),1,$C168)&gt;0),0,IF(($E168=INDEX(_xlfn.ANCHORARRAY(Sintesi!$C$14),1,$C168))*(INDEX(_xlfn.ANCHORARRAY(Sintesi!$C$15),1,$C168)&lt;0)+($E168&gt;=$E167)*($E168&lt;=$E169)*($E168&gt;INDEX(_xlfn.ANCHORARRAY(Sintesi!$C$14),1,$C168))*($E168&lt;=INDEX(_xlfn.ANCHORARRAY(Sintesi!$C$15),1,$C168))*(INDEX(_xlfn.ANCHORARRAY(Sintesi!$C$15),1,$C168)&gt;0),1,IF(($E168&gt;=$E167)*($E168&lt;=$E169)*($E168&gt;INDEX(_xlfn.ANCHORARRAY(Sintesi!$C$14),1,$C168))*($E168&lt;INDEX(_xlfn.ANCHORARRAY(Sintesi!$C$16),1,$C168))*(INDEX(_xlfn.ANCHORARRAY(Sintesi!$C$15),1,$C168)&lt;0)+($E168&gt;=$E167)*($E168&lt;=$E169)*($E168&gt;INDEX(_xlfn.ANCHORARRAY(Sintesi!$C$15),1,$C168))*($E168&lt;INDEX(_xlfn.ANCHORARRAY(Sintesi!$C$16),1,$C168))*(INDEX(_xlfn.ANCHORARRAY(Sintesi!$C$15),1,$C168)&gt;0),2,IF($E168=(INDEX(_xlfn.ANCHORARRAY(Sintesi!$C$16),1,$C168)),3,4)))),0),IF($C168&gt;0,IF(($E168=INDEX(_xlfn.ANCHORARRAY(Sintesi!$C$14),1,$C168))*(INDEX(_xlfn.ANCHORARRAY(Sintesi!$C$15),1,$C168)&gt;0),0,IF(($E168=INDEX(_xlfn.ANCHORARRAY(Sintesi!$C$14),1,$C168))*(INDEX(_xlfn.ANCHORARRAY(Sintesi!$C$15),1,$C168)&lt;0)+($E168&gt;=LOOKUP(2,1/($E:$E&lt;&gt;""),$E:$E))*($E168&lt;=$E169)*($E168&gt;INDEX(_xlfn.ANCHORARRAY(Sintesi!$C$14),1,$C168))*($E168&lt;=INDEX(_xlfn.ANCHORARRAY(Sintesi!$C$15),1,$C168))*(INDEX(_xlfn.ANCHORARRAY(Sintesi!$C$15),1,$C168)&gt;0),1,IF(($E168&gt;=LOOKUP(2,1/($E:$E&lt;&gt;""),$E:$E))*($E168&lt;=$E169)*($E168&gt;INDEX(_xlfn.ANCHORARRAY(Sintesi!$C$14),1,$C168))*($E168&lt;INDEX(_xlfn.ANCHORARRAY(Sintesi!$C$16),1,$C168))*(INDEX(_xlfn.ANCHORARRAY(Sintesi!$C$15),1,$C168)&lt;0)+($E168&gt;=LOOKUP(2,1/($E:$E&lt;&gt;""),$E:$E))*($E168&lt;=$E169)*($E168&gt;INDEX(_xlfn.ANCHORARRAY(Sintesi!$C$15),1,$C168))*($E168&lt;INDEX(_xlfn.ANCHORARRAY(Sintesi!$C$16),1,$C168))*(INDEX(_xlfn.ANCHORARRAY(Sintesi!$C$15),1,$C168)&gt;0),2,IF($E168=(INDEX(_xlfn.ANCHORARRAY(Sintesi!$C$16),1,$C168)),3,4)))),0)))</f>
        <v>3</v>
      </c>
      <c r="E168" s="1">
        <f>'Paste cell here'!F168</f>
        <v>1.046</v>
      </c>
      <c r="F168" s="1">
        <f>'Paste cell here'!C168</f>
        <v>31.28201949</v>
      </c>
      <c r="G168" s="1">
        <f>'Paste cell here'!D168</f>
        <v>17.712119999999999</v>
      </c>
      <c r="H168" s="1">
        <f>'Paste cell here'!E168</f>
        <v>4.8312601150000001</v>
      </c>
      <c r="I168" s="1">
        <f>'Paste cell here'!X168</f>
        <v>5.0529989649999996</v>
      </c>
      <c r="J168" s="1">
        <f>'Paste cell here'!Y168+'Paste cell here'!S168</f>
        <v>5.0529989649999996</v>
      </c>
      <c r="K168" s="1">
        <f t="shared" si="5"/>
        <v>1.0458966904538112</v>
      </c>
      <c r="L168" s="1">
        <f t="shared" si="4"/>
        <v>26.021873004610026</v>
      </c>
      <c r="M168" s="1" cm="1">
        <f t="array" ref="M168">IF(AND(A168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,A168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),IF(L168&lt;_xlfn.IFNA(INDEX(_xlfn.ANCHORARRAY(Sintesi!$C$17)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,1,IF(L168&gt;=_xlfn.IFNA(INDEX(_xlfn.ANCHORARRAY(Sintesi!$C$18)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,0,1-(L168-_xlfn.IFNA(INDEX(_xlfn.ANCHORARRAY(Sintesi!$C$17)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)/(_xlfn.IFNA(INDEX(_xlfn.ANCHORARRAY(Sintesi!$C$18)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-_xlfn.IFNA(INDEX(_xlfn.ANCHORARRAY(Sintesi!$C$17),1,MATCH(1,(_xlfn.ANCHORARRAY(Sintesi!$C$9)&gt;_xlfn.ANCHORARRAY(Sintesi!$C$10))*(A167&gt;=_xlfn.ANCHORARRAY(Sintesi!$C$9))+(_xlfn.ANCHORARRAY(Sintesi!$C$9)&gt;_xlfn.ANCHORARRAY(Sintesi!$C$10))*(A167&lt;=_xlfn.ANCHORARRAY(Sintesi!$C$10))+(_xlfn.ANCHORARRAY(Sintesi!$C$9)&lt;_xlfn.ANCHORARRAY(Sintesi!$C$10))*(A167&gt;=_xlfn.ANCHORARRAY(Sintesi!$C$9))*(A167&lt;=_xlfn.ANCHORARRAY(Sintesi!$C$10)),0)),0)))),0)</f>
        <v>1</v>
      </c>
    </row>
    <row r="169" spans="1:13">
      <c r="A169" s="1">
        <f>'Paste cell here'!A169</f>
        <v>168</v>
      </c>
      <c r="B169" s="2">
        <f>DATE(Sintesi!$C$4-1,12,31)+A169</f>
        <v>44364</v>
      </c>
      <c r="C169" s="34" cm="1">
        <f t="array" ref="C169">_xlfn.IFNA(MATCH(1,(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)*(_xlfn.ANCHORARRAY(Sintesi!$C$15)&gt;=0)+(_xlfn.ANCHORARRAY(Sintesi!$C$15)&lt;0),0),0)</f>
        <v>1</v>
      </c>
      <c r="D169" s="1" cm="1">
        <f t="array" ref="D169">IF(ISBLANK($E170),IF(ISNUMBER($E168),IF($C169&gt;0,IF(($E169=INDEX(_xlfn.ANCHORARRAY(Sintesi!$C$14),1,$C169))*(INDEX(_xlfn.ANCHORARRAY(Sintesi!$C$15),1,$C169)&gt;0),0,IF(($E169=INDEX(_xlfn.ANCHORARRAY(Sintesi!$C$14),1,$C169))*(INDEX(_xlfn.ANCHORARRAY(Sintesi!$C$15),1,$C169)&lt;0)+($E169&gt;=$E168)*($E169&lt;=INDEX($E:$E,MATCH(TRUE,INDEX((ISNUMBER($E:$E)),0),0)))*($E169&gt;INDEX(_xlfn.ANCHORARRAY(Sintesi!$C$14),1,$C169))*($E169&lt;=INDEX(_xlfn.ANCHORARRAY(Sintesi!$C$15),1,$C169))*(INDEX(_xlfn.ANCHORARRAY(Sintesi!$C$15),1,$C169)&gt;0),1,IF(($E169&gt;=$E168)*($E169&lt;=INDEX($E:$E,MATCH(TRUE,INDEX((ISNUMBER($E:$E)),0),0)))*($E169&gt;INDEX(_xlfn.ANCHORARRAY(Sintesi!$C$14),1,$C169))*($E169&lt;INDEX(_xlfn.ANCHORARRAY(Sintesi!$C$16),1,$C169))*(INDEX(_xlfn.ANCHORARRAY(Sintesi!$C$15),1,$C169)&lt;0)+($E169&gt;=$E168)*($E169&lt;=INDEX($E:$E,MATCH(TRUE,INDEX((ISNUMBER($E:$E)),0),0)))*($E169&gt;INDEX(_xlfn.ANCHORARRAY(Sintesi!$C$15),1,$C169))*($E169&lt;INDEX(_xlfn.ANCHORARRAY(Sintesi!$C$16),1,$C169))*(INDEX(_xlfn.ANCHORARRAY(Sintesi!$C$15),1,$C169)&gt;0),2,IF($E169=(INDEX(_xlfn.ANCHORARRAY(Sintesi!$C$16),1,$C169)),3,4)))),0),IF($C169&gt;0,IF(($E169=INDEX(_xlfn.ANCHORARRAY(Sintesi!$C$14),1,$C169))*(INDEX(_xlfn.ANCHORARRAY(Sintesi!$C$15),1,$C169)&gt;0),0,IF(($E169=INDEX(_xlfn.ANCHORARRAY(Sintesi!$C$14),1,$C169))*(INDEX(_xlfn.ANCHORARRAY(Sintesi!$C$15),1,$C169)&lt;0)+($E169&gt;=LOOKUP(2,1/($E:$E&lt;&gt;""),$E:$E))*($E169&lt;=INDEX($E:$E,MATCH(TRUE,INDEX((ISNUMBER($E:$E)),0),0)))*($E169&gt;INDEX(_xlfn.ANCHORARRAY(Sintesi!$C$14),1,$C169))*($E169&lt;=INDEX(_xlfn.ANCHORARRAY(Sintesi!$C$15),1,$C169))*(INDEX(_xlfn.ANCHORARRAY(Sintesi!$C$15),1,$C169)&gt;0),1,IF(($E169&gt;=LOOKUP(2,1/($E:$E&lt;&gt;""),$E:$E))*($E169&lt;=INDEX($E:$E,MATCH(TRUE,INDEX((ISNUMBER($E:$E)),0),0)))*($E169&gt;INDEX(_xlfn.ANCHORARRAY(Sintesi!$C$14),1,$C169))*($E169&lt;INDEX(_xlfn.ANCHORARRAY(Sintesi!$C$16),1,$C169))*(INDEX(_xlfn.ANCHORARRAY(Sintesi!$C$15),1,$C169)&lt;0)+($E169&gt;=LOOKUP(2,1/($E:$E&lt;&gt;""),$E:$E))*($E169&lt;=INDEX($E:$E,MATCH(TRUE,INDEX((ISNUMBER($E:$E)),0),0)))*($E169&gt;INDEX(_xlfn.ANCHORARRAY(Sintesi!$C$15),1,$C169))*($E169&lt;INDEX(_xlfn.ANCHORARRAY(Sintesi!$C$16),1,$C169))*(INDEX(_xlfn.ANCHORARRAY(Sintesi!$C$15),1,$C169)&gt;0),2,IF($E169=(INDEX(_xlfn.ANCHORARRAY(Sintesi!$C$16),1,$C169)),3,4)))),0)),IF(ISNUMBER($E168),IF($C169&gt;0,IF(($E169=INDEX(_xlfn.ANCHORARRAY(Sintesi!$C$14),1,$C169))*(INDEX(_xlfn.ANCHORARRAY(Sintesi!$C$15),1,$C169)&gt;0),0,IF(($E169=INDEX(_xlfn.ANCHORARRAY(Sintesi!$C$14),1,$C169))*(INDEX(_xlfn.ANCHORARRAY(Sintesi!$C$15),1,$C169)&lt;0)+($E169&gt;=$E168)*($E169&lt;=$E170)*($E169&gt;INDEX(_xlfn.ANCHORARRAY(Sintesi!$C$14),1,$C169))*($E169&lt;=INDEX(_xlfn.ANCHORARRAY(Sintesi!$C$15),1,$C169))*(INDEX(_xlfn.ANCHORARRAY(Sintesi!$C$15),1,$C169)&gt;0),1,IF(($E169&gt;=$E168)*($E169&lt;=$E170)*($E169&gt;INDEX(_xlfn.ANCHORARRAY(Sintesi!$C$14),1,$C169))*($E169&lt;INDEX(_xlfn.ANCHORARRAY(Sintesi!$C$16),1,$C169))*(INDEX(_xlfn.ANCHORARRAY(Sintesi!$C$15),1,$C169)&lt;0)+($E169&gt;=$E168)*($E169&lt;=$E170)*($E169&gt;INDEX(_xlfn.ANCHORARRAY(Sintesi!$C$15),1,$C169))*($E169&lt;INDEX(_xlfn.ANCHORARRAY(Sintesi!$C$16),1,$C169))*(INDEX(_xlfn.ANCHORARRAY(Sintesi!$C$15),1,$C169)&gt;0),2,IF($E169=(INDEX(_xlfn.ANCHORARRAY(Sintesi!$C$16),1,$C169)),3,4)))),0),IF($C169&gt;0,IF(($E169=INDEX(_xlfn.ANCHORARRAY(Sintesi!$C$14),1,$C169))*(INDEX(_xlfn.ANCHORARRAY(Sintesi!$C$15),1,$C169)&gt;0),0,IF(($E169=INDEX(_xlfn.ANCHORARRAY(Sintesi!$C$14),1,$C169))*(INDEX(_xlfn.ANCHORARRAY(Sintesi!$C$15),1,$C169)&lt;0)+($E169&gt;=LOOKUP(2,1/($E:$E&lt;&gt;""),$E:$E))*($E169&lt;=$E170)*($E169&gt;INDEX(_xlfn.ANCHORARRAY(Sintesi!$C$14),1,$C169))*($E169&lt;=INDEX(_xlfn.ANCHORARRAY(Sintesi!$C$15),1,$C169))*(INDEX(_xlfn.ANCHORARRAY(Sintesi!$C$15),1,$C169)&gt;0),1,IF(($E169&gt;=LOOKUP(2,1/($E:$E&lt;&gt;""),$E:$E))*($E169&lt;=$E170)*($E169&gt;INDEX(_xlfn.ANCHORARRAY(Sintesi!$C$14),1,$C169))*($E169&lt;INDEX(_xlfn.ANCHORARRAY(Sintesi!$C$16),1,$C169))*(INDEX(_xlfn.ANCHORARRAY(Sintesi!$C$15),1,$C169)&lt;0)+($E169&gt;=LOOKUP(2,1/($E:$E&lt;&gt;""),$E:$E))*($E169&lt;=$E170)*($E169&gt;INDEX(_xlfn.ANCHORARRAY(Sintesi!$C$15),1,$C169))*($E169&lt;INDEX(_xlfn.ANCHORARRAY(Sintesi!$C$16),1,$C169))*(INDEX(_xlfn.ANCHORARRAY(Sintesi!$C$15),1,$C169)&gt;0),2,IF($E169=(INDEX(_xlfn.ANCHORARRAY(Sintesi!$C$16),1,$C169)),3,4)))),0)))</f>
        <v>3</v>
      </c>
      <c r="E169" s="1">
        <f>'Paste cell here'!F169</f>
        <v>1.046</v>
      </c>
      <c r="F169" s="1">
        <f>'Paste cell here'!C169</f>
        <v>33.577265259999997</v>
      </c>
      <c r="G169" s="1">
        <f>'Paste cell here'!D169</f>
        <v>18.522734740000001</v>
      </c>
      <c r="H169" s="1">
        <f>'Paste cell here'!E169</f>
        <v>5.458659581</v>
      </c>
      <c r="I169" s="1">
        <f>'Paste cell here'!X169</f>
        <v>5.7091906799999999</v>
      </c>
      <c r="J169" s="1">
        <f>'Paste cell here'!Y169+'Paste cell here'!S169</f>
        <v>5.7091906799999999</v>
      </c>
      <c r="K169" s="1">
        <f t="shared" si="5"/>
        <v>1.0458960840628395</v>
      </c>
      <c r="L169" s="1">
        <f t="shared" si="4"/>
        <v>27.741626177902852</v>
      </c>
      <c r="M169" s="1" cm="1">
        <f t="array" ref="M169">IF(AND(A169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,A169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),IF(L169&lt;_xlfn.IFNA(INDEX(_xlfn.ANCHORARRAY(Sintesi!$C$17)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,1,IF(L169&gt;=_xlfn.IFNA(INDEX(_xlfn.ANCHORARRAY(Sintesi!$C$18)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,0,1-(L169-_xlfn.IFNA(INDEX(_xlfn.ANCHORARRAY(Sintesi!$C$17)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)/(_xlfn.IFNA(INDEX(_xlfn.ANCHORARRAY(Sintesi!$C$18)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-_xlfn.IFNA(INDEX(_xlfn.ANCHORARRAY(Sintesi!$C$17),1,MATCH(1,(_xlfn.ANCHORARRAY(Sintesi!$C$9)&gt;_xlfn.ANCHORARRAY(Sintesi!$C$10))*(A168&gt;=_xlfn.ANCHORARRAY(Sintesi!$C$9))+(_xlfn.ANCHORARRAY(Sintesi!$C$9)&gt;_xlfn.ANCHORARRAY(Sintesi!$C$10))*(A168&lt;=_xlfn.ANCHORARRAY(Sintesi!$C$10))+(_xlfn.ANCHORARRAY(Sintesi!$C$9)&lt;_xlfn.ANCHORARRAY(Sintesi!$C$10))*(A168&gt;=_xlfn.ANCHORARRAY(Sintesi!$C$9))*(A168&lt;=_xlfn.ANCHORARRAY(Sintesi!$C$10)),0)),0)))),0)</f>
        <v>1</v>
      </c>
    </row>
    <row r="170" spans="1:13">
      <c r="A170" s="1">
        <f>'Paste cell here'!A170</f>
        <v>169</v>
      </c>
      <c r="B170" s="2">
        <f>DATE(Sintesi!$C$4-1,12,31)+A170</f>
        <v>44365</v>
      </c>
      <c r="C170" s="34" cm="1">
        <f t="array" ref="C170">_xlfn.IFNA(MATCH(1,(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)*(_xlfn.ANCHORARRAY(Sintesi!$C$15)&gt;=0)+(_xlfn.ANCHORARRAY(Sintesi!$C$15)&lt;0),0),0)</f>
        <v>1</v>
      </c>
      <c r="D170" s="1" cm="1">
        <f t="array" ref="D170">IF(ISBLANK($E171),IF(ISNUMBER($E169),IF($C170&gt;0,IF(($E170=INDEX(_xlfn.ANCHORARRAY(Sintesi!$C$14),1,$C170))*(INDEX(_xlfn.ANCHORARRAY(Sintesi!$C$15),1,$C170)&gt;0),0,IF(($E170=INDEX(_xlfn.ANCHORARRAY(Sintesi!$C$14),1,$C170))*(INDEX(_xlfn.ANCHORARRAY(Sintesi!$C$15),1,$C170)&lt;0)+($E170&gt;=$E169)*($E170&lt;=INDEX($E:$E,MATCH(TRUE,INDEX((ISNUMBER($E:$E)),0),0)))*($E170&gt;INDEX(_xlfn.ANCHORARRAY(Sintesi!$C$14),1,$C170))*($E170&lt;=INDEX(_xlfn.ANCHORARRAY(Sintesi!$C$15),1,$C170))*(INDEX(_xlfn.ANCHORARRAY(Sintesi!$C$15),1,$C170)&gt;0),1,IF(($E170&gt;=$E169)*($E170&lt;=INDEX($E:$E,MATCH(TRUE,INDEX((ISNUMBER($E:$E)),0),0)))*($E170&gt;INDEX(_xlfn.ANCHORARRAY(Sintesi!$C$14),1,$C170))*($E170&lt;INDEX(_xlfn.ANCHORARRAY(Sintesi!$C$16),1,$C170))*(INDEX(_xlfn.ANCHORARRAY(Sintesi!$C$15),1,$C170)&lt;0)+($E170&gt;=$E169)*($E170&lt;=INDEX($E:$E,MATCH(TRUE,INDEX((ISNUMBER($E:$E)),0),0)))*($E170&gt;INDEX(_xlfn.ANCHORARRAY(Sintesi!$C$15),1,$C170))*($E170&lt;INDEX(_xlfn.ANCHORARRAY(Sintesi!$C$16),1,$C170))*(INDEX(_xlfn.ANCHORARRAY(Sintesi!$C$15),1,$C170)&gt;0),2,IF($E170=(INDEX(_xlfn.ANCHORARRAY(Sintesi!$C$16),1,$C170)),3,4)))),0),IF($C170&gt;0,IF(($E170=INDEX(_xlfn.ANCHORARRAY(Sintesi!$C$14),1,$C170))*(INDEX(_xlfn.ANCHORARRAY(Sintesi!$C$15),1,$C170)&gt;0),0,IF(($E170=INDEX(_xlfn.ANCHORARRAY(Sintesi!$C$14),1,$C170))*(INDEX(_xlfn.ANCHORARRAY(Sintesi!$C$15),1,$C170)&lt;0)+($E170&gt;=LOOKUP(2,1/($E:$E&lt;&gt;""),$E:$E))*($E170&lt;=INDEX($E:$E,MATCH(TRUE,INDEX((ISNUMBER($E:$E)),0),0)))*($E170&gt;INDEX(_xlfn.ANCHORARRAY(Sintesi!$C$14),1,$C170))*($E170&lt;=INDEX(_xlfn.ANCHORARRAY(Sintesi!$C$15),1,$C170))*(INDEX(_xlfn.ANCHORARRAY(Sintesi!$C$15),1,$C170)&gt;0),1,IF(($E170&gt;=LOOKUP(2,1/($E:$E&lt;&gt;""),$E:$E))*($E170&lt;=INDEX($E:$E,MATCH(TRUE,INDEX((ISNUMBER($E:$E)),0),0)))*($E170&gt;INDEX(_xlfn.ANCHORARRAY(Sintesi!$C$14),1,$C170))*($E170&lt;INDEX(_xlfn.ANCHORARRAY(Sintesi!$C$16),1,$C170))*(INDEX(_xlfn.ANCHORARRAY(Sintesi!$C$15),1,$C170)&lt;0)+($E170&gt;=LOOKUP(2,1/($E:$E&lt;&gt;""),$E:$E))*($E170&lt;=INDEX($E:$E,MATCH(TRUE,INDEX((ISNUMBER($E:$E)),0),0)))*($E170&gt;INDEX(_xlfn.ANCHORARRAY(Sintesi!$C$15),1,$C170))*($E170&lt;INDEX(_xlfn.ANCHORARRAY(Sintesi!$C$16),1,$C170))*(INDEX(_xlfn.ANCHORARRAY(Sintesi!$C$15),1,$C170)&gt;0),2,IF($E170=(INDEX(_xlfn.ANCHORARRAY(Sintesi!$C$16),1,$C170)),3,4)))),0)),IF(ISNUMBER($E169),IF($C170&gt;0,IF(($E170=INDEX(_xlfn.ANCHORARRAY(Sintesi!$C$14),1,$C170))*(INDEX(_xlfn.ANCHORARRAY(Sintesi!$C$15),1,$C170)&gt;0),0,IF(($E170=INDEX(_xlfn.ANCHORARRAY(Sintesi!$C$14),1,$C170))*(INDEX(_xlfn.ANCHORARRAY(Sintesi!$C$15),1,$C170)&lt;0)+($E170&gt;=$E169)*($E170&lt;=$E171)*($E170&gt;INDEX(_xlfn.ANCHORARRAY(Sintesi!$C$14),1,$C170))*($E170&lt;=INDEX(_xlfn.ANCHORARRAY(Sintesi!$C$15),1,$C170))*(INDEX(_xlfn.ANCHORARRAY(Sintesi!$C$15),1,$C170)&gt;0),1,IF(($E170&gt;=$E169)*($E170&lt;=$E171)*($E170&gt;INDEX(_xlfn.ANCHORARRAY(Sintesi!$C$14),1,$C170))*($E170&lt;INDEX(_xlfn.ANCHORARRAY(Sintesi!$C$16),1,$C170))*(INDEX(_xlfn.ANCHORARRAY(Sintesi!$C$15),1,$C170)&lt;0)+($E170&gt;=$E169)*($E170&lt;=$E171)*($E170&gt;INDEX(_xlfn.ANCHORARRAY(Sintesi!$C$15),1,$C170))*($E170&lt;INDEX(_xlfn.ANCHORARRAY(Sintesi!$C$16),1,$C170))*(INDEX(_xlfn.ANCHORARRAY(Sintesi!$C$15),1,$C170)&gt;0),2,IF($E170=(INDEX(_xlfn.ANCHORARRAY(Sintesi!$C$16),1,$C170)),3,4)))),0),IF($C170&gt;0,IF(($E170=INDEX(_xlfn.ANCHORARRAY(Sintesi!$C$14),1,$C170))*(INDEX(_xlfn.ANCHORARRAY(Sintesi!$C$15),1,$C170)&gt;0),0,IF(($E170=INDEX(_xlfn.ANCHORARRAY(Sintesi!$C$14),1,$C170))*(INDEX(_xlfn.ANCHORARRAY(Sintesi!$C$15),1,$C170)&lt;0)+($E170&gt;=LOOKUP(2,1/($E:$E&lt;&gt;""),$E:$E))*($E170&lt;=$E171)*($E170&gt;INDEX(_xlfn.ANCHORARRAY(Sintesi!$C$14),1,$C170))*($E170&lt;=INDEX(_xlfn.ANCHORARRAY(Sintesi!$C$15),1,$C170))*(INDEX(_xlfn.ANCHORARRAY(Sintesi!$C$15),1,$C170)&gt;0),1,IF(($E170&gt;=LOOKUP(2,1/($E:$E&lt;&gt;""),$E:$E))*($E170&lt;=$E171)*($E170&gt;INDEX(_xlfn.ANCHORARRAY(Sintesi!$C$14),1,$C170))*($E170&lt;INDEX(_xlfn.ANCHORARRAY(Sintesi!$C$16),1,$C170))*(INDEX(_xlfn.ANCHORARRAY(Sintesi!$C$15),1,$C170)&lt;0)+($E170&gt;=LOOKUP(2,1/($E:$E&lt;&gt;""),$E:$E))*($E170&lt;=$E171)*($E170&gt;INDEX(_xlfn.ANCHORARRAY(Sintesi!$C$15),1,$C170))*($E170&lt;INDEX(_xlfn.ANCHORARRAY(Sintesi!$C$16),1,$C170))*(INDEX(_xlfn.ANCHORARRAY(Sintesi!$C$15),1,$C170)&gt;0),2,IF($E170=(INDEX(_xlfn.ANCHORARRAY(Sintesi!$C$16),1,$C170)),3,4)))),0)))</f>
        <v>3</v>
      </c>
      <c r="E170" s="1">
        <f>'Paste cell here'!F170</f>
        <v>1.046</v>
      </c>
      <c r="F170" s="1">
        <f>'Paste cell here'!C170</f>
        <v>34.049280930000002</v>
      </c>
      <c r="G170" s="1">
        <f>'Paste cell here'!D170</f>
        <v>20.933265070000001</v>
      </c>
      <c r="H170" s="1">
        <f>'Paste cell here'!E170</f>
        <v>5.9944896329999997</v>
      </c>
      <c r="I170" s="1">
        <f>'Paste cell here'!X170</f>
        <v>6.2696103909999996</v>
      </c>
      <c r="J170" s="1">
        <f>'Paste cell here'!Y170+'Paste cell here'!S170</f>
        <v>6.2696103909999996</v>
      </c>
      <c r="K170" s="1">
        <f t="shared" si="5"/>
        <v>1.0458956099424119</v>
      </c>
      <c r="L170" s="1">
        <f t="shared" si="4"/>
        <v>28.965074906282563</v>
      </c>
      <c r="M170" s="1" cm="1">
        <f t="array" ref="M170">IF(AND(A170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,A170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),IF(L170&lt;_xlfn.IFNA(INDEX(_xlfn.ANCHORARRAY(Sintesi!$C$17)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,1,IF(L170&gt;=_xlfn.IFNA(INDEX(_xlfn.ANCHORARRAY(Sintesi!$C$18)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,0,1-(L170-_xlfn.IFNA(INDEX(_xlfn.ANCHORARRAY(Sintesi!$C$17)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)/(_xlfn.IFNA(INDEX(_xlfn.ANCHORARRAY(Sintesi!$C$18)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-_xlfn.IFNA(INDEX(_xlfn.ANCHORARRAY(Sintesi!$C$17),1,MATCH(1,(_xlfn.ANCHORARRAY(Sintesi!$C$9)&gt;_xlfn.ANCHORARRAY(Sintesi!$C$10))*(A169&gt;=_xlfn.ANCHORARRAY(Sintesi!$C$9))+(_xlfn.ANCHORARRAY(Sintesi!$C$9)&gt;_xlfn.ANCHORARRAY(Sintesi!$C$10))*(A169&lt;=_xlfn.ANCHORARRAY(Sintesi!$C$10))+(_xlfn.ANCHORARRAY(Sintesi!$C$9)&lt;_xlfn.ANCHORARRAY(Sintesi!$C$10))*(A169&gt;=_xlfn.ANCHORARRAY(Sintesi!$C$9))*(A169&lt;=_xlfn.ANCHORARRAY(Sintesi!$C$10)),0)),0)))),0)</f>
        <v>1</v>
      </c>
    </row>
    <row r="171" spans="1:13">
      <c r="A171" s="1">
        <f>'Paste cell here'!A171</f>
        <v>170</v>
      </c>
      <c r="B171" s="2">
        <f>DATE(Sintesi!$C$4-1,12,31)+A171</f>
        <v>44366</v>
      </c>
      <c r="C171" s="34" cm="1">
        <f t="array" ref="C171">_xlfn.IFNA(MATCH(1,(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)*(_xlfn.ANCHORARRAY(Sintesi!$C$15)&gt;=0)+(_xlfn.ANCHORARRAY(Sintesi!$C$15)&lt;0),0),0)</f>
        <v>1</v>
      </c>
      <c r="D171" s="1" cm="1">
        <f t="array" ref="D171">IF(ISBLANK($E172),IF(ISNUMBER($E170),IF($C171&gt;0,IF(($E171=INDEX(_xlfn.ANCHORARRAY(Sintesi!$C$14),1,$C171))*(INDEX(_xlfn.ANCHORARRAY(Sintesi!$C$15),1,$C171)&gt;0),0,IF(($E171=INDEX(_xlfn.ANCHORARRAY(Sintesi!$C$14),1,$C171))*(INDEX(_xlfn.ANCHORARRAY(Sintesi!$C$15),1,$C171)&lt;0)+($E171&gt;=$E170)*($E171&lt;=INDEX($E:$E,MATCH(TRUE,INDEX((ISNUMBER($E:$E)),0),0)))*($E171&gt;INDEX(_xlfn.ANCHORARRAY(Sintesi!$C$14),1,$C171))*($E171&lt;=INDEX(_xlfn.ANCHORARRAY(Sintesi!$C$15),1,$C171))*(INDEX(_xlfn.ANCHORARRAY(Sintesi!$C$15),1,$C171)&gt;0),1,IF(($E171&gt;=$E170)*($E171&lt;=INDEX($E:$E,MATCH(TRUE,INDEX((ISNUMBER($E:$E)),0),0)))*($E171&gt;INDEX(_xlfn.ANCHORARRAY(Sintesi!$C$14),1,$C171))*($E171&lt;INDEX(_xlfn.ANCHORARRAY(Sintesi!$C$16),1,$C171))*(INDEX(_xlfn.ANCHORARRAY(Sintesi!$C$15),1,$C171)&lt;0)+($E171&gt;=$E170)*($E171&lt;=INDEX($E:$E,MATCH(TRUE,INDEX((ISNUMBER($E:$E)),0),0)))*($E171&gt;INDEX(_xlfn.ANCHORARRAY(Sintesi!$C$15),1,$C171))*($E171&lt;INDEX(_xlfn.ANCHORARRAY(Sintesi!$C$16),1,$C171))*(INDEX(_xlfn.ANCHORARRAY(Sintesi!$C$15),1,$C171)&gt;0),2,IF($E171=(INDEX(_xlfn.ANCHORARRAY(Sintesi!$C$16),1,$C171)),3,4)))),0),IF($C171&gt;0,IF(($E171=INDEX(_xlfn.ANCHORARRAY(Sintesi!$C$14),1,$C171))*(INDEX(_xlfn.ANCHORARRAY(Sintesi!$C$15),1,$C171)&gt;0),0,IF(($E171=INDEX(_xlfn.ANCHORARRAY(Sintesi!$C$14),1,$C171))*(INDEX(_xlfn.ANCHORARRAY(Sintesi!$C$15),1,$C171)&lt;0)+($E171&gt;=LOOKUP(2,1/($E:$E&lt;&gt;""),$E:$E))*($E171&lt;=INDEX($E:$E,MATCH(TRUE,INDEX((ISNUMBER($E:$E)),0),0)))*($E171&gt;INDEX(_xlfn.ANCHORARRAY(Sintesi!$C$14),1,$C171))*($E171&lt;=INDEX(_xlfn.ANCHORARRAY(Sintesi!$C$15),1,$C171))*(INDEX(_xlfn.ANCHORARRAY(Sintesi!$C$15),1,$C171)&gt;0),1,IF(($E171&gt;=LOOKUP(2,1/($E:$E&lt;&gt;""),$E:$E))*($E171&lt;=INDEX($E:$E,MATCH(TRUE,INDEX((ISNUMBER($E:$E)),0),0)))*($E171&gt;INDEX(_xlfn.ANCHORARRAY(Sintesi!$C$14),1,$C171))*($E171&lt;INDEX(_xlfn.ANCHORARRAY(Sintesi!$C$16),1,$C171))*(INDEX(_xlfn.ANCHORARRAY(Sintesi!$C$15),1,$C171)&lt;0)+($E171&gt;=LOOKUP(2,1/($E:$E&lt;&gt;""),$E:$E))*($E171&lt;=INDEX($E:$E,MATCH(TRUE,INDEX((ISNUMBER($E:$E)),0),0)))*($E171&gt;INDEX(_xlfn.ANCHORARRAY(Sintesi!$C$15),1,$C171))*($E171&lt;INDEX(_xlfn.ANCHORARRAY(Sintesi!$C$16),1,$C171))*(INDEX(_xlfn.ANCHORARRAY(Sintesi!$C$15),1,$C171)&gt;0),2,IF($E171=(INDEX(_xlfn.ANCHORARRAY(Sintesi!$C$16),1,$C171)),3,4)))),0)),IF(ISNUMBER($E170),IF($C171&gt;0,IF(($E171=INDEX(_xlfn.ANCHORARRAY(Sintesi!$C$14),1,$C171))*(INDEX(_xlfn.ANCHORARRAY(Sintesi!$C$15),1,$C171)&gt;0),0,IF(($E171=INDEX(_xlfn.ANCHORARRAY(Sintesi!$C$14),1,$C171))*(INDEX(_xlfn.ANCHORARRAY(Sintesi!$C$15),1,$C171)&lt;0)+($E171&gt;=$E170)*($E171&lt;=$E172)*($E171&gt;INDEX(_xlfn.ANCHORARRAY(Sintesi!$C$14),1,$C171))*($E171&lt;=INDEX(_xlfn.ANCHORARRAY(Sintesi!$C$15),1,$C171))*(INDEX(_xlfn.ANCHORARRAY(Sintesi!$C$15),1,$C171)&gt;0),1,IF(($E171&gt;=$E170)*($E171&lt;=$E172)*($E171&gt;INDEX(_xlfn.ANCHORARRAY(Sintesi!$C$14),1,$C171))*($E171&lt;INDEX(_xlfn.ANCHORARRAY(Sintesi!$C$16),1,$C171))*(INDEX(_xlfn.ANCHORARRAY(Sintesi!$C$15),1,$C171)&lt;0)+($E171&gt;=$E170)*($E171&lt;=$E172)*($E171&gt;INDEX(_xlfn.ANCHORARRAY(Sintesi!$C$15),1,$C171))*($E171&lt;INDEX(_xlfn.ANCHORARRAY(Sintesi!$C$16),1,$C171))*(INDEX(_xlfn.ANCHORARRAY(Sintesi!$C$15),1,$C171)&gt;0),2,IF($E171=(INDEX(_xlfn.ANCHORARRAY(Sintesi!$C$16),1,$C171)),3,4)))),0),IF($C171&gt;0,IF(($E171=INDEX(_xlfn.ANCHORARRAY(Sintesi!$C$14),1,$C171))*(INDEX(_xlfn.ANCHORARRAY(Sintesi!$C$15),1,$C171)&gt;0),0,IF(($E171=INDEX(_xlfn.ANCHORARRAY(Sintesi!$C$14),1,$C171))*(INDEX(_xlfn.ANCHORARRAY(Sintesi!$C$15),1,$C171)&lt;0)+($E171&gt;=LOOKUP(2,1/($E:$E&lt;&gt;""),$E:$E))*($E171&lt;=$E172)*($E171&gt;INDEX(_xlfn.ANCHORARRAY(Sintesi!$C$14),1,$C171))*($E171&lt;=INDEX(_xlfn.ANCHORARRAY(Sintesi!$C$15),1,$C171))*(INDEX(_xlfn.ANCHORARRAY(Sintesi!$C$15),1,$C171)&gt;0),1,IF(($E171&gt;=LOOKUP(2,1/($E:$E&lt;&gt;""),$E:$E))*($E171&lt;=$E172)*($E171&gt;INDEX(_xlfn.ANCHORARRAY(Sintesi!$C$14),1,$C171))*($E171&lt;INDEX(_xlfn.ANCHORARRAY(Sintesi!$C$16),1,$C171))*(INDEX(_xlfn.ANCHORARRAY(Sintesi!$C$15),1,$C171)&lt;0)+($E171&gt;=LOOKUP(2,1/($E:$E&lt;&gt;""),$E:$E))*($E171&lt;=$E172)*($E171&gt;INDEX(_xlfn.ANCHORARRAY(Sintesi!$C$15),1,$C171))*($E171&lt;INDEX(_xlfn.ANCHORARRAY(Sintesi!$C$16),1,$C171))*(INDEX(_xlfn.ANCHORARRAY(Sintesi!$C$15),1,$C171)&gt;0),2,IF($E171=(INDEX(_xlfn.ANCHORARRAY(Sintesi!$C$16),1,$C171)),3,4)))),0)))</f>
        <v>3</v>
      </c>
      <c r="E171" s="1">
        <f>'Paste cell here'!F171</f>
        <v>1.046</v>
      </c>
      <c r="F171" s="1">
        <f>'Paste cell here'!C171</f>
        <v>32.08201949</v>
      </c>
      <c r="G171" s="1">
        <f>'Paste cell here'!D171</f>
        <v>18.01992894</v>
      </c>
      <c r="H171" s="1">
        <f>'Paste cell here'!E171</f>
        <v>5.2167118749999997</v>
      </c>
      <c r="I171" s="1">
        <f>'Paste cell here'!X171</f>
        <v>5.4561342750000001</v>
      </c>
      <c r="J171" s="1">
        <f>'Paste cell here'!Y171+'Paste cell here'!S171</f>
        <v>5.4561342750000001</v>
      </c>
      <c r="K171" s="1">
        <f t="shared" si="5"/>
        <v>1.0458952699970612</v>
      </c>
      <c r="L171" s="1">
        <f t="shared" si="4"/>
        <v>26.631083303012954</v>
      </c>
      <c r="M171" s="1" cm="1">
        <f t="array" ref="M171">IF(AND(A171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,A171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),IF(L171&lt;_xlfn.IFNA(INDEX(_xlfn.ANCHORARRAY(Sintesi!$C$17)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,1,IF(L171&gt;=_xlfn.IFNA(INDEX(_xlfn.ANCHORARRAY(Sintesi!$C$18)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,0,1-(L171-_xlfn.IFNA(INDEX(_xlfn.ANCHORARRAY(Sintesi!$C$17)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)/(_xlfn.IFNA(INDEX(_xlfn.ANCHORARRAY(Sintesi!$C$18)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-_xlfn.IFNA(INDEX(_xlfn.ANCHORARRAY(Sintesi!$C$17),1,MATCH(1,(_xlfn.ANCHORARRAY(Sintesi!$C$9)&gt;_xlfn.ANCHORARRAY(Sintesi!$C$10))*(A170&gt;=_xlfn.ANCHORARRAY(Sintesi!$C$9))+(_xlfn.ANCHORARRAY(Sintesi!$C$9)&gt;_xlfn.ANCHORARRAY(Sintesi!$C$10))*(A170&lt;=_xlfn.ANCHORARRAY(Sintesi!$C$10))+(_xlfn.ANCHORARRAY(Sintesi!$C$9)&lt;_xlfn.ANCHORARRAY(Sintesi!$C$10))*(A170&gt;=_xlfn.ANCHORARRAY(Sintesi!$C$9))*(A170&lt;=_xlfn.ANCHORARRAY(Sintesi!$C$10)),0)),0)))),0)</f>
        <v>1</v>
      </c>
    </row>
    <row r="172" spans="1:13">
      <c r="A172" s="1">
        <f>'Paste cell here'!A172</f>
        <v>171</v>
      </c>
      <c r="B172" s="2">
        <f>DATE(Sintesi!$C$4-1,12,31)+A172</f>
        <v>44367</v>
      </c>
      <c r="C172" s="34" cm="1">
        <f t="array" ref="C172">_xlfn.IFNA(MATCH(1,(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)*(_xlfn.ANCHORARRAY(Sintesi!$C$15)&gt;=0)+(_xlfn.ANCHORARRAY(Sintesi!$C$15)&lt;0),0),0)</f>
        <v>1</v>
      </c>
      <c r="D172" s="1" cm="1">
        <f t="array" ref="D172">IF(ISBLANK($E173),IF(ISNUMBER($E171),IF($C172&gt;0,IF(($E172=INDEX(_xlfn.ANCHORARRAY(Sintesi!$C$14),1,$C172))*(INDEX(_xlfn.ANCHORARRAY(Sintesi!$C$15),1,$C172)&gt;0),0,IF(($E172=INDEX(_xlfn.ANCHORARRAY(Sintesi!$C$14),1,$C172))*(INDEX(_xlfn.ANCHORARRAY(Sintesi!$C$15),1,$C172)&lt;0)+($E172&gt;=$E171)*($E172&lt;=INDEX($E:$E,MATCH(TRUE,INDEX((ISNUMBER($E:$E)),0),0)))*($E172&gt;INDEX(_xlfn.ANCHORARRAY(Sintesi!$C$14),1,$C172))*($E172&lt;=INDEX(_xlfn.ANCHORARRAY(Sintesi!$C$15),1,$C172))*(INDEX(_xlfn.ANCHORARRAY(Sintesi!$C$15),1,$C172)&gt;0),1,IF(($E172&gt;=$E171)*($E172&lt;=INDEX($E:$E,MATCH(TRUE,INDEX((ISNUMBER($E:$E)),0),0)))*($E172&gt;INDEX(_xlfn.ANCHORARRAY(Sintesi!$C$14),1,$C172))*($E172&lt;INDEX(_xlfn.ANCHORARRAY(Sintesi!$C$16),1,$C172))*(INDEX(_xlfn.ANCHORARRAY(Sintesi!$C$15),1,$C172)&lt;0)+($E172&gt;=$E171)*($E172&lt;=INDEX($E:$E,MATCH(TRUE,INDEX((ISNUMBER($E:$E)),0),0)))*($E172&gt;INDEX(_xlfn.ANCHORARRAY(Sintesi!$C$15),1,$C172))*($E172&lt;INDEX(_xlfn.ANCHORARRAY(Sintesi!$C$16),1,$C172))*(INDEX(_xlfn.ANCHORARRAY(Sintesi!$C$15),1,$C172)&gt;0),2,IF($E172=(INDEX(_xlfn.ANCHORARRAY(Sintesi!$C$16),1,$C172)),3,4)))),0),IF($C172&gt;0,IF(($E172=INDEX(_xlfn.ANCHORARRAY(Sintesi!$C$14),1,$C172))*(INDEX(_xlfn.ANCHORARRAY(Sintesi!$C$15),1,$C172)&gt;0),0,IF(($E172=INDEX(_xlfn.ANCHORARRAY(Sintesi!$C$14),1,$C172))*(INDEX(_xlfn.ANCHORARRAY(Sintesi!$C$15),1,$C172)&lt;0)+($E172&gt;=LOOKUP(2,1/($E:$E&lt;&gt;""),$E:$E))*($E172&lt;=INDEX($E:$E,MATCH(TRUE,INDEX((ISNUMBER($E:$E)),0),0)))*($E172&gt;INDEX(_xlfn.ANCHORARRAY(Sintesi!$C$14),1,$C172))*($E172&lt;=INDEX(_xlfn.ANCHORARRAY(Sintesi!$C$15),1,$C172))*(INDEX(_xlfn.ANCHORARRAY(Sintesi!$C$15),1,$C172)&gt;0),1,IF(($E172&gt;=LOOKUP(2,1/($E:$E&lt;&gt;""),$E:$E))*($E172&lt;=INDEX($E:$E,MATCH(TRUE,INDEX((ISNUMBER($E:$E)),0),0)))*($E172&gt;INDEX(_xlfn.ANCHORARRAY(Sintesi!$C$14),1,$C172))*($E172&lt;INDEX(_xlfn.ANCHORARRAY(Sintesi!$C$16),1,$C172))*(INDEX(_xlfn.ANCHORARRAY(Sintesi!$C$15),1,$C172)&lt;0)+($E172&gt;=LOOKUP(2,1/($E:$E&lt;&gt;""),$E:$E))*($E172&lt;=INDEX($E:$E,MATCH(TRUE,INDEX((ISNUMBER($E:$E)),0),0)))*($E172&gt;INDEX(_xlfn.ANCHORARRAY(Sintesi!$C$15),1,$C172))*($E172&lt;INDEX(_xlfn.ANCHORARRAY(Sintesi!$C$16),1,$C172))*(INDEX(_xlfn.ANCHORARRAY(Sintesi!$C$15),1,$C172)&gt;0),2,IF($E172=(INDEX(_xlfn.ANCHORARRAY(Sintesi!$C$16),1,$C172)),3,4)))),0)),IF(ISNUMBER($E171),IF($C172&gt;0,IF(($E172=INDEX(_xlfn.ANCHORARRAY(Sintesi!$C$14),1,$C172))*(INDEX(_xlfn.ANCHORARRAY(Sintesi!$C$15),1,$C172)&gt;0),0,IF(($E172=INDEX(_xlfn.ANCHORARRAY(Sintesi!$C$14),1,$C172))*(INDEX(_xlfn.ANCHORARRAY(Sintesi!$C$15),1,$C172)&lt;0)+($E172&gt;=$E171)*($E172&lt;=$E173)*($E172&gt;INDEX(_xlfn.ANCHORARRAY(Sintesi!$C$14),1,$C172))*($E172&lt;=INDEX(_xlfn.ANCHORARRAY(Sintesi!$C$15),1,$C172))*(INDEX(_xlfn.ANCHORARRAY(Sintesi!$C$15),1,$C172)&gt;0),1,IF(($E172&gt;=$E171)*($E172&lt;=$E173)*($E172&gt;INDEX(_xlfn.ANCHORARRAY(Sintesi!$C$14),1,$C172))*($E172&lt;INDEX(_xlfn.ANCHORARRAY(Sintesi!$C$16),1,$C172))*(INDEX(_xlfn.ANCHORARRAY(Sintesi!$C$15),1,$C172)&lt;0)+($E172&gt;=$E171)*($E172&lt;=$E173)*($E172&gt;INDEX(_xlfn.ANCHORARRAY(Sintesi!$C$15),1,$C172))*($E172&lt;INDEX(_xlfn.ANCHORARRAY(Sintesi!$C$16),1,$C172))*(INDEX(_xlfn.ANCHORARRAY(Sintesi!$C$15),1,$C172)&gt;0),2,IF($E172=(INDEX(_xlfn.ANCHORARRAY(Sintesi!$C$16),1,$C172)),3,4)))),0),IF($C172&gt;0,IF(($E172=INDEX(_xlfn.ANCHORARRAY(Sintesi!$C$14),1,$C172))*(INDEX(_xlfn.ANCHORARRAY(Sintesi!$C$15),1,$C172)&gt;0),0,IF(($E172=INDEX(_xlfn.ANCHORARRAY(Sintesi!$C$14),1,$C172))*(INDEX(_xlfn.ANCHORARRAY(Sintesi!$C$15),1,$C172)&lt;0)+($E172&gt;=LOOKUP(2,1/($E:$E&lt;&gt;""),$E:$E))*($E172&lt;=$E173)*($E172&gt;INDEX(_xlfn.ANCHORARRAY(Sintesi!$C$14),1,$C172))*($E172&lt;=INDEX(_xlfn.ANCHORARRAY(Sintesi!$C$15),1,$C172))*(INDEX(_xlfn.ANCHORARRAY(Sintesi!$C$15),1,$C172)&gt;0),1,IF(($E172&gt;=LOOKUP(2,1/($E:$E&lt;&gt;""),$E:$E))*($E172&lt;=$E173)*($E172&gt;INDEX(_xlfn.ANCHORARRAY(Sintesi!$C$14),1,$C172))*($E172&lt;INDEX(_xlfn.ANCHORARRAY(Sintesi!$C$16),1,$C172))*(INDEX(_xlfn.ANCHORARRAY(Sintesi!$C$15),1,$C172)&lt;0)+($E172&gt;=LOOKUP(2,1/($E:$E&lt;&gt;""),$E:$E))*($E172&lt;=$E173)*($E172&gt;INDEX(_xlfn.ANCHORARRAY(Sintesi!$C$15),1,$C172))*($E172&lt;INDEX(_xlfn.ANCHORARRAY(Sintesi!$C$16),1,$C172))*(INDEX(_xlfn.ANCHORARRAY(Sintesi!$C$15),1,$C172)&gt;0),2,IF($E172=(INDEX(_xlfn.ANCHORARRAY(Sintesi!$C$16),1,$C172)),3,4)))),0)))</f>
        <v>3</v>
      </c>
      <c r="E172" s="1">
        <f>'Paste cell here'!F172</f>
        <v>1.046</v>
      </c>
      <c r="F172" s="1">
        <f>'Paste cell here'!C172</f>
        <v>32.656605030000001</v>
      </c>
      <c r="G172" s="1">
        <f>'Paste cell here'!D172</f>
        <v>18.840589170000001</v>
      </c>
      <c r="H172" s="1">
        <f>'Paste cell here'!E172</f>
        <v>4.2336691809999998</v>
      </c>
      <c r="I172" s="1">
        <f>'Paste cell here'!X172</f>
        <v>4.4279737060000004</v>
      </c>
      <c r="J172" s="1">
        <f>'Paste cell here'!Y172+'Paste cell here'!S172</f>
        <v>4.4279737060000004</v>
      </c>
      <c r="K172" s="1">
        <f t="shared" si="5"/>
        <v>1.0458950656494388</v>
      </c>
      <c r="L172" s="1">
        <f t="shared" si="4"/>
        <v>27.301055615531116</v>
      </c>
      <c r="M172" s="1" cm="1">
        <f t="array" ref="M172">IF(AND(A172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,A172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),IF(L172&lt;_xlfn.IFNA(INDEX(_xlfn.ANCHORARRAY(Sintesi!$C$17)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,1,IF(L172&gt;=_xlfn.IFNA(INDEX(_xlfn.ANCHORARRAY(Sintesi!$C$18)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,0,1-(L172-_xlfn.IFNA(INDEX(_xlfn.ANCHORARRAY(Sintesi!$C$17)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)/(_xlfn.IFNA(INDEX(_xlfn.ANCHORARRAY(Sintesi!$C$18)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-_xlfn.IFNA(INDEX(_xlfn.ANCHORARRAY(Sintesi!$C$17),1,MATCH(1,(_xlfn.ANCHORARRAY(Sintesi!$C$9)&gt;_xlfn.ANCHORARRAY(Sintesi!$C$10))*(A171&gt;=_xlfn.ANCHORARRAY(Sintesi!$C$9))+(_xlfn.ANCHORARRAY(Sintesi!$C$9)&gt;_xlfn.ANCHORARRAY(Sintesi!$C$10))*(A171&lt;=_xlfn.ANCHORARRAY(Sintesi!$C$10))+(_xlfn.ANCHORARRAY(Sintesi!$C$9)&lt;_xlfn.ANCHORARRAY(Sintesi!$C$10))*(A171&gt;=_xlfn.ANCHORARRAY(Sintesi!$C$9))*(A171&lt;=_xlfn.ANCHORARRAY(Sintesi!$C$10)),0)),0)))),0)</f>
        <v>1</v>
      </c>
    </row>
    <row r="173" spans="1:13">
      <c r="A173" s="1">
        <f>'Paste cell here'!A173</f>
        <v>172</v>
      </c>
      <c r="B173" s="2">
        <f>DATE(Sintesi!$C$4-1,12,31)+A173</f>
        <v>44368</v>
      </c>
      <c r="C173" s="34" cm="1">
        <f t="array" ref="C173">_xlfn.IFNA(MATCH(1,(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)*(_xlfn.ANCHORARRAY(Sintesi!$C$15)&gt;=0)+(_xlfn.ANCHORARRAY(Sintesi!$C$15)&lt;0),0),0)</f>
        <v>1</v>
      </c>
      <c r="D173" s="1" cm="1">
        <f t="array" ref="D173">IF(ISBLANK($E174),IF(ISNUMBER($E172),IF($C173&gt;0,IF(($E173=INDEX(_xlfn.ANCHORARRAY(Sintesi!$C$14),1,$C173))*(INDEX(_xlfn.ANCHORARRAY(Sintesi!$C$15),1,$C173)&gt;0),0,IF(($E173=INDEX(_xlfn.ANCHORARRAY(Sintesi!$C$14),1,$C173))*(INDEX(_xlfn.ANCHORARRAY(Sintesi!$C$15),1,$C173)&lt;0)+($E173&gt;=$E172)*($E173&lt;=INDEX($E:$E,MATCH(TRUE,INDEX((ISNUMBER($E:$E)),0),0)))*($E173&gt;INDEX(_xlfn.ANCHORARRAY(Sintesi!$C$14),1,$C173))*($E173&lt;=INDEX(_xlfn.ANCHORARRAY(Sintesi!$C$15),1,$C173))*(INDEX(_xlfn.ANCHORARRAY(Sintesi!$C$15),1,$C173)&gt;0),1,IF(($E173&gt;=$E172)*($E173&lt;=INDEX($E:$E,MATCH(TRUE,INDEX((ISNUMBER($E:$E)),0),0)))*($E173&gt;INDEX(_xlfn.ANCHORARRAY(Sintesi!$C$14),1,$C173))*($E173&lt;INDEX(_xlfn.ANCHORARRAY(Sintesi!$C$16),1,$C173))*(INDEX(_xlfn.ANCHORARRAY(Sintesi!$C$15),1,$C173)&lt;0)+($E173&gt;=$E172)*($E173&lt;=INDEX($E:$E,MATCH(TRUE,INDEX((ISNUMBER($E:$E)),0),0)))*($E173&gt;INDEX(_xlfn.ANCHORARRAY(Sintesi!$C$15),1,$C173))*($E173&lt;INDEX(_xlfn.ANCHORARRAY(Sintesi!$C$16),1,$C173))*(INDEX(_xlfn.ANCHORARRAY(Sintesi!$C$15),1,$C173)&gt;0),2,IF($E173=(INDEX(_xlfn.ANCHORARRAY(Sintesi!$C$16),1,$C173)),3,4)))),0),IF($C173&gt;0,IF(($E173=INDEX(_xlfn.ANCHORARRAY(Sintesi!$C$14),1,$C173))*(INDEX(_xlfn.ANCHORARRAY(Sintesi!$C$15),1,$C173)&gt;0),0,IF(($E173=INDEX(_xlfn.ANCHORARRAY(Sintesi!$C$14),1,$C173))*(INDEX(_xlfn.ANCHORARRAY(Sintesi!$C$15),1,$C173)&lt;0)+($E173&gt;=LOOKUP(2,1/($E:$E&lt;&gt;""),$E:$E))*($E173&lt;=INDEX($E:$E,MATCH(TRUE,INDEX((ISNUMBER($E:$E)),0),0)))*($E173&gt;INDEX(_xlfn.ANCHORARRAY(Sintesi!$C$14),1,$C173))*($E173&lt;=INDEX(_xlfn.ANCHORARRAY(Sintesi!$C$15),1,$C173))*(INDEX(_xlfn.ANCHORARRAY(Sintesi!$C$15),1,$C173)&gt;0),1,IF(($E173&gt;=LOOKUP(2,1/($E:$E&lt;&gt;""),$E:$E))*($E173&lt;=INDEX($E:$E,MATCH(TRUE,INDEX((ISNUMBER($E:$E)),0),0)))*($E173&gt;INDEX(_xlfn.ANCHORARRAY(Sintesi!$C$14),1,$C173))*($E173&lt;INDEX(_xlfn.ANCHORARRAY(Sintesi!$C$16),1,$C173))*(INDEX(_xlfn.ANCHORARRAY(Sintesi!$C$15),1,$C173)&lt;0)+($E173&gt;=LOOKUP(2,1/($E:$E&lt;&gt;""),$E:$E))*($E173&lt;=INDEX($E:$E,MATCH(TRUE,INDEX((ISNUMBER($E:$E)),0),0)))*($E173&gt;INDEX(_xlfn.ANCHORARRAY(Sintesi!$C$15),1,$C173))*($E173&lt;INDEX(_xlfn.ANCHORARRAY(Sintesi!$C$16),1,$C173))*(INDEX(_xlfn.ANCHORARRAY(Sintesi!$C$15),1,$C173)&gt;0),2,IF($E173=(INDEX(_xlfn.ANCHORARRAY(Sintesi!$C$16),1,$C173)),3,4)))),0)),IF(ISNUMBER($E172),IF($C173&gt;0,IF(($E173=INDEX(_xlfn.ANCHORARRAY(Sintesi!$C$14),1,$C173))*(INDEX(_xlfn.ANCHORARRAY(Sintesi!$C$15),1,$C173)&gt;0),0,IF(($E173=INDEX(_xlfn.ANCHORARRAY(Sintesi!$C$14),1,$C173))*(INDEX(_xlfn.ANCHORARRAY(Sintesi!$C$15),1,$C173)&lt;0)+($E173&gt;=$E172)*($E173&lt;=$E174)*($E173&gt;INDEX(_xlfn.ANCHORARRAY(Sintesi!$C$14),1,$C173))*($E173&lt;=INDEX(_xlfn.ANCHORARRAY(Sintesi!$C$15),1,$C173))*(INDEX(_xlfn.ANCHORARRAY(Sintesi!$C$15),1,$C173)&gt;0),1,IF(($E173&gt;=$E172)*($E173&lt;=$E174)*($E173&gt;INDEX(_xlfn.ANCHORARRAY(Sintesi!$C$14),1,$C173))*($E173&lt;INDEX(_xlfn.ANCHORARRAY(Sintesi!$C$16),1,$C173))*(INDEX(_xlfn.ANCHORARRAY(Sintesi!$C$15),1,$C173)&lt;0)+($E173&gt;=$E172)*($E173&lt;=$E174)*($E173&gt;INDEX(_xlfn.ANCHORARRAY(Sintesi!$C$15),1,$C173))*($E173&lt;INDEX(_xlfn.ANCHORARRAY(Sintesi!$C$16),1,$C173))*(INDEX(_xlfn.ANCHORARRAY(Sintesi!$C$15),1,$C173)&gt;0),2,IF($E173=(INDEX(_xlfn.ANCHORARRAY(Sintesi!$C$16),1,$C173)),3,4)))),0),IF($C173&gt;0,IF(($E173=INDEX(_xlfn.ANCHORARRAY(Sintesi!$C$14),1,$C173))*(INDEX(_xlfn.ANCHORARRAY(Sintesi!$C$15),1,$C173)&gt;0),0,IF(($E173=INDEX(_xlfn.ANCHORARRAY(Sintesi!$C$14),1,$C173))*(INDEX(_xlfn.ANCHORARRAY(Sintesi!$C$15),1,$C173)&lt;0)+($E173&gt;=LOOKUP(2,1/($E:$E&lt;&gt;""),$E:$E))*($E173&lt;=$E174)*($E173&gt;INDEX(_xlfn.ANCHORARRAY(Sintesi!$C$14),1,$C173))*($E173&lt;=INDEX(_xlfn.ANCHORARRAY(Sintesi!$C$15),1,$C173))*(INDEX(_xlfn.ANCHORARRAY(Sintesi!$C$15),1,$C173)&gt;0),1,IF(($E173&gt;=LOOKUP(2,1/($E:$E&lt;&gt;""),$E:$E))*($E173&lt;=$E174)*($E173&gt;INDEX(_xlfn.ANCHORARRAY(Sintesi!$C$14),1,$C173))*($E173&lt;INDEX(_xlfn.ANCHORARRAY(Sintesi!$C$16),1,$C173))*(INDEX(_xlfn.ANCHORARRAY(Sintesi!$C$15),1,$C173)&lt;0)+($E173&gt;=LOOKUP(2,1/($E:$E&lt;&gt;""),$E:$E))*($E173&lt;=$E174)*($E173&gt;INDEX(_xlfn.ANCHORARRAY(Sintesi!$C$15),1,$C173))*($E173&lt;INDEX(_xlfn.ANCHORARRAY(Sintesi!$C$16),1,$C173))*(INDEX(_xlfn.ANCHORARRAY(Sintesi!$C$15),1,$C173)&gt;0),2,IF($E173=(INDEX(_xlfn.ANCHORARRAY(Sintesi!$C$16),1,$C173)),3,4)))),0)))</f>
        <v>3</v>
      </c>
      <c r="E173" s="1">
        <f>'Paste cell here'!F173</f>
        <v>1.046</v>
      </c>
      <c r="F173" s="1">
        <f>'Paste cell here'!C173</f>
        <v>33.595204099999997</v>
      </c>
      <c r="G173" s="1">
        <f>'Paste cell here'!D173</f>
        <v>19.250719069999999</v>
      </c>
      <c r="H173" s="1">
        <f>'Paste cell here'!E173</f>
        <v>5.6454247640000004</v>
      </c>
      <c r="I173" s="1">
        <f>'Paste cell here'!X173</f>
        <v>5.9045215200000003</v>
      </c>
      <c r="J173" s="1">
        <f>'Paste cell here'!Y173+'Paste cell here'!S173</f>
        <v>5.9045215200000003</v>
      </c>
      <c r="K173" s="1">
        <f t="shared" si="5"/>
        <v>1.045894997600928</v>
      </c>
      <c r="L173" s="1">
        <f t="shared" si="4"/>
        <v>28.034802376251964</v>
      </c>
      <c r="M173" s="1" cm="1">
        <f t="array" ref="M173">IF(AND(A173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,A173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),IF(L173&lt;_xlfn.IFNA(INDEX(_xlfn.ANCHORARRAY(Sintesi!$C$17)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,1,IF(L173&gt;=_xlfn.IFNA(INDEX(_xlfn.ANCHORARRAY(Sintesi!$C$18)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,0,1-(L173-_xlfn.IFNA(INDEX(_xlfn.ANCHORARRAY(Sintesi!$C$17)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)/(_xlfn.IFNA(INDEX(_xlfn.ANCHORARRAY(Sintesi!$C$18)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-_xlfn.IFNA(INDEX(_xlfn.ANCHORARRAY(Sintesi!$C$17),1,MATCH(1,(_xlfn.ANCHORARRAY(Sintesi!$C$9)&gt;_xlfn.ANCHORARRAY(Sintesi!$C$10))*(A172&gt;=_xlfn.ANCHORARRAY(Sintesi!$C$9))+(_xlfn.ANCHORARRAY(Sintesi!$C$9)&gt;_xlfn.ANCHORARRAY(Sintesi!$C$10))*(A172&lt;=_xlfn.ANCHORARRAY(Sintesi!$C$10))+(_xlfn.ANCHORARRAY(Sintesi!$C$9)&lt;_xlfn.ANCHORARRAY(Sintesi!$C$10))*(A172&gt;=_xlfn.ANCHORARRAY(Sintesi!$C$9))*(A172&lt;=_xlfn.ANCHORARRAY(Sintesi!$C$10)),0)),0)))),0)</f>
        <v>1</v>
      </c>
    </row>
    <row r="174" spans="1:13">
      <c r="A174" s="1">
        <f>'Paste cell here'!A174</f>
        <v>173</v>
      </c>
      <c r="B174" s="2">
        <f>DATE(Sintesi!$C$4-1,12,31)+A174</f>
        <v>44369</v>
      </c>
      <c r="C174" s="34" cm="1">
        <f t="array" ref="C174">_xlfn.IFNA(MATCH(1,(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)*(_xlfn.ANCHORARRAY(Sintesi!$C$15)&gt;=0)+(_xlfn.ANCHORARRAY(Sintesi!$C$15)&lt;0),0),0)</f>
        <v>1</v>
      </c>
      <c r="D174" s="1" cm="1">
        <f t="array" ref="D174">IF(ISBLANK($E175),IF(ISNUMBER($E173),IF($C174&gt;0,IF(($E174=INDEX(_xlfn.ANCHORARRAY(Sintesi!$C$14),1,$C174))*(INDEX(_xlfn.ANCHORARRAY(Sintesi!$C$15),1,$C174)&gt;0),0,IF(($E174=INDEX(_xlfn.ANCHORARRAY(Sintesi!$C$14),1,$C174))*(INDEX(_xlfn.ANCHORARRAY(Sintesi!$C$15),1,$C174)&lt;0)+($E174&gt;=$E173)*($E174&lt;=INDEX($E:$E,MATCH(TRUE,INDEX((ISNUMBER($E:$E)),0),0)))*($E174&gt;INDEX(_xlfn.ANCHORARRAY(Sintesi!$C$14),1,$C174))*($E174&lt;=INDEX(_xlfn.ANCHORARRAY(Sintesi!$C$15),1,$C174))*(INDEX(_xlfn.ANCHORARRAY(Sintesi!$C$15),1,$C174)&gt;0),1,IF(($E174&gt;=$E173)*($E174&lt;=INDEX($E:$E,MATCH(TRUE,INDEX((ISNUMBER($E:$E)),0),0)))*($E174&gt;INDEX(_xlfn.ANCHORARRAY(Sintesi!$C$14),1,$C174))*($E174&lt;INDEX(_xlfn.ANCHORARRAY(Sintesi!$C$16),1,$C174))*(INDEX(_xlfn.ANCHORARRAY(Sintesi!$C$15),1,$C174)&lt;0)+($E174&gt;=$E173)*($E174&lt;=INDEX($E:$E,MATCH(TRUE,INDEX((ISNUMBER($E:$E)),0),0)))*($E174&gt;INDEX(_xlfn.ANCHORARRAY(Sintesi!$C$15),1,$C174))*($E174&lt;INDEX(_xlfn.ANCHORARRAY(Sintesi!$C$16),1,$C174))*(INDEX(_xlfn.ANCHORARRAY(Sintesi!$C$15),1,$C174)&gt;0),2,IF($E174=(INDEX(_xlfn.ANCHORARRAY(Sintesi!$C$16),1,$C174)),3,4)))),0),IF($C174&gt;0,IF(($E174=INDEX(_xlfn.ANCHORARRAY(Sintesi!$C$14),1,$C174))*(INDEX(_xlfn.ANCHORARRAY(Sintesi!$C$15),1,$C174)&gt;0),0,IF(($E174=INDEX(_xlfn.ANCHORARRAY(Sintesi!$C$14),1,$C174))*(INDEX(_xlfn.ANCHORARRAY(Sintesi!$C$15),1,$C174)&lt;0)+($E174&gt;=LOOKUP(2,1/($E:$E&lt;&gt;""),$E:$E))*($E174&lt;=INDEX($E:$E,MATCH(TRUE,INDEX((ISNUMBER($E:$E)),0),0)))*($E174&gt;INDEX(_xlfn.ANCHORARRAY(Sintesi!$C$14),1,$C174))*($E174&lt;=INDEX(_xlfn.ANCHORARRAY(Sintesi!$C$15),1,$C174))*(INDEX(_xlfn.ANCHORARRAY(Sintesi!$C$15),1,$C174)&gt;0),1,IF(($E174&gt;=LOOKUP(2,1/($E:$E&lt;&gt;""),$E:$E))*($E174&lt;=INDEX($E:$E,MATCH(TRUE,INDEX((ISNUMBER($E:$E)),0),0)))*($E174&gt;INDEX(_xlfn.ANCHORARRAY(Sintesi!$C$14),1,$C174))*($E174&lt;INDEX(_xlfn.ANCHORARRAY(Sintesi!$C$16),1,$C174))*(INDEX(_xlfn.ANCHORARRAY(Sintesi!$C$15),1,$C174)&lt;0)+($E174&gt;=LOOKUP(2,1/($E:$E&lt;&gt;""),$E:$E))*($E174&lt;=INDEX($E:$E,MATCH(TRUE,INDEX((ISNUMBER($E:$E)),0),0)))*($E174&gt;INDEX(_xlfn.ANCHORARRAY(Sintesi!$C$15),1,$C174))*($E174&lt;INDEX(_xlfn.ANCHORARRAY(Sintesi!$C$16),1,$C174))*(INDEX(_xlfn.ANCHORARRAY(Sintesi!$C$15),1,$C174)&gt;0),2,IF($E174=(INDEX(_xlfn.ANCHORARRAY(Sintesi!$C$16),1,$C174)),3,4)))),0)),IF(ISNUMBER($E173),IF($C174&gt;0,IF(($E174=INDEX(_xlfn.ANCHORARRAY(Sintesi!$C$14),1,$C174))*(INDEX(_xlfn.ANCHORARRAY(Sintesi!$C$15),1,$C174)&gt;0),0,IF(($E174=INDEX(_xlfn.ANCHORARRAY(Sintesi!$C$14),1,$C174))*(INDEX(_xlfn.ANCHORARRAY(Sintesi!$C$15),1,$C174)&lt;0)+($E174&gt;=$E173)*($E174&lt;=$E175)*($E174&gt;INDEX(_xlfn.ANCHORARRAY(Sintesi!$C$14),1,$C174))*($E174&lt;=INDEX(_xlfn.ANCHORARRAY(Sintesi!$C$15),1,$C174))*(INDEX(_xlfn.ANCHORARRAY(Sintesi!$C$15),1,$C174)&gt;0),1,IF(($E174&gt;=$E173)*($E174&lt;=$E175)*($E174&gt;INDEX(_xlfn.ANCHORARRAY(Sintesi!$C$14),1,$C174))*($E174&lt;INDEX(_xlfn.ANCHORARRAY(Sintesi!$C$16),1,$C174))*(INDEX(_xlfn.ANCHORARRAY(Sintesi!$C$15),1,$C174)&lt;0)+($E174&gt;=$E173)*($E174&lt;=$E175)*($E174&gt;INDEX(_xlfn.ANCHORARRAY(Sintesi!$C$15),1,$C174))*($E174&lt;INDEX(_xlfn.ANCHORARRAY(Sintesi!$C$16),1,$C174))*(INDEX(_xlfn.ANCHORARRAY(Sintesi!$C$15),1,$C174)&gt;0),2,IF($E174=(INDEX(_xlfn.ANCHORARRAY(Sintesi!$C$16),1,$C174)),3,4)))),0),IF($C174&gt;0,IF(($E174=INDEX(_xlfn.ANCHORARRAY(Sintesi!$C$14),1,$C174))*(INDEX(_xlfn.ANCHORARRAY(Sintesi!$C$15),1,$C174)&gt;0),0,IF(($E174=INDEX(_xlfn.ANCHORARRAY(Sintesi!$C$14),1,$C174))*(INDEX(_xlfn.ANCHORARRAY(Sintesi!$C$15),1,$C174)&lt;0)+($E174&gt;=LOOKUP(2,1/($E:$E&lt;&gt;""),$E:$E))*($E174&lt;=$E175)*($E174&gt;INDEX(_xlfn.ANCHORARRAY(Sintesi!$C$14),1,$C174))*($E174&lt;=INDEX(_xlfn.ANCHORARRAY(Sintesi!$C$15),1,$C174))*(INDEX(_xlfn.ANCHORARRAY(Sintesi!$C$15),1,$C174)&gt;0),1,IF(($E174&gt;=LOOKUP(2,1/($E:$E&lt;&gt;""),$E:$E))*($E174&lt;=$E175)*($E174&gt;INDEX(_xlfn.ANCHORARRAY(Sintesi!$C$14),1,$C174))*($E174&lt;INDEX(_xlfn.ANCHORARRAY(Sintesi!$C$16),1,$C174))*(INDEX(_xlfn.ANCHORARRAY(Sintesi!$C$15),1,$C174)&lt;0)+($E174&gt;=LOOKUP(2,1/($E:$E&lt;&gt;""),$E:$E))*($E174&lt;=$E175)*($E174&gt;INDEX(_xlfn.ANCHORARRAY(Sintesi!$C$15),1,$C174))*($E174&lt;INDEX(_xlfn.ANCHORARRAY(Sintesi!$C$16),1,$C174))*(INDEX(_xlfn.ANCHORARRAY(Sintesi!$C$15),1,$C174)&gt;0),2,IF($E174=(INDEX(_xlfn.ANCHORARRAY(Sintesi!$C$16),1,$C174)),3,4)))),0)))</f>
        <v>3</v>
      </c>
      <c r="E174" s="1">
        <f>'Paste cell here'!F174</f>
        <v>1.046</v>
      </c>
      <c r="F174" s="1">
        <f>'Paste cell here'!C174</f>
        <v>33.041320460000001</v>
      </c>
      <c r="G174" s="1">
        <f>'Paste cell here'!D174</f>
        <v>18.979339769999999</v>
      </c>
      <c r="H174" s="1">
        <f>'Paste cell here'!E174</f>
        <v>5.9104818290000001</v>
      </c>
      <c r="I174" s="1">
        <f>'Paste cell here'!X174</f>
        <v>6.1817437850000001</v>
      </c>
      <c r="J174" s="1">
        <f>'Paste cell here'!Y174+'Paste cell here'!S174</f>
        <v>6.1817437850000001</v>
      </c>
      <c r="K174" s="1">
        <f t="shared" si="5"/>
        <v>1.045895066400347</v>
      </c>
      <c r="L174" s="1">
        <f t="shared" si="4"/>
        <v>27.590426858419963</v>
      </c>
      <c r="M174" s="1" cm="1">
        <f t="array" ref="M174">IF(AND(A174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,A174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),IF(L174&lt;_xlfn.IFNA(INDEX(_xlfn.ANCHORARRAY(Sintesi!$C$17)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,1,IF(L174&gt;=_xlfn.IFNA(INDEX(_xlfn.ANCHORARRAY(Sintesi!$C$18)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,0,1-(L174-_xlfn.IFNA(INDEX(_xlfn.ANCHORARRAY(Sintesi!$C$17)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)/(_xlfn.IFNA(INDEX(_xlfn.ANCHORARRAY(Sintesi!$C$18)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-_xlfn.IFNA(INDEX(_xlfn.ANCHORARRAY(Sintesi!$C$17),1,MATCH(1,(_xlfn.ANCHORARRAY(Sintesi!$C$9)&gt;_xlfn.ANCHORARRAY(Sintesi!$C$10))*(A173&gt;=_xlfn.ANCHORARRAY(Sintesi!$C$9))+(_xlfn.ANCHORARRAY(Sintesi!$C$9)&gt;_xlfn.ANCHORARRAY(Sintesi!$C$10))*(A173&lt;=_xlfn.ANCHORARRAY(Sintesi!$C$10))+(_xlfn.ANCHORARRAY(Sintesi!$C$9)&lt;_xlfn.ANCHORARRAY(Sintesi!$C$10))*(A173&gt;=_xlfn.ANCHORARRAY(Sintesi!$C$9))*(A173&lt;=_xlfn.ANCHORARRAY(Sintesi!$C$10)),0)),0)))),0)</f>
        <v>1</v>
      </c>
    </row>
    <row r="175" spans="1:13">
      <c r="A175" s="1">
        <f>'Paste cell here'!A175</f>
        <v>174</v>
      </c>
      <c r="B175" s="2">
        <f>DATE(Sintesi!$C$4-1,12,31)+A175</f>
        <v>44370</v>
      </c>
      <c r="C175" s="34" cm="1">
        <f t="array" ref="C175">_xlfn.IFNA(MATCH(1,(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)*(_xlfn.ANCHORARRAY(Sintesi!$C$15)&gt;=0)+(_xlfn.ANCHORARRAY(Sintesi!$C$15)&lt;0),0),0)</f>
        <v>1</v>
      </c>
      <c r="D175" s="1" cm="1">
        <f t="array" ref="D175">IF(ISBLANK($E176),IF(ISNUMBER($E174),IF($C175&gt;0,IF(($E175=INDEX(_xlfn.ANCHORARRAY(Sintesi!$C$14),1,$C175))*(INDEX(_xlfn.ANCHORARRAY(Sintesi!$C$15),1,$C175)&gt;0),0,IF(($E175=INDEX(_xlfn.ANCHORARRAY(Sintesi!$C$14),1,$C175))*(INDEX(_xlfn.ANCHORARRAY(Sintesi!$C$15),1,$C175)&lt;0)+($E175&gt;=$E174)*($E175&lt;=INDEX($E:$E,MATCH(TRUE,INDEX((ISNUMBER($E:$E)),0),0)))*($E175&gt;INDEX(_xlfn.ANCHORARRAY(Sintesi!$C$14),1,$C175))*($E175&lt;=INDEX(_xlfn.ANCHORARRAY(Sintesi!$C$15),1,$C175))*(INDEX(_xlfn.ANCHORARRAY(Sintesi!$C$15),1,$C175)&gt;0),1,IF(($E175&gt;=$E174)*($E175&lt;=INDEX($E:$E,MATCH(TRUE,INDEX((ISNUMBER($E:$E)),0),0)))*($E175&gt;INDEX(_xlfn.ANCHORARRAY(Sintesi!$C$14),1,$C175))*($E175&lt;INDEX(_xlfn.ANCHORARRAY(Sintesi!$C$16),1,$C175))*(INDEX(_xlfn.ANCHORARRAY(Sintesi!$C$15),1,$C175)&lt;0)+($E175&gt;=$E174)*($E175&lt;=INDEX($E:$E,MATCH(TRUE,INDEX((ISNUMBER($E:$E)),0),0)))*($E175&gt;INDEX(_xlfn.ANCHORARRAY(Sintesi!$C$15),1,$C175))*($E175&lt;INDEX(_xlfn.ANCHORARRAY(Sintesi!$C$16),1,$C175))*(INDEX(_xlfn.ANCHORARRAY(Sintesi!$C$15),1,$C175)&gt;0),2,IF($E175=(INDEX(_xlfn.ANCHORARRAY(Sintesi!$C$16),1,$C175)),3,4)))),0),IF($C175&gt;0,IF(($E175=INDEX(_xlfn.ANCHORARRAY(Sintesi!$C$14),1,$C175))*(INDEX(_xlfn.ANCHORARRAY(Sintesi!$C$15),1,$C175)&gt;0),0,IF(($E175=INDEX(_xlfn.ANCHORARRAY(Sintesi!$C$14),1,$C175))*(INDEX(_xlfn.ANCHORARRAY(Sintesi!$C$15),1,$C175)&lt;0)+($E175&gt;=LOOKUP(2,1/($E:$E&lt;&gt;""),$E:$E))*($E175&lt;=INDEX($E:$E,MATCH(TRUE,INDEX((ISNUMBER($E:$E)),0),0)))*($E175&gt;INDEX(_xlfn.ANCHORARRAY(Sintesi!$C$14),1,$C175))*($E175&lt;=INDEX(_xlfn.ANCHORARRAY(Sintesi!$C$15),1,$C175))*(INDEX(_xlfn.ANCHORARRAY(Sintesi!$C$15),1,$C175)&gt;0),1,IF(($E175&gt;=LOOKUP(2,1/($E:$E&lt;&gt;""),$E:$E))*($E175&lt;=INDEX($E:$E,MATCH(TRUE,INDEX((ISNUMBER($E:$E)),0),0)))*($E175&gt;INDEX(_xlfn.ANCHORARRAY(Sintesi!$C$14),1,$C175))*($E175&lt;INDEX(_xlfn.ANCHORARRAY(Sintesi!$C$16),1,$C175))*(INDEX(_xlfn.ANCHORARRAY(Sintesi!$C$15),1,$C175)&lt;0)+($E175&gt;=LOOKUP(2,1/($E:$E&lt;&gt;""),$E:$E))*($E175&lt;=INDEX($E:$E,MATCH(TRUE,INDEX((ISNUMBER($E:$E)),0),0)))*($E175&gt;INDEX(_xlfn.ANCHORARRAY(Sintesi!$C$15),1,$C175))*($E175&lt;INDEX(_xlfn.ANCHORARRAY(Sintesi!$C$16),1,$C175))*(INDEX(_xlfn.ANCHORARRAY(Sintesi!$C$15),1,$C175)&gt;0),2,IF($E175=(INDEX(_xlfn.ANCHORARRAY(Sintesi!$C$16),1,$C175)),3,4)))),0)),IF(ISNUMBER($E174),IF($C175&gt;0,IF(($E175=INDEX(_xlfn.ANCHORARRAY(Sintesi!$C$14),1,$C175))*(INDEX(_xlfn.ANCHORARRAY(Sintesi!$C$15),1,$C175)&gt;0),0,IF(($E175=INDEX(_xlfn.ANCHORARRAY(Sintesi!$C$14),1,$C175))*(INDEX(_xlfn.ANCHORARRAY(Sintesi!$C$15),1,$C175)&lt;0)+($E175&gt;=$E174)*($E175&lt;=$E176)*($E175&gt;INDEX(_xlfn.ANCHORARRAY(Sintesi!$C$14),1,$C175))*($E175&lt;=INDEX(_xlfn.ANCHORARRAY(Sintesi!$C$15),1,$C175))*(INDEX(_xlfn.ANCHORARRAY(Sintesi!$C$15),1,$C175)&gt;0),1,IF(($E175&gt;=$E174)*($E175&lt;=$E176)*($E175&gt;INDEX(_xlfn.ANCHORARRAY(Sintesi!$C$14),1,$C175))*($E175&lt;INDEX(_xlfn.ANCHORARRAY(Sintesi!$C$16),1,$C175))*(INDEX(_xlfn.ANCHORARRAY(Sintesi!$C$15),1,$C175)&lt;0)+($E175&gt;=$E174)*($E175&lt;=$E176)*($E175&gt;INDEX(_xlfn.ANCHORARRAY(Sintesi!$C$15),1,$C175))*($E175&lt;INDEX(_xlfn.ANCHORARRAY(Sintesi!$C$16),1,$C175))*(INDEX(_xlfn.ANCHORARRAY(Sintesi!$C$15),1,$C175)&gt;0),2,IF($E175=(INDEX(_xlfn.ANCHORARRAY(Sintesi!$C$16),1,$C175)),3,4)))),0),IF($C175&gt;0,IF(($E175=INDEX(_xlfn.ANCHORARRAY(Sintesi!$C$14),1,$C175))*(INDEX(_xlfn.ANCHORARRAY(Sintesi!$C$15),1,$C175)&gt;0),0,IF(($E175=INDEX(_xlfn.ANCHORARRAY(Sintesi!$C$14),1,$C175))*(INDEX(_xlfn.ANCHORARRAY(Sintesi!$C$15),1,$C175)&lt;0)+($E175&gt;=LOOKUP(2,1/($E:$E&lt;&gt;""),$E:$E))*($E175&lt;=$E176)*($E175&gt;INDEX(_xlfn.ANCHORARRAY(Sintesi!$C$14),1,$C175))*($E175&lt;=INDEX(_xlfn.ANCHORARRAY(Sintesi!$C$15),1,$C175))*(INDEX(_xlfn.ANCHORARRAY(Sintesi!$C$15),1,$C175)&gt;0),1,IF(($E175&gt;=LOOKUP(2,1/($E:$E&lt;&gt;""),$E:$E))*($E175&lt;=$E176)*($E175&gt;INDEX(_xlfn.ANCHORARRAY(Sintesi!$C$14),1,$C175))*($E175&lt;INDEX(_xlfn.ANCHORARRAY(Sintesi!$C$16),1,$C175))*(INDEX(_xlfn.ANCHORARRAY(Sintesi!$C$15),1,$C175)&lt;0)+($E175&gt;=LOOKUP(2,1/($E:$E&lt;&gt;""),$E:$E))*($E175&lt;=$E176)*($E175&gt;INDEX(_xlfn.ANCHORARRAY(Sintesi!$C$15),1,$C175))*($E175&lt;INDEX(_xlfn.ANCHORARRAY(Sintesi!$C$16),1,$C175))*(INDEX(_xlfn.ANCHORARRAY(Sintesi!$C$15),1,$C175)&gt;0),2,IF($E175=(INDEX(_xlfn.ANCHORARRAY(Sintesi!$C$16),1,$C175)),3,4)))),0)))</f>
        <v>3</v>
      </c>
      <c r="E175" s="1">
        <f>'Paste cell here'!F175</f>
        <v>1.046</v>
      </c>
      <c r="F175" s="1">
        <f>'Paste cell here'!C175</f>
        <v>32.531148899999998</v>
      </c>
      <c r="G175" s="1">
        <f>'Paste cell here'!D175</f>
        <v>16.650719070000001</v>
      </c>
      <c r="H175" s="1">
        <f>'Paste cell here'!E175</f>
        <v>5.2801958019999997</v>
      </c>
      <c r="I175" s="1">
        <f>'Paste cell here'!X175</f>
        <v>5.5225318220000004</v>
      </c>
      <c r="J175" s="1">
        <f>'Paste cell here'!Y175+'Paste cell here'!S175</f>
        <v>5.5225318220000004</v>
      </c>
      <c r="K175" s="1">
        <f t="shared" si="5"/>
        <v>1.0458952715178118</v>
      </c>
      <c r="L175" s="1">
        <f t="shared" si="4"/>
        <v>26.375363647624738</v>
      </c>
      <c r="M175" s="1" cm="1">
        <f t="array" ref="M175">IF(AND(A175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,A175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),IF(L175&lt;_xlfn.IFNA(INDEX(_xlfn.ANCHORARRAY(Sintesi!$C$17)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,1,IF(L175&gt;=_xlfn.IFNA(INDEX(_xlfn.ANCHORARRAY(Sintesi!$C$18)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,0,1-(L175-_xlfn.IFNA(INDEX(_xlfn.ANCHORARRAY(Sintesi!$C$17)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)/(_xlfn.IFNA(INDEX(_xlfn.ANCHORARRAY(Sintesi!$C$18)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-_xlfn.IFNA(INDEX(_xlfn.ANCHORARRAY(Sintesi!$C$17),1,MATCH(1,(_xlfn.ANCHORARRAY(Sintesi!$C$9)&gt;_xlfn.ANCHORARRAY(Sintesi!$C$10))*(A174&gt;=_xlfn.ANCHORARRAY(Sintesi!$C$9))+(_xlfn.ANCHORARRAY(Sintesi!$C$9)&gt;_xlfn.ANCHORARRAY(Sintesi!$C$10))*(A174&lt;=_xlfn.ANCHORARRAY(Sintesi!$C$10))+(_xlfn.ANCHORARRAY(Sintesi!$C$9)&lt;_xlfn.ANCHORARRAY(Sintesi!$C$10))*(A174&gt;=_xlfn.ANCHORARRAY(Sintesi!$C$9))*(A174&lt;=_xlfn.ANCHORARRAY(Sintesi!$C$10)),0)),0)))),0)</f>
        <v>1</v>
      </c>
    </row>
    <row r="176" spans="1:13">
      <c r="A176" s="1">
        <f>'Paste cell here'!A176</f>
        <v>175</v>
      </c>
      <c r="B176" s="2">
        <f>DATE(Sintesi!$C$4-1,12,31)+A176</f>
        <v>44371</v>
      </c>
      <c r="C176" s="34" cm="1">
        <f t="array" ref="C176">_xlfn.IFNA(MATCH(1,(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)*(_xlfn.ANCHORARRAY(Sintesi!$C$15)&gt;=0)+(_xlfn.ANCHORARRAY(Sintesi!$C$15)&lt;0),0),0)</f>
        <v>1</v>
      </c>
      <c r="D176" s="1" cm="1">
        <f t="array" ref="D176">IF(ISBLANK($E177),IF(ISNUMBER($E175),IF($C176&gt;0,IF(($E176=INDEX(_xlfn.ANCHORARRAY(Sintesi!$C$14),1,$C176))*(INDEX(_xlfn.ANCHORARRAY(Sintesi!$C$15),1,$C176)&gt;0),0,IF(($E176=INDEX(_xlfn.ANCHORARRAY(Sintesi!$C$14),1,$C176))*(INDEX(_xlfn.ANCHORARRAY(Sintesi!$C$15),1,$C176)&lt;0)+($E176&gt;=$E175)*($E176&lt;=INDEX($E:$E,MATCH(TRUE,INDEX((ISNUMBER($E:$E)),0),0)))*($E176&gt;INDEX(_xlfn.ANCHORARRAY(Sintesi!$C$14),1,$C176))*($E176&lt;=INDEX(_xlfn.ANCHORARRAY(Sintesi!$C$15),1,$C176))*(INDEX(_xlfn.ANCHORARRAY(Sintesi!$C$15),1,$C176)&gt;0),1,IF(($E176&gt;=$E175)*($E176&lt;=INDEX($E:$E,MATCH(TRUE,INDEX((ISNUMBER($E:$E)),0),0)))*($E176&gt;INDEX(_xlfn.ANCHORARRAY(Sintesi!$C$14),1,$C176))*($E176&lt;INDEX(_xlfn.ANCHORARRAY(Sintesi!$C$16),1,$C176))*(INDEX(_xlfn.ANCHORARRAY(Sintesi!$C$15),1,$C176)&lt;0)+($E176&gt;=$E175)*($E176&lt;=INDEX($E:$E,MATCH(TRUE,INDEX((ISNUMBER($E:$E)),0),0)))*($E176&gt;INDEX(_xlfn.ANCHORARRAY(Sintesi!$C$15),1,$C176))*($E176&lt;INDEX(_xlfn.ANCHORARRAY(Sintesi!$C$16),1,$C176))*(INDEX(_xlfn.ANCHORARRAY(Sintesi!$C$15),1,$C176)&gt;0),2,IF($E176=(INDEX(_xlfn.ANCHORARRAY(Sintesi!$C$16),1,$C176)),3,4)))),0),IF($C176&gt;0,IF(($E176=INDEX(_xlfn.ANCHORARRAY(Sintesi!$C$14),1,$C176))*(INDEX(_xlfn.ANCHORARRAY(Sintesi!$C$15),1,$C176)&gt;0),0,IF(($E176=INDEX(_xlfn.ANCHORARRAY(Sintesi!$C$14),1,$C176))*(INDEX(_xlfn.ANCHORARRAY(Sintesi!$C$15),1,$C176)&lt;0)+($E176&gt;=LOOKUP(2,1/($E:$E&lt;&gt;""),$E:$E))*($E176&lt;=INDEX($E:$E,MATCH(TRUE,INDEX((ISNUMBER($E:$E)),0),0)))*($E176&gt;INDEX(_xlfn.ANCHORARRAY(Sintesi!$C$14),1,$C176))*($E176&lt;=INDEX(_xlfn.ANCHORARRAY(Sintesi!$C$15),1,$C176))*(INDEX(_xlfn.ANCHORARRAY(Sintesi!$C$15),1,$C176)&gt;0),1,IF(($E176&gt;=LOOKUP(2,1/($E:$E&lt;&gt;""),$E:$E))*($E176&lt;=INDEX($E:$E,MATCH(TRUE,INDEX((ISNUMBER($E:$E)),0),0)))*($E176&gt;INDEX(_xlfn.ANCHORARRAY(Sintesi!$C$14),1,$C176))*($E176&lt;INDEX(_xlfn.ANCHORARRAY(Sintesi!$C$16),1,$C176))*(INDEX(_xlfn.ANCHORARRAY(Sintesi!$C$15),1,$C176)&lt;0)+($E176&gt;=LOOKUP(2,1/($E:$E&lt;&gt;""),$E:$E))*($E176&lt;=INDEX($E:$E,MATCH(TRUE,INDEX((ISNUMBER($E:$E)),0),0)))*($E176&gt;INDEX(_xlfn.ANCHORARRAY(Sintesi!$C$15),1,$C176))*($E176&lt;INDEX(_xlfn.ANCHORARRAY(Sintesi!$C$16),1,$C176))*(INDEX(_xlfn.ANCHORARRAY(Sintesi!$C$15),1,$C176)&gt;0),2,IF($E176=(INDEX(_xlfn.ANCHORARRAY(Sintesi!$C$16),1,$C176)),3,4)))),0)),IF(ISNUMBER($E175),IF($C176&gt;0,IF(($E176=INDEX(_xlfn.ANCHORARRAY(Sintesi!$C$14),1,$C176))*(INDEX(_xlfn.ANCHORARRAY(Sintesi!$C$15),1,$C176)&gt;0),0,IF(($E176=INDEX(_xlfn.ANCHORARRAY(Sintesi!$C$14),1,$C176))*(INDEX(_xlfn.ANCHORARRAY(Sintesi!$C$15),1,$C176)&lt;0)+($E176&gt;=$E175)*($E176&lt;=$E177)*($E176&gt;INDEX(_xlfn.ANCHORARRAY(Sintesi!$C$14),1,$C176))*($E176&lt;=INDEX(_xlfn.ANCHORARRAY(Sintesi!$C$15),1,$C176))*(INDEX(_xlfn.ANCHORARRAY(Sintesi!$C$15),1,$C176)&gt;0),1,IF(($E176&gt;=$E175)*($E176&lt;=$E177)*($E176&gt;INDEX(_xlfn.ANCHORARRAY(Sintesi!$C$14),1,$C176))*($E176&lt;INDEX(_xlfn.ANCHORARRAY(Sintesi!$C$16),1,$C176))*(INDEX(_xlfn.ANCHORARRAY(Sintesi!$C$15),1,$C176)&lt;0)+($E176&gt;=$E175)*($E176&lt;=$E177)*($E176&gt;INDEX(_xlfn.ANCHORARRAY(Sintesi!$C$15),1,$C176))*($E176&lt;INDEX(_xlfn.ANCHORARRAY(Sintesi!$C$16),1,$C176))*(INDEX(_xlfn.ANCHORARRAY(Sintesi!$C$15),1,$C176)&gt;0),2,IF($E176=(INDEX(_xlfn.ANCHORARRAY(Sintesi!$C$16),1,$C176)),3,4)))),0),IF($C176&gt;0,IF(($E176=INDEX(_xlfn.ANCHORARRAY(Sintesi!$C$14),1,$C176))*(INDEX(_xlfn.ANCHORARRAY(Sintesi!$C$15),1,$C176)&gt;0),0,IF(($E176=INDEX(_xlfn.ANCHORARRAY(Sintesi!$C$14),1,$C176))*(INDEX(_xlfn.ANCHORARRAY(Sintesi!$C$15),1,$C176)&lt;0)+($E176&gt;=LOOKUP(2,1/($E:$E&lt;&gt;""),$E:$E))*($E176&lt;=$E177)*($E176&gt;INDEX(_xlfn.ANCHORARRAY(Sintesi!$C$14),1,$C176))*($E176&lt;=INDEX(_xlfn.ANCHORARRAY(Sintesi!$C$15),1,$C176))*(INDEX(_xlfn.ANCHORARRAY(Sintesi!$C$15),1,$C176)&gt;0),1,IF(($E176&gt;=LOOKUP(2,1/($E:$E&lt;&gt;""),$E:$E))*($E176&lt;=$E177)*($E176&gt;INDEX(_xlfn.ANCHORARRAY(Sintesi!$C$14),1,$C176))*($E176&lt;INDEX(_xlfn.ANCHORARRAY(Sintesi!$C$16),1,$C176))*(INDEX(_xlfn.ANCHORARRAY(Sintesi!$C$15),1,$C176)&lt;0)+($E176&gt;=LOOKUP(2,1/($E:$E&lt;&gt;""),$E:$E))*($E176&lt;=$E177)*($E176&gt;INDEX(_xlfn.ANCHORARRAY(Sintesi!$C$15),1,$C176))*($E176&lt;INDEX(_xlfn.ANCHORARRAY(Sintesi!$C$16),1,$C176))*(INDEX(_xlfn.ANCHORARRAY(Sintesi!$C$15),1,$C176)&gt;0),2,IF($E176=(INDEX(_xlfn.ANCHORARRAY(Sintesi!$C$16),1,$C176)),3,4)))),0)))</f>
        <v>3</v>
      </c>
      <c r="E176" s="1">
        <f>'Paste cell here'!F176</f>
        <v>1.046</v>
      </c>
      <c r="F176" s="1">
        <f>'Paste cell here'!C176</f>
        <v>31.82798433</v>
      </c>
      <c r="G176" s="1">
        <f>'Paste cell here'!D176</f>
        <v>15.315284569999999</v>
      </c>
      <c r="H176" s="1">
        <f>'Paste cell here'!E176</f>
        <v>5.5749441270000002</v>
      </c>
      <c r="I176" s="1">
        <f>'Paste cell here'!X176</f>
        <v>5.8308096010000003</v>
      </c>
      <c r="J176" s="1">
        <f>'Paste cell here'!Y176+'Paste cell here'!S176</f>
        <v>5.8308096010000003</v>
      </c>
      <c r="K176" s="1">
        <f t="shared" si="5"/>
        <v>1.0458956122557028</v>
      </c>
      <c r="L176" s="1">
        <f t="shared" si="4"/>
        <v>25.427110125229905</v>
      </c>
      <c r="M176" s="1" cm="1">
        <f t="array" ref="M176">IF(AND(A176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,A176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),IF(L176&lt;_xlfn.IFNA(INDEX(_xlfn.ANCHORARRAY(Sintesi!$C$17)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,1,IF(L176&gt;=_xlfn.IFNA(INDEX(_xlfn.ANCHORARRAY(Sintesi!$C$18)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,0,1-(L176-_xlfn.IFNA(INDEX(_xlfn.ANCHORARRAY(Sintesi!$C$17)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)/(_xlfn.IFNA(INDEX(_xlfn.ANCHORARRAY(Sintesi!$C$18)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-_xlfn.IFNA(INDEX(_xlfn.ANCHORARRAY(Sintesi!$C$17),1,MATCH(1,(_xlfn.ANCHORARRAY(Sintesi!$C$9)&gt;_xlfn.ANCHORARRAY(Sintesi!$C$10))*(A175&gt;=_xlfn.ANCHORARRAY(Sintesi!$C$9))+(_xlfn.ANCHORARRAY(Sintesi!$C$9)&gt;_xlfn.ANCHORARRAY(Sintesi!$C$10))*(A175&lt;=_xlfn.ANCHORARRAY(Sintesi!$C$10))+(_xlfn.ANCHORARRAY(Sintesi!$C$9)&lt;_xlfn.ANCHORARRAY(Sintesi!$C$10))*(A175&gt;=_xlfn.ANCHORARRAY(Sintesi!$C$9))*(A175&lt;=_xlfn.ANCHORARRAY(Sintesi!$C$10)),0)),0)))),0)</f>
        <v>1</v>
      </c>
    </row>
    <row r="177" spans="1:13">
      <c r="A177" s="1">
        <f>'Paste cell here'!A177</f>
        <v>176</v>
      </c>
      <c r="B177" s="2">
        <f>DATE(Sintesi!$C$4-1,12,31)+A177</f>
        <v>44372</v>
      </c>
      <c r="C177" s="34" cm="1">
        <f t="array" ref="C177">_xlfn.IFNA(MATCH(1,(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)*(_xlfn.ANCHORARRAY(Sintesi!$C$15)&gt;=0)+(_xlfn.ANCHORARRAY(Sintesi!$C$15)&lt;0),0),0)</f>
        <v>1</v>
      </c>
      <c r="D177" s="1" cm="1">
        <f t="array" ref="D177">IF(ISBLANK($E178),IF(ISNUMBER($E176),IF($C177&gt;0,IF(($E177=INDEX(_xlfn.ANCHORARRAY(Sintesi!$C$14),1,$C177))*(INDEX(_xlfn.ANCHORARRAY(Sintesi!$C$15),1,$C177)&gt;0),0,IF(($E177=INDEX(_xlfn.ANCHORARRAY(Sintesi!$C$14),1,$C177))*(INDEX(_xlfn.ANCHORARRAY(Sintesi!$C$15),1,$C177)&lt;0)+($E177&gt;=$E176)*($E177&lt;=INDEX($E:$E,MATCH(TRUE,INDEX((ISNUMBER($E:$E)),0),0)))*($E177&gt;INDEX(_xlfn.ANCHORARRAY(Sintesi!$C$14),1,$C177))*($E177&lt;=INDEX(_xlfn.ANCHORARRAY(Sintesi!$C$15),1,$C177))*(INDEX(_xlfn.ANCHORARRAY(Sintesi!$C$15),1,$C177)&gt;0),1,IF(($E177&gt;=$E176)*($E177&lt;=INDEX($E:$E,MATCH(TRUE,INDEX((ISNUMBER($E:$E)),0),0)))*($E177&gt;INDEX(_xlfn.ANCHORARRAY(Sintesi!$C$14),1,$C177))*($E177&lt;INDEX(_xlfn.ANCHORARRAY(Sintesi!$C$16),1,$C177))*(INDEX(_xlfn.ANCHORARRAY(Sintesi!$C$15),1,$C177)&lt;0)+($E177&gt;=$E176)*($E177&lt;=INDEX($E:$E,MATCH(TRUE,INDEX((ISNUMBER($E:$E)),0),0)))*($E177&gt;INDEX(_xlfn.ANCHORARRAY(Sintesi!$C$15),1,$C177))*($E177&lt;INDEX(_xlfn.ANCHORARRAY(Sintesi!$C$16),1,$C177))*(INDEX(_xlfn.ANCHORARRAY(Sintesi!$C$15),1,$C177)&gt;0),2,IF($E177=(INDEX(_xlfn.ANCHORARRAY(Sintesi!$C$16),1,$C177)),3,4)))),0),IF($C177&gt;0,IF(($E177=INDEX(_xlfn.ANCHORARRAY(Sintesi!$C$14),1,$C177))*(INDEX(_xlfn.ANCHORARRAY(Sintesi!$C$15),1,$C177)&gt;0),0,IF(($E177=INDEX(_xlfn.ANCHORARRAY(Sintesi!$C$14),1,$C177))*(INDEX(_xlfn.ANCHORARRAY(Sintesi!$C$15),1,$C177)&lt;0)+($E177&gt;=LOOKUP(2,1/($E:$E&lt;&gt;""),$E:$E))*($E177&lt;=INDEX($E:$E,MATCH(TRUE,INDEX((ISNUMBER($E:$E)),0),0)))*($E177&gt;INDEX(_xlfn.ANCHORARRAY(Sintesi!$C$14),1,$C177))*($E177&lt;=INDEX(_xlfn.ANCHORARRAY(Sintesi!$C$15),1,$C177))*(INDEX(_xlfn.ANCHORARRAY(Sintesi!$C$15),1,$C177)&gt;0),1,IF(($E177&gt;=LOOKUP(2,1/($E:$E&lt;&gt;""),$E:$E))*($E177&lt;=INDEX($E:$E,MATCH(TRUE,INDEX((ISNUMBER($E:$E)),0),0)))*($E177&gt;INDEX(_xlfn.ANCHORARRAY(Sintesi!$C$14),1,$C177))*($E177&lt;INDEX(_xlfn.ANCHORARRAY(Sintesi!$C$16),1,$C177))*(INDEX(_xlfn.ANCHORARRAY(Sintesi!$C$15),1,$C177)&lt;0)+($E177&gt;=LOOKUP(2,1/($E:$E&lt;&gt;""),$E:$E))*($E177&lt;=INDEX($E:$E,MATCH(TRUE,INDEX((ISNUMBER($E:$E)),0),0)))*($E177&gt;INDEX(_xlfn.ANCHORARRAY(Sintesi!$C$15),1,$C177))*($E177&lt;INDEX(_xlfn.ANCHORARRAY(Sintesi!$C$16),1,$C177))*(INDEX(_xlfn.ANCHORARRAY(Sintesi!$C$15),1,$C177)&gt;0),2,IF($E177=(INDEX(_xlfn.ANCHORARRAY(Sintesi!$C$16),1,$C177)),3,4)))),0)),IF(ISNUMBER($E176),IF($C177&gt;0,IF(($E177=INDEX(_xlfn.ANCHORARRAY(Sintesi!$C$14),1,$C177))*(INDEX(_xlfn.ANCHORARRAY(Sintesi!$C$15),1,$C177)&gt;0),0,IF(($E177=INDEX(_xlfn.ANCHORARRAY(Sintesi!$C$14),1,$C177))*(INDEX(_xlfn.ANCHORARRAY(Sintesi!$C$15),1,$C177)&lt;0)+($E177&gt;=$E176)*($E177&lt;=$E178)*($E177&gt;INDEX(_xlfn.ANCHORARRAY(Sintesi!$C$14),1,$C177))*($E177&lt;=INDEX(_xlfn.ANCHORARRAY(Sintesi!$C$15),1,$C177))*(INDEX(_xlfn.ANCHORARRAY(Sintesi!$C$15),1,$C177)&gt;0),1,IF(($E177&gt;=$E176)*($E177&lt;=$E178)*($E177&gt;INDEX(_xlfn.ANCHORARRAY(Sintesi!$C$14),1,$C177))*($E177&lt;INDEX(_xlfn.ANCHORARRAY(Sintesi!$C$16),1,$C177))*(INDEX(_xlfn.ANCHORARRAY(Sintesi!$C$15),1,$C177)&lt;0)+($E177&gt;=$E176)*($E177&lt;=$E178)*($E177&gt;INDEX(_xlfn.ANCHORARRAY(Sintesi!$C$15),1,$C177))*($E177&lt;INDEX(_xlfn.ANCHORARRAY(Sintesi!$C$16),1,$C177))*(INDEX(_xlfn.ANCHORARRAY(Sintesi!$C$15),1,$C177)&gt;0),2,IF($E177=(INDEX(_xlfn.ANCHORARRAY(Sintesi!$C$16),1,$C177)),3,4)))),0),IF($C177&gt;0,IF(($E177=INDEX(_xlfn.ANCHORARRAY(Sintesi!$C$14),1,$C177))*(INDEX(_xlfn.ANCHORARRAY(Sintesi!$C$15),1,$C177)&gt;0),0,IF(($E177=INDEX(_xlfn.ANCHORARRAY(Sintesi!$C$14),1,$C177))*(INDEX(_xlfn.ANCHORARRAY(Sintesi!$C$15),1,$C177)&lt;0)+($E177&gt;=LOOKUP(2,1/($E:$E&lt;&gt;""),$E:$E))*($E177&lt;=$E178)*($E177&gt;INDEX(_xlfn.ANCHORARRAY(Sintesi!$C$14),1,$C177))*($E177&lt;=INDEX(_xlfn.ANCHORARRAY(Sintesi!$C$15),1,$C177))*(INDEX(_xlfn.ANCHORARRAY(Sintesi!$C$15),1,$C177)&gt;0),1,IF(($E177&gt;=LOOKUP(2,1/($E:$E&lt;&gt;""),$E:$E))*($E177&lt;=$E178)*($E177&gt;INDEX(_xlfn.ANCHORARRAY(Sintesi!$C$14),1,$C177))*($E177&lt;INDEX(_xlfn.ANCHORARRAY(Sintesi!$C$16),1,$C177))*(INDEX(_xlfn.ANCHORARRAY(Sintesi!$C$15),1,$C177)&lt;0)+($E177&gt;=LOOKUP(2,1/($E:$E&lt;&gt;""),$E:$E))*($E177&lt;=$E178)*($E177&gt;INDEX(_xlfn.ANCHORARRAY(Sintesi!$C$15),1,$C177))*($E177&lt;INDEX(_xlfn.ANCHORARRAY(Sintesi!$C$16),1,$C177))*(INDEX(_xlfn.ANCHORARRAY(Sintesi!$C$15),1,$C177)&gt;0),2,IF($E177=(INDEX(_xlfn.ANCHORARRAY(Sintesi!$C$16),1,$C177)),3,4)))),0)))</f>
        <v>3</v>
      </c>
      <c r="E177" s="1">
        <f>'Paste cell here'!F177</f>
        <v>1.046</v>
      </c>
      <c r="F177" s="1">
        <f>'Paste cell here'!C177</f>
        <v>31.520660230000001</v>
      </c>
      <c r="G177" s="1">
        <f>'Paste cell here'!D177</f>
        <v>15.23005884</v>
      </c>
      <c r="H177" s="1">
        <f>'Paste cell here'!E177</f>
        <v>6.207984293</v>
      </c>
      <c r="I177" s="1">
        <f>'Paste cell here'!X177</f>
        <v>6.4929064800000003</v>
      </c>
      <c r="J177" s="1">
        <f>'Paste cell here'!Y177+'Paste cell here'!S177</f>
        <v>6.4929064800000003</v>
      </c>
      <c r="K177" s="1">
        <f t="shared" si="5"/>
        <v>1.045896086966791</v>
      </c>
      <c r="L177" s="1">
        <f t="shared" si="4"/>
        <v>25.205878774938721</v>
      </c>
      <c r="M177" s="1" cm="1">
        <f t="array" ref="M177">IF(AND(A177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,A177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),IF(L177&lt;_xlfn.IFNA(INDEX(_xlfn.ANCHORARRAY(Sintesi!$C$17)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,1,IF(L177&gt;=_xlfn.IFNA(INDEX(_xlfn.ANCHORARRAY(Sintesi!$C$18)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,0,1-(L177-_xlfn.IFNA(INDEX(_xlfn.ANCHORARRAY(Sintesi!$C$17)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)/(_xlfn.IFNA(INDEX(_xlfn.ANCHORARRAY(Sintesi!$C$18)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-_xlfn.IFNA(INDEX(_xlfn.ANCHORARRAY(Sintesi!$C$17),1,MATCH(1,(_xlfn.ANCHORARRAY(Sintesi!$C$9)&gt;_xlfn.ANCHORARRAY(Sintesi!$C$10))*(A176&gt;=_xlfn.ANCHORARRAY(Sintesi!$C$9))+(_xlfn.ANCHORARRAY(Sintesi!$C$9)&gt;_xlfn.ANCHORARRAY(Sintesi!$C$10))*(A176&lt;=_xlfn.ANCHORARRAY(Sintesi!$C$10))+(_xlfn.ANCHORARRAY(Sintesi!$C$9)&lt;_xlfn.ANCHORARRAY(Sintesi!$C$10))*(A176&gt;=_xlfn.ANCHORARRAY(Sintesi!$C$9))*(A176&lt;=_xlfn.ANCHORARRAY(Sintesi!$C$10)),0)),0)))),0)</f>
        <v>1</v>
      </c>
    </row>
    <row r="178" spans="1:13">
      <c r="A178" s="1">
        <f>'Paste cell here'!A178</f>
        <v>177</v>
      </c>
      <c r="B178" s="2">
        <f>DATE(Sintesi!$C$4-1,12,31)+A178</f>
        <v>44373</v>
      </c>
      <c r="C178" s="34" cm="1">
        <f t="array" ref="C178">_xlfn.IFNA(MATCH(1,(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)*(_xlfn.ANCHORARRAY(Sintesi!$C$15)&gt;=0)+(_xlfn.ANCHORARRAY(Sintesi!$C$15)&lt;0),0),0)</f>
        <v>1</v>
      </c>
      <c r="D178" s="1" cm="1">
        <f t="array" ref="D178">IF(ISBLANK($E179),IF(ISNUMBER($E177),IF($C178&gt;0,IF(($E178=INDEX(_xlfn.ANCHORARRAY(Sintesi!$C$14),1,$C178))*(INDEX(_xlfn.ANCHORARRAY(Sintesi!$C$15),1,$C178)&gt;0),0,IF(($E178=INDEX(_xlfn.ANCHORARRAY(Sintesi!$C$14),1,$C178))*(INDEX(_xlfn.ANCHORARRAY(Sintesi!$C$15),1,$C178)&lt;0)+($E178&gt;=$E177)*($E178&lt;=INDEX($E:$E,MATCH(TRUE,INDEX((ISNUMBER($E:$E)),0),0)))*($E178&gt;INDEX(_xlfn.ANCHORARRAY(Sintesi!$C$14),1,$C178))*($E178&lt;=INDEX(_xlfn.ANCHORARRAY(Sintesi!$C$15),1,$C178))*(INDEX(_xlfn.ANCHORARRAY(Sintesi!$C$15),1,$C178)&gt;0),1,IF(($E178&gt;=$E177)*($E178&lt;=INDEX($E:$E,MATCH(TRUE,INDEX((ISNUMBER($E:$E)),0),0)))*($E178&gt;INDEX(_xlfn.ANCHORARRAY(Sintesi!$C$14),1,$C178))*($E178&lt;INDEX(_xlfn.ANCHORARRAY(Sintesi!$C$16),1,$C178))*(INDEX(_xlfn.ANCHORARRAY(Sintesi!$C$15),1,$C178)&lt;0)+($E178&gt;=$E177)*($E178&lt;=INDEX($E:$E,MATCH(TRUE,INDEX((ISNUMBER($E:$E)),0),0)))*($E178&gt;INDEX(_xlfn.ANCHORARRAY(Sintesi!$C$15),1,$C178))*($E178&lt;INDEX(_xlfn.ANCHORARRAY(Sintesi!$C$16),1,$C178))*(INDEX(_xlfn.ANCHORARRAY(Sintesi!$C$15),1,$C178)&gt;0),2,IF($E178=(INDEX(_xlfn.ANCHORARRAY(Sintesi!$C$16),1,$C178)),3,4)))),0),IF($C178&gt;0,IF(($E178=INDEX(_xlfn.ANCHORARRAY(Sintesi!$C$14),1,$C178))*(INDEX(_xlfn.ANCHORARRAY(Sintesi!$C$15),1,$C178)&gt;0),0,IF(($E178=INDEX(_xlfn.ANCHORARRAY(Sintesi!$C$14),1,$C178))*(INDEX(_xlfn.ANCHORARRAY(Sintesi!$C$15),1,$C178)&lt;0)+($E178&gt;=LOOKUP(2,1/($E:$E&lt;&gt;""),$E:$E))*($E178&lt;=INDEX($E:$E,MATCH(TRUE,INDEX((ISNUMBER($E:$E)),0),0)))*($E178&gt;INDEX(_xlfn.ANCHORARRAY(Sintesi!$C$14),1,$C178))*($E178&lt;=INDEX(_xlfn.ANCHORARRAY(Sintesi!$C$15),1,$C178))*(INDEX(_xlfn.ANCHORARRAY(Sintesi!$C$15),1,$C178)&gt;0),1,IF(($E178&gt;=LOOKUP(2,1/($E:$E&lt;&gt;""),$E:$E))*($E178&lt;=INDEX($E:$E,MATCH(TRUE,INDEX((ISNUMBER($E:$E)),0),0)))*($E178&gt;INDEX(_xlfn.ANCHORARRAY(Sintesi!$C$14),1,$C178))*($E178&lt;INDEX(_xlfn.ANCHORARRAY(Sintesi!$C$16),1,$C178))*(INDEX(_xlfn.ANCHORARRAY(Sintesi!$C$15),1,$C178)&lt;0)+($E178&gt;=LOOKUP(2,1/($E:$E&lt;&gt;""),$E:$E))*($E178&lt;=INDEX($E:$E,MATCH(TRUE,INDEX((ISNUMBER($E:$E)),0),0)))*($E178&gt;INDEX(_xlfn.ANCHORARRAY(Sintesi!$C$15),1,$C178))*($E178&lt;INDEX(_xlfn.ANCHORARRAY(Sintesi!$C$16),1,$C178))*(INDEX(_xlfn.ANCHORARRAY(Sintesi!$C$15),1,$C178)&gt;0),2,IF($E178=(INDEX(_xlfn.ANCHORARRAY(Sintesi!$C$16),1,$C178)),3,4)))),0)),IF(ISNUMBER($E177),IF($C178&gt;0,IF(($E178=INDEX(_xlfn.ANCHORARRAY(Sintesi!$C$14),1,$C178))*(INDEX(_xlfn.ANCHORARRAY(Sintesi!$C$15),1,$C178)&gt;0),0,IF(($E178=INDEX(_xlfn.ANCHORARRAY(Sintesi!$C$14),1,$C178))*(INDEX(_xlfn.ANCHORARRAY(Sintesi!$C$15),1,$C178)&lt;0)+($E178&gt;=$E177)*($E178&lt;=$E179)*($E178&gt;INDEX(_xlfn.ANCHORARRAY(Sintesi!$C$14),1,$C178))*($E178&lt;=INDEX(_xlfn.ANCHORARRAY(Sintesi!$C$15),1,$C178))*(INDEX(_xlfn.ANCHORARRAY(Sintesi!$C$15),1,$C178)&gt;0),1,IF(($E178&gt;=$E177)*($E178&lt;=$E179)*($E178&gt;INDEX(_xlfn.ANCHORARRAY(Sintesi!$C$14),1,$C178))*($E178&lt;INDEX(_xlfn.ANCHORARRAY(Sintesi!$C$16),1,$C178))*(INDEX(_xlfn.ANCHORARRAY(Sintesi!$C$15),1,$C178)&lt;0)+($E178&gt;=$E177)*($E178&lt;=$E179)*($E178&gt;INDEX(_xlfn.ANCHORARRAY(Sintesi!$C$15),1,$C178))*($E178&lt;INDEX(_xlfn.ANCHORARRAY(Sintesi!$C$16),1,$C178))*(INDEX(_xlfn.ANCHORARRAY(Sintesi!$C$15),1,$C178)&gt;0),2,IF($E178=(INDEX(_xlfn.ANCHORARRAY(Sintesi!$C$16),1,$C178)),3,4)))),0),IF($C178&gt;0,IF(($E178=INDEX(_xlfn.ANCHORARRAY(Sintesi!$C$14),1,$C178))*(INDEX(_xlfn.ANCHORARRAY(Sintesi!$C$15),1,$C178)&gt;0),0,IF(($E178=INDEX(_xlfn.ANCHORARRAY(Sintesi!$C$14),1,$C178))*(INDEX(_xlfn.ANCHORARRAY(Sintesi!$C$15),1,$C178)&lt;0)+($E178&gt;=LOOKUP(2,1/($E:$E&lt;&gt;""),$E:$E))*($E178&lt;=$E179)*($E178&gt;INDEX(_xlfn.ANCHORARRAY(Sintesi!$C$14),1,$C178))*($E178&lt;=INDEX(_xlfn.ANCHORARRAY(Sintesi!$C$15),1,$C178))*(INDEX(_xlfn.ANCHORARRAY(Sintesi!$C$15),1,$C178)&gt;0),1,IF(($E178&gt;=LOOKUP(2,1/($E:$E&lt;&gt;""),$E:$E))*($E178&lt;=$E179)*($E178&gt;INDEX(_xlfn.ANCHORARRAY(Sintesi!$C$14),1,$C178))*($E178&lt;INDEX(_xlfn.ANCHORARRAY(Sintesi!$C$16),1,$C178))*(INDEX(_xlfn.ANCHORARRAY(Sintesi!$C$15),1,$C178)&lt;0)+($E178&gt;=LOOKUP(2,1/($E:$E&lt;&gt;""),$E:$E))*($E178&lt;=$E179)*($E178&gt;INDEX(_xlfn.ANCHORARRAY(Sintesi!$C$15),1,$C178))*($E178&lt;INDEX(_xlfn.ANCHORARRAY(Sintesi!$C$16),1,$C178))*(INDEX(_xlfn.ANCHORARRAY(Sintesi!$C$15),1,$C178)&gt;0),2,IF($E178=(INDEX(_xlfn.ANCHORARRAY(Sintesi!$C$16),1,$C178)),3,4)))),0)))</f>
        <v>3</v>
      </c>
      <c r="E178" s="1">
        <f>'Paste cell here'!F178</f>
        <v>1.046</v>
      </c>
      <c r="F178" s="1">
        <f>'Paste cell here'!C178</f>
        <v>32.274543870000002</v>
      </c>
      <c r="G178" s="1">
        <f>'Paste cell here'!D178</f>
        <v>16.322734740000001</v>
      </c>
      <c r="H178" s="1">
        <f>'Paste cell here'!E178</f>
        <v>5.7574460869999999</v>
      </c>
      <c r="I178" s="1">
        <f>'Paste cell here'!X178</f>
        <v>6.0216938280000001</v>
      </c>
      <c r="J178" s="1">
        <f>'Paste cell here'!Y178+'Paste cell here'!S178</f>
        <v>6.0216938280000001</v>
      </c>
      <c r="K178" s="1">
        <f t="shared" si="5"/>
        <v>1.0458966939519689</v>
      </c>
      <c r="L178" s="1">
        <f t="shared" si="4"/>
        <v>26.09108961577979</v>
      </c>
      <c r="M178" s="1" cm="1">
        <f t="array" ref="M178">IF(AND(A178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,A178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),IF(L178&lt;_xlfn.IFNA(INDEX(_xlfn.ANCHORARRAY(Sintesi!$C$17)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,1,IF(L178&gt;=_xlfn.IFNA(INDEX(_xlfn.ANCHORARRAY(Sintesi!$C$18)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,0,1-(L178-_xlfn.IFNA(INDEX(_xlfn.ANCHORARRAY(Sintesi!$C$17)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)/(_xlfn.IFNA(INDEX(_xlfn.ANCHORARRAY(Sintesi!$C$18)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-_xlfn.IFNA(INDEX(_xlfn.ANCHORARRAY(Sintesi!$C$17),1,MATCH(1,(_xlfn.ANCHORARRAY(Sintesi!$C$9)&gt;_xlfn.ANCHORARRAY(Sintesi!$C$10))*(A177&gt;=_xlfn.ANCHORARRAY(Sintesi!$C$9))+(_xlfn.ANCHORARRAY(Sintesi!$C$9)&gt;_xlfn.ANCHORARRAY(Sintesi!$C$10))*(A177&lt;=_xlfn.ANCHORARRAY(Sintesi!$C$10))+(_xlfn.ANCHORARRAY(Sintesi!$C$9)&lt;_xlfn.ANCHORARRAY(Sintesi!$C$10))*(A177&gt;=_xlfn.ANCHORARRAY(Sintesi!$C$9))*(A177&lt;=_xlfn.ANCHORARRAY(Sintesi!$C$10)),0)),0)))),0)</f>
        <v>1</v>
      </c>
    </row>
    <row r="179" spans="1:13">
      <c r="A179" s="1">
        <f>'Paste cell here'!A179</f>
        <v>178</v>
      </c>
      <c r="B179" s="2">
        <f>DATE(Sintesi!$C$4-1,12,31)+A179</f>
        <v>44374</v>
      </c>
      <c r="C179" s="34" cm="1">
        <f t="array" ref="C179">_xlfn.IFNA(MATCH(1,(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)*(_xlfn.ANCHORARRAY(Sintesi!$C$15)&gt;=0)+(_xlfn.ANCHORARRAY(Sintesi!$C$15)&lt;0),0),0)</f>
        <v>1</v>
      </c>
      <c r="D179" s="1" cm="1">
        <f t="array" ref="D179">IF(ISBLANK($E180),IF(ISNUMBER($E178),IF($C179&gt;0,IF(($E179=INDEX(_xlfn.ANCHORARRAY(Sintesi!$C$14),1,$C179))*(INDEX(_xlfn.ANCHORARRAY(Sintesi!$C$15),1,$C179)&gt;0),0,IF(($E179=INDEX(_xlfn.ANCHORARRAY(Sintesi!$C$14),1,$C179))*(INDEX(_xlfn.ANCHORARRAY(Sintesi!$C$15),1,$C179)&lt;0)+($E179&gt;=$E178)*($E179&lt;=INDEX($E:$E,MATCH(TRUE,INDEX((ISNUMBER($E:$E)),0),0)))*($E179&gt;INDEX(_xlfn.ANCHORARRAY(Sintesi!$C$14),1,$C179))*($E179&lt;=INDEX(_xlfn.ANCHORARRAY(Sintesi!$C$15),1,$C179))*(INDEX(_xlfn.ANCHORARRAY(Sintesi!$C$15),1,$C179)&gt;0),1,IF(($E179&gt;=$E178)*($E179&lt;=INDEX($E:$E,MATCH(TRUE,INDEX((ISNUMBER($E:$E)),0),0)))*($E179&gt;INDEX(_xlfn.ANCHORARRAY(Sintesi!$C$14),1,$C179))*($E179&lt;INDEX(_xlfn.ANCHORARRAY(Sintesi!$C$16),1,$C179))*(INDEX(_xlfn.ANCHORARRAY(Sintesi!$C$15),1,$C179)&lt;0)+($E179&gt;=$E178)*($E179&lt;=INDEX($E:$E,MATCH(TRUE,INDEX((ISNUMBER($E:$E)),0),0)))*($E179&gt;INDEX(_xlfn.ANCHORARRAY(Sintesi!$C$15),1,$C179))*($E179&lt;INDEX(_xlfn.ANCHORARRAY(Sintesi!$C$16),1,$C179))*(INDEX(_xlfn.ANCHORARRAY(Sintesi!$C$15),1,$C179)&gt;0),2,IF($E179=(INDEX(_xlfn.ANCHORARRAY(Sintesi!$C$16),1,$C179)),3,4)))),0),IF($C179&gt;0,IF(($E179=INDEX(_xlfn.ANCHORARRAY(Sintesi!$C$14),1,$C179))*(INDEX(_xlfn.ANCHORARRAY(Sintesi!$C$15),1,$C179)&gt;0),0,IF(($E179=INDEX(_xlfn.ANCHORARRAY(Sintesi!$C$14),1,$C179))*(INDEX(_xlfn.ANCHORARRAY(Sintesi!$C$15),1,$C179)&lt;0)+($E179&gt;=LOOKUP(2,1/($E:$E&lt;&gt;""),$E:$E))*($E179&lt;=INDEX($E:$E,MATCH(TRUE,INDEX((ISNUMBER($E:$E)),0),0)))*($E179&gt;INDEX(_xlfn.ANCHORARRAY(Sintesi!$C$14),1,$C179))*($E179&lt;=INDEX(_xlfn.ANCHORARRAY(Sintesi!$C$15),1,$C179))*(INDEX(_xlfn.ANCHORARRAY(Sintesi!$C$15),1,$C179)&gt;0),1,IF(($E179&gt;=LOOKUP(2,1/($E:$E&lt;&gt;""),$E:$E))*($E179&lt;=INDEX($E:$E,MATCH(TRUE,INDEX((ISNUMBER($E:$E)),0),0)))*($E179&gt;INDEX(_xlfn.ANCHORARRAY(Sintesi!$C$14),1,$C179))*($E179&lt;INDEX(_xlfn.ANCHORARRAY(Sintesi!$C$16),1,$C179))*(INDEX(_xlfn.ANCHORARRAY(Sintesi!$C$15),1,$C179)&lt;0)+($E179&gt;=LOOKUP(2,1/($E:$E&lt;&gt;""),$E:$E))*($E179&lt;=INDEX($E:$E,MATCH(TRUE,INDEX((ISNUMBER($E:$E)),0),0)))*($E179&gt;INDEX(_xlfn.ANCHORARRAY(Sintesi!$C$15),1,$C179))*($E179&lt;INDEX(_xlfn.ANCHORARRAY(Sintesi!$C$16),1,$C179))*(INDEX(_xlfn.ANCHORARRAY(Sintesi!$C$15),1,$C179)&gt;0),2,IF($E179=(INDEX(_xlfn.ANCHORARRAY(Sintesi!$C$16),1,$C179)),3,4)))),0)),IF(ISNUMBER($E178),IF($C179&gt;0,IF(($E179=INDEX(_xlfn.ANCHORARRAY(Sintesi!$C$14),1,$C179))*(INDEX(_xlfn.ANCHORARRAY(Sintesi!$C$15),1,$C179)&gt;0),0,IF(($E179=INDEX(_xlfn.ANCHORARRAY(Sintesi!$C$14),1,$C179))*(INDEX(_xlfn.ANCHORARRAY(Sintesi!$C$15),1,$C179)&lt;0)+($E179&gt;=$E178)*($E179&lt;=$E180)*($E179&gt;INDEX(_xlfn.ANCHORARRAY(Sintesi!$C$14),1,$C179))*($E179&lt;=INDEX(_xlfn.ANCHORARRAY(Sintesi!$C$15),1,$C179))*(INDEX(_xlfn.ANCHORARRAY(Sintesi!$C$15),1,$C179)&gt;0),1,IF(($E179&gt;=$E178)*($E179&lt;=$E180)*($E179&gt;INDEX(_xlfn.ANCHORARRAY(Sintesi!$C$14),1,$C179))*($E179&lt;INDEX(_xlfn.ANCHORARRAY(Sintesi!$C$16),1,$C179))*(INDEX(_xlfn.ANCHORARRAY(Sintesi!$C$15),1,$C179)&lt;0)+($E179&gt;=$E178)*($E179&lt;=$E180)*($E179&gt;INDEX(_xlfn.ANCHORARRAY(Sintesi!$C$15),1,$C179))*($E179&lt;INDEX(_xlfn.ANCHORARRAY(Sintesi!$C$16),1,$C179))*(INDEX(_xlfn.ANCHORARRAY(Sintesi!$C$15),1,$C179)&gt;0),2,IF($E179=(INDEX(_xlfn.ANCHORARRAY(Sintesi!$C$16),1,$C179)),3,4)))),0),IF($C179&gt;0,IF(($E179=INDEX(_xlfn.ANCHORARRAY(Sintesi!$C$14),1,$C179))*(INDEX(_xlfn.ANCHORARRAY(Sintesi!$C$15),1,$C179)&gt;0),0,IF(($E179=INDEX(_xlfn.ANCHORARRAY(Sintesi!$C$14),1,$C179))*(INDEX(_xlfn.ANCHORARRAY(Sintesi!$C$15),1,$C179)&lt;0)+($E179&gt;=LOOKUP(2,1/($E:$E&lt;&gt;""),$E:$E))*($E179&lt;=$E180)*($E179&gt;INDEX(_xlfn.ANCHORARRAY(Sintesi!$C$14),1,$C179))*($E179&lt;=INDEX(_xlfn.ANCHORARRAY(Sintesi!$C$15),1,$C179))*(INDEX(_xlfn.ANCHORARRAY(Sintesi!$C$15),1,$C179)&gt;0),1,IF(($E179&gt;=LOOKUP(2,1/($E:$E&lt;&gt;""),$E:$E))*($E179&lt;=$E180)*($E179&gt;INDEX(_xlfn.ANCHORARRAY(Sintesi!$C$14),1,$C179))*($E179&lt;INDEX(_xlfn.ANCHORARRAY(Sintesi!$C$16),1,$C179))*(INDEX(_xlfn.ANCHORARRAY(Sintesi!$C$15),1,$C179)&lt;0)+($E179&gt;=LOOKUP(2,1/($E:$E&lt;&gt;""),$E:$E))*($E179&lt;=$E180)*($E179&gt;INDEX(_xlfn.ANCHORARRAY(Sintesi!$C$15),1,$C179))*($E179&lt;INDEX(_xlfn.ANCHORARRAY(Sintesi!$C$16),1,$C179))*(INDEX(_xlfn.ANCHORARRAY(Sintesi!$C$15),1,$C179)&gt;0),2,IF($E179=(INDEX(_xlfn.ANCHORARRAY(Sintesi!$C$16),1,$C179)),3,4)))),0)))</f>
        <v>3</v>
      </c>
      <c r="E179" s="1">
        <f>'Paste cell here'!F179</f>
        <v>1.046</v>
      </c>
      <c r="F179" s="1">
        <f>'Paste cell here'!C179</f>
        <v>33.766734929999998</v>
      </c>
      <c r="G179" s="1">
        <f>'Paste cell here'!D179</f>
        <v>17.622734739999999</v>
      </c>
      <c r="H179" s="1">
        <f>'Paste cell here'!E179</f>
        <v>5.6469880860000004</v>
      </c>
      <c r="I179" s="1">
        <f>'Paste cell here'!X179</f>
        <v>5.9061703320000003</v>
      </c>
      <c r="J179" s="1">
        <f>'Paste cell here'!Y179+'Paste cell here'!S179</f>
        <v>5.9061703320000003</v>
      </c>
      <c r="K179" s="1">
        <f t="shared" si="5"/>
        <v>1.0458974309938007</v>
      </c>
      <c r="L179" s="1">
        <f t="shared" si="4"/>
        <v>27.508780998790478</v>
      </c>
      <c r="M179" s="1" cm="1">
        <f t="array" ref="M179">IF(AND(A179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,A179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),IF(L179&lt;_xlfn.IFNA(INDEX(_xlfn.ANCHORARRAY(Sintesi!$C$17)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,1,IF(L179&gt;=_xlfn.IFNA(INDEX(_xlfn.ANCHORARRAY(Sintesi!$C$18)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,0,1-(L179-_xlfn.IFNA(INDEX(_xlfn.ANCHORARRAY(Sintesi!$C$17)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)/(_xlfn.IFNA(INDEX(_xlfn.ANCHORARRAY(Sintesi!$C$18)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-_xlfn.IFNA(INDEX(_xlfn.ANCHORARRAY(Sintesi!$C$17),1,MATCH(1,(_xlfn.ANCHORARRAY(Sintesi!$C$9)&gt;_xlfn.ANCHORARRAY(Sintesi!$C$10))*(A178&gt;=_xlfn.ANCHORARRAY(Sintesi!$C$9))+(_xlfn.ANCHORARRAY(Sintesi!$C$9)&gt;_xlfn.ANCHORARRAY(Sintesi!$C$10))*(A178&lt;=_xlfn.ANCHORARRAY(Sintesi!$C$10))+(_xlfn.ANCHORARRAY(Sintesi!$C$9)&lt;_xlfn.ANCHORARRAY(Sintesi!$C$10))*(A178&gt;=_xlfn.ANCHORARRAY(Sintesi!$C$9))*(A178&lt;=_xlfn.ANCHORARRAY(Sintesi!$C$10)),0)),0)))),0)</f>
        <v>1</v>
      </c>
    </row>
    <row r="180" spans="1:13">
      <c r="A180" s="1">
        <f>'Paste cell here'!A180</f>
        <v>179</v>
      </c>
      <c r="B180" s="2">
        <f>DATE(Sintesi!$C$4-1,12,31)+A180</f>
        <v>44375</v>
      </c>
      <c r="C180" s="34" cm="1">
        <f t="array" ref="C180">_xlfn.IFNA(MATCH(1,(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)*(_xlfn.ANCHORARRAY(Sintesi!$C$15)&gt;=0)+(_xlfn.ANCHORARRAY(Sintesi!$C$15)&lt;0),0),0)</f>
        <v>1</v>
      </c>
      <c r="D180" s="1" cm="1">
        <f t="array" ref="D180">IF(ISBLANK($E181),IF(ISNUMBER($E179),IF($C180&gt;0,IF(($E180=INDEX(_xlfn.ANCHORARRAY(Sintesi!$C$14),1,$C180))*(INDEX(_xlfn.ANCHORARRAY(Sintesi!$C$15),1,$C180)&gt;0),0,IF(($E180=INDEX(_xlfn.ANCHORARRAY(Sintesi!$C$14),1,$C180))*(INDEX(_xlfn.ANCHORARRAY(Sintesi!$C$15),1,$C180)&lt;0)+($E180&gt;=$E179)*($E180&lt;=INDEX($E:$E,MATCH(TRUE,INDEX((ISNUMBER($E:$E)),0),0)))*($E180&gt;INDEX(_xlfn.ANCHORARRAY(Sintesi!$C$14),1,$C180))*($E180&lt;=INDEX(_xlfn.ANCHORARRAY(Sintesi!$C$15),1,$C180))*(INDEX(_xlfn.ANCHORARRAY(Sintesi!$C$15),1,$C180)&gt;0),1,IF(($E180&gt;=$E179)*($E180&lt;=INDEX($E:$E,MATCH(TRUE,INDEX((ISNUMBER($E:$E)),0),0)))*($E180&gt;INDEX(_xlfn.ANCHORARRAY(Sintesi!$C$14),1,$C180))*($E180&lt;INDEX(_xlfn.ANCHORARRAY(Sintesi!$C$16),1,$C180))*(INDEX(_xlfn.ANCHORARRAY(Sintesi!$C$15),1,$C180)&lt;0)+($E180&gt;=$E179)*($E180&lt;=INDEX($E:$E,MATCH(TRUE,INDEX((ISNUMBER($E:$E)),0),0)))*($E180&gt;INDEX(_xlfn.ANCHORARRAY(Sintesi!$C$15),1,$C180))*($E180&lt;INDEX(_xlfn.ANCHORARRAY(Sintesi!$C$16),1,$C180))*(INDEX(_xlfn.ANCHORARRAY(Sintesi!$C$15),1,$C180)&gt;0),2,IF($E180=(INDEX(_xlfn.ANCHORARRAY(Sintesi!$C$16),1,$C180)),3,4)))),0),IF($C180&gt;0,IF(($E180=INDEX(_xlfn.ANCHORARRAY(Sintesi!$C$14),1,$C180))*(INDEX(_xlfn.ANCHORARRAY(Sintesi!$C$15),1,$C180)&gt;0),0,IF(($E180=INDEX(_xlfn.ANCHORARRAY(Sintesi!$C$14),1,$C180))*(INDEX(_xlfn.ANCHORARRAY(Sintesi!$C$15),1,$C180)&lt;0)+($E180&gt;=LOOKUP(2,1/($E:$E&lt;&gt;""),$E:$E))*($E180&lt;=INDEX($E:$E,MATCH(TRUE,INDEX((ISNUMBER($E:$E)),0),0)))*($E180&gt;INDEX(_xlfn.ANCHORARRAY(Sintesi!$C$14),1,$C180))*($E180&lt;=INDEX(_xlfn.ANCHORARRAY(Sintesi!$C$15),1,$C180))*(INDEX(_xlfn.ANCHORARRAY(Sintesi!$C$15),1,$C180)&gt;0),1,IF(($E180&gt;=LOOKUP(2,1/($E:$E&lt;&gt;""),$E:$E))*($E180&lt;=INDEX($E:$E,MATCH(TRUE,INDEX((ISNUMBER($E:$E)),0),0)))*($E180&gt;INDEX(_xlfn.ANCHORARRAY(Sintesi!$C$14),1,$C180))*($E180&lt;INDEX(_xlfn.ANCHORARRAY(Sintesi!$C$16),1,$C180))*(INDEX(_xlfn.ANCHORARRAY(Sintesi!$C$15),1,$C180)&lt;0)+($E180&gt;=LOOKUP(2,1/($E:$E&lt;&gt;""),$E:$E))*($E180&lt;=INDEX($E:$E,MATCH(TRUE,INDEX((ISNUMBER($E:$E)),0),0)))*($E180&gt;INDEX(_xlfn.ANCHORARRAY(Sintesi!$C$15),1,$C180))*($E180&lt;INDEX(_xlfn.ANCHORARRAY(Sintesi!$C$16),1,$C180))*(INDEX(_xlfn.ANCHORARRAY(Sintesi!$C$15),1,$C180)&gt;0),2,IF($E180=(INDEX(_xlfn.ANCHORARRAY(Sintesi!$C$16),1,$C180)),3,4)))),0)),IF(ISNUMBER($E179),IF($C180&gt;0,IF(($E180=INDEX(_xlfn.ANCHORARRAY(Sintesi!$C$14),1,$C180))*(INDEX(_xlfn.ANCHORARRAY(Sintesi!$C$15),1,$C180)&gt;0),0,IF(($E180=INDEX(_xlfn.ANCHORARRAY(Sintesi!$C$14),1,$C180))*(INDEX(_xlfn.ANCHORARRAY(Sintesi!$C$15),1,$C180)&lt;0)+($E180&gt;=$E179)*($E180&lt;=$E181)*($E180&gt;INDEX(_xlfn.ANCHORARRAY(Sintesi!$C$14),1,$C180))*($E180&lt;=INDEX(_xlfn.ANCHORARRAY(Sintesi!$C$15),1,$C180))*(INDEX(_xlfn.ANCHORARRAY(Sintesi!$C$15),1,$C180)&gt;0),1,IF(($E180&gt;=$E179)*($E180&lt;=$E181)*($E180&gt;INDEX(_xlfn.ANCHORARRAY(Sintesi!$C$14),1,$C180))*($E180&lt;INDEX(_xlfn.ANCHORARRAY(Sintesi!$C$16),1,$C180))*(INDEX(_xlfn.ANCHORARRAY(Sintesi!$C$15),1,$C180)&lt;0)+($E180&gt;=$E179)*($E180&lt;=$E181)*($E180&gt;INDEX(_xlfn.ANCHORARRAY(Sintesi!$C$15),1,$C180))*($E180&lt;INDEX(_xlfn.ANCHORARRAY(Sintesi!$C$16),1,$C180))*(INDEX(_xlfn.ANCHORARRAY(Sintesi!$C$15),1,$C180)&gt;0),2,IF($E180=(INDEX(_xlfn.ANCHORARRAY(Sintesi!$C$16),1,$C180)),3,4)))),0),IF($C180&gt;0,IF(($E180=INDEX(_xlfn.ANCHORARRAY(Sintesi!$C$14),1,$C180))*(INDEX(_xlfn.ANCHORARRAY(Sintesi!$C$15),1,$C180)&gt;0),0,IF(($E180=INDEX(_xlfn.ANCHORARRAY(Sintesi!$C$14),1,$C180))*(INDEX(_xlfn.ANCHORARRAY(Sintesi!$C$15),1,$C180)&lt;0)+($E180&gt;=LOOKUP(2,1/($E:$E&lt;&gt;""),$E:$E))*($E180&lt;=$E181)*($E180&gt;INDEX(_xlfn.ANCHORARRAY(Sintesi!$C$14),1,$C180))*($E180&lt;=INDEX(_xlfn.ANCHORARRAY(Sintesi!$C$15),1,$C180))*(INDEX(_xlfn.ANCHORARRAY(Sintesi!$C$15),1,$C180)&gt;0),1,IF(($E180&gt;=LOOKUP(2,1/($E:$E&lt;&gt;""),$E:$E))*($E180&lt;=$E181)*($E180&gt;INDEX(_xlfn.ANCHORARRAY(Sintesi!$C$14),1,$C180))*($E180&lt;INDEX(_xlfn.ANCHORARRAY(Sintesi!$C$16),1,$C180))*(INDEX(_xlfn.ANCHORARRAY(Sintesi!$C$15),1,$C180)&lt;0)+($E180&gt;=LOOKUP(2,1/($E:$E&lt;&gt;""),$E:$E))*($E180&lt;=$E181)*($E180&gt;INDEX(_xlfn.ANCHORARRAY(Sintesi!$C$15),1,$C180))*($E180&lt;INDEX(_xlfn.ANCHORARRAY(Sintesi!$C$16),1,$C180))*(INDEX(_xlfn.ANCHORARRAY(Sintesi!$C$15),1,$C180)&gt;0),2,IF($E180=(INDEX(_xlfn.ANCHORARRAY(Sintesi!$C$16),1,$C180)),3,4)))),0)))</f>
        <v>3</v>
      </c>
      <c r="E180" s="1">
        <f>'Paste cell here'!F180</f>
        <v>1.046</v>
      </c>
      <c r="F180" s="1">
        <f>'Paste cell here'!C180</f>
        <v>34.264055200000001</v>
      </c>
      <c r="G180" s="1">
        <f>'Paste cell here'!D180</f>
        <v>19.302214119999999</v>
      </c>
      <c r="H180" s="1">
        <f>'Paste cell here'!E180</f>
        <v>6.1500282359999998</v>
      </c>
      <c r="I180" s="1">
        <f>'Paste cell here'!X180</f>
        <v>6.4323040450000004</v>
      </c>
      <c r="J180" s="1">
        <f>'Paste cell here'!Y180+'Paste cell here'!S180</f>
        <v>6.4323040450000004</v>
      </c>
      <c r="K180" s="1">
        <f t="shared" si="5"/>
        <v>1.0458982947993087</v>
      </c>
      <c r="L180" s="1">
        <f t="shared" si="4"/>
        <v>28.46434564209779</v>
      </c>
      <c r="M180" s="1" cm="1">
        <f t="array" ref="M180">IF(AND(A180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,A180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),IF(L180&lt;_xlfn.IFNA(INDEX(_xlfn.ANCHORARRAY(Sintesi!$C$17)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,1,IF(L180&gt;=_xlfn.IFNA(INDEX(_xlfn.ANCHORARRAY(Sintesi!$C$18)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,0,1-(L180-_xlfn.IFNA(INDEX(_xlfn.ANCHORARRAY(Sintesi!$C$17)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)/(_xlfn.IFNA(INDEX(_xlfn.ANCHORARRAY(Sintesi!$C$18)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-_xlfn.IFNA(INDEX(_xlfn.ANCHORARRAY(Sintesi!$C$17),1,MATCH(1,(_xlfn.ANCHORARRAY(Sintesi!$C$9)&gt;_xlfn.ANCHORARRAY(Sintesi!$C$10))*(A179&gt;=_xlfn.ANCHORARRAY(Sintesi!$C$9))+(_xlfn.ANCHORARRAY(Sintesi!$C$9)&gt;_xlfn.ANCHORARRAY(Sintesi!$C$10))*(A179&lt;=_xlfn.ANCHORARRAY(Sintesi!$C$10))+(_xlfn.ANCHORARRAY(Sintesi!$C$9)&lt;_xlfn.ANCHORARRAY(Sintesi!$C$10))*(A179&gt;=_xlfn.ANCHORARRAY(Sintesi!$C$9))*(A179&lt;=_xlfn.ANCHORARRAY(Sintesi!$C$10)),0)),0)))),0)</f>
        <v>1</v>
      </c>
    </row>
    <row r="181" spans="1:13">
      <c r="A181" s="1">
        <f>'Paste cell here'!A181</f>
        <v>180</v>
      </c>
      <c r="B181" s="2">
        <f>DATE(Sintesi!$C$4-1,12,31)+A181</f>
        <v>44376</v>
      </c>
      <c r="C181" s="34" cm="1">
        <f t="array" ref="C181">_xlfn.IFNA(MATCH(1,(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)*(_xlfn.ANCHORARRAY(Sintesi!$C$15)&gt;=0)+(_xlfn.ANCHORARRAY(Sintesi!$C$15)&lt;0),0),0)</f>
        <v>1</v>
      </c>
      <c r="D181" s="1" cm="1">
        <f t="array" ref="D181">IF(ISBLANK($E182),IF(ISNUMBER($E180),IF($C181&gt;0,IF(($E181=INDEX(_xlfn.ANCHORARRAY(Sintesi!$C$14),1,$C181))*(INDEX(_xlfn.ANCHORARRAY(Sintesi!$C$15),1,$C181)&gt;0),0,IF(($E181=INDEX(_xlfn.ANCHORARRAY(Sintesi!$C$14),1,$C181))*(INDEX(_xlfn.ANCHORARRAY(Sintesi!$C$15),1,$C181)&lt;0)+($E181&gt;=$E180)*($E181&lt;=INDEX($E:$E,MATCH(TRUE,INDEX((ISNUMBER($E:$E)),0),0)))*($E181&gt;INDEX(_xlfn.ANCHORARRAY(Sintesi!$C$14),1,$C181))*($E181&lt;=INDEX(_xlfn.ANCHORARRAY(Sintesi!$C$15),1,$C181))*(INDEX(_xlfn.ANCHORARRAY(Sintesi!$C$15),1,$C181)&gt;0),1,IF(($E181&gt;=$E180)*($E181&lt;=INDEX($E:$E,MATCH(TRUE,INDEX((ISNUMBER($E:$E)),0),0)))*($E181&gt;INDEX(_xlfn.ANCHORARRAY(Sintesi!$C$14),1,$C181))*($E181&lt;INDEX(_xlfn.ANCHORARRAY(Sintesi!$C$16),1,$C181))*(INDEX(_xlfn.ANCHORARRAY(Sintesi!$C$15),1,$C181)&lt;0)+($E181&gt;=$E180)*($E181&lt;=INDEX($E:$E,MATCH(TRUE,INDEX((ISNUMBER($E:$E)),0),0)))*($E181&gt;INDEX(_xlfn.ANCHORARRAY(Sintesi!$C$15),1,$C181))*($E181&lt;INDEX(_xlfn.ANCHORARRAY(Sintesi!$C$16),1,$C181))*(INDEX(_xlfn.ANCHORARRAY(Sintesi!$C$15),1,$C181)&gt;0),2,IF($E181=(INDEX(_xlfn.ANCHORARRAY(Sintesi!$C$16),1,$C181)),3,4)))),0),IF($C181&gt;0,IF(($E181=INDEX(_xlfn.ANCHORARRAY(Sintesi!$C$14),1,$C181))*(INDEX(_xlfn.ANCHORARRAY(Sintesi!$C$15),1,$C181)&gt;0),0,IF(($E181=INDEX(_xlfn.ANCHORARRAY(Sintesi!$C$14),1,$C181))*(INDEX(_xlfn.ANCHORARRAY(Sintesi!$C$15),1,$C181)&lt;0)+($E181&gt;=LOOKUP(2,1/($E:$E&lt;&gt;""),$E:$E))*($E181&lt;=INDEX($E:$E,MATCH(TRUE,INDEX((ISNUMBER($E:$E)),0),0)))*($E181&gt;INDEX(_xlfn.ANCHORARRAY(Sintesi!$C$14),1,$C181))*($E181&lt;=INDEX(_xlfn.ANCHORARRAY(Sintesi!$C$15),1,$C181))*(INDEX(_xlfn.ANCHORARRAY(Sintesi!$C$15),1,$C181)&gt;0),1,IF(($E181&gt;=LOOKUP(2,1/($E:$E&lt;&gt;""),$E:$E))*($E181&lt;=INDEX($E:$E,MATCH(TRUE,INDEX((ISNUMBER($E:$E)),0),0)))*($E181&gt;INDEX(_xlfn.ANCHORARRAY(Sintesi!$C$14),1,$C181))*($E181&lt;INDEX(_xlfn.ANCHORARRAY(Sintesi!$C$16),1,$C181))*(INDEX(_xlfn.ANCHORARRAY(Sintesi!$C$15),1,$C181)&lt;0)+($E181&gt;=LOOKUP(2,1/($E:$E&lt;&gt;""),$E:$E))*($E181&lt;=INDEX($E:$E,MATCH(TRUE,INDEX((ISNUMBER($E:$E)),0),0)))*($E181&gt;INDEX(_xlfn.ANCHORARRAY(Sintesi!$C$15),1,$C181))*($E181&lt;INDEX(_xlfn.ANCHORARRAY(Sintesi!$C$16),1,$C181))*(INDEX(_xlfn.ANCHORARRAY(Sintesi!$C$15),1,$C181)&gt;0),2,IF($E181=(INDEX(_xlfn.ANCHORARRAY(Sintesi!$C$16),1,$C181)),3,4)))),0)),IF(ISNUMBER($E180),IF($C181&gt;0,IF(($E181=INDEX(_xlfn.ANCHORARRAY(Sintesi!$C$14),1,$C181))*(INDEX(_xlfn.ANCHORARRAY(Sintesi!$C$15),1,$C181)&gt;0),0,IF(($E181=INDEX(_xlfn.ANCHORARRAY(Sintesi!$C$14),1,$C181))*(INDEX(_xlfn.ANCHORARRAY(Sintesi!$C$15),1,$C181)&lt;0)+($E181&gt;=$E180)*($E181&lt;=$E182)*($E181&gt;INDEX(_xlfn.ANCHORARRAY(Sintesi!$C$14),1,$C181))*($E181&lt;=INDEX(_xlfn.ANCHORARRAY(Sintesi!$C$15),1,$C181))*(INDEX(_xlfn.ANCHORARRAY(Sintesi!$C$15),1,$C181)&gt;0),1,IF(($E181&gt;=$E180)*($E181&lt;=$E182)*($E181&gt;INDEX(_xlfn.ANCHORARRAY(Sintesi!$C$14),1,$C181))*($E181&lt;INDEX(_xlfn.ANCHORARRAY(Sintesi!$C$16),1,$C181))*(INDEX(_xlfn.ANCHORARRAY(Sintesi!$C$15),1,$C181)&lt;0)+($E181&gt;=$E180)*($E181&lt;=$E182)*($E181&gt;INDEX(_xlfn.ANCHORARRAY(Sintesi!$C$15),1,$C181))*($E181&lt;INDEX(_xlfn.ANCHORARRAY(Sintesi!$C$16),1,$C181))*(INDEX(_xlfn.ANCHORARRAY(Sintesi!$C$15),1,$C181)&gt;0),2,IF($E181=(INDEX(_xlfn.ANCHORARRAY(Sintesi!$C$16),1,$C181)),3,4)))),0),IF($C181&gt;0,IF(($E181=INDEX(_xlfn.ANCHORARRAY(Sintesi!$C$14),1,$C181))*(INDEX(_xlfn.ANCHORARRAY(Sintesi!$C$15),1,$C181)&gt;0),0,IF(($E181=INDEX(_xlfn.ANCHORARRAY(Sintesi!$C$14),1,$C181))*(INDEX(_xlfn.ANCHORARRAY(Sintesi!$C$15),1,$C181)&lt;0)+($E181&gt;=LOOKUP(2,1/($E:$E&lt;&gt;""),$E:$E))*($E181&lt;=$E182)*($E181&gt;INDEX(_xlfn.ANCHORARRAY(Sintesi!$C$14),1,$C181))*($E181&lt;=INDEX(_xlfn.ANCHORARRAY(Sintesi!$C$15),1,$C181))*(INDEX(_xlfn.ANCHORARRAY(Sintesi!$C$15),1,$C181)&gt;0),1,IF(($E181&gt;=LOOKUP(2,1/($E:$E&lt;&gt;""),$E:$E))*($E181&lt;=$E182)*($E181&gt;INDEX(_xlfn.ANCHORARRAY(Sintesi!$C$14),1,$C181))*($E181&lt;INDEX(_xlfn.ANCHORARRAY(Sintesi!$C$16),1,$C181))*(INDEX(_xlfn.ANCHORARRAY(Sintesi!$C$15),1,$C181)&lt;0)+($E181&gt;=LOOKUP(2,1/($E:$E&lt;&gt;""),$E:$E))*($E181&lt;=$E182)*($E181&gt;INDEX(_xlfn.ANCHORARRAY(Sintesi!$C$15),1,$C181))*($E181&lt;INDEX(_xlfn.ANCHORARRAY(Sintesi!$C$16),1,$C181))*(INDEX(_xlfn.ANCHORARRAY(Sintesi!$C$15),1,$C181)&gt;0),2,IF($E181=(INDEX(_xlfn.ANCHORARRAY(Sintesi!$C$16),1,$C181)),3,4)))),0)))</f>
        <v>3</v>
      </c>
      <c r="E181" s="1">
        <f>'Paste cell here'!F181</f>
        <v>1.046</v>
      </c>
      <c r="F181" s="1">
        <f>'Paste cell here'!C181</f>
        <v>33.931148899999997</v>
      </c>
      <c r="G181" s="1">
        <f>'Paste cell here'!D181</f>
        <v>18.748190869999998</v>
      </c>
      <c r="H181" s="1">
        <f>'Paste cell here'!E181</f>
        <v>6.2497399089999996</v>
      </c>
      <c r="I181" s="1">
        <f>'Paste cell here'!X181</f>
        <v>6.5365984839999998</v>
      </c>
      <c r="J181" s="1">
        <f>'Paste cell here'!Y181+'Paste cell here'!S181</f>
        <v>6.5365984839999998</v>
      </c>
      <c r="K181" s="1">
        <f t="shared" si="5"/>
        <v>1.0458992820784281</v>
      </c>
      <c r="L181" s="1">
        <f t="shared" si="4"/>
        <v>28.045727023575477</v>
      </c>
      <c r="M181" s="1" cm="1">
        <f t="array" ref="M181">IF(AND(A181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,A181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),IF(L181&lt;_xlfn.IFNA(INDEX(_xlfn.ANCHORARRAY(Sintesi!$C$17)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,1,IF(L181&gt;=_xlfn.IFNA(INDEX(_xlfn.ANCHORARRAY(Sintesi!$C$18)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,0,1-(L181-_xlfn.IFNA(INDEX(_xlfn.ANCHORARRAY(Sintesi!$C$17)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)/(_xlfn.IFNA(INDEX(_xlfn.ANCHORARRAY(Sintesi!$C$18)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-_xlfn.IFNA(INDEX(_xlfn.ANCHORARRAY(Sintesi!$C$17),1,MATCH(1,(_xlfn.ANCHORARRAY(Sintesi!$C$9)&gt;_xlfn.ANCHORARRAY(Sintesi!$C$10))*(A180&gt;=_xlfn.ANCHORARRAY(Sintesi!$C$9))+(_xlfn.ANCHORARRAY(Sintesi!$C$9)&gt;_xlfn.ANCHORARRAY(Sintesi!$C$10))*(A180&lt;=_xlfn.ANCHORARRAY(Sintesi!$C$10))+(_xlfn.ANCHORARRAY(Sintesi!$C$9)&lt;_xlfn.ANCHORARRAY(Sintesi!$C$10))*(A180&gt;=_xlfn.ANCHORARRAY(Sintesi!$C$9))*(A180&lt;=_xlfn.ANCHORARRAY(Sintesi!$C$10)),0)),0)))),0)</f>
        <v>1</v>
      </c>
    </row>
    <row r="182" spans="1:13">
      <c r="A182" s="1">
        <f>'Paste cell here'!A182</f>
        <v>181</v>
      </c>
      <c r="B182" s="2">
        <f>DATE(Sintesi!$C$4-1,12,31)+A182</f>
        <v>44377</v>
      </c>
      <c r="C182" s="34" cm="1">
        <f t="array" ref="C182">_xlfn.IFNA(MATCH(1,(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)*(_xlfn.ANCHORARRAY(Sintesi!$C$15)&gt;=0)+(_xlfn.ANCHORARRAY(Sintesi!$C$15)&lt;0),0),0)</f>
        <v>1</v>
      </c>
      <c r="D182" s="1" cm="1">
        <f t="array" ref="D182">IF(ISBLANK($E183),IF(ISNUMBER($E181),IF($C182&gt;0,IF(($E182=INDEX(_xlfn.ANCHORARRAY(Sintesi!$C$14),1,$C182))*(INDEX(_xlfn.ANCHORARRAY(Sintesi!$C$15),1,$C182)&gt;0),0,IF(($E182=INDEX(_xlfn.ANCHORARRAY(Sintesi!$C$14),1,$C182))*(INDEX(_xlfn.ANCHORARRAY(Sintesi!$C$15),1,$C182)&lt;0)+($E182&gt;=$E181)*($E182&lt;=INDEX($E:$E,MATCH(TRUE,INDEX((ISNUMBER($E:$E)),0),0)))*($E182&gt;INDEX(_xlfn.ANCHORARRAY(Sintesi!$C$14),1,$C182))*($E182&lt;=INDEX(_xlfn.ANCHORARRAY(Sintesi!$C$15),1,$C182))*(INDEX(_xlfn.ANCHORARRAY(Sintesi!$C$15),1,$C182)&gt;0),1,IF(($E182&gt;=$E181)*($E182&lt;=INDEX($E:$E,MATCH(TRUE,INDEX((ISNUMBER($E:$E)),0),0)))*($E182&gt;INDEX(_xlfn.ANCHORARRAY(Sintesi!$C$14),1,$C182))*($E182&lt;INDEX(_xlfn.ANCHORARRAY(Sintesi!$C$16),1,$C182))*(INDEX(_xlfn.ANCHORARRAY(Sintesi!$C$15),1,$C182)&lt;0)+($E182&gt;=$E181)*($E182&lt;=INDEX($E:$E,MATCH(TRUE,INDEX((ISNUMBER($E:$E)),0),0)))*($E182&gt;INDEX(_xlfn.ANCHORARRAY(Sintesi!$C$15),1,$C182))*($E182&lt;INDEX(_xlfn.ANCHORARRAY(Sintesi!$C$16),1,$C182))*(INDEX(_xlfn.ANCHORARRAY(Sintesi!$C$15),1,$C182)&gt;0),2,IF($E182=(INDEX(_xlfn.ANCHORARRAY(Sintesi!$C$16),1,$C182)),3,4)))),0),IF($C182&gt;0,IF(($E182=INDEX(_xlfn.ANCHORARRAY(Sintesi!$C$14),1,$C182))*(INDEX(_xlfn.ANCHORARRAY(Sintesi!$C$15),1,$C182)&gt;0),0,IF(($E182=INDEX(_xlfn.ANCHORARRAY(Sintesi!$C$14),1,$C182))*(INDEX(_xlfn.ANCHORARRAY(Sintesi!$C$15),1,$C182)&lt;0)+($E182&gt;=LOOKUP(2,1/($E:$E&lt;&gt;""),$E:$E))*($E182&lt;=INDEX($E:$E,MATCH(TRUE,INDEX((ISNUMBER($E:$E)),0),0)))*($E182&gt;INDEX(_xlfn.ANCHORARRAY(Sintesi!$C$14),1,$C182))*($E182&lt;=INDEX(_xlfn.ANCHORARRAY(Sintesi!$C$15),1,$C182))*(INDEX(_xlfn.ANCHORARRAY(Sintesi!$C$15),1,$C182)&gt;0),1,IF(($E182&gt;=LOOKUP(2,1/($E:$E&lt;&gt;""),$E:$E))*($E182&lt;=INDEX($E:$E,MATCH(TRUE,INDEX((ISNUMBER($E:$E)),0),0)))*($E182&gt;INDEX(_xlfn.ANCHORARRAY(Sintesi!$C$14),1,$C182))*($E182&lt;INDEX(_xlfn.ANCHORARRAY(Sintesi!$C$16),1,$C182))*(INDEX(_xlfn.ANCHORARRAY(Sintesi!$C$15),1,$C182)&lt;0)+($E182&gt;=LOOKUP(2,1/($E:$E&lt;&gt;""),$E:$E))*($E182&lt;=INDEX($E:$E,MATCH(TRUE,INDEX((ISNUMBER($E:$E)),0),0)))*($E182&gt;INDEX(_xlfn.ANCHORARRAY(Sintesi!$C$15),1,$C182))*($E182&lt;INDEX(_xlfn.ANCHORARRAY(Sintesi!$C$16),1,$C182))*(INDEX(_xlfn.ANCHORARRAY(Sintesi!$C$15),1,$C182)&gt;0),2,IF($E182=(INDEX(_xlfn.ANCHORARRAY(Sintesi!$C$16),1,$C182)),3,4)))),0)),IF(ISNUMBER($E181),IF($C182&gt;0,IF(($E182=INDEX(_xlfn.ANCHORARRAY(Sintesi!$C$14),1,$C182))*(INDEX(_xlfn.ANCHORARRAY(Sintesi!$C$15),1,$C182)&gt;0),0,IF(($E182=INDEX(_xlfn.ANCHORARRAY(Sintesi!$C$14),1,$C182))*(INDEX(_xlfn.ANCHORARRAY(Sintesi!$C$15),1,$C182)&lt;0)+($E182&gt;=$E181)*($E182&lt;=$E183)*($E182&gt;INDEX(_xlfn.ANCHORARRAY(Sintesi!$C$14),1,$C182))*($E182&lt;=INDEX(_xlfn.ANCHORARRAY(Sintesi!$C$15),1,$C182))*(INDEX(_xlfn.ANCHORARRAY(Sintesi!$C$15),1,$C182)&gt;0),1,IF(($E182&gt;=$E181)*($E182&lt;=$E183)*($E182&gt;INDEX(_xlfn.ANCHORARRAY(Sintesi!$C$14),1,$C182))*($E182&lt;INDEX(_xlfn.ANCHORARRAY(Sintesi!$C$16),1,$C182))*(INDEX(_xlfn.ANCHORARRAY(Sintesi!$C$15),1,$C182)&lt;0)+($E182&gt;=$E181)*($E182&lt;=$E183)*($E182&gt;INDEX(_xlfn.ANCHORARRAY(Sintesi!$C$15),1,$C182))*($E182&lt;INDEX(_xlfn.ANCHORARRAY(Sintesi!$C$16),1,$C182))*(INDEX(_xlfn.ANCHORARRAY(Sintesi!$C$15),1,$C182)&gt;0),2,IF($E182=(INDEX(_xlfn.ANCHORARRAY(Sintesi!$C$16),1,$C182)),3,4)))),0),IF($C182&gt;0,IF(($E182=INDEX(_xlfn.ANCHORARRAY(Sintesi!$C$14),1,$C182))*(INDEX(_xlfn.ANCHORARRAY(Sintesi!$C$15),1,$C182)&gt;0),0,IF(($E182=INDEX(_xlfn.ANCHORARRAY(Sintesi!$C$14),1,$C182))*(INDEX(_xlfn.ANCHORARRAY(Sintesi!$C$15),1,$C182)&lt;0)+($E182&gt;=LOOKUP(2,1/($E:$E&lt;&gt;""),$E:$E))*($E182&lt;=$E183)*($E182&gt;INDEX(_xlfn.ANCHORARRAY(Sintesi!$C$14),1,$C182))*($E182&lt;=INDEX(_xlfn.ANCHORARRAY(Sintesi!$C$15),1,$C182))*(INDEX(_xlfn.ANCHORARRAY(Sintesi!$C$15),1,$C182)&gt;0),1,IF(($E182&gt;=LOOKUP(2,1/($E:$E&lt;&gt;""),$E:$E))*($E182&lt;=$E183)*($E182&gt;INDEX(_xlfn.ANCHORARRAY(Sintesi!$C$14),1,$C182))*($E182&lt;INDEX(_xlfn.ANCHORARRAY(Sintesi!$C$16),1,$C182))*(INDEX(_xlfn.ANCHORARRAY(Sintesi!$C$15),1,$C182)&lt;0)+($E182&gt;=LOOKUP(2,1/($E:$E&lt;&gt;""),$E:$E))*($E182&lt;=$E183)*($E182&gt;INDEX(_xlfn.ANCHORARRAY(Sintesi!$C$15),1,$C182))*($E182&lt;INDEX(_xlfn.ANCHORARRAY(Sintesi!$C$16),1,$C182))*(INDEX(_xlfn.ANCHORARRAY(Sintesi!$C$15),1,$C182)&gt;0),2,IF($E182=(INDEX(_xlfn.ANCHORARRAY(Sintesi!$C$16),1,$C182)),3,4)))),0)))</f>
        <v>3</v>
      </c>
      <c r="E182" s="1">
        <f>'Paste cell here'!F182</f>
        <v>1.046</v>
      </c>
      <c r="F182" s="1">
        <f>'Paste cell here'!C182</f>
        <v>30.964055200000001</v>
      </c>
      <c r="G182" s="1">
        <f>'Paste cell here'!D182</f>
        <v>16.68398414</v>
      </c>
      <c r="H182" s="1">
        <f>'Paste cell here'!E182</f>
        <v>5.7987179769999999</v>
      </c>
      <c r="I182" s="1">
        <f>'Paste cell here'!X182</f>
        <v>6.0648813879999999</v>
      </c>
      <c r="J182" s="1">
        <f>'Paste cell here'!Y182+'Paste cell here'!S182</f>
        <v>6.0648813879999999</v>
      </c>
      <c r="K182" s="1">
        <f t="shared" si="5"/>
        <v>1.0459003890266279</v>
      </c>
      <c r="L182" s="1">
        <f t="shared" si="4"/>
        <v>25.428622483439906</v>
      </c>
      <c r="M182" s="1" cm="1">
        <f t="array" ref="M182">IF(AND(A182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,A182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),IF(L182&lt;_xlfn.IFNA(INDEX(_xlfn.ANCHORARRAY(Sintesi!$C$17)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,1,IF(L182&gt;=_xlfn.IFNA(INDEX(_xlfn.ANCHORARRAY(Sintesi!$C$18)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,0,1-(L182-_xlfn.IFNA(INDEX(_xlfn.ANCHORARRAY(Sintesi!$C$17)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)/(_xlfn.IFNA(INDEX(_xlfn.ANCHORARRAY(Sintesi!$C$18)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-_xlfn.IFNA(INDEX(_xlfn.ANCHORARRAY(Sintesi!$C$17),1,MATCH(1,(_xlfn.ANCHORARRAY(Sintesi!$C$9)&gt;_xlfn.ANCHORARRAY(Sintesi!$C$10))*(A181&gt;=_xlfn.ANCHORARRAY(Sintesi!$C$9))+(_xlfn.ANCHORARRAY(Sintesi!$C$9)&gt;_xlfn.ANCHORARRAY(Sintesi!$C$10))*(A181&lt;=_xlfn.ANCHORARRAY(Sintesi!$C$10))+(_xlfn.ANCHORARRAY(Sintesi!$C$9)&lt;_xlfn.ANCHORARRAY(Sintesi!$C$10))*(A181&gt;=_xlfn.ANCHORARRAY(Sintesi!$C$9))*(A181&lt;=_xlfn.ANCHORARRAY(Sintesi!$C$10)),0)),0)))),0)</f>
        <v>1</v>
      </c>
    </row>
    <row r="183" spans="1:13">
      <c r="A183" s="1">
        <f>'Paste cell here'!A183</f>
        <v>182</v>
      </c>
      <c r="B183" s="2">
        <f>DATE(Sintesi!$C$4-1,12,31)+A183</f>
        <v>44378</v>
      </c>
      <c r="C183" s="34" cm="1">
        <f t="array" ref="C183">_xlfn.IFNA(MATCH(1,(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)*(_xlfn.ANCHORARRAY(Sintesi!$C$15)&gt;=0)+(_xlfn.ANCHORARRAY(Sintesi!$C$15)&lt;0),0),0)</f>
        <v>1</v>
      </c>
      <c r="D183" s="1" cm="1">
        <f t="array" ref="D183">IF(ISBLANK($E184),IF(ISNUMBER($E182),IF($C183&gt;0,IF(($E183=INDEX(_xlfn.ANCHORARRAY(Sintesi!$C$14),1,$C183))*(INDEX(_xlfn.ANCHORARRAY(Sintesi!$C$15),1,$C183)&gt;0),0,IF(($E183=INDEX(_xlfn.ANCHORARRAY(Sintesi!$C$14),1,$C183))*(INDEX(_xlfn.ANCHORARRAY(Sintesi!$C$15),1,$C183)&lt;0)+($E183&gt;=$E182)*($E183&lt;=INDEX($E:$E,MATCH(TRUE,INDEX((ISNUMBER($E:$E)),0),0)))*($E183&gt;INDEX(_xlfn.ANCHORARRAY(Sintesi!$C$14),1,$C183))*($E183&lt;=INDEX(_xlfn.ANCHORARRAY(Sintesi!$C$15),1,$C183))*(INDEX(_xlfn.ANCHORARRAY(Sintesi!$C$15),1,$C183)&gt;0),1,IF(($E183&gt;=$E182)*($E183&lt;=INDEX($E:$E,MATCH(TRUE,INDEX((ISNUMBER($E:$E)),0),0)))*($E183&gt;INDEX(_xlfn.ANCHORARRAY(Sintesi!$C$14),1,$C183))*($E183&lt;INDEX(_xlfn.ANCHORARRAY(Sintesi!$C$16),1,$C183))*(INDEX(_xlfn.ANCHORARRAY(Sintesi!$C$15),1,$C183)&lt;0)+($E183&gt;=$E182)*($E183&lt;=INDEX($E:$E,MATCH(TRUE,INDEX((ISNUMBER($E:$E)),0),0)))*($E183&gt;INDEX(_xlfn.ANCHORARRAY(Sintesi!$C$15),1,$C183))*($E183&lt;INDEX(_xlfn.ANCHORARRAY(Sintesi!$C$16),1,$C183))*(INDEX(_xlfn.ANCHORARRAY(Sintesi!$C$15),1,$C183)&gt;0),2,IF($E183=(INDEX(_xlfn.ANCHORARRAY(Sintesi!$C$16),1,$C183)),3,4)))),0),IF($C183&gt;0,IF(($E183=INDEX(_xlfn.ANCHORARRAY(Sintesi!$C$14),1,$C183))*(INDEX(_xlfn.ANCHORARRAY(Sintesi!$C$15),1,$C183)&gt;0),0,IF(($E183=INDEX(_xlfn.ANCHORARRAY(Sintesi!$C$14),1,$C183))*(INDEX(_xlfn.ANCHORARRAY(Sintesi!$C$15),1,$C183)&lt;0)+($E183&gt;=LOOKUP(2,1/($E:$E&lt;&gt;""),$E:$E))*($E183&lt;=INDEX($E:$E,MATCH(TRUE,INDEX((ISNUMBER($E:$E)),0),0)))*($E183&gt;INDEX(_xlfn.ANCHORARRAY(Sintesi!$C$14),1,$C183))*($E183&lt;=INDEX(_xlfn.ANCHORARRAY(Sintesi!$C$15),1,$C183))*(INDEX(_xlfn.ANCHORARRAY(Sintesi!$C$15),1,$C183)&gt;0),1,IF(($E183&gt;=LOOKUP(2,1/($E:$E&lt;&gt;""),$E:$E))*($E183&lt;=INDEX($E:$E,MATCH(TRUE,INDEX((ISNUMBER($E:$E)),0),0)))*($E183&gt;INDEX(_xlfn.ANCHORARRAY(Sintesi!$C$14),1,$C183))*($E183&lt;INDEX(_xlfn.ANCHORARRAY(Sintesi!$C$16),1,$C183))*(INDEX(_xlfn.ANCHORARRAY(Sintesi!$C$15),1,$C183)&lt;0)+($E183&gt;=LOOKUP(2,1/($E:$E&lt;&gt;""),$E:$E))*($E183&lt;=INDEX($E:$E,MATCH(TRUE,INDEX((ISNUMBER($E:$E)),0),0)))*($E183&gt;INDEX(_xlfn.ANCHORARRAY(Sintesi!$C$15),1,$C183))*($E183&lt;INDEX(_xlfn.ANCHORARRAY(Sintesi!$C$16),1,$C183))*(INDEX(_xlfn.ANCHORARRAY(Sintesi!$C$15),1,$C183)&gt;0),2,IF($E183=(INDEX(_xlfn.ANCHORARRAY(Sintesi!$C$16),1,$C183)),3,4)))),0)),IF(ISNUMBER($E182),IF($C183&gt;0,IF(($E183=INDEX(_xlfn.ANCHORARRAY(Sintesi!$C$14),1,$C183))*(INDEX(_xlfn.ANCHORARRAY(Sintesi!$C$15),1,$C183)&gt;0),0,IF(($E183=INDEX(_xlfn.ANCHORARRAY(Sintesi!$C$14),1,$C183))*(INDEX(_xlfn.ANCHORARRAY(Sintesi!$C$15),1,$C183)&lt;0)+($E183&gt;=$E182)*($E183&lt;=$E184)*($E183&gt;INDEX(_xlfn.ANCHORARRAY(Sintesi!$C$14),1,$C183))*($E183&lt;=INDEX(_xlfn.ANCHORARRAY(Sintesi!$C$15),1,$C183))*(INDEX(_xlfn.ANCHORARRAY(Sintesi!$C$15),1,$C183)&gt;0),1,IF(($E183&gt;=$E182)*($E183&lt;=$E184)*($E183&gt;INDEX(_xlfn.ANCHORARRAY(Sintesi!$C$14),1,$C183))*($E183&lt;INDEX(_xlfn.ANCHORARRAY(Sintesi!$C$16),1,$C183))*(INDEX(_xlfn.ANCHORARRAY(Sintesi!$C$15),1,$C183)&lt;0)+($E183&gt;=$E182)*($E183&lt;=$E184)*($E183&gt;INDEX(_xlfn.ANCHORARRAY(Sintesi!$C$15),1,$C183))*($E183&lt;INDEX(_xlfn.ANCHORARRAY(Sintesi!$C$16),1,$C183))*(INDEX(_xlfn.ANCHORARRAY(Sintesi!$C$15),1,$C183)&gt;0),2,IF($E183=(INDEX(_xlfn.ANCHORARRAY(Sintesi!$C$16),1,$C183)),3,4)))),0),IF($C183&gt;0,IF(($E183=INDEX(_xlfn.ANCHORARRAY(Sintesi!$C$14),1,$C183))*(INDEX(_xlfn.ANCHORARRAY(Sintesi!$C$15),1,$C183)&gt;0),0,IF(($E183=INDEX(_xlfn.ANCHORARRAY(Sintesi!$C$14),1,$C183))*(INDEX(_xlfn.ANCHORARRAY(Sintesi!$C$15),1,$C183)&lt;0)+($E183&gt;=LOOKUP(2,1/($E:$E&lt;&gt;""),$E:$E))*($E183&lt;=$E184)*($E183&gt;INDEX(_xlfn.ANCHORARRAY(Sintesi!$C$14),1,$C183))*($E183&lt;=INDEX(_xlfn.ANCHORARRAY(Sintesi!$C$15),1,$C183))*(INDEX(_xlfn.ANCHORARRAY(Sintesi!$C$15),1,$C183)&gt;0),1,IF(($E183&gt;=LOOKUP(2,1/($E:$E&lt;&gt;""),$E:$E))*($E183&lt;=$E184)*($E183&gt;INDEX(_xlfn.ANCHORARRAY(Sintesi!$C$14),1,$C183))*($E183&lt;INDEX(_xlfn.ANCHORARRAY(Sintesi!$C$16),1,$C183))*(INDEX(_xlfn.ANCHORARRAY(Sintesi!$C$15),1,$C183)&lt;0)+($E183&gt;=LOOKUP(2,1/($E:$E&lt;&gt;""),$E:$E))*($E183&lt;=$E184)*($E183&gt;INDEX(_xlfn.ANCHORARRAY(Sintesi!$C$15),1,$C183))*($E183&lt;INDEX(_xlfn.ANCHORARRAY(Sintesi!$C$16),1,$C183))*(INDEX(_xlfn.ANCHORARRAY(Sintesi!$C$15),1,$C183)&gt;0),2,IF($E183=(INDEX(_xlfn.ANCHORARRAY(Sintesi!$C$16),1,$C183)),3,4)))),0)))</f>
        <v>3</v>
      </c>
      <c r="E183" s="1">
        <f>'Paste cell here'!F183</f>
        <v>1.046</v>
      </c>
      <c r="F183" s="1">
        <f>'Paste cell here'!C183</f>
        <v>32.656605030000001</v>
      </c>
      <c r="G183" s="1">
        <f>'Paste cell here'!D183</f>
        <v>15.888877989999999</v>
      </c>
      <c r="H183" s="1">
        <f>'Paste cell here'!E183</f>
        <v>6.4814274249999997</v>
      </c>
      <c r="I183" s="1">
        <f>'Paste cell here'!X183</f>
        <v>6.7789353869999998</v>
      </c>
      <c r="J183" s="1">
        <f>'Paste cell here'!Y183+'Paste cell here'!S183</f>
        <v>6.7789353869999998</v>
      </c>
      <c r="K183" s="1">
        <f t="shared" si="5"/>
        <v>1.0459016112488524</v>
      </c>
      <c r="L183" s="1">
        <f t="shared" si="4"/>
        <v>27.213809504594526</v>
      </c>
      <c r="M183" s="1" cm="1">
        <f t="array" ref="M183">IF(AND(A183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,A183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),IF(L183&lt;_xlfn.IFNA(INDEX(_xlfn.ANCHORARRAY(Sintesi!$C$17)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,1,IF(L183&gt;=_xlfn.IFNA(INDEX(_xlfn.ANCHORARRAY(Sintesi!$C$18)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,0,1-(L183-_xlfn.IFNA(INDEX(_xlfn.ANCHORARRAY(Sintesi!$C$17)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)/(_xlfn.IFNA(INDEX(_xlfn.ANCHORARRAY(Sintesi!$C$18)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-_xlfn.IFNA(INDEX(_xlfn.ANCHORARRAY(Sintesi!$C$17),1,MATCH(1,(_xlfn.ANCHORARRAY(Sintesi!$C$9)&gt;_xlfn.ANCHORARRAY(Sintesi!$C$10))*(A182&gt;=_xlfn.ANCHORARRAY(Sintesi!$C$9))+(_xlfn.ANCHORARRAY(Sintesi!$C$9)&gt;_xlfn.ANCHORARRAY(Sintesi!$C$10))*(A182&lt;=_xlfn.ANCHORARRAY(Sintesi!$C$10))+(_xlfn.ANCHORARRAY(Sintesi!$C$9)&lt;_xlfn.ANCHORARRAY(Sintesi!$C$10))*(A182&gt;=_xlfn.ANCHORARRAY(Sintesi!$C$9))*(A182&lt;=_xlfn.ANCHORARRAY(Sintesi!$C$10)),0)),0)))),0)</f>
        <v>1</v>
      </c>
    </row>
    <row r="184" spans="1:13">
      <c r="A184" s="1">
        <f>'Paste cell here'!A184</f>
        <v>183</v>
      </c>
      <c r="B184" s="2">
        <f>DATE(Sintesi!$C$4-1,12,31)+A184</f>
        <v>44379</v>
      </c>
      <c r="C184" s="34" cm="1">
        <f t="array" ref="C184">_xlfn.IFNA(MATCH(1,(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)*(_xlfn.ANCHORARRAY(Sintesi!$C$15)&gt;=0)+(_xlfn.ANCHORARRAY(Sintesi!$C$15)&lt;0),0),0)</f>
        <v>1</v>
      </c>
      <c r="D184" s="1" cm="1">
        <f t="array" ref="D184">IF(ISBLANK($E185),IF(ISNUMBER($E183),IF($C184&gt;0,IF(($E184=INDEX(_xlfn.ANCHORARRAY(Sintesi!$C$14),1,$C184))*(INDEX(_xlfn.ANCHORARRAY(Sintesi!$C$15),1,$C184)&gt;0),0,IF(($E184=INDEX(_xlfn.ANCHORARRAY(Sintesi!$C$14),1,$C184))*(INDEX(_xlfn.ANCHORARRAY(Sintesi!$C$15),1,$C184)&lt;0)+($E184&gt;=$E183)*($E184&lt;=INDEX($E:$E,MATCH(TRUE,INDEX((ISNUMBER($E:$E)),0),0)))*($E184&gt;INDEX(_xlfn.ANCHORARRAY(Sintesi!$C$14),1,$C184))*($E184&lt;=INDEX(_xlfn.ANCHORARRAY(Sintesi!$C$15),1,$C184))*(INDEX(_xlfn.ANCHORARRAY(Sintesi!$C$15),1,$C184)&gt;0),1,IF(($E184&gt;=$E183)*($E184&lt;=INDEX($E:$E,MATCH(TRUE,INDEX((ISNUMBER($E:$E)),0),0)))*($E184&gt;INDEX(_xlfn.ANCHORARRAY(Sintesi!$C$14),1,$C184))*($E184&lt;INDEX(_xlfn.ANCHORARRAY(Sintesi!$C$16),1,$C184))*(INDEX(_xlfn.ANCHORARRAY(Sintesi!$C$15),1,$C184)&lt;0)+($E184&gt;=$E183)*($E184&lt;=INDEX($E:$E,MATCH(TRUE,INDEX((ISNUMBER($E:$E)),0),0)))*($E184&gt;INDEX(_xlfn.ANCHORARRAY(Sintesi!$C$15),1,$C184))*($E184&lt;INDEX(_xlfn.ANCHORARRAY(Sintesi!$C$16),1,$C184))*(INDEX(_xlfn.ANCHORARRAY(Sintesi!$C$15),1,$C184)&gt;0),2,IF($E184=(INDEX(_xlfn.ANCHORARRAY(Sintesi!$C$16),1,$C184)),3,4)))),0),IF($C184&gt;0,IF(($E184=INDEX(_xlfn.ANCHORARRAY(Sintesi!$C$14),1,$C184))*(INDEX(_xlfn.ANCHORARRAY(Sintesi!$C$15),1,$C184)&gt;0),0,IF(($E184=INDEX(_xlfn.ANCHORARRAY(Sintesi!$C$14),1,$C184))*(INDEX(_xlfn.ANCHORARRAY(Sintesi!$C$15),1,$C184)&lt;0)+($E184&gt;=LOOKUP(2,1/($E:$E&lt;&gt;""),$E:$E))*($E184&lt;=INDEX($E:$E,MATCH(TRUE,INDEX((ISNUMBER($E:$E)),0),0)))*($E184&gt;INDEX(_xlfn.ANCHORARRAY(Sintesi!$C$14),1,$C184))*($E184&lt;=INDEX(_xlfn.ANCHORARRAY(Sintesi!$C$15),1,$C184))*(INDEX(_xlfn.ANCHORARRAY(Sintesi!$C$15),1,$C184)&gt;0),1,IF(($E184&gt;=LOOKUP(2,1/($E:$E&lt;&gt;""),$E:$E))*($E184&lt;=INDEX($E:$E,MATCH(TRUE,INDEX((ISNUMBER($E:$E)),0),0)))*($E184&gt;INDEX(_xlfn.ANCHORARRAY(Sintesi!$C$14),1,$C184))*($E184&lt;INDEX(_xlfn.ANCHORARRAY(Sintesi!$C$16),1,$C184))*(INDEX(_xlfn.ANCHORARRAY(Sintesi!$C$15),1,$C184)&lt;0)+($E184&gt;=LOOKUP(2,1/($E:$E&lt;&gt;""),$E:$E))*($E184&lt;=INDEX($E:$E,MATCH(TRUE,INDEX((ISNUMBER($E:$E)),0),0)))*($E184&gt;INDEX(_xlfn.ANCHORARRAY(Sintesi!$C$15),1,$C184))*($E184&lt;INDEX(_xlfn.ANCHORARRAY(Sintesi!$C$16),1,$C184))*(INDEX(_xlfn.ANCHORARRAY(Sintesi!$C$15),1,$C184)&gt;0),2,IF($E184=(INDEX(_xlfn.ANCHORARRAY(Sintesi!$C$16),1,$C184)),3,4)))),0)),IF(ISNUMBER($E183),IF($C184&gt;0,IF(($E184=INDEX(_xlfn.ANCHORARRAY(Sintesi!$C$14),1,$C184))*(INDEX(_xlfn.ANCHORARRAY(Sintesi!$C$15),1,$C184)&gt;0),0,IF(($E184=INDEX(_xlfn.ANCHORARRAY(Sintesi!$C$14),1,$C184))*(INDEX(_xlfn.ANCHORARRAY(Sintesi!$C$15),1,$C184)&lt;0)+($E184&gt;=$E183)*($E184&lt;=$E185)*($E184&gt;INDEX(_xlfn.ANCHORARRAY(Sintesi!$C$14),1,$C184))*($E184&lt;=INDEX(_xlfn.ANCHORARRAY(Sintesi!$C$15),1,$C184))*(INDEX(_xlfn.ANCHORARRAY(Sintesi!$C$15),1,$C184)&gt;0),1,IF(($E184&gt;=$E183)*($E184&lt;=$E185)*($E184&gt;INDEX(_xlfn.ANCHORARRAY(Sintesi!$C$14),1,$C184))*($E184&lt;INDEX(_xlfn.ANCHORARRAY(Sintesi!$C$16),1,$C184))*(INDEX(_xlfn.ANCHORARRAY(Sintesi!$C$15),1,$C184)&lt;0)+($E184&gt;=$E183)*($E184&lt;=$E185)*($E184&gt;INDEX(_xlfn.ANCHORARRAY(Sintesi!$C$15),1,$C184))*($E184&lt;INDEX(_xlfn.ANCHORARRAY(Sintesi!$C$16),1,$C184))*(INDEX(_xlfn.ANCHORARRAY(Sintesi!$C$15),1,$C184)&gt;0),2,IF($E184=(INDEX(_xlfn.ANCHORARRAY(Sintesi!$C$16),1,$C184)),3,4)))),0),IF($C184&gt;0,IF(($E184=INDEX(_xlfn.ANCHORARRAY(Sintesi!$C$14),1,$C184))*(INDEX(_xlfn.ANCHORARRAY(Sintesi!$C$15),1,$C184)&gt;0),0,IF(($E184=INDEX(_xlfn.ANCHORARRAY(Sintesi!$C$14),1,$C184))*(INDEX(_xlfn.ANCHORARRAY(Sintesi!$C$15),1,$C184)&lt;0)+($E184&gt;=LOOKUP(2,1/($E:$E&lt;&gt;""),$E:$E))*($E184&lt;=$E185)*($E184&gt;INDEX(_xlfn.ANCHORARRAY(Sintesi!$C$14),1,$C184))*($E184&lt;=INDEX(_xlfn.ANCHORARRAY(Sintesi!$C$15),1,$C184))*(INDEX(_xlfn.ANCHORARRAY(Sintesi!$C$15),1,$C184)&gt;0),1,IF(($E184&gt;=LOOKUP(2,1/($E:$E&lt;&gt;""),$E:$E))*($E184&lt;=$E185)*($E184&gt;INDEX(_xlfn.ANCHORARRAY(Sintesi!$C$14),1,$C184))*($E184&lt;INDEX(_xlfn.ANCHORARRAY(Sintesi!$C$16),1,$C184))*(INDEX(_xlfn.ANCHORARRAY(Sintesi!$C$15),1,$C184)&lt;0)+($E184&gt;=LOOKUP(2,1/($E:$E&lt;&gt;""),$E:$E))*($E184&lt;=$E185)*($E184&gt;INDEX(_xlfn.ANCHORARRAY(Sintesi!$C$15),1,$C184))*($E184&lt;INDEX(_xlfn.ANCHORARRAY(Sintesi!$C$16),1,$C184))*(INDEX(_xlfn.ANCHORARRAY(Sintesi!$C$15),1,$C184)&gt;0),2,IF($E184=(INDEX(_xlfn.ANCHORARRAY(Sintesi!$C$16),1,$C184)),3,4)))),0)))</f>
        <v>3</v>
      </c>
      <c r="E184" s="1">
        <f>'Paste cell here'!F184</f>
        <v>1.046</v>
      </c>
      <c r="F184" s="1">
        <f>'Paste cell here'!C184</f>
        <v>32.492675900000002</v>
      </c>
      <c r="G184" s="1">
        <f>'Paste cell here'!D184</f>
        <v>17.158679540000001</v>
      </c>
      <c r="H184" s="1">
        <f>'Paste cell here'!E184</f>
        <v>5.9415680030000004</v>
      </c>
      <c r="I184" s="1">
        <f>'Paste cell here'!X184</f>
        <v>6.2143034669999997</v>
      </c>
      <c r="J184" s="1">
        <f>'Paste cell here'!Y184+'Paste cell here'!S184</f>
        <v>6.2143034669999997</v>
      </c>
      <c r="K184" s="1">
        <f t="shared" si="5"/>
        <v>1.0459029441154744</v>
      </c>
      <c r="L184" s="1">
        <f t="shared" si="4"/>
        <v>27.515268611838906</v>
      </c>
      <c r="M184" s="1" cm="1">
        <f t="array" ref="M184">IF(AND(A184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,A184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),IF(L184&lt;_xlfn.IFNA(INDEX(_xlfn.ANCHORARRAY(Sintesi!$C$17)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,1,IF(L184&gt;=_xlfn.IFNA(INDEX(_xlfn.ANCHORARRAY(Sintesi!$C$18)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,0,1-(L184-_xlfn.IFNA(INDEX(_xlfn.ANCHORARRAY(Sintesi!$C$17)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)/(_xlfn.IFNA(INDEX(_xlfn.ANCHORARRAY(Sintesi!$C$18)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-_xlfn.IFNA(INDEX(_xlfn.ANCHORARRAY(Sintesi!$C$17),1,MATCH(1,(_xlfn.ANCHORARRAY(Sintesi!$C$9)&gt;_xlfn.ANCHORARRAY(Sintesi!$C$10))*(A183&gt;=_xlfn.ANCHORARRAY(Sintesi!$C$9))+(_xlfn.ANCHORARRAY(Sintesi!$C$9)&gt;_xlfn.ANCHORARRAY(Sintesi!$C$10))*(A183&lt;=_xlfn.ANCHORARRAY(Sintesi!$C$10))+(_xlfn.ANCHORARRAY(Sintesi!$C$9)&lt;_xlfn.ANCHORARRAY(Sintesi!$C$10))*(A183&gt;=_xlfn.ANCHORARRAY(Sintesi!$C$9))*(A183&lt;=_xlfn.ANCHORARRAY(Sintesi!$C$10)),0)),0)))),0)</f>
        <v>1</v>
      </c>
    </row>
    <row r="185" spans="1:13">
      <c r="A185" s="1">
        <f>'Paste cell here'!A185</f>
        <v>184</v>
      </c>
      <c r="B185" s="2">
        <f>DATE(Sintesi!$C$4-1,12,31)+A185</f>
        <v>44380</v>
      </c>
      <c r="C185" s="34" cm="1">
        <f t="array" ref="C185">_xlfn.IFNA(MATCH(1,(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)*(_xlfn.ANCHORARRAY(Sintesi!$C$15)&gt;=0)+(_xlfn.ANCHORARRAY(Sintesi!$C$15)&lt;0),0),0)</f>
        <v>1</v>
      </c>
      <c r="D185" s="1" cm="1">
        <f t="array" ref="D185">IF(ISBLANK($E186),IF(ISNUMBER($E184),IF($C185&gt;0,IF(($E185=INDEX(_xlfn.ANCHORARRAY(Sintesi!$C$14),1,$C185))*(INDEX(_xlfn.ANCHORARRAY(Sintesi!$C$15),1,$C185)&gt;0),0,IF(($E185=INDEX(_xlfn.ANCHORARRAY(Sintesi!$C$14),1,$C185))*(INDEX(_xlfn.ANCHORARRAY(Sintesi!$C$15),1,$C185)&lt;0)+($E185&gt;=$E184)*($E185&lt;=INDEX($E:$E,MATCH(TRUE,INDEX((ISNUMBER($E:$E)),0),0)))*($E185&gt;INDEX(_xlfn.ANCHORARRAY(Sintesi!$C$14),1,$C185))*($E185&lt;=INDEX(_xlfn.ANCHORARRAY(Sintesi!$C$15),1,$C185))*(INDEX(_xlfn.ANCHORARRAY(Sintesi!$C$15),1,$C185)&gt;0),1,IF(($E185&gt;=$E184)*($E185&lt;=INDEX($E:$E,MATCH(TRUE,INDEX((ISNUMBER($E:$E)),0),0)))*($E185&gt;INDEX(_xlfn.ANCHORARRAY(Sintesi!$C$14),1,$C185))*($E185&lt;INDEX(_xlfn.ANCHORARRAY(Sintesi!$C$16),1,$C185))*(INDEX(_xlfn.ANCHORARRAY(Sintesi!$C$15),1,$C185)&lt;0)+($E185&gt;=$E184)*($E185&lt;=INDEX($E:$E,MATCH(TRUE,INDEX((ISNUMBER($E:$E)),0),0)))*($E185&gt;INDEX(_xlfn.ANCHORARRAY(Sintesi!$C$15),1,$C185))*($E185&lt;INDEX(_xlfn.ANCHORARRAY(Sintesi!$C$16),1,$C185))*(INDEX(_xlfn.ANCHORARRAY(Sintesi!$C$15),1,$C185)&gt;0),2,IF($E185=(INDEX(_xlfn.ANCHORARRAY(Sintesi!$C$16),1,$C185)),3,4)))),0),IF($C185&gt;0,IF(($E185=INDEX(_xlfn.ANCHORARRAY(Sintesi!$C$14),1,$C185))*(INDEX(_xlfn.ANCHORARRAY(Sintesi!$C$15),1,$C185)&gt;0),0,IF(($E185=INDEX(_xlfn.ANCHORARRAY(Sintesi!$C$14),1,$C185))*(INDEX(_xlfn.ANCHORARRAY(Sintesi!$C$15),1,$C185)&lt;0)+($E185&gt;=LOOKUP(2,1/($E:$E&lt;&gt;""),$E:$E))*($E185&lt;=INDEX($E:$E,MATCH(TRUE,INDEX((ISNUMBER($E:$E)),0),0)))*($E185&gt;INDEX(_xlfn.ANCHORARRAY(Sintesi!$C$14),1,$C185))*($E185&lt;=INDEX(_xlfn.ANCHORARRAY(Sintesi!$C$15),1,$C185))*(INDEX(_xlfn.ANCHORARRAY(Sintesi!$C$15),1,$C185)&gt;0),1,IF(($E185&gt;=LOOKUP(2,1/($E:$E&lt;&gt;""),$E:$E))*($E185&lt;=INDEX($E:$E,MATCH(TRUE,INDEX((ISNUMBER($E:$E)),0),0)))*($E185&gt;INDEX(_xlfn.ANCHORARRAY(Sintesi!$C$14),1,$C185))*($E185&lt;INDEX(_xlfn.ANCHORARRAY(Sintesi!$C$16),1,$C185))*(INDEX(_xlfn.ANCHORARRAY(Sintesi!$C$15),1,$C185)&lt;0)+($E185&gt;=LOOKUP(2,1/($E:$E&lt;&gt;""),$E:$E))*($E185&lt;=INDEX($E:$E,MATCH(TRUE,INDEX((ISNUMBER($E:$E)),0),0)))*($E185&gt;INDEX(_xlfn.ANCHORARRAY(Sintesi!$C$15),1,$C185))*($E185&lt;INDEX(_xlfn.ANCHORARRAY(Sintesi!$C$16),1,$C185))*(INDEX(_xlfn.ANCHORARRAY(Sintesi!$C$15),1,$C185)&gt;0),2,IF($E185=(INDEX(_xlfn.ANCHORARRAY(Sintesi!$C$16),1,$C185)),3,4)))),0)),IF(ISNUMBER($E184),IF($C185&gt;0,IF(($E185=INDEX(_xlfn.ANCHORARRAY(Sintesi!$C$14),1,$C185))*(INDEX(_xlfn.ANCHORARRAY(Sintesi!$C$15),1,$C185)&gt;0),0,IF(($E185=INDEX(_xlfn.ANCHORARRAY(Sintesi!$C$14),1,$C185))*(INDEX(_xlfn.ANCHORARRAY(Sintesi!$C$15),1,$C185)&lt;0)+($E185&gt;=$E184)*($E185&lt;=$E186)*($E185&gt;INDEX(_xlfn.ANCHORARRAY(Sintesi!$C$14),1,$C185))*($E185&lt;=INDEX(_xlfn.ANCHORARRAY(Sintesi!$C$15),1,$C185))*(INDEX(_xlfn.ANCHORARRAY(Sintesi!$C$15),1,$C185)&gt;0),1,IF(($E185&gt;=$E184)*($E185&lt;=$E186)*($E185&gt;INDEX(_xlfn.ANCHORARRAY(Sintesi!$C$14),1,$C185))*($E185&lt;INDEX(_xlfn.ANCHORARRAY(Sintesi!$C$16),1,$C185))*(INDEX(_xlfn.ANCHORARRAY(Sintesi!$C$15),1,$C185)&lt;0)+($E185&gt;=$E184)*($E185&lt;=$E186)*($E185&gt;INDEX(_xlfn.ANCHORARRAY(Sintesi!$C$15),1,$C185))*($E185&lt;INDEX(_xlfn.ANCHORARRAY(Sintesi!$C$16),1,$C185))*(INDEX(_xlfn.ANCHORARRAY(Sintesi!$C$15),1,$C185)&gt;0),2,IF($E185=(INDEX(_xlfn.ANCHORARRAY(Sintesi!$C$16),1,$C185)),3,4)))),0),IF($C185&gt;0,IF(($E185=INDEX(_xlfn.ANCHORARRAY(Sintesi!$C$14),1,$C185))*(INDEX(_xlfn.ANCHORARRAY(Sintesi!$C$15),1,$C185)&gt;0),0,IF(($E185=INDEX(_xlfn.ANCHORARRAY(Sintesi!$C$14),1,$C185))*(INDEX(_xlfn.ANCHORARRAY(Sintesi!$C$15),1,$C185)&lt;0)+($E185&gt;=LOOKUP(2,1/($E:$E&lt;&gt;""),$E:$E))*($E185&lt;=$E186)*($E185&gt;INDEX(_xlfn.ANCHORARRAY(Sintesi!$C$14),1,$C185))*($E185&lt;=INDEX(_xlfn.ANCHORARRAY(Sintesi!$C$15),1,$C185))*(INDEX(_xlfn.ANCHORARRAY(Sintesi!$C$15),1,$C185)&gt;0),1,IF(($E185&gt;=LOOKUP(2,1/($E:$E&lt;&gt;""),$E:$E))*($E185&lt;=$E186)*($E185&gt;INDEX(_xlfn.ANCHORARRAY(Sintesi!$C$14),1,$C185))*($E185&lt;INDEX(_xlfn.ANCHORARRAY(Sintesi!$C$16),1,$C185))*(INDEX(_xlfn.ANCHORARRAY(Sintesi!$C$15),1,$C185)&lt;0)+($E185&gt;=LOOKUP(2,1/($E:$E&lt;&gt;""),$E:$E))*($E185&lt;=$E186)*($E185&gt;INDEX(_xlfn.ANCHORARRAY(Sintesi!$C$15),1,$C185))*($E185&lt;INDEX(_xlfn.ANCHORARRAY(Sintesi!$C$16),1,$C185))*(INDEX(_xlfn.ANCHORARRAY(Sintesi!$C$15),1,$C185)&gt;0),2,IF($E185=(INDEX(_xlfn.ANCHORARRAY(Sintesi!$C$16),1,$C185)),3,4)))),0)))</f>
        <v>3</v>
      </c>
      <c r="E185" s="1">
        <f>'Paste cell here'!F185</f>
        <v>1.046</v>
      </c>
      <c r="F185" s="1">
        <f>'Paste cell here'!C185</f>
        <v>32.302679730000001</v>
      </c>
      <c r="G185" s="1">
        <f>'Paste cell here'!D185</f>
        <v>18.602214119999999</v>
      </c>
      <c r="H185" s="1">
        <f>'Paste cell here'!E185</f>
        <v>4.6796300510000002</v>
      </c>
      <c r="I185" s="1">
        <f>'Paste cell here'!X185</f>
        <v>4.8944455769999999</v>
      </c>
      <c r="J185" s="1">
        <f>'Paste cell here'!Y185+'Paste cell here'!S185</f>
        <v>4.8944455769999999</v>
      </c>
      <c r="K185" s="1">
        <f t="shared" si="5"/>
        <v>1.0459043821111662</v>
      </c>
      <c r="L185" s="1">
        <f t="shared" si="4"/>
        <v>27.855515678474525</v>
      </c>
      <c r="M185" s="1" cm="1">
        <f t="array" ref="M185">IF(AND(A185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,A185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),IF(L185&lt;_xlfn.IFNA(INDEX(_xlfn.ANCHORARRAY(Sintesi!$C$17)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,1,IF(L185&gt;=_xlfn.IFNA(INDEX(_xlfn.ANCHORARRAY(Sintesi!$C$18)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,0,1-(L185-_xlfn.IFNA(INDEX(_xlfn.ANCHORARRAY(Sintesi!$C$17)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)/(_xlfn.IFNA(INDEX(_xlfn.ANCHORARRAY(Sintesi!$C$18)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-_xlfn.IFNA(INDEX(_xlfn.ANCHORARRAY(Sintesi!$C$17),1,MATCH(1,(_xlfn.ANCHORARRAY(Sintesi!$C$9)&gt;_xlfn.ANCHORARRAY(Sintesi!$C$10))*(A184&gt;=_xlfn.ANCHORARRAY(Sintesi!$C$9))+(_xlfn.ANCHORARRAY(Sintesi!$C$9)&gt;_xlfn.ANCHORARRAY(Sintesi!$C$10))*(A184&lt;=_xlfn.ANCHORARRAY(Sintesi!$C$10))+(_xlfn.ANCHORARRAY(Sintesi!$C$9)&lt;_xlfn.ANCHORARRAY(Sintesi!$C$10))*(A184&gt;=_xlfn.ANCHORARRAY(Sintesi!$C$9))*(A184&lt;=_xlfn.ANCHORARRAY(Sintesi!$C$10)),0)),0)))),0)</f>
        <v>1</v>
      </c>
    </row>
    <row r="186" spans="1:13">
      <c r="A186" s="1">
        <f>'Paste cell here'!A186</f>
        <v>185</v>
      </c>
      <c r="B186" s="2">
        <f>DATE(Sintesi!$C$4-1,12,31)+A186</f>
        <v>44381</v>
      </c>
      <c r="C186" s="34" cm="1">
        <f t="array" ref="C186">_xlfn.IFNA(MATCH(1,(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)*(_xlfn.ANCHORARRAY(Sintesi!$C$15)&gt;=0)+(_xlfn.ANCHORARRAY(Sintesi!$C$15)&lt;0),0),0)</f>
        <v>1</v>
      </c>
      <c r="D186" s="1" cm="1">
        <f t="array" ref="D186">IF(ISBLANK($E187),IF(ISNUMBER($E185),IF($C186&gt;0,IF(($E186=INDEX(_xlfn.ANCHORARRAY(Sintesi!$C$14),1,$C186))*(INDEX(_xlfn.ANCHORARRAY(Sintesi!$C$15),1,$C186)&gt;0),0,IF(($E186=INDEX(_xlfn.ANCHORARRAY(Sintesi!$C$14),1,$C186))*(INDEX(_xlfn.ANCHORARRAY(Sintesi!$C$15),1,$C186)&lt;0)+($E186&gt;=$E185)*($E186&lt;=INDEX($E:$E,MATCH(TRUE,INDEX((ISNUMBER($E:$E)),0),0)))*($E186&gt;INDEX(_xlfn.ANCHORARRAY(Sintesi!$C$14),1,$C186))*($E186&lt;=INDEX(_xlfn.ANCHORARRAY(Sintesi!$C$15),1,$C186))*(INDEX(_xlfn.ANCHORARRAY(Sintesi!$C$15),1,$C186)&gt;0),1,IF(($E186&gt;=$E185)*($E186&lt;=INDEX($E:$E,MATCH(TRUE,INDEX((ISNUMBER($E:$E)),0),0)))*($E186&gt;INDEX(_xlfn.ANCHORARRAY(Sintesi!$C$14),1,$C186))*($E186&lt;INDEX(_xlfn.ANCHORARRAY(Sintesi!$C$16),1,$C186))*(INDEX(_xlfn.ANCHORARRAY(Sintesi!$C$15),1,$C186)&lt;0)+($E186&gt;=$E185)*($E186&lt;=INDEX($E:$E,MATCH(TRUE,INDEX((ISNUMBER($E:$E)),0),0)))*($E186&gt;INDEX(_xlfn.ANCHORARRAY(Sintesi!$C$15),1,$C186))*($E186&lt;INDEX(_xlfn.ANCHORARRAY(Sintesi!$C$16),1,$C186))*(INDEX(_xlfn.ANCHORARRAY(Sintesi!$C$15),1,$C186)&gt;0),2,IF($E186=(INDEX(_xlfn.ANCHORARRAY(Sintesi!$C$16),1,$C186)),3,4)))),0),IF($C186&gt;0,IF(($E186=INDEX(_xlfn.ANCHORARRAY(Sintesi!$C$14),1,$C186))*(INDEX(_xlfn.ANCHORARRAY(Sintesi!$C$15),1,$C186)&gt;0),0,IF(($E186=INDEX(_xlfn.ANCHORARRAY(Sintesi!$C$14),1,$C186))*(INDEX(_xlfn.ANCHORARRAY(Sintesi!$C$15),1,$C186)&lt;0)+($E186&gt;=LOOKUP(2,1/($E:$E&lt;&gt;""),$E:$E))*($E186&lt;=INDEX($E:$E,MATCH(TRUE,INDEX((ISNUMBER($E:$E)),0),0)))*($E186&gt;INDEX(_xlfn.ANCHORARRAY(Sintesi!$C$14),1,$C186))*($E186&lt;=INDEX(_xlfn.ANCHORARRAY(Sintesi!$C$15),1,$C186))*(INDEX(_xlfn.ANCHORARRAY(Sintesi!$C$15),1,$C186)&gt;0),1,IF(($E186&gt;=LOOKUP(2,1/($E:$E&lt;&gt;""),$E:$E))*($E186&lt;=INDEX($E:$E,MATCH(TRUE,INDEX((ISNUMBER($E:$E)),0),0)))*($E186&gt;INDEX(_xlfn.ANCHORARRAY(Sintesi!$C$14),1,$C186))*($E186&lt;INDEX(_xlfn.ANCHORARRAY(Sintesi!$C$16),1,$C186))*(INDEX(_xlfn.ANCHORARRAY(Sintesi!$C$15),1,$C186)&lt;0)+($E186&gt;=LOOKUP(2,1/($E:$E&lt;&gt;""),$E:$E))*($E186&lt;=INDEX($E:$E,MATCH(TRUE,INDEX((ISNUMBER($E:$E)),0),0)))*($E186&gt;INDEX(_xlfn.ANCHORARRAY(Sintesi!$C$15),1,$C186))*($E186&lt;INDEX(_xlfn.ANCHORARRAY(Sintesi!$C$16),1,$C186))*(INDEX(_xlfn.ANCHORARRAY(Sintesi!$C$15),1,$C186)&gt;0),2,IF($E186=(INDEX(_xlfn.ANCHORARRAY(Sintesi!$C$16),1,$C186)),3,4)))),0)),IF(ISNUMBER($E185),IF($C186&gt;0,IF(($E186=INDEX(_xlfn.ANCHORARRAY(Sintesi!$C$14),1,$C186))*(INDEX(_xlfn.ANCHORARRAY(Sintesi!$C$15),1,$C186)&gt;0),0,IF(($E186=INDEX(_xlfn.ANCHORARRAY(Sintesi!$C$14),1,$C186))*(INDEX(_xlfn.ANCHORARRAY(Sintesi!$C$15),1,$C186)&lt;0)+($E186&gt;=$E185)*($E186&lt;=$E187)*($E186&gt;INDEX(_xlfn.ANCHORARRAY(Sintesi!$C$14),1,$C186))*($E186&lt;=INDEX(_xlfn.ANCHORARRAY(Sintesi!$C$15),1,$C186))*(INDEX(_xlfn.ANCHORARRAY(Sintesi!$C$15),1,$C186)&gt;0),1,IF(($E186&gt;=$E185)*($E186&lt;=$E187)*($E186&gt;INDEX(_xlfn.ANCHORARRAY(Sintesi!$C$14),1,$C186))*($E186&lt;INDEX(_xlfn.ANCHORARRAY(Sintesi!$C$16),1,$C186))*(INDEX(_xlfn.ANCHORARRAY(Sintesi!$C$15),1,$C186)&lt;0)+($E186&gt;=$E185)*($E186&lt;=$E187)*($E186&gt;INDEX(_xlfn.ANCHORARRAY(Sintesi!$C$15),1,$C186))*($E186&lt;INDEX(_xlfn.ANCHORARRAY(Sintesi!$C$16),1,$C186))*(INDEX(_xlfn.ANCHORARRAY(Sintesi!$C$15),1,$C186)&gt;0),2,IF($E186=(INDEX(_xlfn.ANCHORARRAY(Sintesi!$C$16),1,$C186)),3,4)))),0),IF($C186&gt;0,IF(($E186=INDEX(_xlfn.ANCHORARRAY(Sintesi!$C$14),1,$C186))*(INDEX(_xlfn.ANCHORARRAY(Sintesi!$C$15),1,$C186)&gt;0),0,IF(($E186=INDEX(_xlfn.ANCHORARRAY(Sintesi!$C$14),1,$C186))*(INDEX(_xlfn.ANCHORARRAY(Sintesi!$C$15),1,$C186)&lt;0)+($E186&gt;=LOOKUP(2,1/($E:$E&lt;&gt;""),$E:$E))*($E186&lt;=$E187)*($E186&gt;INDEX(_xlfn.ANCHORARRAY(Sintesi!$C$14),1,$C186))*($E186&lt;=INDEX(_xlfn.ANCHORARRAY(Sintesi!$C$15),1,$C186))*(INDEX(_xlfn.ANCHORARRAY(Sintesi!$C$15),1,$C186)&gt;0),1,IF(($E186&gt;=LOOKUP(2,1/($E:$E&lt;&gt;""),$E:$E))*($E186&lt;=$E187)*($E186&gt;INDEX(_xlfn.ANCHORARRAY(Sintesi!$C$14),1,$C186))*($E186&lt;INDEX(_xlfn.ANCHORARRAY(Sintesi!$C$16),1,$C186))*(INDEX(_xlfn.ANCHORARRAY(Sintesi!$C$15),1,$C186)&lt;0)+($E186&gt;=LOOKUP(2,1/($E:$E&lt;&gt;""),$E:$E))*($E186&lt;=$E187)*($E186&gt;INDEX(_xlfn.ANCHORARRAY(Sintesi!$C$15),1,$C186))*($E186&lt;INDEX(_xlfn.ANCHORARRAY(Sintesi!$C$16),1,$C186))*(INDEX(_xlfn.ANCHORARRAY(Sintesi!$C$15),1,$C186)&gt;0),2,IF($E186=(INDEX(_xlfn.ANCHORARRAY(Sintesi!$C$16),1,$C186)),3,4)))),0)))</f>
        <v>3</v>
      </c>
      <c r="E186" s="1">
        <f>'Paste cell here'!F186</f>
        <v>1.046</v>
      </c>
      <c r="F186" s="1">
        <f>'Paste cell here'!C186</f>
        <v>26.33875059</v>
      </c>
      <c r="G186" s="1">
        <f>'Paste cell here'!D186</f>
        <v>17.061249409999999</v>
      </c>
      <c r="H186" s="1">
        <f>'Paste cell here'!E186</f>
        <v>2.496429478</v>
      </c>
      <c r="I186" s="1">
        <f>'Paste cell here'!X186</f>
        <v>2.611030371</v>
      </c>
      <c r="J186" s="1">
        <f>'Paste cell here'!Y186+'Paste cell here'!S186</f>
        <v>2.611030371</v>
      </c>
      <c r="K186" s="1">
        <f t="shared" si="5"/>
        <v>1.0459059204395438</v>
      </c>
      <c r="L186" s="1">
        <f t="shared" si="4"/>
        <v>23.327278505024548</v>
      </c>
      <c r="M186" s="1" cm="1">
        <f t="array" ref="M186">IF(AND(A186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,A186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),IF(L186&lt;_xlfn.IFNA(INDEX(_xlfn.ANCHORARRAY(Sintesi!$C$17)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,1,IF(L186&gt;=_xlfn.IFNA(INDEX(_xlfn.ANCHORARRAY(Sintesi!$C$18)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,0,1-(L186-_xlfn.IFNA(INDEX(_xlfn.ANCHORARRAY(Sintesi!$C$17)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)/(_xlfn.IFNA(INDEX(_xlfn.ANCHORARRAY(Sintesi!$C$18)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-_xlfn.IFNA(INDEX(_xlfn.ANCHORARRAY(Sintesi!$C$17),1,MATCH(1,(_xlfn.ANCHORARRAY(Sintesi!$C$9)&gt;_xlfn.ANCHORARRAY(Sintesi!$C$10))*(A185&gt;=_xlfn.ANCHORARRAY(Sintesi!$C$9))+(_xlfn.ANCHORARRAY(Sintesi!$C$9)&gt;_xlfn.ANCHORARRAY(Sintesi!$C$10))*(A185&lt;=_xlfn.ANCHORARRAY(Sintesi!$C$10))+(_xlfn.ANCHORARRAY(Sintesi!$C$9)&lt;_xlfn.ANCHORARRAY(Sintesi!$C$10))*(A185&gt;=_xlfn.ANCHORARRAY(Sintesi!$C$9))*(A185&lt;=_xlfn.ANCHORARRAY(Sintesi!$C$10)),0)),0)))),0)</f>
        <v>1</v>
      </c>
    </row>
    <row r="187" spans="1:13">
      <c r="A187" s="1">
        <f>'Paste cell here'!A187</f>
        <v>186</v>
      </c>
      <c r="B187" s="2">
        <f>DATE(Sintesi!$C$4-1,12,31)+A187</f>
        <v>44382</v>
      </c>
      <c r="C187" s="34" cm="1">
        <f t="array" ref="C187">_xlfn.IFNA(MATCH(1,(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)*(_xlfn.ANCHORARRAY(Sintesi!$C$15)&gt;=0)+(_xlfn.ANCHORARRAY(Sintesi!$C$15)&lt;0),0),0)</f>
        <v>1</v>
      </c>
      <c r="D187" s="1" cm="1">
        <f t="array" ref="D187">IF(ISBLANK($E188),IF(ISNUMBER($E186),IF($C187&gt;0,IF(($E187=INDEX(_xlfn.ANCHORARRAY(Sintesi!$C$14),1,$C187))*(INDEX(_xlfn.ANCHORARRAY(Sintesi!$C$15),1,$C187)&gt;0),0,IF(($E187=INDEX(_xlfn.ANCHORARRAY(Sintesi!$C$14),1,$C187))*(INDEX(_xlfn.ANCHORARRAY(Sintesi!$C$15),1,$C187)&lt;0)+($E187&gt;=$E186)*($E187&lt;=INDEX($E:$E,MATCH(TRUE,INDEX((ISNUMBER($E:$E)),0),0)))*($E187&gt;INDEX(_xlfn.ANCHORARRAY(Sintesi!$C$14),1,$C187))*($E187&lt;=INDEX(_xlfn.ANCHORARRAY(Sintesi!$C$15),1,$C187))*(INDEX(_xlfn.ANCHORARRAY(Sintesi!$C$15),1,$C187)&gt;0),1,IF(($E187&gt;=$E186)*($E187&lt;=INDEX($E:$E,MATCH(TRUE,INDEX((ISNUMBER($E:$E)),0),0)))*($E187&gt;INDEX(_xlfn.ANCHORARRAY(Sintesi!$C$14),1,$C187))*($E187&lt;INDEX(_xlfn.ANCHORARRAY(Sintesi!$C$16),1,$C187))*(INDEX(_xlfn.ANCHORARRAY(Sintesi!$C$15),1,$C187)&lt;0)+($E187&gt;=$E186)*($E187&lt;=INDEX($E:$E,MATCH(TRUE,INDEX((ISNUMBER($E:$E)),0),0)))*($E187&gt;INDEX(_xlfn.ANCHORARRAY(Sintesi!$C$15),1,$C187))*($E187&lt;INDEX(_xlfn.ANCHORARRAY(Sintesi!$C$16),1,$C187))*(INDEX(_xlfn.ANCHORARRAY(Sintesi!$C$15),1,$C187)&gt;0),2,IF($E187=(INDEX(_xlfn.ANCHORARRAY(Sintesi!$C$16),1,$C187)),3,4)))),0),IF($C187&gt;0,IF(($E187=INDEX(_xlfn.ANCHORARRAY(Sintesi!$C$14),1,$C187))*(INDEX(_xlfn.ANCHORARRAY(Sintesi!$C$15),1,$C187)&gt;0),0,IF(($E187=INDEX(_xlfn.ANCHORARRAY(Sintesi!$C$14),1,$C187))*(INDEX(_xlfn.ANCHORARRAY(Sintesi!$C$15),1,$C187)&lt;0)+($E187&gt;=LOOKUP(2,1/($E:$E&lt;&gt;""),$E:$E))*($E187&lt;=INDEX($E:$E,MATCH(TRUE,INDEX((ISNUMBER($E:$E)),0),0)))*($E187&gt;INDEX(_xlfn.ANCHORARRAY(Sintesi!$C$14),1,$C187))*($E187&lt;=INDEX(_xlfn.ANCHORARRAY(Sintesi!$C$15),1,$C187))*(INDEX(_xlfn.ANCHORARRAY(Sintesi!$C$15),1,$C187)&gt;0),1,IF(($E187&gt;=LOOKUP(2,1/($E:$E&lt;&gt;""),$E:$E))*($E187&lt;=INDEX($E:$E,MATCH(TRUE,INDEX((ISNUMBER($E:$E)),0),0)))*($E187&gt;INDEX(_xlfn.ANCHORARRAY(Sintesi!$C$14),1,$C187))*($E187&lt;INDEX(_xlfn.ANCHORARRAY(Sintesi!$C$16),1,$C187))*(INDEX(_xlfn.ANCHORARRAY(Sintesi!$C$15),1,$C187)&lt;0)+($E187&gt;=LOOKUP(2,1/($E:$E&lt;&gt;""),$E:$E))*($E187&lt;=INDEX($E:$E,MATCH(TRUE,INDEX((ISNUMBER($E:$E)),0),0)))*($E187&gt;INDEX(_xlfn.ANCHORARRAY(Sintesi!$C$15),1,$C187))*($E187&lt;INDEX(_xlfn.ANCHORARRAY(Sintesi!$C$16),1,$C187))*(INDEX(_xlfn.ANCHORARRAY(Sintesi!$C$15),1,$C187)&gt;0),2,IF($E187=(INDEX(_xlfn.ANCHORARRAY(Sintesi!$C$16),1,$C187)),3,4)))),0)),IF(ISNUMBER($E186),IF($C187&gt;0,IF(($E187=INDEX(_xlfn.ANCHORARRAY(Sintesi!$C$14),1,$C187))*(INDEX(_xlfn.ANCHORARRAY(Sintesi!$C$15),1,$C187)&gt;0),0,IF(($E187=INDEX(_xlfn.ANCHORARRAY(Sintesi!$C$14),1,$C187))*(INDEX(_xlfn.ANCHORARRAY(Sintesi!$C$15),1,$C187)&lt;0)+($E187&gt;=$E186)*($E187&lt;=$E188)*($E187&gt;INDEX(_xlfn.ANCHORARRAY(Sintesi!$C$14),1,$C187))*($E187&lt;=INDEX(_xlfn.ANCHORARRAY(Sintesi!$C$15),1,$C187))*(INDEX(_xlfn.ANCHORARRAY(Sintesi!$C$15),1,$C187)&gt;0),1,IF(($E187&gt;=$E186)*($E187&lt;=$E188)*($E187&gt;INDEX(_xlfn.ANCHORARRAY(Sintesi!$C$14),1,$C187))*($E187&lt;INDEX(_xlfn.ANCHORARRAY(Sintesi!$C$16),1,$C187))*(INDEX(_xlfn.ANCHORARRAY(Sintesi!$C$15),1,$C187)&lt;0)+($E187&gt;=$E186)*($E187&lt;=$E188)*($E187&gt;INDEX(_xlfn.ANCHORARRAY(Sintesi!$C$15),1,$C187))*($E187&lt;INDEX(_xlfn.ANCHORARRAY(Sintesi!$C$16),1,$C187))*(INDEX(_xlfn.ANCHORARRAY(Sintesi!$C$15),1,$C187)&gt;0),2,IF($E187=(INDEX(_xlfn.ANCHORARRAY(Sintesi!$C$16),1,$C187)),3,4)))),0),IF($C187&gt;0,IF(($E187=INDEX(_xlfn.ANCHORARRAY(Sintesi!$C$14),1,$C187))*(INDEX(_xlfn.ANCHORARRAY(Sintesi!$C$15),1,$C187)&gt;0),0,IF(($E187=INDEX(_xlfn.ANCHORARRAY(Sintesi!$C$14),1,$C187))*(INDEX(_xlfn.ANCHORARRAY(Sintesi!$C$15),1,$C187)&lt;0)+($E187&gt;=LOOKUP(2,1/($E:$E&lt;&gt;""),$E:$E))*($E187&lt;=$E188)*($E187&gt;INDEX(_xlfn.ANCHORARRAY(Sintesi!$C$14),1,$C187))*($E187&lt;=INDEX(_xlfn.ANCHORARRAY(Sintesi!$C$15),1,$C187))*(INDEX(_xlfn.ANCHORARRAY(Sintesi!$C$15),1,$C187)&gt;0),1,IF(($E187&gt;=LOOKUP(2,1/($E:$E&lt;&gt;""),$E:$E))*($E187&lt;=$E188)*($E187&gt;INDEX(_xlfn.ANCHORARRAY(Sintesi!$C$14),1,$C187))*($E187&lt;INDEX(_xlfn.ANCHORARRAY(Sintesi!$C$16),1,$C187))*(INDEX(_xlfn.ANCHORARRAY(Sintesi!$C$15),1,$C187)&lt;0)+($E187&gt;=LOOKUP(2,1/($E:$E&lt;&gt;""),$E:$E))*($E187&lt;=$E188)*($E187&gt;INDEX(_xlfn.ANCHORARRAY(Sintesi!$C$15),1,$C187))*($E187&lt;INDEX(_xlfn.ANCHORARRAY(Sintesi!$C$16),1,$C187))*(INDEX(_xlfn.ANCHORARRAY(Sintesi!$C$15),1,$C187)&gt;0),2,IF($E187=(INDEX(_xlfn.ANCHORARRAY(Sintesi!$C$16),1,$C187)),3,4)))),0)))</f>
        <v>3</v>
      </c>
      <c r="E187" s="1">
        <f>'Paste cell here'!F187</f>
        <v>1.046</v>
      </c>
      <c r="F187" s="1">
        <f>'Paste cell here'!C187</f>
        <v>31.117980509999999</v>
      </c>
      <c r="G187" s="1">
        <f>'Paste cell here'!D187</f>
        <v>14.697320270000001</v>
      </c>
      <c r="H187" s="1">
        <f>'Paste cell here'!E187</f>
        <v>5.006887087</v>
      </c>
      <c r="I187" s="1">
        <f>'Paste cell here'!X187</f>
        <v>5.2367410230000004</v>
      </c>
      <c r="J187" s="1">
        <f>'Paste cell here'!Y187+'Paste cell here'!S187</f>
        <v>5.2367410230000004</v>
      </c>
      <c r="K187" s="1">
        <f t="shared" si="5"/>
        <v>1.0459075533372419</v>
      </c>
      <c r="L187" s="1">
        <f t="shared" si="4"/>
        <v>25.787842688381712</v>
      </c>
      <c r="M187" s="1" cm="1">
        <f t="array" ref="M187">IF(AND(A187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,A187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),IF(L187&lt;_xlfn.IFNA(INDEX(_xlfn.ANCHORARRAY(Sintesi!$C$17)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,1,IF(L187&gt;=_xlfn.IFNA(INDEX(_xlfn.ANCHORARRAY(Sintesi!$C$18)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,0,1-(L187-_xlfn.IFNA(INDEX(_xlfn.ANCHORARRAY(Sintesi!$C$17)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)/(_xlfn.IFNA(INDEX(_xlfn.ANCHORARRAY(Sintesi!$C$18)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-_xlfn.IFNA(INDEX(_xlfn.ANCHORARRAY(Sintesi!$C$17),1,MATCH(1,(_xlfn.ANCHORARRAY(Sintesi!$C$9)&gt;_xlfn.ANCHORARRAY(Sintesi!$C$10))*(A186&gt;=_xlfn.ANCHORARRAY(Sintesi!$C$9))+(_xlfn.ANCHORARRAY(Sintesi!$C$9)&gt;_xlfn.ANCHORARRAY(Sintesi!$C$10))*(A186&lt;=_xlfn.ANCHORARRAY(Sintesi!$C$10))+(_xlfn.ANCHORARRAY(Sintesi!$C$9)&lt;_xlfn.ANCHORARRAY(Sintesi!$C$10))*(A186&gt;=_xlfn.ANCHORARRAY(Sintesi!$C$9))*(A186&lt;=_xlfn.ANCHORARRAY(Sintesi!$C$10)),0)),0)))),0)</f>
        <v>1</v>
      </c>
    </row>
    <row r="188" spans="1:13">
      <c r="A188" s="1">
        <f>'Paste cell here'!A188</f>
        <v>187</v>
      </c>
      <c r="B188" s="2">
        <f>DATE(Sintesi!$C$4-1,12,31)+A188</f>
        <v>44383</v>
      </c>
      <c r="C188" s="34" cm="1">
        <f t="array" ref="C188">_xlfn.IFNA(MATCH(1,(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)*(_xlfn.ANCHORARRAY(Sintesi!$C$15)&gt;=0)+(_xlfn.ANCHORARRAY(Sintesi!$C$15)&lt;0),0),0)</f>
        <v>1</v>
      </c>
      <c r="D188" s="1" cm="1">
        <f t="array" ref="D188">IF(ISBLANK($E189),IF(ISNUMBER($E187),IF($C188&gt;0,IF(($E188=INDEX(_xlfn.ANCHORARRAY(Sintesi!$C$14),1,$C188))*(INDEX(_xlfn.ANCHORARRAY(Sintesi!$C$15),1,$C188)&gt;0),0,IF(($E188=INDEX(_xlfn.ANCHORARRAY(Sintesi!$C$14),1,$C188))*(INDEX(_xlfn.ANCHORARRAY(Sintesi!$C$15),1,$C188)&lt;0)+($E188&gt;=$E187)*($E188&lt;=INDEX($E:$E,MATCH(TRUE,INDEX((ISNUMBER($E:$E)),0),0)))*($E188&gt;INDEX(_xlfn.ANCHORARRAY(Sintesi!$C$14),1,$C188))*($E188&lt;=INDEX(_xlfn.ANCHORARRAY(Sintesi!$C$15),1,$C188))*(INDEX(_xlfn.ANCHORARRAY(Sintesi!$C$15),1,$C188)&gt;0),1,IF(($E188&gt;=$E187)*($E188&lt;=INDEX($E:$E,MATCH(TRUE,INDEX((ISNUMBER($E:$E)),0),0)))*($E188&gt;INDEX(_xlfn.ANCHORARRAY(Sintesi!$C$14),1,$C188))*($E188&lt;INDEX(_xlfn.ANCHORARRAY(Sintesi!$C$16),1,$C188))*(INDEX(_xlfn.ANCHORARRAY(Sintesi!$C$15),1,$C188)&lt;0)+($E188&gt;=$E187)*($E188&lt;=INDEX($E:$E,MATCH(TRUE,INDEX((ISNUMBER($E:$E)),0),0)))*($E188&gt;INDEX(_xlfn.ANCHORARRAY(Sintesi!$C$15),1,$C188))*($E188&lt;INDEX(_xlfn.ANCHORARRAY(Sintesi!$C$16),1,$C188))*(INDEX(_xlfn.ANCHORARRAY(Sintesi!$C$15),1,$C188)&gt;0),2,IF($E188=(INDEX(_xlfn.ANCHORARRAY(Sintesi!$C$16),1,$C188)),3,4)))),0),IF($C188&gt;0,IF(($E188=INDEX(_xlfn.ANCHORARRAY(Sintesi!$C$14),1,$C188))*(INDEX(_xlfn.ANCHORARRAY(Sintesi!$C$15),1,$C188)&gt;0),0,IF(($E188=INDEX(_xlfn.ANCHORARRAY(Sintesi!$C$14),1,$C188))*(INDEX(_xlfn.ANCHORARRAY(Sintesi!$C$15),1,$C188)&lt;0)+($E188&gt;=LOOKUP(2,1/($E:$E&lt;&gt;""),$E:$E))*($E188&lt;=INDEX($E:$E,MATCH(TRUE,INDEX((ISNUMBER($E:$E)),0),0)))*($E188&gt;INDEX(_xlfn.ANCHORARRAY(Sintesi!$C$14),1,$C188))*($E188&lt;=INDEX(_xlfn.ANCHORARRAY(Sintesi!$C$15),1,$C188))*(INDEX(_xlfn.ANCHORARRAY(Sintesi!$C$15),1,$C188)&gt;0),1,IF(($E188&gt;=LOOKUP(2,1/($E:$E&lt;&gt;""),$E:$E))*($E188&lt;=INDEX($E:$E,MATCH(TRUE,INDEX((ISNUMBER($E:$E)),0),0)))*($E188&gt;INDEX(_xlfn.ANCHORARRAY(Sintesi!$C$14),1,$C188))*($E188&lt;INDEX(_xlfn.ANCHORARRAY(Sintesi!$C$16),1,$C188))*(INDEX(_xlfn.ANCHORARRAY(Sintesi!$C$15),1,$C188)&lt;0)+($E188&gt;=LOOKUP(2,1/($E:$E&lt;&gt;""),$E:$E))*($E188&lt;=INDEX($E:$E,MATCH(TRUE,INDEX((ISNUMBER($E:$E)),0),0)))*($E188&gt;INDEX(_xlfn.ANCHORARRAY(Sintesi!$C$15),1,$C188))*($E188&lt;INDEX(_xlfn.ANCHORARRAY(Sintesi!$C$16),1,$C188))*(INDEX(_xlfn.ANCHORARRAY(Sintesi!$C$15),1,$C188)&gt;0),2,IF($E188=(INDEX(_xlfn.ANCHORARRAY(Sintesi!$C$16),1,$C188)),3,4)))),0)),IF(ISNUMBER($E187),IF($C188&gt;0,IF(($E188=INDEX(_xlfn.ANCHORARRAY(Sintesi!$C$14),1,$C188))*(INDEX(_xlfn.ANCHORARRAY(Sintesi!$C$15),1,$C188)&gt;0),0,IF(($E188=INDEX(_xlfn.ANCHORARRAY(Sintesi!$C$14),1,$C188))*(INDEX(_xlfn.ANCHORARRAY(Sintesi!$C$15),1,$C188)&lt;0)+($E188&gt;=$E187)*($E188&lt;=$E189)*($E188&gt;INDEX(_xlfn.ANCHORARRAY(Sintesi!$C$14),1,$C188))*($E188&lt;=INDEX(_xlfn.ANCHORARRAY(Sintesi!$C$15),1,$C188))*(INDEX(_xlfn.ANCHORARRAY(Sintesi!$C$15),1,$C188)&gt;0),1,IF(($E188&gt;=$E187)*($E188&lt;=$E189)*($E188&gt;INDEX(_xlfn.ANCHORARRAY(Sintesi!$C$14),1,$C188))*($E188&lt;INDEX(_xlfn.ANCHORARRAY(Sintesi!$C$16),1,$C188))*(INDEX(_xlfn.ANCHORARRAY(Sintesi!$C$15),1,$C188)&lt;0)+($E188&gt;=$E187)*($E188&lt;=$E189)*($E188&gt;INDEX(_xlfn.ANCHORARRAY(Sintesi!$C$15),1,$C188))*($E188&lt;INDEX(_xlfn.ANCHORARRAY(Sintesi!$C$16),1,$C188))*(INDEX(_xlfn.ANCHORARRAY(Sintesi!$C$15),1,$C188)&gt;0),2,IF($E188=(INDEX(_xlfn.ANCHORARRAY(Sintesi!$C$16),1,$C188)),3,4)))),0),IF($C188&gt;0,IF(($E188=INDEX(_xlfn.ANCHORARRAY(Sintesi!$C$14),1,$C188))*(INDEX(_xlfn.ANCHORARRAY(Sintesi!$C$15),1,$C188)&gt;0),0,IF(($E188=INDEX(_xlfn.ANCHORARRAY(Sintesi!$C$14),1,$C188))*(INDEX(_xlfn.ANCHORARRAY(Sintesi!$C$15),1,$C188)&lt;0)+($E188&gt;=LOOKUP(2,1/($E:$E&lt;&gt;""),$E:$E))*($E188&lt;=$E189)*($E188&gt;INDEX(_xlfn.ANCHORARRAY(Sintesi!$C$14),1,$C188))*($E188&lt;=INDEX(_xlfn.ANCHORARRAY(Sintesi!$C$15),1,$C188))*(INDEX(_xlfn.ANCHORARRAY(Sintesi!$C$15),1,$C188)&gt;0),1,IF(($E188&gt;=LOOKUP(2,1/($E:$E&lt;&gt;""),$E:$E))*($E188&lt;=$E189)*($E188&gt;INDEX(_xlfn.ANCHORARRAY(Sintesi!$C$14),1,$C188))*($E188&lt;INDEX(_xlfn.ANCHORARRAY(Sintesi!$C$16),1,$C188))*(INDEX(_xlfn.ANCHORARRAY(Sintesi!$C$15),1,$C188)&lt;0)+($E188&gt;=LOOKUP(2,1/($E:$E&lt;&gt;""),$E:$E))*($E188&lt;=$E189)*($E188&gt;INDEX(_xlfn.ANCHORARRAY(Sintesi!$C$15),1,$C188))*($E188&lt;INDEX(_xlfn.ANCHORARRAY(Sintesi!$C$16),1,$C188))*(INDEX(_xlfn.ANCHORARRAY(Sintesi!$C$15),1,$C188)&gt;0),2,IF($E188=(INDEX(_xlfn.ANCHORARRAY(Sintesi!$C$16),1,$C188)),3,4)))),0)))</f>
        <v>3</v>
      </c>
      <c r="E188" s="1">
        <f>'Paste cell here'!F188</f>
        <v>1.046</v>
      </c>
      <c r="F188" s="1">
        <f>'Paste cell here'!C188</f>
        <v>32.6460747</v>
      </c>
      <c r="G188" s="1">
        <f>'Paste cell here'!D188</f>
        <v>16.33005884</v>
      </c>
      <c r="H188" s="1">
        <f>'Paste cell here'!E188</f>
        <v>5.6540794989999998</v>
      </c>
      <c r="I188" s="1">
        <f>'Paste cell here'!X188</f>
        <v>5.9136541840000003</v>
      </c>
      <c r="J188" s="1">
        <f>'Paste cell here'!Y188+'Paste cell here'!S188</f>
        <v>5.9136541840000003</v>
      </c>
      <c r="K188" s="1">
        <f t="shared" si="5"/>
        <v>1.0459092740110765</v>
      </c>
      <c r="L188" s="1">
        <f t="shared" si="4"/>
        <v>27.3499043900107</v>
      </c>
      <c r="M188" s="1" cm="1">
        <f t="array" ref="M188">IF(AND(A188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,A188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),IF(L188&lt;_xlfn.IFNA(INDEX(_xlfn.ANCHORARRAY(Sintesi!$C$17)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,1,IF(L188&gt;=_xlfn.IFNA(INDEX(_xlfn.ANCHORARRAY(Sintesi!$C$18)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,0,1-(L188-_xlfn.IFNA(INDEX(_xlfn.ANCHORARRAY(Sintesi!$C$17)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)/(_xlfn.IFNA(INDEX(_xlfn.ANCHORARRAY(Sintesi!$C$18)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-_xlfn.IFNA(INDEX(_xlfn.ANCHORARRAY(Sintesi!$C$17),1,MATCH(1,(_xlfn.ANCHORARRAY(Sintesi!$C$9)&gt;_xlfn.ANCHORARRAY(Sintesi!$C$10))*(A187&gt;=_xlfn.ANCHORARRAY(Sintesi!$C$9))+(_xlfn.ANCHORARRAY(Sintesi!$C$9)&gt;_xlfn.ANCHORARRAY(Sintesi!$C$10))*(A187&lt;=_xlfn.ANCHORARRAY(Sintesi!$C$10))+(_xlfn.ANCHORARRAY(Sintesi!$C$9)&lt;_xlfn.ANCHORARRAY(Sintesi!$C$10))*(A187&gt;=_xlfn.ANCHORARRAY(Sintesi!$C$9))*(A187&lt;=_xlfn.ANCHORARRAY(Sintesi!$C$10)),0)),0)))),0)</f>
        <v>1</v>
      </c>
    </row>
    <row r="189" spans="1:13">
      <c r="A189" s="1">
        <f>'Paste cell here'!A189</f>
        <v>188</v>
      </c>
      <c r="B189" s="2">
        <f>DATE(Sintesi!$C$4-1,12,31)+A189</f>
        <v>44384</v>
      </c>
      <c r="C189" s="34" cm="1">
        <f t="array" ref="C189">_xlfn.IFNA(MATCH(1,(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)*(_xlfn.ANCHORARRAY(Sintesi!$C$15)&gt;=0)+(_xlfn.ANCHORARRAY(Sintesi!$C$15)&lt;0),0),0)</f>
        <v>1</v>
      </c>
      <c r="D189" s="1" cm="1">
        <f t="array" ref="D189">IF(ISBLANK($E190),IF(ISNUMBER($E188),IF($C189&gt;0,IF(($E189=INDEX(_xlfn.ANCHORARRAY(Sintesi!$C$14),1,$C189))*(INDEX(_xlfn.ANCHORARRAY(Sintesi!$C$15),1,$C189)&gt;0),0,IF(($E189=INDEX(_xlfn.ANCHORARRAY(Sintesi!$C$14),1,$C189))*(INDEX(_xlfn.ANCHORARRAY(Sintesi!$C$15),1,$C189)&lt;0)+($E189&gt;=$E188)*($E189&lt;=INDEX($E:$E,MATCH(TRUE,INDEX((ISNUMBER($E:$E)),0),0)))*($E189&gt;INDEX(_xlfn.ANCHORARRAY(Sintesi!$C$14),1,$C189))*($E189&lt;=INDEX(_xlfn.ANCHORARRAY(Sintesi!$C$15),1,$C189))*(INDEX(_xlfn.ANCHORARRAY(Sintesi!$C$15),1,$C189)&gt;0),1,IF(($E189&gt;=$E188)*($E189&lt;=INDEX($E:$E,MATCH(TRUE,INDEX((ISNUMBER($E:$E)),0),0)))*($E189&gt;INDEX(_xlfn.ANCHORARRAY(Sintesi!$C$14),1,$C189))*($E189&lt;INDEX(_xlfn.ANCHORARRAY(Sintesi!$C$16),1,$C189))*(INDEX(_xlfn.ANCHORARRAY(Sintesi!$C$15),1,$C189)&lt;0)+($E189&gt;=$E188)*($E189&lt;=INDEX($E:$E,MATCH(TRUE,INDEX((ISNUMBER($E:$E)),0),0)))*($E189&gt;INDEX(_xlfn.ANCHORARRAY(Sintesi!$C$15),1,$C189))*($E189&lt;INDEX(_xlfn.ANCHORARRAY(Sintesi!$C$16),1,$C189))*(INDEX(_xlfn.ANCHORARRAY(Sintesi!$C$15),1,$C189)&gt;0),2,IF($E189=(INDEX(_xlfn.ANCHORARRAY(Sintesi!$C$16),1,$C189)),3,4)))),0),IF($C189&gt;0,IF(($E189=INDEX(_xlfn.ANCHORARRAY(Sintesi!$C$14),1,$C189))*(INDEX(_xlfn.ANCHORARRAY(Sintesi!$C$15),1,$C189)&gt;0),0,IF(($E189=INDEX(_xlfn.ANCHORARRAY(Sintesi!$C$14),1,$C189))*(INDEX(_xlfn.ANCHORARRAY(Sintesi!$C$15),1,$C189)&lt;0)+($E189&gt;=LOOKUP(2,1/($E:$E&lt;&gt;""),$E:$E))*($E189&lt;=INDEX($E:$E,MATCH(TRUE,INDEX((ISNUMBER($E:$E)),0),0)))*($E189&gt;INDEX(_xlfn.ANCHORARRAY(Sintesi!$C$14),1,$C189))*($E189&lt;=INDEX(_xlfn.ANCHORARRAY(Sintesi!$C$15),1,$C189))*(INDEX(_xlfn.ANCHORARRAY(Sintesi!$C$15),1,$C189)&gt;0),1,IF(($E189&gt;=LOOKUP(2,1/($E:$E&lt;&gt;""),$E:$E))*($E189&lt;=INDEX($E:$E,MATCH(TRUE,INDEX((ISNUMBER($E:$E)),0),0)))*($E189&gt;INDEX(_xlfn.ANCHORARRAY(Sintesi!$C$14),1,$C189))*($E189&lt;INDEX(_xlfn.ANCHORARRAY(Sintesi!$C$16),1,$C189))*(INDEX(_xlfn.ANCHORARRAY(Sintesi!$C$15),1,$C189)&lt;0)+($E189&gt;=LOOKUP(2,1/($E:$E&lt;&gt;""),$E:$E))*($E189&lt;=INDEX($E:$E,MATCH(TRUE,INDEX((ISNUMBER($E:$E)),0),0)))*($E189&gt;INDEX(_xlfn.ANCHORARRAY(Sintesi!$C$15),1,$C189))*($E189&lt;INDEX(_xlfn.ANCHORARRAY(Sintesi!$C$16),1,$C189))*(INDEX(_xlfn.ANCHORARRAY(Sintesi!$C$15),1,$C189)&gt;0),2,IF($E189=(INDEX(_xlfn.ANCHORARRAY(Sintesi!$C$16),1,$C189)),3,4)))),0)),IF(ISNUMBER($E188),IF($C189&gt;0,IF(($E189=INDEX(_xlfn.ANCHORARRAY(Sintesi!$C$14),1,$C189))*(INDEX(_xlfn.ANCHORARRAY(Sintesi!$C$15),1,$C189)&gt;0),0,IF(($E189=INDEX(_xlfn.ANCHORARRAY(Sintesi!$C$14),1,$C189))*(INDEX(_xlfn.ANCHORARRAY(Sintesi!$C$15),1,$C189)&lt;0)+($E189&gt;=$E188)*($E189&lt;=$E190)*($E189&gt;INDEX(_xlfn.ANCHORARRAY(Sintesi!$C$14),1,$C189))*($E189&lt;=INDEX(_xlfn.ANCHORARRAY(Sintesi!$C$15),1,$C189))*(INDEX(_xlfn.ANCHORARRAY(Sintesi!$C$15),1,$C189)&gt;0),1,IF(($E189&gt;=$E188)*($E189&lt;=$E190)*($E189&gt;INDEX(_xlfn.ANCHORARRAY(Sintesi!$C$14),1,$C189))*($E189&lt;INDEX(_xlfn.ANCHORARRAY(Sintesi!$C$16),1,$C189))*(INDEX(_xlfn.ANCHORARRAY(Sintesi!$C$15),1,$C189)&lt;0)+($E189&gt;=$E188)*($E189&lt;=$E190)*($E189&gt;INDEX(_xlfn.ANCHORARRAY(Sintesi!$C$15),1,$C189))*($E189&lt;INDEX(_xlfn.ANCHORARRAY(Sintesi!$C$16),1,$C189))*(INDEX(_xlfn.ANCHORARRAY(Sintesi!$C$15),1,$C189)&gt;0),2,IF($E189=(INDEX(_xlfn.ANCHORARRAY(Sintesi!$C$16),1,$C189)),3,4)))),0),IF($C189&gt;0,IF(($E189=INDEX(_xlfn.ANCHORARRAY(Sintesi!$C$14),1,$C189))*(INDEX(_xlfn.ANCHORARRAY(Sintesi!$C$15),1,$C189)&gt;0),0,IF(($E189=INDEX(_xlfn.ANCHORARRAY(Sintesi!$C$14),1,$C189))*(INDEX(_xlfn.ANCHORARRAY(Sintesi!$C$15),1,$C189)&lt;0)+($E189&gt;=LOOKUP(2,1/($E:$E&lt;&gt;""),$E:$E))*($E189&lt;=$E190)*($E189&gt;INDEX(_xlfn.ANCHORARRAY(Sintesi!$C$14),1,$C189))*($E189&lt;=INDEX(_xlfn.ANCHORARRAY(Sintesi!$C$15),1,$C189))*(INDEX(_xlfn.ANCHORARRAY(Sintesi!$C$15),1,$C189)&gt;0),1,IF(($E189&gt;=LOOKUP(2,1/($E:$E&lt;&gt;""),$E:$E))*($E189&lt;=$E190)*($E189&gt;INDEX(_xlfn.ANCHORARRAY(Sintesi!$C$14),1,$C189))*($E189&lt;INDEX(_xlfn.ANCHORARRAY(Sintesi!$C$16),1,$C189))*(INDEX(_xlfn.ANCHORARRAY(Sintesi!$C$15),1,$C189)&lt;0)+($E189&gt;=LOOKUP(2,1/($E:$E&lt;&gt;""),$E:$E))*($E189&lt;=$E190)*($E189&gt;INDEX(_xlfn.ANCHORARRAY(Sintesi!$C$15),1,$C189))*($E189&lt;INDEX(_xlfn.ANCHORARRAY(Sintesi!$C$16),1,$C189))*(INDEX(_xlfn.ANCHORARRAY(Sintesi!$C$15),1,$C189)&gt;0),2,IF($E189=(INDEX(_xlfn.ANCHORARRAY(Sintesi!$C$16),1,$C189)),3,4)))),0)))</f>
        <v>3</v>
      </c>
      <c r="E189" s="1">
        <f>'Paste cell here'!F189</f>
        <v>1.046</v>
      </c>
      <c r="F189" s="1">
        <f>'Paste cell here'!C189</f>
        <v>34.602679729999998</v>
      </c>
      <c r="G189" s="1">
        <f>'Paste cell here'!D189</f>
        <v>18.897320270000002</v>
      </c>
      <c r="H189" s="1">
        <f>'Paste cell here'!E189</f>
        <v>5.9097537979999997</v>
      </c>
      <c r="I189" s="1">
        <f>'Paste cell here'!X189</f>
        <v>6.1810769609999996</v>
      </c>
      <c r="J189" s="1">
        <f>'Paste cell here'!Y189+'Paste cell here'!S189</f>
        <v>6.1810769609999996</v>
      </c>
      <c r="K189" s="1">
        <f t="shared" si="5"/>
        <v>1.045911077224879</v>
      </c>
      <c r="L189" s="1">
        <f t="shared" si="4"/>
        <v>29.504728171637055</v>
      </c>
      <c r="M189" s="1" cm="1">
        <f t="array" ref="M189">IF(AND(A189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,A189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),IF(L189&lt;_xlfn.IFNA(INDEX(_xlfn.ANCHORARRAY(Sintesi!$C$17)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,1,IF(L189&gt;=_xlfn.IFNA(INDEX(_xlfn.ANCHORARRAY(Sintesi!$C$18)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,0,1-(L189-_xlfn.IFNA(INDEX(_xlfn.ANCHORARRAY(Sintesi!$C$17)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)/(_xlfn.IFNA(INDEX(_xlfn.ANCHORARRAY(Sintesi!$C$18)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-_xlfn.IFNA(INDEX(_xlfn.ANCHORARRAY(Sintesi!$C$17),1,MATCH(1,(_xlfn.ANCHORARRAY(Sintesi!$C$9)&gt;_xlfn.ANCHORARRAY(Sintesi!$C$10))*(A188&gt;=_xlfn.ANCHORARRAY(Sintesi!$C$9))+(_xlfn.ANCHORARRAY(Sintesi!$C$9)&gt;_xlfn.ANCHORARRAY(Sintesi!$C$10))*(A188&lt;=_xlfn.ANCHORARRAY(Sintesi!$C$10))+(_xlfn.ANCHORARRAY(Sintesi!$C$9)&lt;_xlfn.ANCHORARRAY(Sintesi!$C$10))*(A188&gt;=_xlfn.ANCHORARRAY(Sintesi!$C$9))*(A188&lt;=_xlfn.ANCHORARRAY(Sintesi!$C$10)),0)),0)))),0)</f>
        <v>1</v>
      </c>
    </row>
    <row r="190" spans="1:13">
      <c r="A190" s="1">
        <f>'Paste cell here'!A190</f>
        <v>189</v>
      </c>
      <c r="B190" s="2">
        <f>DATE(Sintesi!$C$4-1,12,31)+A190</f>
        <v>44385</v>
      </c>
      <c r="C190" s="34" cm="1">
        <f t="array" ref="C190">_xlfn.IFNA(MATCH(1,(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)*(_xlfn.ANCHORARRAY(Sintesi!$C$15)&gt;=0)+(_xlfn.ANCHORARRAY(Sintesi!$C$15)&lt;0),0),0)</f>
        <v>1</v>
      </c>
      <c r="D190" s="1" cm="1">
        <f t="array" ref="D190">IF(ISBLANK($E191),IF(ISNUMBER($E189),IF($C190&gt;0,IF(($E190=INDEX(_xlfn.ANCHORARRAY(Sintesi!$C$14),1,$C190))*(INDEX(_xlfn.ANCHORARRAY(Sintesi!$C$15),1,$C190)&gt;0),0,IF(($E190=INDEX(_xlfn.ANCHORARRAY(Sintesi!$C$14),1,$C190))*(INDEX(_xlfn.ANCHORARRAY(Sintesi!$C$15),1,$C190)&lt;0)+($E190&gt;=$E189)*($E190&lt;=INDEX($E:$E,MATCH(TRUE,INDEX((ISNUMBER($E:$E)),0),0)))*($E190&gt;INDEX(_xlfn.ANCHORARRAY(Sintesi!$C$14),1,$C190))*($E190&lt;=INDEX(_xlfn.ANCHORARRAY(Sintesi!$C$15),1,$C190))*(INDEX(_xlfn.ANCHORARRAY(Sintesi!$C$15),1,$C190)&gt;0),1,IF(($E190&gt;=$E189)*($E190&lt;=INDEX($E:$E,MATCH(TRUE,INDEX((ISNUMBER($E:$E)),0),0)))*($E190&gt;INDEX(_xlfn.ANCHORARRAY(Sintesi!$C$14),1,$C190))*($E190&lt;INDEX(_xlfn.ANCHORARRAY(Sintesi!$C$16),1,$C190))*(INDEX(_xlfn.ANCHORARRAY(Sintesi!$C$15),1,$C190)&lt;0)+($E190&gt;=$E189)*($E190&lt;=INDEX($E:$E,MATCH(TRUE,INDEX((ISNUMBER($E:$E)),0),0)))*($E190&gt;INDEX(_xlfn.ANCHORARRAY(Sintesi!$C$15),1,$C190))*($E190&lt;INDEX(_xlfn.ANCHORARRAY(Sintesi!$C$16),1,$C190))*(INDEX(_xlfn.ANCHORARRAY(Sintesi!$C$15),1,$C190)&gt;0),2,IF($E190=(INDEX(_xlfn.ANCHORARRAY(Sintesi!$C$16),1,$C190)),3,4)))),0),IF($C190&gt;0,IF(($E190=INDEX(_xlfn.ANCHORARRAY(Sintesi!$C$14),1,$C190))*(INDEX(_xlfn.ANCHORARRAY(Sintesi!$C$15),1,$C190)&gt;0),0,IF(($E190=INDEX(_xlfn.ANCHORARRAY(Sintesi!$C$14),1,$C190))*(INDEX(_xlfn.ANCHORARRAY(Sintesi!$C$15),1,$C190)&lt;0)+($E190&gt;=LOOKUP(2,1/($E:$E&lt;&gt;""),$E:$E))*($E190&lt;=INDEX($E:$E,MATCH(TRUE,INDEX((ISNUMBER($E:$E)),0),0)))*($E190&gt;INDEX(_xlfn.ANCHORARRAY(Sintesi!$C$14),1,$C190))*($E190&lt;=INDEX(_xlfn.ANCHORARRAY(Sintesi!$C$15),1,$C190))*(INDEX(_xlfn.ANCHORARRAY(Sintesi!$C$15),1,$C190)&gt;0),1,IF(($E190&gt;=LOOKUP(2,1/($E:$E&lt;&gt;""),$E:$E))*($E190&lt;=INDEX($E:$E,MATCH(TRUE,INDEX((ISNUMBER($E:$E)),0),0)))*($E190&gt;INDEX(_xlfn.ANCHORARRAY(Sintesi!$C$14),1,$C190))*($E190&lt;INDEX(_xlfn.ANCHORARRAY(Sintesi!$C$16),1,$C190))*(INDEX(_xlfn.ANCHORARRAY(Sintesi!$C$15),1,$C190)&lt;0)+($E190&gt;=LOOKUP(2,1/($E:$E&lt;&gt;""),$E:$E))*($E190&lt;=INDEX($E:$E,MATCH(TRUE,INDEX((ISNUMBER($E:$E)),0),0)))*($E190&gt;INDEX(_xlfn.ANCHORARRAY(Sintesi!$C$15),1,$C190))*($E190&lt;INDEX(_xlfn.ANCHORARRAY(Sintesi!$C$16),1,$C190))*(INDEX(_xlfn.ANCHORARRAY(Sintesi!$C$15),1,$C190)&gt;0),2,IF($E190=(INDEX(_xlfn.ANCHORARRAY(Sintesi!$C$16),1,$C190)),3,4)))),0)),IF(ISNUMBER($E189),IF($C190&gt;0,IF(($E190=INDEX(_xlfn.ANCHORARRAY(Sintesi!$C$14),1,$C190))*(INDEX(_xlfn.ANCHORARRAY(Sintesi!$C$15),1,$C190)&gt;0),0,IF(($E190=INDEX(_xlfn.ANCHORARRAY(Sintesi!$C$14),1,$C190))*(INDEX(_xlfn.ANCHORARRAY(Sintesi!$C$15),1,$C190)&lt;0)+($E190&gt;=$E189)*($E190&lt;=$E191)*($E190&gt;INDEX(_xlfn.ANCHORARRAY(Sintesi!$C$14),1,$C190))*($E190&lt;=INDEX(_xlfn.ANCHORARRAY(Sintesi!$C$15),1,$C190))*(INDEX(_xlfn.ANCHORARRAY(Sintesi!$C$15),1,$C190)&gt;0),1,IF(($E190&gt;=$E189)*($E190&lt;=$E191)*($E190&gt;INDEX(_xlfn.ANCHORARRAY(Sintesi!$C$14),1,$C190))*($E190&lt;INDEX(_xlfn.ANCHORARRAY(Sintesi!$C$16),1,$C190))*(INDEX(_xlfn.ANCHORARRAY(Sintesi!$C$15),1,$C190)&lt;0)+($E190&gt;=$E189)*($E190&lt;=$E191)*($E190&gt;INDEX(_xlfn.ANCHORARRAY(Sintesi!$C$15),1,$C190))*($E190&lt;INDEX(_xlfn.ANCHORARRAY(Sintesi!$C$16),1,$C190))*(INDEX(_xlfn.ANCHORARRAY(Sintesi!$C$15),1,$C190)&gt;0),2,IF($E190=(INDEX(_xlfn.ANCHORARRAY(Sintesi!$C$16),1,$C190)),3,4)))),0),IF($C190&gt;0,IF(($E190=INDEX(_xlfn.ANCHORARRAY(Sintesi!$C$14),1,$C190))*(INDEX(_xlfn.ANCHORARRAY(Sintesi!$C$15),1,$C190)&gt;0),0,IF(($E190=INDEX(_xlfn.ANCHORARRAY(Sintesi!$C$14),1,$C190))*(INDEX(_xlfn.ANCHORARRAY(Sintesi!$C$15),1,$C190)&lt;0)+($E190&gt;=LOOKUP(2,1/($E:$E&lt;&gt;""),$E:$E))*($E190&lt;=$E191)*($E190&gt;INDEX(_xlfn.ANCHORARRAY(Sintesi!$C$14),1,$C190))*($E190&lt;=INDEX(_xlfn.ANCHORARRAY(Sintesi!$C$15),1,$C190))*(INDEX(_xlfn.ANCHORARRAY(Sintesi!$C$15),1,$C190)&gt;0),1,IF(($E190&gt;=LOOKUP(2,1/($E:$E&lt;&gt;""),$E:$E))*($E190&lt;=$E191)*($E190&gt;INDEX(_xlfn.ANCHORARRAY(Sintesi!$C$14),1,$C190))*($E190&lt;INDEX(_xlfn.ANCHORARRAY(Sintesi!$C$16),1,$C190))*(INDEX(_xlfn.ANCHORARRAY(Sintesi!$C$15),1,$C190)&lt;0)+($E190&gt;=LOOKUP(2,1/($E:$E&lt;&gt;""),$E:$E))*($E190&lt;=$E191)*($E190&gt;INDEX(_xlfn.ANCHORARRAY(Sintesi!$C$15),1,$C190))*($E190&lt;INDEX(_xlfn.ANCHORARRAY(Sintesi!$C$16),1,$C190))*(INDEX(_xlfn.ANCHORARRAY(Sintesi!$C$15),1,$C190)&gt;0),2,IF($E190=(INDEX(_xlfn.ANCHORARRAY(Sintesi!$C$16),1,$C190)),3,4)))),0)))</f>
        <v>3</v>
      </c>
      <c r="E190" s="1">
        <f>'Paste cell here'!F190</f>
        <v>1.046</v>
      </c>
      <c r="F190" s="1">
        <f>'Paste cell here'!C190</f>
        <v>31.984715430000001</v>
      </c>
      <c r="G190" s="1">
        <f>'Paste cell here'!D190</f>
        <v>17.389511330000001</v>
      </c>
      <c r="H190" s="1">
        <f>'Paste cell here'!E190</f>
        <v>4.3089130679999998</v>
      </c>
      <c r="I190" s="1">
        <f>'Paste cell here'!X190</f>
        <v>4.5067480040000003</v>
      </c>
      <c r="J190" s="1">
        <f>'Paste cell here'!Y190+'Paste cell here'!S190</f>
        <v>4.5067480040000003</v>
      </c>
      <c r="K190" s="1">
        <f t="shared" si="5"/>
        <v>1.0459129559770457</v>
      </c>
      <c r="L190" s="1">
        <f t="shared" si="4"/>
        <v>27.24711972735313</v>
      </c>
      <c r="M190" s="1" cm="1">
        <f t="array" ref="M190">IF(AND(A190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,A190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),IF(L190&lt;_xlfn.IFNA(INDEX(_xlfn.ANCHORARRAY(Sintesi!$C$17)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,1,IF(L190&gt;=_xlfn.IFNA(INDEX(_xlfn.ANCHORARRAY(Sintesi!$C$18)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,0,1-(L190-_xlfn.IFNA(INDEX(_xlfn.ANCHORARRAY(Sintesi!$C$17)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)/(_xlfn.IFNA(INDEX(_xlfn.ANCHORARRAY(Sintesi!$C$18)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-_xlfn.IFNA(INDEX(_xlfn.ANCHORARRAY(Sintesi!$C$17),1,MATCH(1,(_xlfn.ANCHORARRAY(Sintesi!$C$9)&gt;_xlfn.ANCHORARRAY(Sintesi!$C$10))*(A189&gt;=_xlfn.ANCHORARRAY(Sintesi!$C$9))+(_xlfn.ANCHORARRAY(Sintesi!$C$9)&gt;_xlfn.ANCHORARRAY(Sintesi!$C$10))*(A189&lt;=_xlfn.ANCHORARRAY(Sintesi!$C$10))+(_xlfn.ANCHORARRAY(Sintesi!$C$9)&lt;_xlfn.ANCHORARRAY(Sintesi!$C$10))*(A189&gt;=_xlfn.ANCHORARRAY(Sintesi!$C$9))*(A189&lt;=_xlfn.ANCHORARRAY(Sintesi!$C$10)),0)),0)))),0)</f>
        <v>1</v>
      </c>
    </row>
    <row r="191" spans="1:13">
      <c r="A191" s="1">
        <f>'Paste cell here'!A191</f>
        <v>190</v>
      </c>
      <c r="B191" s="2">
        <f>DATE(Sintesi!$C$4-1,12,31)+A191</f>
        <v>44386</v>
      </c>
      <c r="C191" s="34" cm="1">
        <f t="array" ref="C191">_xlfn.IFNA(MATCH(1,(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)*(_xlfn.ANCHORARRAY(Sintesi!$C$15)&gt;=0)+(_xlfn.ANCHORARRAY(Sintesi!$C$15)&lt;0),0),0)</f>
        <v>1</v>
      </c>
      <c r="D191" s="1" cm="1">
        <f t="array" ref="D191">IF(ISBLANK($E192),IF(ISNUMBER($E190),IF($C191&gt;0,IF(($E191=INDEX(_xlfn.ANCHORARRAY(Sintesi!$C$14),1,$C191))*(INDEX(_xlfn.ANCHORARRAY(Sintesi!$C$15),1,$C191)&gt;0),0,IF(($E191=INDEX(_xlfn.ANCHORARRAY(Sintesi!$C$14),1,$C191))*(INDEX(_xlfn.ANCHORARRAY(Sintesi!$C$15),1,$C191)&lt;0)+($E191&gt;=$E190)*($E191&lt;=INDEX($E:$E,MATCH(TRUE,INDEX((ISNUMBER($E:$E)),0),0)))*($E191&gt;INDEX(_xlfn.ANCHORARRAY(Sintesi!$C$14),1,$C191))*($E191&lt;=INDEX(_xlfn.ANCHORARRAY(Sintesi!$C$15),1,$C191))*(INDEX(_xlfn.ANCHORARRAY(Sintesi!$C$15),1,$C191)&gt;0),1,IF(($E191&gt;=$E190)*($E191&lt;=INDEX($E:$E,MATCH(TRUE,INDEX((ISNUMBER($E:$E)),0),0)))*($E191&gt;INDEX(_xlfn.ANCHORARRAY(Sintesi!$C$14),1,$C191))*($E191&lt;INDEX(_xlfn.ANCHORARRAY(Sintesi!$C$16),1,$C191))*(INDEX(_xlfn.ANCHORARRAY(Sintesi!$C$15),1,$C191)&lt;0)+($E191&gt;=$E190)*($E191&lt;=INDEX($E:$E,MATCH(TRUE,INDEX((ISNUMBER($E:$E)),0),0)))*($E191&gt;INDEX(_xlfn.ANCHORARRAY(Sintesi!$C$15),1,$C191))*($E191&lt;INDEX(_xlfn.ANCHORARRAY(Sintesi!$C$16),1,$C191))*(INDEX(_xlfn.ANCHORARRAY(Sintesi!$C$15),1,$C191)&gt;0),2,IF($E191=(INDEX(_xlfn.ANCHORARRAY(Sintesi!$C$16),1,$C191)),3,4)))),0),IF($C191&gt;0,IF(($E191=INDEX(_xlfn.ANCHORARRAY(Sintesi!$C$14),1,$C191))*(INDEX(_xlfn.ANCHORARRAY(Sintesi!$C$15),1,$C191)&gt;0),0,IF(($E191=INDEX(_xlfn.ANCHORARRAY(Sintesi!$C$14),1,$C191))*(INDEX(_xlfn.ANCHORARRAY(Sintesi!$C$15),1,$C191)&lt;0)+($E191&gt;=LOOKUP(2,1/($E:$E&lt;&gt;""),$E:$E))*($E191&lt;=INDEX($E:$E,MATCH(TRUE,INDEX((ISNUMBER($E:$E)),0),0)))*($E191&gt;INDEX(_xlfn.ANCHORARRAY(Sintesi!$C$14),1,$C191))*($E191&lt;=INDEX(_xlfn.ANCHORARRAY(Sintesi!$C$15),1,$C191))*(INDEX(_xlfn.ANCHORARRAY(Sintesi!$C$15),1,$C191)&gt;0),1,IF(($E191&gt;=LOOKUP(2,1/($E:$E&lt;&gt;""),$E:$E))*($E191&lt;=INDEX($E:$E,MATCH(TRUE,INDEX((ISNUMBER($E:$E)),0),0)))*($E191&gt;INDEX(_xlfn.ANCHORARRAY(Sintesi!$C$14),1,$C191))*($E191&lt;INDEX(_xlfn.ANCHORARRAY(Sintesi!$C$16),1,$C191))*(INDEX(_xlfn.ANCHORARRAY(Sintesi!$C$15),1,$C191)&lt;0)+($E191&gt;=LOOKUP(2,1/($E:$E&lt;&gt;""),$E:$E))*($E191&lt;=INDEX($E:$E,MATCH(TRUE,INDEX((ISNUMBER($E:$E)),0),0)))*($E191&gt;INDEX(_xlfn.ANCHORARRAY(Sintesi!$C$15),1,$C191))*($E191&lt;INDEX(_xlfn.ANCHORARRAY(Sintesi!$C$16),1,$C191))*(INDEX(_xlfn.ANCHORARRAY(Sintesi!$C$15),1,$C191)&gt;0),2,IF($E191=(INDEX(_xlfn.ANCHORARRAY(Sintesi!$C$16),1,$C191)),3,4)))),0)),IF(ISNUMBER($E190),IF($C191&gt;0,IF(($E191=INDEX(_xlfn.ANCHORARRAY(Sintesi!$C$14),1,$C191))*(INDEX(_xlfn.ANCHORARRAY(Sintesi!$C$15),1,$C191)&gt;0),0,IF(($E191=INDEX(_xlfn.ANCHORARRAY(Sintesi!$C$14),1,$C191))*(INDEX(_xlfn.ANCHORARRAY(Sintesi!$C$15),1,$C191)&lt;0)+($E191&gt;=$E190)*($E191&lt;=$E192)*($E191&gt;INDEX(_xlfn.ANCHORARRAY(Sintesi!$C$14),1,$C191))*($E191&lt;=INDEX(_xlfn.ANCHORARRAY(Sintesi!$C$15),1,$C191))*(INDEX(_xlfn.ANCHORARRAY(Sintesi!$C$15),1,$C191)&gt;0),1,IF(($E191&gt;=$E190)*($E191&lt;=$E192)*($E191&gt;INDEX(_xlfn.ANCHORARRAY(Sintesi!$C$14),1,$C191))*($E191&lt;INDEX(_xlfn.ANCHORARRAY(Sintesi!$C$16),1,$C191))*(INDEX(_xlfn.ANCHORARRAY(Sintesi!$C$15),1,$C191)&lt;0)+($E191&gt;=$E190)*($E191&lt;=$E192)*($E191&gt;INDEX(_xlfn.ANCHORARRAY(Sintesi!$C$15),1,$C191))*($E191&lt;INDEX(_xlfn.ANCHORARRAY(Sintesi!$C$16),1,$C191))*(INDEX(_xlfn.ANCHORARRAY(Sintesi!$C$15),1,$C191)&gt;0),2,IF($E191=(INDEX(_xlfn.ANCHORARRAY(Sintesi!$C$16),1,$C191)),3,4)))),0),IF($C191&gt;0,IF(($E191=INDEX(_xlfn.ANCHORARRAY(Sintesi!$C$14),1,$C191))*(INDEX(_xlfn.ANCHORARRAY(Sintesi!$C$15),1,$C191)&gt;0),0,IF(($E191=INDEX(_xlfn.ANCHORARRAY(Sintesi!$C$14),1,$C191))*(INDEX(_xlfn.ANCHORARRAY(Sintesi!$C$15),1,$C191)&lt;0)+($E191&gt;=LOOKUP(2,1/($E:$E&lt;&gt;""),$E:$E))*($E191&lt;=$E192)*($E191&gt;INDEX(_xlfn.ANCHORARRAY(Sintesi!$C$14),1,$C191))*($E191&lt;=INDEX(_xlfn.ANCHORARRAY(Sintesi!$C$15),1,$C191))*(INDEX(_xlfn.ANCHORARRAY(Sintesi!$C$15),1,$C191)&gt;0),1,IF(($E191&gt;=LOOKUP(2,1/($E:$E&lt;&gt;""),$E:$E))*($E191&lt;=$E192)*($E191&gt;INDEX(_xlfn.ANCHORARRAY(Sintesi!$C$14),1,$C191))*($E191&lt;INDEX(_xlfn.ANCHORARRAY(Sintesi!$C$16),1,$C191))*(INDEX(_xlfn.ANCHORARRAY(Sintesi!$C$15),1,$C191)&lt;0)+($E191&gt;=LOOKUP(2,1/($E:$E&lt;&gt;""),$E:$E))*($E191&lt;=$E192)*($E191&gt;INDEX(_xlfn.ANCHORARRAY(Sintesi!$C$15),1,$C191))*($E191&lt;INDEX(_xlfn.ANCHORARRAY(Sintesi!$C$16),1,$C191))*(INDEX(_xlfn.ANCHORARRAY(Sintesi!$C$15),1,$C191)&gt;0),2,IF($E191=(INDEX(_xlfn.ANCHORARRAY(Sintesi!$C$16),1,$C191)),3,4)))),0)))</f>
        <v>3</v>
      </c>
      <c r="E191" s="1">
        <f>'Paste cell here'!F191</f>
        <v>1.046</v>
      </c>
      <c r="F191" s="1">
        <f>'Paste cell here'!C191</f>
        <v>31.564055199999999</v>
      </c>
      <c r="G191" s="1">
        <f>'Paste cell here'!D191</f>
        <v>14.668851099999999</v>
      </c>
      <c r="H191" s="1">
        <f>'Paste cell here'!E191</f>
        <v>6.189913421</v>
      </c>
      <c r="I191" s="1">
        <f>'Paste cell here'!X191</f>
        <v>6.4741226999999997</v>
      </c>
      <c r="J191" s="1">
        <f>'Paste cell here'!Y191+'Paste cell here'!S191</f>
        <v>6.4741226999999997</v>
      </c>
      <c r="K191" s="1">
        <f t="shared" si="5"/>
        <v>1.0459149037587161</v>
      </c>
      <c r="L191" s="1">
        <f t="shared" si="4"/>
        <v>26.079880686845936</v>
      </c>
      <c r="M191" s="1" cm="1">
        <f t="array" ref="M191">IF(AND(A191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,A191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),IF(L191&lt;_xlfn.IFNA(INDEX(_xlfn.ANCHORARRAY(Sintesi!$C$17)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,1,IF(L191&gt;=_xlfn.IFNA(INDEX(_xlfn.ANCHORARRAY(Sintesi!$C$18)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,0,1-(L191-_xlfn.IFNA(INDEX(_xlfn.ANCHORARRAY(Sintesi!$C$17)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)/(_xlfn.IFNA(INDEX(_xlfn.ANCHORARRAY(Sintesi!$C$18)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-_xlfn.IFNA(INDEX(_xlfn.ANCHORARRAY(Sintesi!$C$17),1,MATCH(1,(_xlfn.ANCHORARRAY(Sintesi!$C$9)&gt;_xlfn.ANCHORARRAY(Sintesi!$C$10))*(A190&gt;=_xlfn.ANCHORARRAY(Sintesi!$C$9))+(_xlfn.ANCHORARRAY(Sintesi!$C$9)&gt;_xlfn.ANCHORARRAY(Sintesi!$C$10))*(A190&lt;=_xlfn.ANCHORARRAY(Sintesi!$C$10))+(_xlfn.ANCHORARRAY(Sintesi!$C$9)&lt;_xlfn.ANCHORARRAY(Sintesi!$C$10))*(A190&gt;=_xlfn.ANCHORARRAY(Sintesi!$C$9))*(A190&lt;=_xlfn.ANCHORARRAY(Sintesi!$C$10)),0)),0)))),0)</f>
        <v>1</v>
      </c>
    </row>
    <row r="192" spans="1:13">
      <c r="A192" s="1">
        <f>'Paste cell here'!A192</f>
        <v>191</v>
      </c>
      <c r="B192" s="2">
        <f>DATE(Sintesi!$C$4-1,12,31)+A192</f>
        <v>44387</v>
      </c>
      <c r="C192" s="34" cm="1">
        <f t="array" ref="C192">_xlfn.IFNA(MATCH(1,(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)*(_xlfn.ANCHORARRAY(Sintesi!$C$15)&gt;=0)+(_xlfn.ANCHORARRAY(Sintesi!$C$15)&lt;0),0),0)</f>
        <v>1</v>
      </c>
      <c r="D192" s="1" cm="1">
        <f t="array" ref="D192">IF(ISBLANK($E193),IF(ISNUMBER($E191),IF($C192&gt;0,IF(($E192=INDEX(_xlfn.ANCHORARRAY(Sintesi!$C$14),1,$C192))*(INDEX(_xlfn.ANCHORARRAY(Sintesi!$C$15),1,$C192)&gt;0),0,IF(($E192=INDEX(_xlfn.ANCHORARRAY(Sintesi!$C$14),1,$C192))*(INDEX(_xlfn.ANCHORARRAY(Sintesi!$C$15),1,$C192)&lt;0)+($E192&gt;=$E191)*($E192&lt;=INDEX($E:$E,MATCH(TRUE,INDEX((ISNUMBER($E:$E)),0),0)))*($E192&gt;INDEX(_xlfn.ANCHORARRAY(Sintesi!$C$14),1,$C192))*($E192&lt;=INDEX(_xlfn.ANCHORARRAY(Sintesi!$C$15),1,$C192))*(INDEX(_xlfn.ANCHORARRAY(Sintesi!$C$15),1,$C192)&gt;0),1,IF(($E192&gt;=$E191)*($E192&lt;=INDEX($E:$E,MATCH(TRUE,INDEX((ISNUMBER($E:$E)),0),0)))*($E192&gt;INDEX(_xlfn.ANCHORARRAY(Sintesi!$C$14),1,$C192))*($E192&lt;INDEX(_xlfn.ANCHORARRAY(Sintesi!$C$16),1,$C192))*(INDEX(_xlfn.ANCHORARRAY(Sintesi!$C$15),1,$C192)&lt;0)+($E192&gt;=$E191)*($E192&lt;=INDEX($E:$E,MATCH(TRUE,INDEX((ISNUMBER($E:$E)),0),0)))*($E192&gt;INDEX(_xlfn.ANCHORARRAY(Sintesi!$C$15),1,$C192))*($E192&lt;INDEX(_xlfn.ANCHORARRAY(Sintesi!$C$16),1,$C192))*(INDEX(_xlfn.ANCHORARRAY(Sintesi!$C$15),1,$C192)&gt;0),2,IF($E192=(INDEX(_xlfn.ANCHORARRAY(Sintesi!$C$16),1,$C192)),3,4)))),0),IF($C192&gt;0,IF(($E192=INDEX(_xlfn.ANCHORARRAY(Sintesi!$C$14),1,$C192))*(INDEX(_xlfn.ANCHORARRAY(Sintesi!$C$15),1,$C192)&gt;0),0,IF(($E192=INDEX(_xlfn.ANCHORARRAY(Sintesi!$C$14),1,$C192))*(INDEX(_xlfn.ANCHORARRAY(Sintesi!$C$15),1,$C192)&lt;0)+($E192&gt;=LOOKUP(2,1/($E:$E&lt;&gt;""),$E:$E))*($E192&lt;=INDEX($E:$E,MATCH(TRUE,INDEX((ISNUMBER($E:$E)),0),0)))*($E192&gt;INDEX(_xlfn.ANCHORARRAY(Sintesi!$C$14),1,$C192))*($E192&lt;=INDEX(_xlfn.ANCHORARRAY(Sintesi!$C$15),1,$C192))*(INDEX(_xlfn.ANCHORARRAY(Sintesi!$C$15),1,$C192)&gt;0),1,IF(($E192&gt;=LOOKUP(2,1/($E:$E&lt;&gt;""),$E:$E))*($E192&lt;=INDEX($E:$E,MATCH(TRUE,INDEX((ISNUMBER($E:$E)),0),0)))*($E192&gt;INDEX(_xlfn.ANCHORARRAY(Sintesi!$C$14),1,$C192))*($E192&lt;INDEX(_xlfn.ANCHORARRAY(Sintesi!$C$16),1,$C192))*(INDEX(_xlfn.ANCHORARRAY(Sintesi!$C$15),1,$C192)&lt;0)+($E192&gt;=LOOKUP(2,1/($E:$E&lt;&gt;""),$E:$E))*($E192&lt;=INDEX($E:$E,MATCH(TRUE,INDEX((ISNUMBER($E:$E)),0),0)))*($E192&gt;INDEX(_xlfn.ANCHORARRAY(Sintesi!$C$15),1,$C192))*($E192&lt;INDEX(_xlfn.ANCHORARRAY(Sintesi!$C$16),1,$C192))*(INDEX(_xlfn.ANCHORARRAY(Sintesi!$C$15),1,$C192)&gt;0),2,IF($E192=(INDEX(_xlfn.ANCHORARRAY(Sintesi!$C$16),1,$C192)),3,4)))),0)),IF(ISNUMBER($E191),IF($C192&gt;0,IF(($E192=INDEX(_xlfn.ANCHORARRAY(Sintesi!$C$14),1,$C192))*(INDEX(_xlfn.ANCHORARRAY(Sintesi!$C$15),1,$C192)&gt;0),0,IF(($E192=INDEX(_xlfn.ANCHORARRAY(Sintesi!$C$14),1,$C192))*(INDEX(_xlfn.ANCHORARRAY(Sintesi!$C$15),1,$C192)&lt;0)+($E192&gt;=$E191)*($E192&lt;=$E193)*($E192&gt;INDEX(_xlfn.ANCHORARRAY(Sintesi!$C$14),1,$C192))*($E192&lt;=INDEX(_xlfn.ANCHORARRAY(Sintesi!$C$15),1,$C192))*(INDEX(_xlfn.ANCHORARRAY(Sintesi!$C$15),1,$C192)&gt;0),1,IF(($E192&gt;=$E191)*($E192&lt;=$E193)*($E192&gt;INDEX(_xlfn.ANCHORARRAY(Sintesi!$C$14),1,$C192))*($E192&lt;INDEX(_xlfn.ANCHORARRAY(Sintesi!$C$16),1,$C192))*(INDEX(_xlfn.ANCHORARRAY(Sintesi!$C$15),1,$C192)&lt;0)+($E192&gt;=$E191)*($E192&lt;=$E193)*($E192&gt;INDEX(_xlfn.ANCHORARRAY(Sintesi!$C$15),1,$C192))*($E192&lt;INDEX(_xlfn.ANCHORARRAY(Sintesi!$C$16),1,$C192))*(INDEX(_xlfn.ANCHORARRAY(Sintesi!$C$15),1,$C192)&gt;0),2,IF($E192=(INDEX(_xlfn.ANCHORARRAY(Sintesi!$C$16),1,$C192)),3,4)))),0),IF($C192&gt;0,IF(($E192=INDEX(_xlfn.ANCHORARRAY(Sintesi!$C$14),1,$C192))*(INDEX(_xlfn.ANCHORARRAY(Sintesi!$C$15),1,$C192)&gt;0),0,IF(($E192=INDEX(_xlfn.ANCHORARRAY(Sintesi!$C$14),1,$C192))*(INDEX(_xlfn.ANCHORARRAY(Sintesi!$C$15),1,$C192)&lt;0)+($E192&gt;=LOOKUP(2,1/($E:$E&lt;&gt;""),$E:$E))*($E192&lt;=$E193)*($E192&gt;INDEX(_xlfn.ANCHORARRAY(Sintesi!$C$14),1,$C192))*($E192&lt;=INDEX(_xlfn.ANCHORARRAY(Sintesi!$C$15),1,$C192))*(INDEX(_xlfn.ANCHORARRAY(Sintesi!$C$15),1,$C192)&gt;0),1,IF(($E192&gt;=LOOKUP(2,1/($E:$E&lt;&gt;""),$E:$E))*($E192&lt;=$E193)*($E192&gt;INDEX(_xlfn.ANCHORARRAY(Sintesi!$C$14),1,$C192))*($E192&lt;INDEX(_xlfn.ANCHORARRAY(Sintesi!$C$16),1,$C192))*(INDEX(_xlfn.ANCHORARRAY(Sintesi!$C$15),1,$C192)&lt;0)+($E192&gt;=LOOKUP(2,1/($E:$E&lt;&gt;""),$E:$E))*($E192&lt;=$E193)*($E192&gt;INDEX(_xlfn.ANCHORARRAY(Sintesi!$C$15),1,$C192))*($E192&lt;INDEX(_xlfn.ANCHORARRAY(Sintesi!$C$16),1,$C192))*(INDEX(_xlfn.ANCHORARRAY(Sintesi!$C$15),1,$C192)&gt;0),2,IF($E192=(INDEX(_xlfn.ANCHORARRAY(Sintesi!$C$16),1,$C192)),3,4)))),0)))</f>
        <v>3</v>
      </c>
      <c r="E192" s="1">
        <f>'Paste cell here'!F192</f>
        <v>1.046</v>
      </c>
      <c r="F192" s="1">
        <f>'Paste cell here'!C192</f>
        <v>32.592675900000003</v>
      </c>
      <c r="G192" s="1">
        <f>'Paste cell here'!D192</f>
        <v>14.5688511</v>
      </c>
      <c r="H192" s="1">
        <f>'Paste cell here'!E192</f>
        <v>5.7015806859999998</v>
      </c>
      <c r="I192" s="1">
        <f>'Paste cell here'!X192</f>
        <v>5.9633796769999998</v>
      </c>
      <c r="J192" s="1">
        <f>'Paste cell here'!Y192+'Paste cell here'!S192</f>
        <v>5.9633796769999998</v>
      </c>
      <c r="K192" s="1">
        <f t="shared" si="5"/>
        <v>1.0459169141713345</v>
      </c>
      <c r="L192" s="1">
        <f t="shared" si="4"/>
        <v>26.742151691315591</v>
      </c>
      <c r="M192" s="1" cm="1">
        <f t="array" ref="M192">IF(AND(A192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,A192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),IF(L192&lt;_xlfn.IFNA(INDEX(_xlfn.ANCHORARRAY(Sintesi!$C$17)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,1,IF(L192&gt;=_xlfn.IFNA(INDEX(_xlfn.ANCHORARRAY(Sintesi!$C$18)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,0,1-(L192-_xlfn.IFNA(INDEX(_xlfn.ANCHORARRAY(Sintesi!$C$17)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)/(_xlfn.IFNA(INDEX(_xlfn.ANCHORARRAY(Sintesi!$C$18)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-_xlfn.IFNA(INDEX(_xlfn.ANCHORARRAY(Sintesi!$C$17),1,MATCH(1,(_xlfn.ANCHORARRAY(Sintesi!$C$9)&gt;_xlfn.ANCHORARRAY(Sintesi!$C$10))*(A191&gt;=_xlfn.ANCHORARRAY(Sintesi!$C$9))+(_xlfn.ANCHORARRAY(Sintesi!$C$9)&gt;_xlfn.ANCHORARRAY(Sintesi!$C$10))*(A191&lt;=_xlfn.ANCHORARRAY(Sintesi!$C$10))+(_xlfn.ANCHORARRAY(Sintesi!$C$9)&lt;_xlfn.ANCHORARRAY(Sintesi!$C$10))*(A191&gt;=_xlfn.ANCHORARRAY(Sintesi!$C$9))*(A191&lt;=_xlfn.ANCHORARRAY(Sintesi!$C$10)),0)),0)))),0)</f>
        <v>1</v>
      </c>
    </row>
    <row r="193" spans="1:13">
      <c r="A193" s="1">
        <f>'Paste cell here'!A193</f>
        <v>192</v>
      </c>
      <c r="B193" s="2">
        <f>DATE(Sintesi!$C$4-1,12,31)+A193</f>
        <v>44388</v>
      </c>
      <c r="C193" s="34" cm="1">
        <f t="array" ref="C193">_xlfn.IFNA(MATCH(1,(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)*(_xlfn.ANCHORARRAY(Sintesi!$C$15)&gt;=0)+(_xlfn.ANCHORARRAY(Sintesi!$C$15)&lt;0),0),0)</f>
        <v>1</v>
      </c>
      <c r="D193" s="1" cm="1">
        <f t="array" ref="D193">IF(ISBLANK($E194),IF(ISNUMBER($E192),IF($C193&gt;0,IF(($E193=INDEX(_xlfn.ANCHORARRAY(Sintesi!$C$14),1,$C193))*(INDEX(_xlfn.ANCHORARRAY(Sintesi!$C$15),1,$C193)&gt;0),0,IF(($E193=INDEX(_xlfn.ANCHORARRAY(Sintesi!$C$14),1,$C193))*(INDEX(_xlfn.ANCHORARRAY(Sintesi!$C$15),1,$C193)&lt;0)+($E193&gt;=$E192)*($E193&lt;=INDEX($E:$E,MATCH(TRUE,INDEX((ISNUMBER($E:$E)),0),0)))*($E193&gt;INDEX(_xlfn.ANCHORARRAY(Sintesi!$C$14),1,$C193))*($E193&lt;=INDEX(_xlfn.ANCHORARRAY(Sintesi!$C$15),1,$C193))*(INDEX(_xlfn.ANCHORARRAY(Sintesi!$C$15),1,$C193)&gt;0),1,IF(($E193&gt;=$E192)*($E193&lt;=INDEX($E:$E,MATCH(TRUE,INDEX((ISNUMBER($E:$E)),0),0)))*($E193&gt;INDEX(_xlfn.ANCHORARRAY(Sintesi!$C$14),1,$C193))*($E193&lt;INDEX(_xlfn.ANCHORARRAY(Sintesi!$C$16),1,$C193))*(INDEX(_xlfn.ANCHORARRAY(Sintesi!$C$15),1,$C193)&lt;0)+($E193&gt;=$E192)*($E193&lt;=INDEX($E:$E,MATCH(TRUE,INDEX((ISNUMBER($E:$E)),0),0)))*($E193&gt;INDEX(_xlfn.ANCHORARRAY(Sintesi!$C$15),1,$C193))*($E193&lt;INDEX(_xlfn.ANCHORARRAY(Sintesi!$C$16),1,$C193))*(INDEX(_xlfn.ANCHORARRAY(Sintesi!$C$15),1,$C193)&gt;0),2,IF($E193=(INDEX(_xlfn.ANCHORARRAY(Sintesi!$C$16),1,$C193)),3,4)))),0),IF($C193&gt;0,IF(($E193=INDEX(_xlfn.ANCHORARRAY(Sintesi!$C$14),1,$C193))*(INDEX(_xlfn.ANCHORARRAY(Sintesi!$C$15),1,$C193)&gt;0),0,IF(($E193=INDEX(_xlfn.ANCHORARRAY(Sintesi!$C$14),1,$C193))*(INDEX(_xlfn.ANCHORARRAY(Sintesi!$C$15),1,$C193)&lt;0)+($E193&gt;=LOOKUP(2,1/($E:$E&lt;&gt;""),$E:$E))*($E193&lt;=INDEX($E:$E,MATCH(TRUE,INDEX((ISNUMBER($E:$E)),0),0)))*($E193&gt;INDEX(_xlfn.ANCHORARRAY(Sintesi!$C$14),1,$C193))*($E193&lt;=INDEX(_xlfn.ANCHORARRAY(Sintesi!$C$15),1,$C193))*(INDEX(_xlfn.ANCHORARRAY(Sintesi!$C$15),1,$C193)&gt;0),1,IF(($E193&gt;=LOOKUP(2,1/($E:$E&lt;&gt;""),$E:$E))*($E193&lt;=INDEX($E:$E,MATCH(TRUE,INDEX((ISNUMBER($E:$E)),0),0)))*($E193&gt;INDEX(_xlfn.ANCHORARRAY(Sintesi!$C$14),1,$C193))*($E193&lt;INDEX(_xlfn.ANCHORARRAY(Sintesi!$C$16),1,$C193))*(INDEX(_xlfn.ANCHORARRAY(Sintesi!$C$15),1,$C193)&lt;0)+($E193&gt;=LOOKUP(2,1/($E:$E&lt;&gt;""),$E:$E))*($E193&lt;=INDEX($E:$E,MATCH(TRUE,INDEX((ISNUMBER($E:$E)),0),0)))*($E193&gt;INDEX(_xlfn.ANCHORARRAY(Sintesi!$C$15),1,$C193))*($E193&lt;INDEX(_xlfn.ANCHORARRAY(Sintesi!$C$16),1,$C193))*(INDEX(_xlfn.ANCHORARRAY(Sintesi!$C$15),1,$C193)&gt;0),2,IF($E193=(INDEX(_xlfn.ANCHORARRAY(Sintesi!$C$16),1,$C193)),3,4)))),0)),IF(ISNUMBER($E192),IF($C193&gt;0,IF(($E193=INDEX(_xlfn.ANCHORARRAY(Sintesi!$C$14),1,$C193))*(INDEX(_xlfn.ANCHORARRAY(Sintesi!$C$15),1,$C193)&gt;0),0,IF(($E193=INDEX(_xlfn.ANCHORARRAY(Sintesi!$C$14),1,$C193))*(INDEX(_xlfn.ANCHORARRAY(Sintesi!$C$15),1,$C193)&lt;0)+($E193&gt;=$E192)*($E193&lt;=$E194)*($E193&gt;INDEX(_xlfn.ANCHORARRAY(Sintesi!$C$14),1,$C193))*($E193&lt;=INDEX(_xlfn.ANCHORARRAY(Sintesi!$C$15),1,$C193))*(INDEX(_xlfn.ANCHORARRAY(Sintesi!$C$15),1,$C193)&gt;0),1,IF(($E193&gt;=$E192)*($E193&lt;=$E194)*($E193&gt;INDEX(_xlfn.ANCHORARRAY(Sintesi!$C$14),1,$C193))*($E193&lt;INDEX(_xlfn.ANCHORARRAY(Sintesi!$C$16),1,$C193))*(INDEX(_xlfn.ANCHORARRAY(Sintesi!$C$15),1,$C193)&lt;0)+($E193&gt;=$E192)*($E193&lt;=$E194)*($E193&gt;INDEX(_xlfn.ANCHORARRAY(Sintesi!$C$15),1,$C193))*($E193&lt;INDEX(_xlfn.ANCHORARRAY(Sintesi!$C$16),1,$C193))*(INDEX(_xlfn.ANCHORARRAY(Sintesi!$C$15),1,$C193)&gt;0),2,IF($E193=(INDEX(_xlfn.ANCHORARRAY(Sintesi!$C$16),1,$C193)),3,4)))),0),IF($C193&gt;0,IF(($E193=INDEX(_xlfn.ANCHORARRAY(Sintesi!$C$14),1,$C193))*(INDEX(_xlfn.ANCHORARRAY(Sintesi!$C$15),1,$C193)&gt;0),0,IF(($E193=INDEX(_xlfn.ANCHORARRAY(Sintesi!$C$14),1,$C193))*(INDEX(_xlfn.ANCHORARRAY(Sintesi!$C$15),1,$C193)&lt;0)+($E193&gt;=LOOKUP(2,1/($E:$E&lt;&gt;""),$E:$E))*($E193&lt;=$E194)*($E193&gt;INDEX(_xlfn.ANCHORARRAY(Sintesi!$C$14),1,$C193))*($E193&lt;=INDEX(_xlfn.ANCHORARRAY(Sintesi!$C$15),1,$C193))*(INDEX(_xlfn.ANCHORARRAY(Sintesi!$C$15),1,$C193)&gt;0),1,IF(($E193&gt;=LOOKUP(2,1/($E:$E&lt;&gt;""),$E:$E))*($E193&lt;=$E194)*($E193&gt;INDEX(_xlfn.ANCHORARRAY(Sintesi!$C$14),1,$C193))*($E193&lt;INDEX(_xlfn.ANCHORARRAY(Sintesi!$C$16),1,$C193))*(INDEX(_xlfn.ANCHORARRAY(Sintesi!$C$15),1,$C193)&lt;0)+($E193&gt;=LOOKUP(2,1/($E:$E&lt;&gt;""),$E:$E))*($E193&lt;=$E194)*($E193&gt;INDEX(_xlfn.ANCHORARRAY(Sintesi!$C$15),1,$C193))*($E193&lt;INDEX(_xlfn.ANCHORARRAY(Sintesi!$C$16),1,$C193))*(INDEX(_xlfn.ANCHORARRAY(Sintesi!$C$15),1,$C193)&gt;0),2,IF($E193=(INDEX(_xlfn.ANCHORARRAY(Sintesi!$C$16),1,$C193)),3,4)))),0)))</f>
        <v>3</v>
      </c>
      <c r="E193" s="1">
        <f>'Paste cell here'!F193</f>
        <v>1.046</v>
      </c>
      <c r="F193" s="1">
        <f>'Paste cell here'!C193</f>
        <v>32.738750590000002</v>
      </c>
      <c r="G193" s="1">
        <f>'Paste cell here'!D193</f>
        <v>17.653925300000001</v>
      </c>
      <c r="H193" s="1">
        <f>'Paste cell here'!E193</f>
        <v>6.0343173319999996</v>
      </c>
      <c r="I193" s="1">
        <f>'Paste cell here'!X193</f>
        <v>6.3114070299999998</v>
      </c>
      <c r="J193" s="1">
        <f>'Paste cell here'!Y193+'Paste cell here'!S193</f>
        <v>6.3114070299999998</v>
      </c>
      <c r="K193" s="1">
        <f t="shared" si="5"/>
        <v>1.0459189801853133</v>
      </c>
      <c r="L193" s="1">
        <f t="shared" si="4"/>
        <v>27.84222410229691</v>
      </c>
      <c r="M193" s="1" cm="1">
        <f t="array" ref="M193">IF(AND(A193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,A193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),IF(L193&lt;_xlfn.IFNA(INDEX(_xlfn.ANCHORARRAY(Sintesi!$C$17)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,1,IF(L193&gt;=_xlfn.IFNA(INDEX(_xlfn.ANCHORARRAY(Sintesi!$C$18)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,0,1-(L193-_xlfn.IFNA(INDEX(_xlfn.ANCHORARRAY(Sintesi!$C$17)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)/(_xlfn.IFNA(INDEX(_xlfn.ANCHORARRAY(Sintesi!$C$18)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-_xlfn.IFNA(INDEX(_xlfn.ANCHORARRAY(Sintesi!$C$17),1,MATCH(1,(_xlfn.ANCHORARRAY(Sintesi!$C$9)&gt;_xlfn.ANCHORARRAY(Sintesi!$C$10))*(A192&gt;=_xlfn.ANCHORARRAY(Sintesi!$C$9))+(_xlfn.ANCHORARRAY(Sintesi!$C$9)&gt;_xlfn.ANCHORARRAY(Sintesi!$C$10))*(A192&lt;=_xlfn.ANCHORARRAY(Sintesi!$C$10))+(_xlfn.ANCHORARRAY(Sintesi!$C$9)&lt;_xlfn.ANCHORARRAY(Sintesi!$C$10))*(A192&gt;=_xlfn.ANCHORARRAY(Sintesi!$C$9))*(A192&lt;=_xlfn.ANCHORARRAY(Sintesi!$C$10)),0)),0)))),0)</f>
        <v>1</v>
      </c>
    </row>
    <row r="194" spans="1:13">
      <c r="A194" s="1">
        <f>'Paste cell here'!A194</f>
        <v>193</v>
      </c>
      <c r="B194" s="2">
        <f>DATE(Sintesi!$C$4-1,12,31)+A194</f>
        <v>44389</v>
      </c>
      <c r="C194" s="34" cm="1">
        <f t="array" ref="C194">_xlfn.IFNA(MATCH(1,(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)*(_xlfn.ANCHORARRAY(Sintesi!$C$15)&gt;=0)+(_xlfn.ANCHORARRAY(Sintesi!$C$15)&lt;0),0),0)</f>
        <v>1</v>
      </c>
      <c r="D194" s="1" cm="1">
        <f t="array" ref="D194">IF(ISBLANK($E195),IF(ISNUMBER($E193),IF($C194&gt;0,IF(($E194=INDEX(_xlfn.ANCHORARRAY(Sintesi!$C$14),1,$C194))*(INDEX(_xlfn.ANCHORARRAY(Sintesi!$C$15),1,$C194)&gt;0),0,IF(($E194=INDEX(_xlfn.ANCHORARRAY(Sintesi!$C$14),1,$C194))*(INDEX(_xlfn.ANCHORARRAY(Sintesi!$C$15),1,$C194)&lt;0)+($E194&gt;=$E193)*($E194&lt;=INDEX($E:$E,MATCH(TRUE,INDEX((ISNUMBER($E:$E)),0),0)))*($E194&gt;INDEX(_xlfn.ANCHORARRAY(Sintesi!$C$14),1,$C194))*($E194&lt;=INDEX(_xlfn.ANCHORARRAY(Sintesi!$C$15),1,$C194))*(INDEX(_xlfn.ANCHORARRAY(Sintesi!$C$15),1,$C194)&gt;0),1,IF(($E194&gt;=$E193)*($E194&lt;=INDEX($E:$E,MATCH(TRUE,INDEX((ISNUMBER($E:$E)),0),0)))*($E194&gt;INDEX(_xlfn.ANCHORARRAY(Sintesi!$C$14),1,$C194))*($E194&lt;INDEX(_xlfn.ANCHORARRAY(Sintesi!$C$16),1,$C194))*(INDEX(_xlfn.ANCHORARRAY(Sintesi!$C$15),1,$C194)&lt;0)+($E194&gt;=$E193)*($E194&lt;=INDEX($E:$E,MATCH(TRUE,INDEX((ISNUMBER($E:$E)),0),0)))*($E194&gt;INDEX(_xlfn.ANCHORARRAY(Sintesi!$C$15),1,$C194))*($E194&lt;INDEX(_xlfn.ANCHORARRAY(Sintesi!$C$16),1,$C194))*(INDEX(_xlfn.ANCHORARRAY(Sintesi!$C$15),1,$C194)&gt;0),2,IF($E194=(INDEX(_xlfn.ANCHORARRAY(Sintesi!$C$16),1,$C194)),3,4)))),0),IF($C194&gt;0,IF(($E194=INDEX(_xlfn.ANCHORARRAY(Sintesi!$C$14),1,$C194))*(INDEX(_xlfn.ANCHORARRAY(Sintesi!$C$15),1,$C194)&gt;0),0,IF(($E194=INDEX(_xlfn.ANCHORARRAY(Sintesi!$C$14),1,$C194))*(INDEX(_xlfn.ANCHORARRAY(Sintesi!$C$15),1,$C194)&lt;0)+($E194&gt;=LOOKUP(2,1/($E:$E&lt;&gt;""),$E:$E))*($E194&lt;=INDEX($E:$E,MATCH(TRUE,INDEX((ISNUMBER($E:$E)),0),0)))*($E194&gt;INDEX(_xlfn.ANCHORARRAY(Sintesi!$C$14),1,$C194))*($E194&lt;=INDEX(_xlfn.ANCHORARRAY(Sintesi!$C$15),1,$C194))*(INDEX(_xlfn.ANCHORARRAY(Sintesi!$C$15),1,$C194)&gt;0),1,IF(($E194&gt;=LOOKUP(2,1/($E:$E&lt;&gt;""),$E:$E))*($E194&lt;=INDEX($E:$E,MATCH(TRUE,INDEX((ISNUMBER($E:$E)),0),0)))*($E194&gt;INDEX(_xlfn.ANCHORARRAY(Sintesi!$C$14),1,$C194))*($E194&lt;INDEX(_xlfn.ANCHORARRAY(Sintesi!$C$16),1,$C194))*(INDEX(_xlfn.ANCHORARRAY(Sintesi!$C$15),1,$C194)&lt;0)+($E194&gt;=LOOKUP(2,1/($E:$E&lt;&gt;""),$E:$E))*($E194&lt;=INDEX($E:$E,MATCH(TRUE,INDEX((ISNUMBER($E:$E)),0),0)))*($E194&gt;INDEX(_xlfn.ANCHORARRAY(Sintesi!$C$15),1,$C194))*($E194&lt;INDEX(_xlfn.ANCHORARRAY(Sintesi!$C$16),1,$C194))*(INDEX(_xlfn.ANCHORARRAY(Sintesi!$C$15),1,$C194)&gt;0),2,IF($E194=(INDEX(_xlfn.ANCHORARRAY(Sintesi!$C$16),1,$C194)),3,4)))),0)),IF(ISNUMBER($E193),IF($C194&gt;0,IF(($E194=INDEX(_xlfn.ANCHORARRAY(Sintesi!$C$14),1,$C194))*(INDEX(_xlfn.ANCHORARRAY(Sintesi!$C$15),1,$C194)&gt;0),0,IF(($E194=INDEX(_xlfn.ANCHORARRAY(Sintesi!$C$14),1,$C194))*(INDEX(_xlfn.ANCHORARRAY(Sintesi!$C$15),1,$C194)&lt;0)+($E194&gt;=$E193)*($E194&lt;=$E195)*($E194&gt;INDEX(_xlfn.ANCHORARRAY(Sintesi!$C$14),1,$C194))*($E194&lt;=INDEX(_xlfn.ANCHORARRAY(Sintesi!$C$15),1,$C194))*(INDEX(_xlfn.ANCHORARRAY(Sintesi!$C$15),1,$C194)&gt;0),1,IF(($E194&gt;=$E193)*($E194&lt;=$E195)*($E194&gt;INDEX(_xlfn.ANCHORARRAY(Sintesi!$C$14),1,$C194))*($E194&lt;INDEX(_xlfn.ANCHORARRAY(Sintesi!$C$16),1,$C194))*(INDEX(_xlfn.ANCHORARRAY(Sintesi!$C$15),1,$C194)&lt;0)+($E194&gt;=$E193)*($E194&lt;=$E195)*($E194&gt;INDEX(_xlfn.ANCHORARRAY(Sintesi!$C$15),1,$C194))*($E194&lt;INDEX(_xlfn.ANCHORARRAY(Sintesi!$C$16),1,$C194))*(INDEX(_xlfn.ANCHORARRAY(Sintesi!$C$15),1,$C194)&gt;0),2,IF($E194=(INDEX(_xlfn.ANCHORARRAY(Sintesi!$C$16),1,$C194)),3,4)))),0),IF($C194&gt;0,IF(($E194=INDEX(_xlfn.ANCHORARRAY(Sintesi!$C$14),1,$C194))*(INDEX(_xlfn.ANCHORARRAY(Sintesi!$C$15),1,$C194)&gt;0),0,IF(($E194=INDEX(_xlfn.ANCHORARRAY(Sintesi!$C$14),1,$C194))*(INDEX(_xlfn.ANCHORARRAY(Sintesi!$C$15),1,$C194)&lt;0)+($E194&gt;=LOOKUP(2,1/($E:$E&lt;&gt;""),$E:$E))*($E194&lt;=$E195)*($E194&gt;INDEX(_xlfn.ANCHORARRAY(Sintesi!$C$14),1,$C194))*($E194&lt;=INDEX(_xlfn.ANCHORARRAY(Sintesi!$C$15),1,$C194))*(INDEX(_xlfn.ANCHORARRAY(Sintesi!$C$15),1,$C194)&gt;0),1,IF(($E194&gt;=LOOKUP(2,1/($E:$E&lt;&gt;""),$E:$E))*($E194&lt;=$E195)*($E194&gt;INDEX(_xlfn.ANCHORARRAY(Sintesi!$C$14),1,$C194))*($E194&lt;INDEX(_xlfn.ANCHORARRAY(Sintesi!$C$16),1,$C194))*(INDEX(_xlfn.ANCHORARRAY(Sintesi!$C$15),1,$C194)&lt;0)+($E194&gt;=LOOKUP(2,1/($E:$E&lt;&gt;""),$E:$E))*($E194&lt;=$E195)*($E194&gt;INDEX(_xlfn.ANCHORARRAY(Sintesi!$C$15),1,$C194))*($E194&lt;INDEX(_xlfn.ANCHORARRAY(Sintesi!$C$16),1,$C194))*(INDEX(_xlfn.ANCHORARRAY(Sintesi!$C$15),1,$C194)&gt;0),2,IF($E194=(INDEX(_xlfn.ANCHORARRAY(Sintesi!$C$16),1,$C194)),3,4)))),0)))</f>
        <v>3</v>
      </c>
      <c r="E194" s="1">
        <f>'Paste cell here'!F194</f>
        <v>1.046</v>
      </c>
      <c r="F194" s="1">
        <f>'Paste cell here'!C194</f>
        <v>32.274543870000002</v>
      </c>
      <c r="G194" s="1">
        <f>'Paste cell here'!D194</f>
        <v>17.948190870000001</v>
      </c>
      <c r="H194" s="1">
        <f>'Paste cell here'!E194</f>
        <v>5.3026809180000001</v>
      </c>
      <c r="I194" s="1">
        <f>'Paste cell here'!X194</f>
        <v>5.546185833</v>
      </c>
      <c r="J194" s="1">
        <f>'Paste cell here'!Y194+'Paste cell here'!S194</f>
        <v>5.546185833</v>
      </c>
      <c r="K194" s="1">
        <f t="shared" si="5"/>
        <v>1.0459210951527218</v>
      </c>
      <c r="L194" s="1">
        <f t="shared" ref="L194:L257" si="6">AVERAGE(($F194+$G194)/2-($F194-$G194)/2*COS(PI()*(8-VLOOKUP(MONTH(B194),$O$1:$Q$13,3))/(VLOOKUP(MONTH(B194),$O$1:$Q$13,2)-VLOOKUP(MONTH(B194),$O$1:$Q$13,3))),($F194+$G194)/2-($F194-$G194)/2*COS(PI()*(9-VLOOKUP(MONTH(B194),$O$1:$Q$13,3))/(VLOOKUP(MONTH(B194),$O$1:$Q$13,2)-VLOOKUP(MONTH(B194),$O$1:$Q$13,3))),($F194+$G194)/2-($F194-$G194)/2*COS(PI()*(10-VLOOKUP(MONTH(B194),$O$1:$Q$13,3))/(VLOOKUP(MONTH(B194),$O$1:$Q$13,2)-VLOOKUP(MONTH(B194),$O$1:$Q$13,3))),($F194+$G194)/2-($F194-$G194)/2*COS(PI()*(11-VLOOKUP(MONTH(B194),$O$1:$Q$13,3))/(VLOOKUP(MONTH(B194),$O$1:$Q$13,2)-VLOOKUP(MONTH(B194),$O$1:$Q$13,3))),($F194+$G194)/2-($F194-$G194)/2*COS(PI()*(12-VLOOKUP(MONTH(B194),$O$1:$Q$13,3))/(VLOOKUP(MONTH(B194),$O$1:$Q$13,2)-VLOOKUP(MONTH(B194),$O$1:$Q$13,3))),($F194+$G194)/2-($F194-$G194)/2*COS(PI()*(13-VLOOKUP(MONTH(B194),$O$1:$Q$13,3))/(VLOOKUP(MONTH(B194),$O$1:$Q$13,2)-VLOOKUP(MONTH(B194),$O$1:$Q$13,3))),($F194+$G194)/2-($F194-$G194)/2*COS(PI()*(14-VLOOKUP(MONTH(B194),$O$1:$Q$13,3))/(VLOOKUP(MONTH(B194),$O$1:$Q$13,2)-VLOOKUP(MONTH(B194),$O$1:$Q$13,3))))</f>
        <v>27.624217095371204</v>
      </c>
      <c r="M194" s="1" cm="1">
        <f t="array" ref="M194">IF(AND(A194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,A194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),IF(L194&lt;_xlfn.IFNA(INDEX(_xlfn.ANCHORARRAY(Sintesi!$C$17)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,1,IF(L194&gt;=_xlfn.IFNA(INDEX(_xlfn.ANCHORARRAY(Sintesi!$C$18)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,0,1-(L194-_xlfn.IFNA(INDEX(_xlfn.ANCHORARRAY(Sintesi!$C$17)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)/(_xlfn.IFNA(INDEX(_xlfn.ANCHORARRAY(Sintesi!$C$18)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-_xlfn.IFNA(INDEX(_xlfn.ANCHORARRAY(Sintesi!$C$17),1,MATCH(1,(_xlfn.ANCHORARRAY(Sintesi!$C$9)&gt;_xlfn.ANCHORARRAY(Sintesi!$C$10))*(A193&gt;=_xlfn.ANCHORARRAY(Sintesi!$C$9))+(_xlfn.ANCHORARRAY(Sintesi!$C$9)&gt;_xlfn.ANCHORARRAY(Sintesi!$C$10))*(A193&lt;=_xlfn.ANCHORARRAY(Sintesi!$C$10))+(_xlfn.ANCHORARRAY(Sintesi!$C$9)&lt;_xlfn.ANCHORARRAY(Sintesi!$C$10))*(A193&gt;=_xlfn.ANCHORARRAY(Sintesi!$C$9))*(A193&lt;=_xlfn.ANCHORARRAY(Sintesi!$C$10)),0)),0)))),0)</f>
        <v>1</v>
      </c>
    </row>
    <row r="195" spans="1:13">
      <c r="A195" s="1">
        <f>'Paste cell here'!A195</f>
        <v>194</v>
      </c>
      <c r="B195" s="2">
        <f>DATE(Sintesi!$C$4-1,12,31)+A195</f>
        <v>44390</v>
      </c>
      <c r="C195" s="34" cm="1">
        <f t="array" ref="C195">_xlfn.IFNA(MATCH(1,(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)*(_xlfn.ANCHORARRAY(Sintesi!$C$15)&gt;=0)+(_xlfn.ANCHORARRAY(Sintesi!$C$15)&lt;0),0),0)</f>
        <v>1</v>
      </c>
      <c r="D195" s="1" cm="1">
        <f t="array" ref="D195">IF(ISBLANK($E196),IF(ISNUMBER($E194),IF($C195&gt;0,IF(($E195=INDEX(_xlfn.ANCHORARRAY(Sintesi!$C$14),1,$C195))*(INDEX(_xlfn.ANCHORARRAY(Sintesi!$C$15),1,$C195)&gt;0),0,IF(($E195=INDEX(_xlfn.ANCHORARRAY(Sintesi!$C$14),1,$C195))*(INDEX(_xlfn.ANCHORARRAY(Sintesi!$C$15),1,$C195)&lt;0)+($E195&gt;=$E194)*($E195&lt;=INDEX($E:$E,MATCH(TRUE,INDEX((ISNUMBER($E:$E)),0),0)))*($E195&gt;INDEX(_xlfn.ANCHORARRAY(Sintesi!$C$14),1,$C195))*($E195&lt;=INDEX(_xlfn.ANCHORARRAY(Sintesi!$C$15),1,$C195))*(INDEX(_xlfn.ANCHORARRAY(Sintesi!$C$15),1,$C195)&gt;0),1,IF(($E195&gt;=$E194)*($E195&lt;=INDEX($E:$E,MATCH(TRUE,INDEX((ISNUMBER($E:$E)),0),0)))*($E195&gt;INDEX(_xlfn.ANCHORARRAY(Sintesi!$C$14),1,$C195))*($E195&lt;INDEX(_xlfn.ANCHORARRAY(Sintesi!$C$16),1,$C195))*(INDEX(_xlfn.ANCHORARRAY(Sintesi!$C$15),1,$C195)&lt;0)+($E195&gt;=$E194)*($E195&lt;=INDEX($E:$E,MATCH(TRUE,INDEX((ISNUMBER($E:$E)),0),0)))*($E195&gt;INDEX(_xlfn.ANCHORARRAY(Sintesi!$C$15),1,$C195))*($E195&lt;INDEX(_xlfn.ANCHORARRAY(Sintesi!$C$16),1,$C195))*(INDEX(_xlfn.ANCHORARRAY(Sintesi!$C$15),1,$C195)&gt;0),2,IF($E195=(INDEX(_xlfn.ANCHORARRAY(Sintesi!$C$16),1,$C195)),3,4)))),0),IF($C195&gt;0,IF(($E195=INDEX(_xlfn.ANCHORARRAY(Sintesi!$C$14),1,$C195))*(INDEX(_xlfn.ANCHORARRAY(Sintesi!$C$15),1,$C195)&gt;0),0,IF(($E195=INDEX(_xlfn.ANCHORARRAY(Sintesi!$C$14),1,$C195))*(INDEX(_xlfn.ANCHORARRAY(Sintesi!$C$15),1,$C195)&lt;0)+($E195&gt;=LOOKUP(2,1/($E:$E&lt;&gt;""),$E:$E))*($E195&lt;=INDEX($E:$E,MATCH(TRUE,INDEX((ISNUMBER($E:$E)),0),0)))*($E195&gt;INDEX(_xlfn.ANCHORARRAY(Sintesi!$C$14),1,$C195))*($E195&lt;=INDEX(_xlfn.ANCHORARRAY(Sintesi!$C$15),1,$C195))*(INDEX(_xlfn.ANCHORARRAY(Sintesi!$C$15),1,$C195)&gt;0),1,IF(($E195&gt;=LOOKUP(2,1/($E:$E&lt;&gt;""),$E:$E))*($E195&lt;=INDEX($E:$E,MATCH(TRUE,INDEX((ISNUMBER($E:$E)),0),0)))*($E195&gt;INDEX(_xlfn.ANCHORARRAY(Sintesi!$C$14),1,$C195))*($E195&lt;INDEX(_xlfn.ANCHORARRAY(Sintesi!$C$16),1,$C195))*(INDEX(_xlfn.ANCHORARRAY(Sintesi!$C$15),1,$C195)&lt;0)+($E195&gt;=LOOKUP(2,1/($E:$E&lt;&gt;""),$E:$E))*($E195&lt;=INDEX($E:$E,MATCH(TRUE,INDEX((ISNUMBER($E:$E)),0),0)))*($E195&gt;INDEX(_xlfn.ANCHORARRAY(Sintesi!$C$15),1,$C195))*($E195&lt;INDEX(_xlfn.ANCHORARRAY(Sintesi!$C$16),1,$C195))*(INDEX(_xlfn.ANCHORARRAY(Sintesi!$C$15),1,$C195)&gt;0),2,IF($E195=(INDEX(_xlfn.ANCHORARRAY(Sintesi!$C$16),1,$C195)),3,4)))),0)),IF(ISNUMBER($E194),IF($C195&gt;0,IF(($E195=INDEX(_xlfn.ANCHORARRAY(Sintesi!$C$14),1,$C195))*(INDEX(_xlfn.ANCHORARRAY(Sintesi!$C$15),1,$C195)&gt;0),0,IF(($E195=INDEX(_xlfn.ANCHORARRAY(Sintesi!$C$14),1,$C195))*(INDEX(_xlfn.ANCHORARRAY(Sintesi!$C$15),1,$C195)&lt;0)+($E195&gt;=$E194)*($E195&lt;=$E196)*($E195&gt;INDEX(_xlfn.ANCHORARRAY(Sintesi!$C$14),1,$C195))*($E195&lt;=INDEX(_xlfn.ANCHORARRAY(Sintesi!$C$15),1,$C195))*(INDEX(_xlfn.ANCHORARRAY(Sintesi!$C$15),1,$C195)&gt;0),1,IF(($E195&gt;=$E194)*($E195&lt;=$E196)*($E195&gt;INDEX(_xlfn.ANCHORARRAY(Sintesi!$C$14),1,$C195))*($E195&lt;INDEX(_xlfn.ANCHORARRAY(Sintesi!$C$16),1,$C195))*(INDEX(_xlfn.ANCHORARRAY(Sintesi!$C$15),1,$C195)&lt;0)+($E195&gt;=$E194)*($E195&lt;=$E196)*($E195&gt;INDEX(_xlfn.ANCHORARRAY(Sintesi!$C$15),1,$C195))*($E195&lt;INDEX(_xlfn.ANCHORARRAY(Sintesi!$C$16),1,$C195))*(INDEX(_xlfn.ANCHORARRAY(Sintesi!$C$15),1,$C195)&gt;0),2,IF($E195=(INDEX(_xlfn.ANCHORARRAY(Sintesi!$C$16),1,$C195)),3,4)))),0),IF($C195&gt;0,IF(($E195=INDEX(_xlfn.ANCHORARRAY(Sintesi!$C$14),1,$C195))*(INDEX(_xlfn.ANCHORARRAY(Sintesi!$C$15),1,$C195)&gt;0),0,IF(($E195=INDEX(_xlfn.ANCHORARRAY(Sintesi!$C$14),1,$C195))*(INDEX(_xlfn.ANCHORARRAY(Sintesi!$C$15),1,$C195)&lt;0)+($E195&gt;=LOOKUP(2,1/($E:$E&lt;&gt;""),$E:$E))*($E195&lt;=$E196)*($E195&gt;INDEX(_xlfn.ANCHORARRAY(Sintesi!$C$14),1,$C195))*($E195&lt;=INDEX(_xlfn.ANCHORARRAY(Sintesi!$C$15),1,$C195))*(INDEX(_xlfn.ANCHORARRAY(Sintesi!$C$15),1,$C195)&gt;0),1,IF(($E195&gt;=LOOKUP(2,1/($E:$E&lt;&gt;""),$E:$E))*($E195&lt;=$E196)*($E195&gt;INDEX(_xlfn.ANCHORARRAY(Sintesi!$C$14),1,$C195))*($E195&lt;INDEX(_xlfn.ANCHORARRAY(Sintesi!$C$16),1,$C195))*(INDEX(_xlfn.ANCHORARRAY(Sintesi!$C$15),1,$C195)&lt;0)+($E195&gt;=LOOKUP(2,1/($E:$E&lt;&gt;""),$E:$E))*($E195&lt;=$E196)*($E195&gt;INDEX(_xlfn.ANCHORARRAY(Sintesi!$C$15),1,$C195))*($E195&lt;INDEX(_xlfn.ANCHORARRAY(Sintesi!$C$16),1,$C195))*(INDEX(_xlfn.ANCHORARRAY(Sintesi!$C$15),1,$C195)&gt;0),2,IF($E195=(INDEX(_xlfn.ANCHORARRAY(Sintesi!$C$16),1,$C195)),3,4)))),0)))</f>
        <v>3</v>
      </c>
      <c r="E195" s="1">
        <f>'Paste cell here'!F195</f>
        <v>1.046</v>
      </c>
      <c r="F195" s="1">
        <f>'Paste cell here'!C195</f>
        <v>29.156605030000001</v>
      </c>
      <c r="G195" s="1">
        <f>'Paste cell here'!D195</f>
        <v>16.215284570000001</v>
      </c>
      <c r="H195" s="1">
        <f>'Paste cell here'!E195</f>
        <v>5.0239775949999999</v>
      </c>
      <c r="I195" s="1">
        <f>'Paste cell here'!X195</f>
        <v>5.2546949859999996</v>
      </c>
      <c r="J195" s="1">
        <f>'Paste cell here'!Y195+'Paste cell here'!S195</f>
        <v>5.2546949859999996</v>
      </c>
      <c r="K195" s="1">
        <f t="shared" ref="K195:K258" si="7">I195/H195</f>
        <v>1.0459232523707145</v>
      </c>
      <c r="L195" s="1">
        <f t="shared" si="6"/>
        <v>24.955859101556836</v>
      </c>
      <c r="M195" s="1" cm="1">
        <f t="array" ref="M195">IF(AND(A195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,A195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),IF(L195&lt;_xlfn.IFNA(INDEX(_xlfn.ANCHORARRAY(Sintesi!$C$17)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,1,IF(L195&gt;=_xlfn.IFNA(INDEX(_xlfn.ANCHORARRAY(Sintesi!$C$18)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,0,1-(L195-_xlfn.IFNA(INDEX(_xlfn.ANCHORARRAY(Sintesi!$C$17)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)/(_xlfn.IFNA(INDEX(_xlfn.ANCHORARRAY(Sintesi!$C$18)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-_xlfn.IFNA(INDEX(_xlfn.ANCHORARRAY(Sintesi!$C$17),1,MATCH(1,(_xlfn.ANCHORARRAY(Sintesi!$C$9)&gt;_xlfn.ANCHORARRAY(Sintesi!$C$10))*(A194&gt;=_xlfn.ANCHORARRAY(Sintesi!$C$9))+(_xlfn.ANCHORARRAY(Sintesi!$C$9)&gt;_xlfn.ANCHORARRAY(Sintesi!$C$10))*(A194&lt;=_xlfn.ANCHORARRAY(Sintesi!$C$10))+(_xlfn.ANCHORARRAY(Sintesi!$C$9)&lt;_xlfn.ANCHORARRAY(Sintesi!$C$10))*(A194&gt;=_xlfn.ANCHORARRAY(Sintesi!$C$9))*(A194&lt;=_xlfn.ANCHORARRAY(Sintesi!$C$10)),0)),0)))),0)</f>
        <v>1</v>
      </c>
    </row>
    <row r="196" spans="1:13">
      <c r="A196" s="1">
        <f>'Paste cell here'!A196</f>
        <v>195</v>
      </c>
      <c r="B196" s="2">
        <f>DATE(Sintesi!$C$4-1,12,31)+A196</f>
        <v>44391</v>
      </c>
      <c r="C196" s="34" cm="1">
        <f t="array" ref="C196">_xlfn.IFNA(MATCH(1,(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)*(_xlfn.ANCHORARRAY(Sintesi!$C$15)&gt;=0)+(_xlfn.ANCHORARRAY(Sintesi!$C$15)&lt;0),0),0)</f>
        <v>1</v>
      </c>
      <c r="D196" s="1" cm="1">
        <f t="array" ref="D196">IF(ISBLANK($E197),IF(ISNUMBER($E195),IF($C196&gt;0,IF(($E196=INDEX(_xlfn.ANCHORARRAY(Sintesi!$C$14),1,$C196))*(INDEX(_xlfn.ANCHORARRAY(Sintesi!$C$15),1,$C196)&gt;0),0,IF(($E196=INDEX(_xlfn.ANCHORARRAY(Sintesi!$C$14),1,$C196))*(INDEX(_xlfn.ANCHORARRAY(Sintesi!$C$15),1,$C196)&lt;0)+($E196&gt;=$E195)*($E196&lt;=INDEX($E:$E,MATCH(TRUE,INDEX((ISNUMBER($E:$E)),0),0)))*($E196&gt;INDEX(_xlfn.ANCHORARRAY(Sintesi!$C$14),1,$C196))*($E196&lt;=INDEX(_xlfn.ANCHORARRAY(Sintesi!$C$15),1,$C196))*(INDEX(_xlfn.ANCHORARRAY(Sintesi!$C$15),1,$C196)&gt;0),1,IF(($E196&gt;=$E195)*($E196&lt;=INDEX($E:$E,MATCH(TRUE,INDEX((ISNUMBER($E:$E)),0),0)))*($E196&gt;INDEX(_xlfn.ANCHORARRAY(Sintesi!$C$14),1,$C196))*($E196&lt;INDEX(_xlfn.ANCHORARRAY(Sintesi!$C$16),1,$C196))*(INDEX(_xlfn.ANCHORARRAY(Sintesi!$C$15),1,$C196)&lt;0)+($E196&gt;=$E195)*($E196&lt;=INDEX($E:$E,MATCH(TRUE,INDEX((ISNUMBER($E:$E)),0),0)))*($E196&gt;INDEX(_xlfn.ANCHORARRAY(Sintesi!$C$15),1,$C196))*($E196&lt;INDEX(_xlfn.ANCHORARRAY(Sintesi!$C$16),1,$C196))*(INDEX(_xlfn.ANCHORARRAY(Sintesi!$C$15),1,$C196)&gt;0),2,IF($E196=(INDEX(_xlfn.ANCHORARRAY(Sintesi!$C$16),1,$C196)),3,4)))),0),IF($C196&gt;0,IF(($E196=INDEX(_xlfn.ANCHORARRAY(Sintesi!$C$14),1,$C196))*(INDEX(_xlfn.ANCHORARRAY(Sintesi!$C$15),1,$C196)&gt;0),0,IF(($E196=INDEX(_xlfn.ANCHORARRAY(Sintesi!$C$14),1,$C196))*(INDEX(_xlfn.ANCHORARRAY(Sintesi!$C$15),1,$C196)&lt;0)+($E196&gt;=LOOKUP(2,1/($E:$E&lt;&gt;""),$E:$E))*($E196&lt;=INDEX($E:$E,MATCH(TRUE,INDEX((ISNUMBER($E:$E)),0),0)))*($E196&gt;INDEX(_xlfn.ANCHORARRAY(Sintesi!$C$14),1,$C196))*($E196&lt;=INDEX(_xlfn.ANCHORARRAY(Sintesi!$C$15),1,$C196))*(INDEX(_xlfn.ANCHORARRAY(Sintesi!$C$15),1,$C196)&gt;0),1,IF(($E196&gt;=LOOKUP(2,1/($E:$E&lt;&gt;""),$E:$E))*($E196&lt;=INDEX($E:$E,MATCH(TRUE,INDEX((ISNUMBER($E:$E)),0),0)))*($E196&gt;INDEX(_xlfn.ANCHORARRAY(Sintesi!$C$14),1,$C196))*($E196&lt;INDEX(_xlfn.ANCHORARRAY(Sintesi!$C$16),1,$C196))*(INDEX(_xlfn.ANCHORARRAY(Sintesi!$C$15),1,$C196)&lt;0)+($E196&gt;=LOOKUP(2,1/($E:$E&lt;&gt;""),$E:$E))*($E196&lt;=INDEX($E:$E,MATCH(TRUE,INDEX((ISNUMBER($E:$E)),0),0)))*($E196&gt;INDEX(_xlfn.ANCHORARRAY(Sintesi!$C$15),1,$C196))*($E196&lt;INDEX(_xlfn.ANCHORARRAY(Sintesi!$C$16),1,$C196))*(INDEX(_xlfn.ANCHORARRAY(Sintesi!$C$15),1,$C196)&gt;0),2,IF($E196=(INDEX(_xlfn.ANCHORARRAY(Sintesi!$C$16),1,$C196)),3,4)))),0)),IF(ISNUMBER($E195),IF($C196&gt;0,IF(($E196=INDEX(_xlfn.ANCHORARRAY(Sintesi!$C$14),1,$C196))*(INDEX(_xlfn.ANCHORARRAY(Sintesi!$C$15),1,$C196)&gt;0),0,IF(($E196=INDEX(_xlfn.ANCHORARRAY(Sintesi!$C$14),1,$C196))*(INDEX(_xlfn.ANCHORARRAY(Sintesi!$C$15),1,$C196)&lt;0)+($E196&gt;=$E195)*($E196&lt;=$E197)*($E196&gt;INDEX(_xlfn.ANCHORARRAY(Sintesi!$C$14),1,$C196))*($E196&lt;=INDEX(_xlfn.ANCHORARRAY(Sintesi!$C$15),1,$C196))*(INDEX(_xlfn.ANCHORARRAY(Sintesi!$C$15),1,$C196)&gt;0),1,IF(($E196&gt;=$E195)*($E196&lt;=$E197)*($E196&gt;INDEX(_xlfn.ANCHORARRAY(Sintesi!$C$14),1,$C196))*($E196&lt;INDEX(_xlfn.ANCHORARRAY(Sintesi!$C$16),1,$C196))*(INDEX(_xlfn.ANCHORARRAY(Sintesi!$C$15),1,$C196)&lt;0)+($E196&gt;=$E195)*($E196&lt;=$E197)*($E196&gt;INDEX(_xlfn.ANCHORARRAY(Sintesi!$C$15),1,$C196))*($E196&lt;INDEX(_xlfn.ANCHORARRAY(Sintesi!$C$16),1,$C196))*(INDEX(_xlfn.ANCHORARRAY(Sintesi!$C$15),1,$C196)&gt;0),2,IF($E196=(INDEX(_xlfn.ANCHORARRAY(Sintesi!$C$16),1,$C196)),3,4)))),0),IF($C196&gt;0,IF(($E196=INDEX(_xlfn.ANCHORARRAY(Sintesi!$C$14),1,$C196))*(INDEX(_xlfn.ANCHORARRAY(Sintesi!$C$15),1,$C196)&gt;0),0,IF(($E196=INDEX(_xlfn.ANCHORARRAY(Sintesi!$C$14),1,$C196))*(INDEX(_xlfn.ANCHORARRAY(Sintesi!$C$15),1,$C196)&lt;0)+($E196&gt;=LOOKUP(2,1/($E:$E&lt;&gt;""),$E:$E))*($E196&lt;=$E197)*($E196&gt;INDEX(_xlfn.ANCHORARRAY(Sintesi!$C$14),1,$C196))*($E196&lt;=INDEX(_xlfn.ANCHORARRAY(Sintesi!$C$15),1,$C196))*(INDEX(_xlfn.ANCHORARRAY(Sintesi!$C$15),1,$C196)&gt;0),1,IF(($E196&gt;=LOOKUP(2,1/($E:$E&lt;&gt;""),$E:$E))*($E196&lt;=$E197)*($E196&gt;INDEX(_xlfn.ANCHORARRAY(Sintesi!$C$14),1,$C196))*($E196&lt;INDEX(_xlfn.ANCHORARRAY(Sintesi!$C$16),1,$C196))*(INDEX(_xlfn.ANCHORARRAY(Sintesi!$C$15),1,$C196)&lt;0)+($E196&gt;=LOOKUP(2,1/($E:$E&lt;&gt;""),$E:$E))*($E196&lt;=$E197)*($E196&gt;INDEX(_xlfn.ANCHORARRAY(Sintesi!$C$15),1,$C196))*($E196&lt;INDEX(_xlfn.ANCHORARRAY(Sintesi!$C$16),1,$C196))*(INDEX(_xlfn.ANCHORARRAY(Sintesi!$C$15),1,$C196)&gt;0),2,IF($E196=(INDEX(_xlfn.ANCHORARRAY(Sintesi!$C$16),1,$C196)),3,4)))),0)))</f>
        <v>3</v>
      </c>
      <c r="E196" s="1">
        <f>'Paste cell here'!F196</f>
        <v>1.046</v>
      </c>
      <c r="F196" s="1">
        <f>'Paste cell here'!C196</f>
        <v>25.28201949</v>
      </c>
      <c r="G196" s="1">
        <f>'Paste cell here'!D196</f>
        <v>14.5688511</v>
      </c>
      <c r="H196" s="1">
        <f>'Paste cell here'!E196</f>
        <v>4.2976466909999997</v>
      </c>
      <c r="I196" s="1">
        <f>'Paste cell here'!X196</f>
        <v>4.4950180279999996</v>
      </c>
      <c r="J196" s="1">
        <f>'Paste cell here'!Y196+'Paste cell here'!S196</f>
        <v>4.4950180279999996</v>
      </c>
      <c r="K196" s="1">
        <f t="shared" si="7"/>
        <v>1.0459254450612072</v>
      </c>
      <c r="L196" s="1">
        <f t="shared" si="6"/>
        <v>21.804530571143687</v>
      </c>
      <c r="M196" s="1" cm="1">
        <f t="array" ref="M196">IF(AND(A196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,A196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),IF(L196&lt;_xlfn.IFNA(INDEX(_xlfn.ANCHORARRAY(Sintesi!$C$17)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,1,IF(L196&gt;=_xlfn.IFNA(INDEX(_xlfn.ANCHORARRAY(Sintesi!$C$18)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,0,1-(L196-_xlfn.IFNA(INDEX(_xlfn.ANCHORARRAY(Sintesi!$C$17)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)/(_xlfn.IFNA(INDEX(_xlfn.ANCHORARRAY(Sintesi!$C$18)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-_xlfn.IFNA(INDEX(_xlfn.ANCHORARRAY(Sintesi!$C$17),1,MATCH(1,(_xlfn.ANCHORARRAY(Sintesi!$C$9)&gt;_xlfn.ANCHORARRAY(Sintesi!$C$10))*(A195&gt;=_xlfn.ANCHORARRAY(Sintesi!$C$9))+(_xlfn.ANCHORARRAY(Sintesi!$C$9)&gt;_xlfn.ANCHORARRAY(Sintesi!$C$10))*(A195&lt;=_xlfn.ANCHORARRAY(Sintesi!$C$10))+(_xlfn.ANCHORARRAY(Sintesi!$C$9)&lt;_xlfn.ANCHORARRAY(Sintesi!$C$10))*(A195&gt;=_xlfn.ANCHORARRAY(Sintesi!$C$9))*(A195&lt;=_xlfn.ANCHORARRAY(Sintesi!$C$10)),0)),0)))),0)</f>
        <v>1</v>
      </c>
    </row>
    <row r="197" spans="1:13">
      <c r="A197" s="1">
        <f>'Paste cell here'!A197</f>
        <v>196</v>
      </c>
      <c r="B197" s="2">
        <f>DATE(Sintesi!$C$4-1,12,31)+A197</f>
        <v>44392</v>
      </c>
      <c r="C197" s="34" cm="1">
        <f t="array" ref="C197">_xlfn.IFNA(MATCH(1,(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)*(_xlfn.ANCHORARRAY(Sintesi!$C$15)&gt;=0)+(_xlfn.ANCHORARRAY(Sintesi!$C$15)&lt;0),0),0)</f>
        <v>1</v>
      </c>
      <c r="D197" s="1" cm="1">
        <f t="array" ref="D197">IF(ISBLANK($E198),IF(ISNUMBER($E196),IF($C197&gt;0,IF(($E197=INDEX(_xlfn.ANCHORARRAY(Sintesi!$C$14),1,$C197))*(INDEX(_xlfn.ANCHORARRAY(Sintesi!$C$15),1,$C197)&gt;0),0,IF(($E197=INDEX(_xlfn.ANCHORARRAY(Sintesi!$C$14),1,$C197))*(INDEX(_xlfn.ANCHORARRAY(Sintesi!$C$15),1,$C197)&lt;0)+($E197&gt;=$E196)*($E197&lt;=INDEX($E:$E,MATCH(TRUE,INDEX((ISNUMBER($E:$E)),0),0)))*($E197&gt;INDEX(_xlfn.ANCHORARRAY(Sintesi!$C$14),1,$C197))*($E197&lt;=INDEX(_xlfn.ANCHORARRAY(Sintesi!$C$15),1,$C197))*(INDEX(_xlfn.ANCHORARRAY(Sintesi!$C$15),1,$C197)&gt;0),1,IF(($E197&gt;=$E196)*($E197&lt;=INDEX($E:$E,MATCH(TRUE,INDEX((ISNUMBER($E:$E)),0),0)))*($E197&gt;INDEX(_xlfn.ANCHORARRAY(Sintesi!$C$14),1,$C197))*($E197&lt;INDEX(_xlfn.ANCHORARRAY(Sintesi!$C$16),1,$C197))*(INDEX(_xlfn.ANCHORARRAY(Sintesi!$C$15),1,$C197)&lt;0)+($E197&gt;=$E196)*($E197&lt;=INDEX($E:$E,MATCH(TRUE,INDEX((ISNUMBER($E:$E)),0),0)))*($E197&gt;INDEX(_xlfn.ANCHORARRAY(Sintesi!$C$15),1,$C197))*($E197&lt;INDEX(_xlfn.ANCHORARRAY(Sintesi!$C$16),1,$C197))*(INDEX(_xlfn.ANCHORARRAY(Sintesi!$C$15),1,$C197)&gt;0),2,IF($E197=(INDEX(_xlfn.ANCHORARRAY(Sintesi!$C$16),1,$C197)),3,4)))),0),IF($C197&gt;0,IF(($E197=INDEX(_xlfn.ANCHORARRAY(Sintesi!$C$14),1,$C197))*(INDEX(_xlfn.ANCHORARRAY(Sintesi!$C$15),1,$C197)&gt;0),0,IF(($E197=INDEX(_xlfn.ANCHORARRAY(Sintesi!$C$14),1,$C197))*(INDEX(_xlfn.ANCHORARRAY(Sintesi!$C$15),1,$C197)&lt;0)+($E197&gt;=LOOKUP(2,1/($E:$E&lt;&gt;""),$E:$E))*($E197&lt;=INDEX($E:$E,MATCH(TRUE,INDEX((ISNUMBER($E:$E)),0),0)))*($E197&gt;INDEX(_xlfn.ANCHORARRAY(Sintesi!$C$14),1,$C197))*($E197&lt;=INDEX(_xlfn.ANCHORARRAY(Sintesi!$C$15),1,$C197))*(INDEX(_xlfn.ANCHORARRAY(Sintesi!$C$15),1,$C197)&gt;0),1,IF(($E197&gt;=LOOKUP(2,1/($E:$E&lt;&gt;""),$E:$E))*($E197&lt;=INDEX($E:$E,MATCH(TRUE,INDEX((ISNUMBER($E:$E)),0),0)))*($E197&gt;INDEX(_xlfn.ANCHORARRAY(Sintesi!$C$14),1,$C197))*($E197&lt;INDEX(_xlfn.ANCHORARRAY(Sintesi!$C$16),1,$C197))*(INDEX(_xlfn.ANCHORARRAY(Sintesi!$C$15),1,$C197)&lt;0)+($E197&gt;=LOOKUP(2,1/($E:$E&lt;&gt;""),$E:$E))*($E197&lt;=INDEX($E:$E,MATCH(TRUE,INDEX((ISNUMBER($E:$E)),0),0)))*($E197&gt;INDEX(_xlfn.ANCHORARRAY(Sintesi!$C$15),1,$C197))*($E197&lt;INDEX(_xlfn.ANCHORARRAY(Sintesi!$C$16),1,$C197))*(INDEX(_xlfn.ANCHORARRAY(Sintesi!$C$15),1,$C197)&gt;0),2,IF($E197=(INDEX(_xlfn.ANCHORARRAY(Sintesi!$C$16),1,$C197)),3,4)))),0)),IF(ISNUMBER($E196),IF($C197&gt;0,IF(($E197=INDEX(_xlfn.ANCHORARRAY(Sintesi!$C$14),1,$C197))*(INDEX(_xlfn.ANCHORARRAY(Sintesi!$C$15),1,$C197)&gt;0),0,IF(($E197=INDEX(_xlfn.ANCHORARRAY(Sintesi!$C$14),1,$C197))*(INDEX(_xlfn.ANCHORARRAY(Sintesi!$C$15),1,$C197)&lt;0)+($E197&gt;=$E196)*($E197&lt;=$E198)*($E197&gt;INDEX(_xlfn.ANCHORARRAY(Sintesi!$C$14),1,$C197))*($E197&lt;=INDEX(_xlfn.ANCHORARRAY(Sintesi!$C$15),1,$C197))*(INDEX(_xlfn.ANCHORARRAY(Sintesi!$C$15),1,$C197)&gt;0),1,IF(($E197&gt;=$E196)*($E197&lt;=$E198)*($E197&gt;INDEX(_xlfn.ANCHORARRAY(Sintesi!$C$14),1,$C197))*($E197&lt;INDEX(_xlfn.ANCHORARRAY(Sintesi!$C$16),1,$C197))*(INDEX(_xlfn.ANCHORARRAY(Sintesi!$C$15),1,$C197)&lt;0)+($E197&gt;=$E196)*($E197&lt;=$E198)*($E197&gt;INDEX(_xlfn.ANCHORARRAY(Sintesi!$C$15),1,$C197))*($E197&lt;INDEX(_xlfn.ANCHORARRAY(Sintesi!$C$16),1,$C197))*(INDEX(_xlfn.ANCHORARRAY(Sintesi!$C$15),1,$C197)&gt;0),2,IF($E197=(INDEX(_xlfn.ANCHORARRAY(Sintesi!$C$16),1,$C197)),3,4)))),0),IF($C197&gt;0,IF(($E197=INDEX(_xlfn.ANCHORARRAY(Sintesi!$C$14),1,$C197))*(INDEX(_xlfn.ANCHORARRAY(Sintesi!$C$15),1,$C197)&gt;0),0,IF(($E197=INDEX(_xlfn.ANCHORARRAY(Sintesi!$C$14),1,$C197))*(INDEX(_xlfn.ANCHORARRAY(Sintesi!$C$15),1,$C197)&lt;0)+($E197&gt;=LOOKUP(2,1/($E:$E&lt;&gt;""),$E:$E))*($E197&lt;=$E198)*($E197&gt;INDEX(_xlfn.ANCHORARRAY(Sintesi!$C$14),1,$C197))*($E197&lt;=INDEX(_xlfn.ANCHORARRAY(Sintesi!$C$15),1,$C197))*(INDEX(_xlfn.ANCHORARRAY(Sintesi!$C$15),1,$C197)&gt;0),1,IF(($E197&gt;=LOOKUP(2,1/($E:$E&lt;&gt;""),$E:$E))*($E197&lt;=$E198)*($E197&gt;INDEX(_xlfn.ANCHORARRAY(Sintesi!$C$14),1,$C197))*($E197&lt;INDEX(_xlfn.ANCHORARRAY(Sintesi!$C$16),1,$C197))*(INDEX(_xlfn.ANCHORARRAY(Sintesi!$C$15),1,$C197)&lt;0)+($E197&gt;=LOOKUP(2,1/($E:$E&lt;&gt;""),$E:$E))*($E197&lt;=$E198)*($E197&gt;INDEX(_xlfn.ANCHORARRAY(Sintesi!$C$15),1,$C197))*($E197&lt;INDEX(_xlfn.ANCHORARRAY(Sintesi!$C$16),1,$C197))*(INDEX(_xlfn.ANCHORARRAY(Sintesi!$C$15),1,$C197)&gt;0),2,IF($E197=(INDEX(_xlfn.ANCHORARRAY(Sintesi!$C$16),1,$C197)),3,4)))),0)))</f>
        <v>3</v>
      </c>
      <c r="E197" s="1">
        <f>'Paste cell here'!F197</f>
        <v>1.046</v>
      </c>
      <c r="F197" s="1">
        <f>'Paste cell here'!C197</f>
        <v>27.756605029999999</v>
      </c>
      <c r="G197" s="1">
        <f>'Paste cell here'!D197</f>
        <v>16.62545613</v>
      </c>
      <c r="H197" s="1">
        <f>'Paste cell here'!E197</f>
        <v>3.9719858989999999</v>
      </c>
      <c r="I197" s="1">
        <f>'Paste cell here'!X197</f>
        <v>4.1544099430000001</v>
      </c>
      <c r="J197" s="1">
        <f>'Paste cell here'!Y197+'Paste cell here'!S197</f>
        <v>4.1544099430000001</v>
      </c>
      <c r="K197" s="1">
        <f t="shared" si="7"/>
        <v>1.0459276665725143</v>
      </c>
      <c r="L197" s="1">
        <f t="shared" si="6"/>
        <v>24.143439853764988</v>
      </c>
      <c r="M197" s="1" cm="1">
        <f t="array" ref="M197">IF(AND(A197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,A197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),IF(L197&lt;_xlfn.IFNA(INDEX(_xlfn.ANCHORARRAY(Sintesi!$C$17)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,1,IF(L197&gt;=_xlfn.IFNA(INDEX(_xlfn.ANCHORARRAY(Sintesi!$C$18)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,0,1-(L197-_xlfn.IFNA(INDEX(_xlfn.ANCHORARRAY(Sintesi!$C$17)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)/(_xlfn.IFNA(INDEX(_xlfn.ANCHORARRAY(Sintesi!$C$18)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-_xlfn.IFNA(INDEX(_xlfn.ANCHORARRAY(Sintesi!$C$17),1,MATCH(1,(_xlfn.ANCHORARRAY(Sintesi!$C$9)&gt;_xlfn.ANCHORARRAY(Sintesi!$C$10))*(A196&gt;=_xlfn.ANCHORARRAY(Sintesi!$C$9))+(_xlfn.ANCHORARRAY(Sintesi!$C$9)&gt;_xlfn.ANCHORARRAY(Sintesi!$C$10))*(A196&lt;=_xlfn.ANCHORARRAY(Sintesi!$C$10))+(_xlfn.ANCHORARRAY(Sintesi!$C$9)&lt;_xlfn.ANCHORARRAY(Sintesi!$C$10))*(A196&gt;=_xlfn.ANCHORARRAY(Sintesi!$C$9))*(A196&lt;=_xlfn.ANCHORARRAY(Sintesi!$C$10)),0)),0)))),0)</f>
        <v>1</v>
      </c>
    </row>
    <row r="198" spans="1:13">
      <c r="A198" s="1">
        <f>'Paste cell here'!A198</f>
        <v>197</v>
      </c>
      <c r="B198" s="2">
        <f>DATE(Sintesi!$C$4-1,12,31)+A198</f>
        <v>44393</v>
      </c>
      <c r="C198" s="34" cm="1">
        <f t="array" ref="C198">_xlfn.IFNA(MATCH(1,(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)*(_xlfn.ANCHORARRAY(Sintesi!$C$15)&gt;=0)+(_xlfn.ANCHORARRAY(Sintesi!$C$15)&lt;0),0),0)</f>
        <v>1</v>
      </c>
      <c r="D198" s="1" cm="1">
        <f t="array" ref="D198">IF(ISBLANK($E199),IF(ISNUMBER($E197),IF($C198&gt;0,IF(($E198=INDEX(_xlfn.ANCHORARRAY(Sintesi!$C$14),1,$C198))*(INDEX(_xlfn.ANCHORARRAY(Sintesi!$C$15),1,$C198)&gt;0),0,IF(($E198=INDEX(_xlfn.ANCHORARRAY(Sintesi!$C$14),1,$C198))*(INDEX(_xlfn.ANCHORARRAY(Sintesi!$C$15),1,$C198)&lt;0)+($E198&gt;=$E197)*($E198&lt;=INDEX($E:$E,MATCH(TRUE,INDEX((ISNUMBER($E:$E)),0),0)))*($E198&gt;INDEX(_xlfn.ANCHORARRAY(Sintesi!$C$14),1,$C198))*($E198&lt;=INDEX(_xlfn.ANCHORARRAY(Sintesi!$C$15),1,$C198))*(INDEX(_xlfn.ANCHORARRAY(Sintesi!$C$15),1,$C198)&gt;0),1,IF(($E198&gt;=$E197)*($E198&lt;=INDEX($E:$E,MATCH(TRUE,INDEX((ISNUMBER($E:$E)),0),0)))*($E198&gt;INDEX(_xlfn.ANCHORARRAY(Sintesi!$C$14),1,$C198))*($E198&lt;INDEX(_xlfn.ANCHORARRAY(Sintesi!$C$16),1,$C198))*(INDEX(_xlfn.ANCHORARRAY(Sintesi!$C$15),1,$C198)&lt;0)+($E198&gt;=$E197)*($E198&lt;=INDEX($E:$E,MATCH(TRUE,INDEX((ISNUMBER($E:$E)),0),0)))*($E198&gt;INDEX(_xlfn.ANCHORARRAY(Sintesi!$C$15),1,$C198))*($E198&lt;INDEX(_xlfn.ANCHORARRAY(Sintesi!$C$16),1,$C198))*(INDEX(_xlfn.ANCHORARRAY(Sintesi!$C$15),1,$C198)&gt;0),2,IF($E198=(INDEX(_xlfn.ANCHORARRAY(Sintesi!$C$16),1,$C198)),3,4)))),0),IF($C198&gt;0,IF(($E198=INDEX(_xlfn.ANCHORARRAY(Sintesi!$C$14),1,$C198))*(INDEX(_xlfn.ANCHORARRAY(Sintesi!$C$15),1,$C198)&gt;0),0,IF(($E198=INDEX(_xlfn.ANCHORARRAY(Sintesi!$C$14),1,$C198))*(INDEX(_xlfn.ANCHORARRAY(Sintesi!$C$15),1,$C198)&lt;0)+($E198&gt;=LOOKUP(2,1/($E:$E&lt;&gt;""),$E:$E))*($E198&lt;=INDEX($E:$E,MATCH(TRUE,INDEX((ISNUMBER($E:$E)),0),0)))*($E198&gt;INDEX(_xlfn.ANCHORARRAY(Sintesi!$C$14),1,$C198))*($E198&lt;=INDEX(_xlfn.ANCHORARRAY(Sintesi!$C$15),1,$C198))*(INDEX(_xlfn.ANCHORARRAY(Sintesi!$C$15),1,$C198)&gt;0),1,IF(($E198&gt;=LOOKUP(2,1/($E:$E&lt;&gt;""),$E:$E))*($E198&lt;=INDEX($E:$E,MATCH(TRUE,INDEX((ISNUMBER($E:$E)),0),0)))*($E198&gt;INDEX(_xlfn.ANCHORARRAY(Sintesi!$C$14),1,$C198))*($E198&lt;INDEX(_xlfn.ANCHORARRAY(Sintesi!$C$16),1,$C198))*(INDEX(_xlfn.ANCHORARRAY(Sintesi!$C$15),1,$C198)&lt;0)+($E198&gt;=LOOKUP(2,1/($E:$E&lt;&gt;""),$E:$E))*($E198&lt;=INDEX($E:$E,MATCH(TRUE,INDEX((ISNUMBER($E:$E)),0),0)))*($E198&gt;INDEX(_xlfn.ANCHORARRAY(Sintesi!$C$15),1,$C198))*($E198&lt;INDEX(_xlfn.ANCHORARRAY(Sintesi!$C$16),1,$C198))*(INDEX(_xlfn.ANCHORARRAY(Sintesi!$C$15),1,$C198)&gt;0),2,IF($E198=(INDEX(_xlfn.ANCHORARRAY(Sintesi!$C$16),1,$C198)),3,4)))),0)),IF(ISNUMBER($E197),IF($C198&gt;0,IF(($E198=INDEX(_xlfn.ANCHORARRAY(Sintesi!$C$14),1,$C198))*(INDEX(_xlfn.ANCHORARRAY(Sintesi!$C$15),1,$C198)&gt;0),0,IF(($E198=INDEX(_xlfn.ANCHORARRAY(Sintesi!$C$14),1,$C198))*(INDEX(_xlfn.ANCHORARRAY(Sintesi!$C$15),1,$C198)&lt;0)+($E198&gt;=$E197)*($E198&lt;=$E199)*($E198&gt;INDEX(_xlfn.ANCHORARRAY(Sintesi!$C$14),1,$C198))*($E198&lt;=INDEX(_xlfn.ANCHORARRAY(Sintesi!$C$15),1,$C198))*(INDEX(_xlfn.ANCHORARRAY(Sintesi!$C$15),1,$C198)&gt;0),1,IF(($E198&gt;=$E197)*($E198&lt;=$E199)*($E198&gt;INDEX(_xlfn.ANCHORARRAY(Sintesi!$C$14),1,$C198))*($E198&lt;INDEX(_xlfn.ANCHORARRAY(Sintesi!$C$16),1,$C198))*(INDEX(_xlfn.ANCHORARRAY(Sintesi!$C$15),1,$C198)&lt;0)+($E198&gt;=$E197)*($E198&lt;=$E199)*($E198&gt;INDEX(_xlfn.ANCHORARRAY(Sintesi!$C$15),1,$C198))*($E198&lt;INDEX(_xlfn.ANCHORARRAY(Sintesi!$C$16),1,$C198))*(INDEX(_xlfn.ANCHORARRAY(Sintesi!$C$15),1,$C198)&gt;0),2,IF($E198=(INDEX(_xlfn.ANCHORARRAY(Sintesi!$C$16),1,$C198)),3,4)))),0),IF($C198&gt;0,IF(($E198=INDEX(_xlfn.ANCHORARRAY(Sintesi!$C$14),1,$C198))*(INDEX(_xlfn.ANCHORARRAY(Sintesi!$C$15),1,$C198)&gt;0),0,IF(($E198=INDEX(_xlfn.ANCHORARRAY(Sintesi!$C$14),1,$C198))*(INDEX(_xlfn.ANCHORARRAY(Sintesi!$C$15),1,$C198)&lt;0)+($E198&gt;=LOOKUP(2,1/($E:$E&lt;&gt;""),$E:$E))*($E198&lt;=$E199)*($E198&gt;INDEX(_xlfn.ANCHORARRAY(Sintesi!$C$14),1,$C198))*($E198&lt;=INDEX(_xlfn.ANCHORARRAY(Sintesi!$C$15),1,$C198))*(INDEX(_xlfn.ANCHORARRAY(Sintesi!$C$15),1,$C198)&gt;0),1,IF(($E198&gt;=LOOKUP(2,1/($E:$E&lt;&gt;""),$E:$E))*($E198&lt;=$E199)*($E198&gt;INDEX(_xlfn.ANCHORARRAY(Sintesi!$C$14),1,$C198))*($E198&lt;INDEX(_xlfn.ANCHORARRAY(Sintesi!$C$16),1,$C198))*(INDEX(_xlfn.ANCHORARRAY(Sintesi!$C$15),1,$C198)&lt;0)+($E198&gt;=LOOKUP(2,1/($E:$E&lt;&gt;""),$E:$E))*($E198&lt;=$E199)*($E198&gt;INDEX(_xlfn.ANCHORARRAY(Sintesi!$C$15),1,$C198))*($E198&lt;INDEX(_xlfn.ANCHORARRAY(Sintesi!$C$16),1,$C198))*(INDEX(_xlfn.ANCHORARRAY(Sintesi!$C$15),1,$C198)&gt;0),2,IF($E198=(INDEX(_xlfn.ANCHORARRAY(Sintesi!$C$16),1,$C198)),3,4)))),0)))</f>
        <v>3</v>
      </c>
      <c r="E198" s="1">
        <f>'Paste cell here'!F198</f>
        <v>1.046</v>
      </c>
      <c r="F198" s="1">
        <f>'Paste cell here'!C198</f>
        <v>29.91798051</v>
      </c>
      <c r="G198" s="1">
        <f>'Paste cell here'!D198</f>
        <v>16.17201567</v>
      </c>
      <c r="H198" s="1">
        <f>'Paste cell here'!E198</f>
        <v>4.9105167060000001</v>
      </c>
      <c r="I198" s="1">
        <f>'Paste cell here'!X198</f>
        <v>5.1360562959999996</v>
      </c>
      <c r="J198" s="1">
        <f>'Paste cell here'!Y198+'Paste cell here'!S198</f>
        <v>5.1360562959999996</v>
      </c>
      <c r="K198" s="1">
        <f t="shared" si="7"/>
        <v>1.0459299099266723</v>
      </c>
      <c r="L198" s="1">
        <f t="shared" si="6"/>
        <v>25.4560474319474</v>
      </c>
      <c r="M198" s="1" cm="1">
        <f t="array" ref="M198">IF(AND(A198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,A198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),IF(L198&lt;_xlfn.IFNA(INDEX(_xlfn.ANCHORARRAY(Sintesi!$C$17)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,1,IF(L198&gt;=_xlfn.IFNA(INDEX(_xlfn.ANCHORARRAY(Sintesi!$C$18)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,0,1-(L198-_xlfn.IFNA(INDEX(_xlfn.ANCHORARRAY(Sintesi!$C$17)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)/(_xlfn.IFNA(INDEX(_xlfn.ANCHORARRAY(Sintesi!$C$18)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-_xlfn.IFNA(INDEX(_xlfn.ANCHORARRAY(Sintesi!$C$17),1,MATCH(1,(_xlfn.ANCHORARRAY(Sintesi!$C$9)&gt;_xlfn.ANCHORARRAY(Sintesi!$C$10))*(A197&gt;=_xlfn.ANCHORARRAY(Sintesi!$C$9))+(_xlfn.ANCHORARRAY(Sintesi!$C$9)&gt;_xlfn.ANCHORARRAY(Sintesi!$C$10))*(A197&lt;=_xlfn.ANCHORARRAY(Sintesi!$C$10))+(_xlfn.ANCHORARRAY(Sintesi!$C$9)&lt;_xlfn.ANCHORARRAY(Sintesi!$C$10))*(A197&gt;=_xlfn.ANCHORARRAY(Sintesi!$C$9))*(A197&lt;=_xlfn.ANCHORARRAY(Sintesi!$C$10)),0)),0)))),0)</f>
        <v>1</v>
      </c>
    </row>
    <row r="199" spans="1:13">
      <c r="A199" s="1">
        <f>'Paste cell here'!A199</f>
        <v>198</v>
      </c>
      <c r="B199" s="2">
        <f>DATE(Sintesi!$C$4-1,12,31)+A199</f>
        <v>44394</v>
      </c>
      <c r="C199" s="34" cm="1">
        <f t="array" ref="C199">_xlfn.IFNA(MATCH(1,(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)*(_xlfn.ANCHORARRAY(Sintesi!$C$15)&gt;=0)+(_xlfn.ANCHORARRAY(Sintesi!$C$15)&lt;0),0),0)</f>
        <v>1</v>
      </c>
      <c r="D199" s="1" cm="1">
        <f t="array" ref="D199">IF(ISBLANK($E200),IF(ISNUMBER($E198),IF($C199&gt;0,IF(($E199=INDEX(_xlfn.ANCHORARRAY(Sintesi!$C$14),1,$C199))*(INDEX(_xlfn.ANCHORARRAY(Sintesi!$C$15),1,$C199)&gt;0),0,IF(($E199=INDEX(_xlfn.ANCHORARRAY(Sintesi!$C$14),1,$C199))*(INDEX(_xlfn.ANCHORARRAY(Sintesi!$C$15),1,$C199)&lt;0)+($E199&gt;=$E198)*($E199&lt;=INDEX($E:$E,MATCH(TRUE,INDEX((ISNUMBER($E:$E)),0),0)))*($E199&gt;INDEX(_xlfn.ANCHORARRAY(Sintesi!$C$14),1,$C199))*($E199&lt;=INDEX(_xlfn.ANCHORARRAY(Sintesi!$C$15),1,$C199))*(INDEX(_xlfn.ANCHORARRAY(Sintesi!$C$15),1,$C199)&gt;0),1,IF(($E199&gt;=$E198)*($E199&lt;=INDEX($E:$E,MATCH(TRUE,INDEX((ISNUMBER($E:$E)),0),0)))*($E199&gt;INDEX(_xlfn.ANCHORARRAY(Sintesi!$C$14),1,$C199))*($E199&lt;INDEX(_xlfn.ANCHORARRAY(Sintesi!$C$16),1,$C199))*(INDEX(_xlfn.ANCHORARRAY(Sintesi!$C$15),1,$C199)&lt;0)+($E199&gt;=$E198)*($E199&lt;=INDEX($E:$E,MATCH(TRUE,INDEX((ISNUMBER($E:$E)),0),0)))*($E199&gt;INDEX(_xlfn.ANCHORARRAY(Sintesi!$C$15),1,$C199))*($E199&lt;INDEX(_xlfn.ANCHORARRAY(Sintesi!$C$16),1,$C199))*(INDEX(_xlfn.ANCHORARRAY(Sintesi!$C$15),1,$C199)&gt;0),2,IF($E199=(INDEX(_xlfn.ANCHORARRAY(Sintesi!$C$16),1,$C199)),3,4)))),0),IF($C199&gt;0,IF(($E199=INDEX(_xlfn.ANCHORARRAY(Sintesi!$C$14),1,$C199))*(INDEX(_xlfn.ANCHORARRAY(Sintesi!$C$15),1,$C199)&gt;0),0,IF(($E199=INDEX(_xlfn.ANCHORARRAY(Sintesi!$C$14),1,$C199))*(INDEX(_xlfn.ANCHORARRAY(Sintesi!$C$15),1,$C199)&lt;0)+($E199&gt;=LOOKUP(2,1/($E:$E&lt;&gt;""),$E:$E))*($E199&lt;=INDEX($E:$E,MATCH(TRUE,INDEX((ISNUMBER($E:$E)),0),0)))*($E199&gt;INDEX(_xlfn.ANCHORARRAY(Sintesi!$C$14),1,$C199))*($E199&lt;=INDEX(_xlfn.ANCHORARRAY(Sintesi!$C$15),1,$C199))*(INDEX(_xlfn.ANCHORARRAY(Sintesi!$C$15),1,$C199)&gt;0),1,IF(($E199&gt;=LOOKUP(2,1/($E:$E&lt;&gt;""),$E:$E))*($E199&lt;=INDEX($E:$E,MATCH(TRUE,INDEX((ISNUMBER($E:$E)),0),0)))*($E199&gt;INDEX(_xlfn.ANCHORARRAY(Sintesi!$C$14),1,$C199))*($E199&lt;INDEX(_xlfn.ANCHORARRAY(Sintesi!$C$16),1,$C199))*(INDEX(_xlfn.ANCHORARRAY(Sintesi!$C$15),1,$C199)&lt;0)+($E199&gt;=LOOKUP(2,1/($E:$E&lt;&gt;""),$E:$E))*($E199&lt;=INDEX($E:$E,MATCH(TRUE,INDEX((ISNUMBER($E:$E)),0),0)))*($E199&gt;INDEX(_xlfn.ANCHORARRAY(Sintesi!$C$15),1,$C199))*($E199&lt;INDEX(_xlfn.ANCHORARRAY(Sintesi!$C$16),1,$C199))*(INDEX(_xlfn.ANCHORARRAY(Sintesi!$C$15),1,$C199)&gt;0),2,IF($E199=(INDEX(_xlfn.ANCHORARRAY(Sintesi!$C$16),1,$C199)),3,4)))),0)),IF(ISNUMBER($E198),IF($C199&gt;0,IF(($E199=INDEX(_xlfn.ANCHORARRAY(Sintesi!$C$14),1,$C199))*(INDEX(_xlfn.ANCHORARRAY(Sintesi!$C$15),1,$C199)&gt;0),0,IF(($E199=INDEX(_xlfn.ANCHORARRAY(Sintesi!$C$14),1,$C199))*(INDEX(_xlfn.ANCHORARRAY(Sintesi!$C$15),1,$C199)&lt;0)+($E199&gt;=$E198)*($E199&lt;=$E200)*($E199&gt;INDEX(_xlfn.ANCHORARRAY(Sintesi!$C$14),1,$C199))*($E199&lt;=INDEX(_xlfn.ANCHORARRAY(Sintesi!$C$15),1,$C199))*(INDEX(_xlfn.ANCHORARRAY(Sintesi!$C$15),1,$C199)&gt;0),1,IF(($E199&gt;=$E198)*($E199&lt;=$E200)*($E199&gt;INDEX(_xlfn.ANCHORARRAY(Sintesi!$C$14),1,$C199))*($E199&lt;INDEX(_xlfn.ANCHORARRAY(Sintesi!$C$16),1,$C199))*(INDEX(_xlfn.ANCHORARRAY(Sintesi!$C$15),1,$C199)&lt;0)+($E199&gt;=$E198)*($E199&lt;=$E200)*($E199&gt;INDEX(_xlfn.ANCHORARRAY(Sintesi!$C$15),1,$C199))*($E199&lt;INDEX(_xlfn.ANCHORARRAY(Sintesi!$C$16),1,$C199))*(INDEX(_xlfn.ANCHORARRAY(Sintesi!$C$15),1,$C199)&gt;0),2,IF($E199=(INDEX(_xlfn.ANCHORARRAY(Sintesi!$C$16),1,$C199)),3,4)))),0),IF($C199&gt;0,IF(($E199=INDEX(_xlfn.ANCHORARRAY(Sintesi!$C$14),1,$C199))*(INDEX(_xlfn.ANCHORARRAY(Sintesi!$C$15),1,$C199)&gt;0),0,IF(($E199=INDEX(_xlfn.ANCHORARRAY(Sintesi!$C$14),1,$C199))*(INDEX(_xlfn.ANCHORARRAY(Sintesi!$C$15),1,$C199)&lt;0)+($E199&gt;=LOOKUP(2,1/($E:$E&lt;&gt;""),$E:$E))*($E199&lt;=$E200)*($E199&gt;INDEX(_xlfn.ANCHORARRAY(Sintesi!$C$14),1,$C199))*($E199&lt;=INDEX(_xlfn.ANCHORARRAY(Sintesi!$C$15),1,$C199))*(INDEX(_xlfn.ANCHORARRAY(Sintesi!$C$15),1,$C199)&gt;0),1,IF(($E199&gt;=LOOKUP(2,1/($E:$E&lt;&gt;""),$E:$E))*($E199&lt;=$E200)*($E199&gt;INDEX(_xlfn.ANCHORARRAY(Sintesi!$C$14),1,$C199))*($E199&lt;INDEX(_xlfn.ANCHORARRAY(Sintesi!$C$16),1,$C199))*(INDEX(_xlfn.ANCHORARRAY(Sintesi!$C$15),1,$C199)&lt;0)+($E199&gt;=LOOKUP(2,1/($E:$E&lt;&gt;""),$E:$E))*($E199&lt;=$E200)*($E199&gt;INDEX(_xlfn.ANCHORARRAY(Sintesi!$C$15),1,$C199))*($E199&lt;INDEX(_xlfn.ANCHORARRAY(Sintesi!$C$16),1,$C199))*(INDEX(_xlfn.ANCHORARRAY(Sintesi!$C$15),1,$C199)&gt;0),2,IF($E199=(INDEX(_xlfn.ANCHORARRAY(Sintesi!$C$16),1,$C199)),3,4)))),0)))</f>
        <v>3</v>
      </c>
      <c r="E199" s="1">
        <f>'Paste cell here'!F199</f>
        <v>1.046</v>
      </c>
      <c r="F199" s="1">
        <f>'Paste cell here'!C199</f>
        <v>31.57666004</v>
      </c>
      <c r="G199" s="1">
        <f>'Paste cell here'!D199</f>
        <v>17.322734740000001</v>
      </c>
      <c r="H199" s="1">
        <f>'Paste cell here'!E199</f>
        <v>4.743062836</v>
      </c>
      <c r="I199" s="1">
        <f>'Paste cell here'!X199</f>
        <v>4.9609220010000001</v>
      </c>
      <c r="J199" s="1">
        <f>'Paste cell here'!Y199+'Paste cell here'!S199</f>
        <v>4.9609220010000001</v>
      </c>
      <c r="K199" s="1">
        <f t="shared" si="7"/>
        <v>1.0459321692612717</v>
      </c>
      <c r="L199" s="1">
        <f t="shared" si="6"/>
        <v>26.949843259333711</v>
      </c>
      <c r="M199" s="1" cm="1">
        <f t="array" ref="M199">IF(AND(A199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,A199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),IF(L199&lt;_xlfn.IFNA(INDEX(_xlfn.ANCHORARRAY(Sintesi!$C$17)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,1,IF(L199&gt;=_xlfn.IFNA(INDEX(_xlfn.ANCHORARRAY(Sintesi!$C$18)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,0,1-(L199-_xlfn.IFNA(INDEX(_xlfn.ANCHORARRAY(Sintesi!$C$17)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)/(_xlfn.IFNA(INDEX(_xlfn.ANCHORARRAY(Sintesi!$C$18)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-_xlfn.IFNA(INDEX(_xlfn.ANCHORARRAY(Sintesi!$C$17),1,MATCH(1,(_xlfn.ANCHORARRAY(Sintesi!$C$9)&gt;_xlfn.ANCHORARRAY(Sintesi!$C$10))*(A198&gt;=_xlfn.ANCHORARRAY(Sintesi!$C$9))+(_xlfn.ANCHORARRAY(Sintesi!$C$9)&gt;_xlfn.ANCHORARRAY(Sintesi!$C$10))*(A198&lt;=_xlfn.ANCHORARRAY(Sintesi!$C$10))+(_xlfn.ANCHORARRAY(Sintesi!$C$9)&lt;_xlfn.ANCHORARRAY(Sintesi!$C$10))*(A198&gt;=_xlfn.ANCHORARRAY(Sintesi!$C$9))*(A198&lt;=_xlfn.ANCHORARRAY(Sintesi!$C$10)),0)),0)))),0)</f>
        <v>1</v>
      </c>
    </row>
    <row r="200" spans="1:13">
      <c r="A200" s="1">
        <f>'Paste cell here'!A200</f>
        <v>199</v>
      </c>
      <c r="B200" s="2">
        <f>DATE(Sintesi!$C$4-1,12,31)+A200</f>
        <v>44395</v>
      </c>
      <c r="C200" s="34" cm="1">
        <f t="array" ref="C200">_xlfn.IFNA(MATCH(1,(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)*(_xlfn.ANCHORARRAY(Sintesi!$C$15)&gt;=0)+(_xlfn.ANCHORARRAY(Sintesi!$C$15)&lt;0),0),0)</f>
        <v>1</v>
      </c>
      <c r="D200" s="1" cm="1">
        <f t="array" ref="D200">IF(ISBLANK($E201),IF(ISNUMBER($E199),IF($C200&gt;0,IF(($E200=INDEX(_xlfn.ANCHORARRAY(Sintesi!$C$14),1,$C200))*(INDEX(_xlfn.ANCHORARRAY(Sintesi!$C$15),1,$C200)&gt;0),0,IF(($E200=INDEX(_xlfn.ANCHORARRAY(Sintesi!$C$14),1,$C200))*(INDEX(_xlfn.ANCHORARRAY(Sintesi!$C$15),1,$C200)&lt;0)+($E200&gt;=$E199)*($E200&lt;=INDEX($E:$E,MATCH(TRUE,INDEX((ISNUMBER($E:$E)),0),0)))*($E200&gt;INDEX(_xlfn.ANCHORARRAY(Sintesi!$C$14),1,$C200))*($E200&lt;=INDEX(_xlfn.ANCHORARRAY(Sintesi!$C$15),1,$C200))*(INDEX(_xlfn.ANCHORARRAY(Sintesi!$C$15),1,$C200)&gt;0),1,IF(($E200&gt;=$E199)*($E200&lt;=INDEX($E:$E,MATCH(TRUE,INDEX((ISNUMBER($E:$E)),0),0)))*($E200&gt;INDEX(_xlfn.ANCHORARRAY(Sintesi!$C$14),1,$C200))*($E200&lt;INDEX(_xlfn.ANCHORARRAY(Sintesi!$C$16),1,$C200))*(INDEX(_xlfn.ANCHORARRAY(Sintesi!$C$15),1,$C200)&lt;0)+($E200&gt;=$E199)*($E200&lt;=INDEX($E:$E,MATCH(TRUE,INDEX((ISNUMBER($E:$E)),0),0)))*($E200&gt;INDEX(_xlfn.ANCHORARRAY(Sintesi!$C$15),1,$C200))*($E200&lt;INDEX(_xlfn.ANCHORARRAY(Sintesi!$C$16),1,$C200))*(INDEX(_xlfn.ANCHORARRAY(Sintesi!$C$15),1,$C200)&gt;0),2,IF($E200=(INDEX(_xlfn.ANCHORARRAY(Sintesi!$C$16),1,$C200)),3,4)))),0),IF($C200&gt;0,IF(($E200=INDEX(_xlfn.ANCHORARRAY(Sintesi!$C$14),1,$C200))*(INDEX(_xlfn.ANCHORARRAY(Sintesi!$C$15),1,$C200)&gt;0),0,IF(($E200=INDEX(_xlfn.ANCHORARRAY(Sintesi!$C$14),1,$C200))*(INDEX(_xlfn.ANCHORARRAY(Sintesi!$C$15),1,$C200)&lt;0)+($E200&gt;=LOOKUP(2,1/($E:$E&lt;&gt;""),$E:$E))*($E200&lt;=INDEX($E:$E,MATCH(TRUE,INDEX((ISNUMBER($E:$E)),0),0)))*($E200&gt;INDEX(_xlfn.ANCHORARRAY(Sintesi!$C$14),1,$C200))*($E200&lt;=INDEX(_xlfn.ANCHORARRAY(Sintesi!$C$15),1,$C200))*(INDEX(_xlfn.ANCHORARRAY(Sintesi!$C$15),1,$C200)&gt;0),1,IF(($E200&gt;=LOOKUP(2,1/($E:$E&lt;&gt;""),$E:$E))*($E200&lt;=INDEX($E:$E,MATCH(TRUE,INDEX((ISNUMBER($E:$E)),0),0)))*($E200&gt;INDEX(_xlfn.ANCHORARRAY(Sintesi!$C$14),1,$C200))*($E200&lt;INDEX(_xlfn.ANCHORARRAY(Sintesi!$C$16),1,$C200))*(INDEX(_xlfn.ANCHORARRAY(Sintesi!$C$15),1,$C200)&lt;0)+($E200&gt;=LOOKUP(2,1/($E:$E&lt;&gt;""),$E:$E))*($E200&lt;=INDEX($E:$E,MATCH(TRUE,INDEX((ISNUMBER($E:$E)),0),0)))*($E200&gt;INDEX(_xlfn.ANCHORARRAY(Sintesi!$C$15),1,$C200))*($E200&lt;INDEX(_xlfn.ANCHORARRAY(Sintesi!$C$16),1,$C200))*(INDEX(_xlfn.ANCHORARRAY(Sintesi!$C$15),1,$C200)&gt;0),2,IF($E200=(INDEX(_xlfn.ANCHORARRAY(Sintesi!$C$16),1,$C200)),3,4)))),0)),IF(ISNUMBER($E199),IF($C200&gt;0,IF(($E200=INDEX(_xlfn.ANCHORARRAY(Sintesi!$C$14),1,$C200))*(INDEX(_xlfn.ANCHORARRAY(Sintesi!$C$15),1,$C200)&gt;0),0,IF(($E200=INDEX(_xlfn.ANCHORARRAY(Sintesi!$C$14),1,$C200))*(INDEX(_xlfn.ANCHORARRAY(Sintesi!$C$15),1,$C200)&lt;0)+($E200&gt;=$E199)*($E200&lt;=$E201)*($E200&gt;INDEX(_xlfn.ANCHORARRAY(Sintesi!$C$14),1,$C200))*($E200&lt;=INDEX(_xlfn.ANCHORARRAY(Sintesi!$C$15),1,$C200))*(INDEX(_xlfn.ANCHORARRAY(Sintesi!$C$15),1,$C200)&gt;0),1,IF(($E200&gt;=$E199)*($E200&lt;=$E201)*($E200&gt;INDEX(_xlfn.ANCHORARRAY(Sintesi!$C$14),1,$C200))*($E200&lt;INDEX(_xlfn.ANCHORARRAY(Sintesi!$C$16),1,$C200))*(INDEX(_xlfn.ANCHORARRAY(Sintesi!$C$15),1,$C200)&lt;0)+($E200&gt;=$E199)*($E200&lt;=$E201)*($E200&gt;INDEX(_xlfn.ANCHORARRAY(Sintesi!$C$15),1,$C200))*($E200&lt;INDEX(_xlfn.ANCHORARRAY(Sintesi!$C$16),1,$C200))*(INDEX(_xlfn.ANCHORARRAY(Sintesi!$C$15),1,$C200)&gt;0),2,IF($E200=(INDEX(_xlfn.ANCHORARRAY(Sintesi!$C$16),1,$C200)),3,4)))),0),IF($C200&gt;0,IF(($E200=INDEX(_xlfn.ANCHORARRAY(Sintesi!$C$14),1,$C200))*(INDEX(_xlfn.ANCHORARRAY(Sintesi!$C$15),1,$C200)&gt;0),0,IF(($E200=INDEX(_xlfn.ANCHORARRAY(Sintesi!$C$14),1,$C200))*(INDEX(_xlfn.ANCHORARRAY(Sintesi!$C$15),1,$C200)&lt;0)+($E200&gt;=LOOKUP(2,1/($E:$E&lt;&gt;""),$E:$E))*($E200&lt;=$E201)*($E200&gt;INDEX(_xlfn.ANCHORARRAY(Sintesi!$C$14),1,$C200))*($E200&lt;=INDEX(_xlfn.ANCHORARRAY(Sintesi!$C$15),1,$C200))*(INDEX(_xlfn.ANCHORARRAY(Sintesi!$C$15),1,$C200)&gt;0),1,IF(($E200&gt;=LOOKUP(2,1/($E:$E&lt;&gt;""),$E:$E))*($E200&lt;=$E201)*($E200&gt;INDEX(_xlfn.ANCHORARRAY(Sintesi!$C$14),1,$C200))*($E200&lt;INDEX(_xlfn.ANCHORARRAY(Sintesi!$C$16),1,$C200))*(INDEX(_xlfn.ANCHORARRAY(Sintesi!$C$15),1,$C200)&lt;0)+($E200&gt;=LOOKUP(2,1/($E:$E&lt;&gt;""),$E:$E))*($E200&lt;=$E201)*($E200&gt;INDEX(_xlfn.ANCHORARRAY(Sintesi!$C$15),1,$C200))*($E200&lt;INDEX(_xlfn.ANCHORARRAY(Sintesi!$C$16),1,$C200))*(INDEX(_xlfn.ANCHORARRAY(Sintesi!$C$15),1,$C200)&gt;0),2,IF($E200=(INDEX(_xlfn.ANCHORARRAY(Sintesi!$C$16),1,$C200)),3,4)))),0)))</f>
        <v>3</v>
      </c>
      <c r="E200" s="1">
        <f>'Paste cell here'!F200</f>
        <v>1.046</v>
      </c>
      <c r="F200" s="1">
        <f>'Paste cell here'!C200</f>
        <v>33.053925300000003</v>
      </c>
      <c r="G200" s="1">
        <f>'Paste cell here'!D200</f>
        <v>17.694624340000001</v>
      </c>
      <c r="H200" s="1">
        <f>'Paste cell here'!E200</f>
        <v>4.8401307859999996</v>
      </c>
      <c r="I200" s="1">
        <f>'Paste cell here'!X200</f>
        <v>5.0624594749999998</v>
      </c>
      <c r="J200" s="1">
        <f>'Paste cell here'!Y200+'Paste cell here'!S200</f>
        <v>5.0624594749999998</v>
      </c>
      <c r="K200" s="1">
        <f t="shared" si="7"/>
        <v>1.0459344383096181</v>
      </c>
      <c r="L200" s="1">
        <f t="shared" si="6"/>
        <v>28.068304151765709</v>
      </c>
      <c r="M200" s="1" cm="1">
        <f t="array" ref="M200">IF(AND(A200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,A200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),IF(L200&lt;_xlfn.IFNA(INDEX(_xlfn.ANCHORARRAY(Sintesi!$C$17)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,1,IF(L200&gt;=_xlfn.IFNA(INDEX(_xlfn.ANCHORARRAY(Sintesi!$C$18)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,0,1-(L200-_xlfn.IFNA(INDEX(_xlfn.ANCHORARRAY(Sintesi!$C$17)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)/(_xlfn.IFNA(INDEX(_xlfn.ANCHORARRAY(Sintesi!$C$18)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-_xlfn.IFNA(INDEX(_xlfn.ANCHORARRAY(Sintesi!$C$17),1,MATCH(1,(_xlfn.ANCHORARRAY(Sintesi!$C$9)&gt;_xlfn.ANCHORARRAY(Sintesi!$C$10))*(A199&gt;=_xlfn.ANCHORARRAY(Sintesi!$C$9))+(_xlfn.ANCHORARRAY(Sintesi!$C$9)&gt;_xlfn.ANCHORARRAY(Sintesi!$C$10))*(A199&lt;=_xlfn.ANCHORARRAY(Sintesi!$C$10))+(_xlfn.ANCHORARRAY(Sintesi!$C$9)&lt;_xlfn.ANCHORARRAY(Sintesi!$C$10))*(A199&gt;=_xlfn.ANCHORARRAY(Sintesi!$C$9))*(A199&lt;=_xlfn.ANCHORARRAY(Sintesi!$C$10)),0)),0)))),0)</f>
        <v>1</v>
      </c>
    </row>
    <row r="201" spans="1:13">
      <c r="A201" s="1">
        <f>'Paste cell here'!A201</f>
        <v>200</v>
      </c>
      <c r="B201" s="2">
        <f>DATE(Sintesi!$C$4-1,12,31)+A201</f>
        <v>44396</v>
      </c>
      <c r="C201" s="34" cm="1">
        <f t="array" ref="C201">_xlfn.IFNA(MATCH(1,(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)*(_xlfn.ANCHORARRAY(Sintesi!$C$15)&gt;=0)+(_xlfn.ANCHORARRAY(Sintesi!$C$15)&lt;0),0),0)</f>
        <v>1</v>
      </c>
      <c r="D201" s="1" cm="1">
        <f t="array" ref="D201">IF(ISBLANK($E202),IF(ISNUMBER($E200),IF($C201&gt;0,IF(($E201=INDEX(_xlfn.ANCHORARRAY(Sintesi!$C$14),1,$C201))*(INDEX(_xlfn.ANCHORARRAY(Sintesi!$C$15),1,$C201)&gt;0),0,IF(($E201=INDEX(_xlfn.ANCHORARRAY(Sintesi!$C$14),1,$C201))*(INDEX(_xlfn.ANCHORARRAY(Sintesi!$C$15),1,$C201)&lt;0)+($E201&gt;=$E200)*($E201&lt;=INDEX($E:$E,MATCH(TRUE,INDEX((ISNUMBER($E:$E)),0),0)))*($E201&gt;INDEX(_xlfn.ANCHORARRAY(Sintesi!$C$14),1,$C201))*($E201&lt;=INDEX(_xlfn.ANCHORARRAY(Sintesi!$C$15),1,$C201))*(INDEX(_xlfn.ANCHORARRAY(Sintesi!$C$15),1,$C201)&gt;0),1,IF(($E201&gt;=$E200)*($E201&lt;=INDEX($E:$E,MATCH(TRUE,INDEX((ISNUMBER($E:$E)),0),0)))*($E201&gt;INDEX(_xlfn.ANCHORARRAY(Sintesi!$C$14),1,$C201))*($E201&lt;INDEX(_xlfn.ANCHORARRAY(Sintesi!$C$16),1,$C201))*(INDEX(_xlfn.ANCHORARRAY(Sintesi!$C$15),1,$C201)&lt;0)+($E201&gt;=$E200)*($E201&lt;=INDEX($E:$E,MATCH(TRUE,INDEX((ISNUMBER($E:$E)),0),0)))*($E201&gt;INDEX(_xlfn.ANCHORARRAY(Sintesi!$C$15),1,$C201))*($E201&lt;INDEX(_xlfn.ANCHORARRAY(Sintesi!$C$16),1,$C201))*(INDEX(_xlfn.ANCHORARRAY(Sintesi!$C$15),1,$C201)&gt;0),2,IF($E201=(INDEX(_xlfn.ANCHORARRAY(Sintesi!$C$16),1,$C201)),3,4)))),0),IF($C201&gt;0,IF(($E201=INDEX(_xlfn.ANCHORARRAY(Sintesi!$C$14),1,$C201))*(INDEX(_xlfn.ANCHORARRAY(Sintesi!$C$15),1,$C201)&gt;0),0,IF(($E201=INDEX(_xlfn.ANCHORARRAY(Sintesi!$C$14),1,$C201))*(INDEX(_xlfn.ANCHORARRAY(Sintesi!$C$15),1,$C201)&lt;0)+($E201&gt;=LOOKUP(2,1/($E:$E&lt;&gt;""),$E:$E))*($E201&lt;=INDEX($E:$E,MATCH(TRUE,INDEX((ISNUMBER($E:$E)),0),0)))*($E201&gt;INDEX(_xlfn.ANCHORARRAY(Sintesi!$C$14),1,$C201))*($E201&lt;=INDEX(_xlfn.ANCHORARRAY(Sintesi!$C$15),1,$C201))*(INDEX(_xlfn.ANCHORARRAY(Sintesi!$C$15),1,$C201)&gt;0),1,IF(($E201&gt;=LOOKUP(2,1/($E:$E&lt;&gt;""),$E:$E))*($E201&lt;=INDEX($E:$E,MATCH(TRUE,INDEX((ISNUMBER($E:$E)),0),0)))*($E201&gt;INDEX(_xlfn.ANCHORARRAY(Sintesi!$C$14),1,$C201))*($E201&lt;INDEX(_xlfn.ANCHORARRAY(Sintesi!$C$16),1,$C201))*(INDEX(_xlfn.ANCHORARRAY(Sintesi!$C$15),1,$C201)&lt;0)+($E201&gt;=LOOKUP(2,1/($E:$E&lt;&gt;""),$E:$E))*($E201&lt;=INDEX($E:$E,MATCH(TRUE,INDEX((ISNUMBER($E:$E)),0),0)))*($E201&gt;INDEX(_xlfn.ANCHORARRAY(Sintesi!$C$15),1,$C201))*($E201&lt;INDEX(_xlfn.ANCHORARRAY(Sintesi!$C$16),1,$C201))*(INDEX(_xlfn.ANCHORARRAY(Sintesi!$C$15),1,$C201)&gt;0),2,IF($E201=(INDEX(_xlfn.ANCHORARRAY(Sintesi!$C$16),1,$C201)),3,4)))),0)),IF(ISNUMBER($E200),IF($C201&gt;0,IF(($E201=INDEX(_xlfn.ANCHORARRAY(Sintesi!$C$14),1,$C201))*(INDEX(_xlfn.ANCHORARRAY(Sintesi!$C$15),1,$C201)&gt;0),0,IF(($E201=INDEX(_xlfn.ANCHORARRAY(Sintesi!$C$14),1,$C201))*(INDEX(_xlfn.ANCHORARRAY(Sintesi!$C$15),1,$C201)&lt;0)+($E201&gt;=$E200)*($E201&lt;=$E202)*($E201&gt;INDEX(_xlfn.ANCHORARRAY(Sintesi!$C$14),1,$C201))*($E201&lt;=INDEX(_xlfn.ANCHORARRAY(Sintesi!$C$15),1,$C201))*(INDEX(_xlfn.ANCHORARRAY(Sintesi!$C$15),1,$C201)&gt;0),1,IF(($E201&gt;=$E200)*($E201&lt;=$E202)*($E201&gt;INDEX(_xlfn.ANCHORARRAY(Sintesi!$C$14),1,$C201))*($E201&lt;INDEX(_xlfn.ANCHORARRAY(Sintesi!$C$16),1,$C201))*(INDEX(_xlfn.ANCHORARRAY(Sintesi!$C$15),1,$C201)&lt;0)+($E201&gt;=$E200)*($E201&lt;=$E202)*($E201&gt;INDEX(_xlfn.ANCHORARRAY(Sintesi!$C$15),1,$C201))*($E201&lt;INDEX(_xlfn.ANCHORARRAY(Sintesi!$C$16),1,$C201))*(INDEX(_xlfn.ANCHORARRAY(Sintesi!$C$15),1,$C201)&gt;0),2,IF($E201=(INDEX(_xlfn.ANCHORARRAY(Sintesi!$C$16),1,$C201)),3,4)))),0),IF($C201&gt;0,IF(($E201=INDEX(_xlfn.ANCHORARRAY(Sintesi!$C$14),1,$C201))*(INDEX(_xlfn.ANCHORARRAY(Sintesi!$C$15),1,$C201)&gt;0),0,IF(($E201=INDEX(_xlfn.ANCHORARRAY(Sintesi!$C$14),1,$C201))*(INDEX(_xlfn.ANCHORARRAY(Sintesi!$C$15),1,$C201)&lt;0)+($E201&gt;=LOOKUP(2,1/($E:$E&lt;&gt;""),$E:$E))*($E201&lt;=$E202)*($E201&gt;INDEX(_xlfn.ANCHORARRAY(Sintesi!$C$14),1,$C201))*($E201&lt;=INDEX(_xlfn.ANCHORARRAY(Sintesi!$C$15),1,$C201))*(INDEX(_xlfn.ANCHORARRAY(Sintesi!$C$15),1,$C201)&gt;0),1,IF(($E201&gt;=LOOKUP(2,1/($E:$E&lt;&gt;""),$E:$E))*($E201&lt;=$E202)*($E201&gt;INDEX(_xlfn.ANCHORARRAY(Sintesi!$C$14),1,$C201))*($E201&lt;INDEX(_xlfn.ANCHORARRAY(Sintesi!$C$16),1,$C201))*(INDEX(_xlfn.ANCHORARRAY(Sintesi!$C$15),1,$C201)&lt;0)+($E201&gt;=LOOKUP(2,1/($E:$E&lt;&gt;""),$E:$E))*($E201&lt;=$E202)*($E201&gt;INDEX(_xlfn.ANCHORARRAY(Sintesi!$C$15),1,$C201))*($E201&lt;INDEX(_xlfn.ANCHORARRAY(Sintesi!$C$16),1,$C201))*(INDEX(_xlfn.ANCHORARRAY(Sintesi!$C$15),1,$C201)&gt;0),2,IF($E201=(INDEX(_xlfn.ANCHORARRAY(Sintesi!$C$16),1,$C201)),3,4)))),0)))</f>
        <v>3</v>
      </c>
      <c r="E201" s="1">
        <f>'Paste cell here'!F201</f>
        <v>1.046</v>
      </c>
      <c r="F201" s="1">
        <f>'Paste cell here'!C201</f>
        <v>34.456605029999999</v>
      </c>
      <c r="G201" s="1">
        <f>'Paste cell here'!D201</f>
        <v>20.002214120000001</v>
      </c>
      <c r="H201" s="1">
        <f>'Paste cell here'!E201</f>
        <v>6.1998646949999996</v>
      </c>
      <c r="I201" s="1">
        <f>'Paste cell here'!X201</f>
        <v>6.4846660849999997</v>
      </c>
      <c r="J201" s="1">
        <f>'Paste cell here'!Y201+'Paste cell here'!S201</f>
        <v>6.4846660849999997</v>
      </c>
      <c r="K201" s="1">
        <f t="shared" si="7"/>
        <v>1.0459367105591326</v>
      </c>
      <c r="L201" s="1">
        <f t="shared" si="6"/>
        <v>29.764717216002662</v>
      </c>
      <c r="M201" s="1" cm="1">
        <f t="array" ref="M201">IF(AND(A201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,A201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),IF(L201&lt;_xlfn.IFNA(INDEX(_xlfn.ANCHORARRAY(Sintesi!$C$17)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,1,IF(L201&gt;=_xlfn.IFNA(INDEX(_xlfn.ANCHORARRAY(Sintesi!$C$18)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,0,1-(L201-_xlfn.IFNA(INDEX(_xlfn.ANCHORARRAY(Sintesi!$C$17)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)/(_xlfn.IFNA(INDEX(_xlfn.ANCHORARRAY(Sintesi!$C$18)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-_xlfn.IFNA(INDEX(_xlfn.ANCHORARRAY(Sintesi!$C$17),1,MATCH(1,(_xlfn.ANCHORARRAY(Sintesi!$C$9)&gt;_xlfn.ANCHORARRAY(Sintesi!$C$10))*(A200&gt;=_xlfn.ANCHORARRAY(Sintesi!$C$9))+(_xlfn.ANCHORARRAY(Sintesi!$C$9)&gt;_xlfn.ANCHORARRAY(Sintesi!$C$10))*(A200&lt;=_xlfn.ANCHORARRAY(Sintesi!$C$10))+(_xlfn.ANCHORARRAY(Sintesi!$C$9)&lt;_xlfn.ANCHORARRAY(Sintesi!$C$10))*(A200&gt;=_xlfn.ANCHORARRAY(Sintesi!$C$9))*(A200&lt;=_xlfn.ANCHORARRAY(Sintesi!$C$10)),0)),0)))),0)</f>
        <v>0</v>
      </c>
    </row>
    <row r="202" spans="1:13">
      <c r="A202" s="1">
        <f>'Paste cell here'!A202</f>
        <v>201</v>
      </c>
      <c r="B202" s="2">
        <f>DATE(Sintesi!$C$4-1,12,31)+A202</f>
        <v>44397</v>
      </c>
      <c r="C202" s="34" cm="1">
        <f t="array" ref="C202">_xlfn.IFNA(MATCH(1,(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)*(_xlfn.ANCHORARRAY(Sintesi!$C$15)&gt;=0)+(_xlfn.ANCHORARRAY(Sintesi!$C$15)&lt;0),0),0)</f>
        <v>1</v>
      </c>
      <c r="D202" s="1" cm="1">
        <f t="array" ref="D202">IF(ISBLANK($E203),IF(ISNUMBER($E201),IF($C202&gt;0,IF(($E202=INDEX(_xlfn.ANCHORARRAY(Sintesi!$C$14),1,$C202))*(INDEX(_xlfn.ANCHORARRAY(Sintesi!$C$15),1,$C202)&gt;0),0,IF(($E202=INDEX(_xlfn.ANCHORARRAY(Sintesi!$C$14),1,$C202))*(INDEX(_xlfn.ANCHORARRAY(Sintesi!$C$15),1,$C202)&lt;0)+($E202&gt;=$E201)*($E202&lt;=INDEX($E:$E,MATCH(TRUE,INDEX((ISNUMBER($E:$E)),0),0)))*($E202&gt;INDEX(_xlfn.ANCHORARRAY(Sintesi!$C$14),1,$C202))*($E202&lt;=INDEX(_xlfn.ANCHORARRAY(Sintesi!$C$15),1,$C202))*(INDEX(_xlfn.ANCHORARRAY(Sintesi!$C$15),1,$C202)&gt;0),1,IF(($E202&gt;=$E201)*($E202&lt;=INDEX($E:$E,MATCH(TRUE,INDEX((ISNUMBER($E:$E)),0),0)))*($E202&gt;INDEX(_xlfn.ANCHORARRAY(Sintesi!$C$14),1,$C202))*($E202&lt;INDEX(_xlfn.ANCHORARRAY(Sintesi!$C$16),1,$C202))*(INDEX(_xlfn.ANCHORARRAY(Sintesi!$C$15),1,$C202)&lt;0)+($E202&gt;=$E201)*($E202&lt;=INDEX($E:$E,MATCH(TRUE,INDEX((ISNUMBER($E:$E)),0),0)))*($E202&gt;INDEX(_xlfn.ANCHORARRAY(Sintesi!$C$15),1,$C202))*($E202&lt;INDEX(_xlfn.ANCHORARRAY(Sintesi!$C$16),1,$C202))*(INDEX(_xlfn.ANCHORARRAY(Sintesi!$C$15),1,$C202)&gt;0),2,IF($E202=(INDEX(_xlfn.ANCHORARRAY(Sintesi!$C$16),1,$C202)),3,4)))),0),IF($C202&gt;0,IF(($E202=INDEX(_xlfn.ANCHORARRAY(Sintesi!$C$14),1,$C202))*(INDEX(_xlfn.ANCHORARRAY(Sintesi!$C$15),1,$C202)&gt;0),0,IF(($E202=INDEX(_xlfn.ANCHORARRAY(Sintesi!$C$14),1,$C202))*(INDEX(_xlfn.ANCHORARRAY(Sintesi!$C$15),1,$C202)&lt;0)+($E202&gt;=LOOKUP(2,1/($E:$E&lt;&gt;""),$E:$E))*($E202&lt;=INDEX($E:$E,MATCH(TRUE,INDEX((ISNUMBER($E:$E)),0),0)))*($E202&gt;INDEX(_xlfn.ANCHORARRAY(Sintesi!$C$14),1,$C202))*($E202&lt;=INDEX(_xlfn.ANCHORARRAY(Sintesi!$C$15),1,$C202))*(INDEX(_xlfn.ANCHORARRAY(Sintesi!$C$15),1,$C202)&gt;0),1,IF(($E202&gt;=LOOKUP(2,1/($E:$E&lt;&gt;""),$E:$E))*($E202&lt;=INDEX($E:$E,MATCH(TRUE,INDEX((ISNUMBER($E:$E)),0),0)))*($E202&gt;INDEX(_xlfn.ANCHORARRAY(Sintesi!$C$14),1,$C202))*($E202&lt;INDEX(_xlfn.ANCHORARRAY(Sintesi!$C$16),1,$C202))*(INDEX(_xlfn.ANCHORARRAY(Sintesi!$C$15),1,$C202)&lt;0)+($E202&gt;=LOOKUP(2,1/($E:$E&lt;&gt;""),$E:$E))*($E202&lt;=INDEX($E:$E,MATCH(TRUE,INDEX((ISNUMBER($E:$E)),0),0)))*($E202&gt;INDEX(_xlfn.ANCHORARRAY(Sintesi!$C$15),1,$C202))*($E202&lt;INDEX(_xlfn.ANCHORARRAY(Sintesi!$C$16),1,$C202))*(INDEX(_xlfn.ANCHORARRAY(Sintesi!$C$15),1,$C202)&gt;0),2,IF($E202=(INDEX(_xlfn.ANCHORARRAY(Sintesi!$C$16),1,$C202)),3,4)))),0)),IF(ISNUMBER($E201),IF($C202&gt;0,IF(($E202=INDEX(_xlfn.ANCHORARRAY(Sintesi!$C$14),1,$C202))*(INDEX(_xlfn.ANCHORARRAY(Sintesi!$C$15),1,$C202)&gt;0),0,IF(($E202=INDEX(_xlfn.ANCHORARRAY(Sintesi!$C$14),1,$C202))*(INDEX(_xlfn.ANCHORARRAY(Sintesi!$C$15),1,$C202)&lt;0)+($E202&gt;=$E201)*($E202&lt;=$E203)*($E202&gt;INDEX(_xlfn.ANCHORARRAY(Sintesi!$C$14),1,$C202))*($E202&lt;=INDEX(_xlfn.ANCHORARRAY(Sintesi!$C$15),1,$C202))*(INDEX(_xlfn.ANCHORARRAY(Sintesi!$C$15),1,$C202)&gt;0),1,IF(($E202&gt;=$E201)*($E202&lt;=$E203)*($E202&gt;INDEX(_xlfn.ANCHORARRAY(Sintesi!$C$14),1,$C202))*($E202&lt;INDEX(_xlfn.ANCHORARRAY(Sintesi!$C$16),1,$C202))*(INDEX(_xlfn.ANCHORARRAY(Sintesi!$C$15),1,$C202)&lt;0)+($E202&gt;=$E201)*($E202&lt;=$E203)*($E202&gt;INDEX(_xlfn.ANCHORARRAY(Sintesi!$C$15),1,$C202))*($E202&lt;INDEX(_xlfn.ANCHORARRAY(Sintesi!$C$16),1,$C202))*(INDEX(_xlfn.ANCHORARRAY(Sintesi!$C$15),1,$C202)&gt;0),2,IF($E202=(INDEX(_xlfn.ANCHORARRAY(Sintesi!$C$16),1,$C202)),3,4)))),0),IF($C202&gt;0,IF(($E202=INDEX(_xlfn.ANCHORARRAY(Sintesi!$C$14),1,$C202))*(INDEX(_xlfn.ANCHORARRAY(Sintesi!$C$15),1,$C202)&gt;0),0,IF(($E202=INDEX(_xlfn.ANCHORARRAY(Sintesi!$C$14),1,$C202))*(INDEX(_xlfn.ANCHORARRAY(Sintesi!$C$15),1,$C202)&lt;0)+($E202&gt;=LOOKUP(2,1/($E:$E&lt;&gt;""),$E:$E))*($E202&lt;=$E203)*($E202&gt;INDEX(_xlfn.ANCHORARRAY(Sintesi!$C$14),1,$C202))*($E202&lt;=INDEX(_xlfn.ANCHORARRAY(Sintesi!$C$15),1,$C202))*(INDEX(_xlfn.ANCHORARRAY(Sintesi!$C$15),1,$C202)&gt;0),1,IF(($E202&gt;=LOOKUP(2,1/($E:$E&lt;&gt;""),$E:$E))*($E202&lt;=$E203)*($E202&gt;INDEX(_xlfn.ANCHORARRAY(Sintesi!$C$14),1,$C202))*($E202&lt;INDEX(_xlfn.ANCHORARRAY(Sintesi!$C$16),1,$C202))*(INDEX(_xlfn.ANCHORARRAY(Sintesi!$C$15),1,$C202)&lt;0)+($E202&gt;=LOOKUP(2,1/($E:$E&lt;&gt;""),$E:$E))*($E202&lt;=$E203)*($E202&gt;INDEX(_xlfn.ANCHORARRAY(Sintesi!$C$15),1,$C202))*($E202&lt;INDEX(_xlfn.ANCHORARRAY(Sintesi!$C$16),1,$C202))*(INDEX(_xlfn.ANCHORARRAY(Sintesi!$C$15),1,$C202)&gt;0),2,IF($E202=(INDEX(_xlfn.ANCHORARRAY(Sintesi!$C$16),1,$C202)),3,4)))),0)))</f>
        <v>3</v>
      </c>
      <c r="E202" s="1">
        <f>'Paste cell here'!F202</f>
        <v>1.046</v>
      </c>
      <c r="F202" s="1">
        <f>'Paste cell here'!C202</f>
        <v>34.927984330000001</v>
      </c>
      <c r="G202" s="1">
        <f>'Paste cell here'!D202</f>
        <v>19.804795899999998</v>
      </c>
      <c r="H202" s="1">
        <f>'Paste cell here'!E202</f>
        <v>6.0783557840000002</v>
      </c>
      <c r="I202" s="1">
        <f>'Paste cell here'!X202</f>
        <v>6.3575892520000004</v>
      </c>
      <c r="J202" s="1">
        <f>'Paste cell here'!Y202+'Paste cell here'!S202</f>
        <v>6.3575892520000004</v>
      </c>
      <c r="K202" s="1">
        <f t="shared" si="7"/>
        <v>1.0459389805274353</v>
      </c>
      <c r="L202" s="1">
        <f t="shared" si="6"/>
        <v>30.019005186893203</v>
      </c>
      <c r="M202" s="1" cm="1">
        <f t="array" ref="M202">IF(AND(A202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,A202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),IF(L202&lt;_xlfn.IFNA(INDEX(_xlfn.ANCHORARRAY(Sintesi!$C$17)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,1,IF(L202&gt;=_xlfn.IFNA(INDEX(_xlfn.ANCHORARRAY(Sintesi!$C$18)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,0,1-(L202-_xlfn.IFNA(INDEX(_xlfn.ANCHORARRAY(Sintesi!$C$17)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)/(_xlfn.IFNA(INDEX(_xlfn.ANCHORARRAY(Sintesi!$C$18)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-_xlfn.IFNA(INDEX(_xlfn.ANCHORARRAY(Sintesi!$C$17),1,MATCH(1,(_xlfn.ANCHORARRAY(Sintesi!$C$9)&gt;_xlfn.ANCHORARRAY(Sintesi!$C$10))*(A201&gt;=_xlfn.ANCHORARRAY(Sintesi!$C$9))+(_xlfn.ANCHORARRAY(Sintesi!$C$9)&gt;_xlfn.ANCHORARRAY(Sintesi!$C$10))*(A201&lt;=_xlfn.ANCHORARRAY(Sintesi!$C$10))+(_xlfn.ANCHORARRAY(Sintesi!$C$9)&lt;_xlfn.ANCHORARRAY(Sintesi!$C$10))*(A201&gt;=_xlfn.ANCHORARRAY(Sintesi!$C$9))*(A201&lt;=_xlfn.ANCHORARRAY(Sintesi!$C$10)),0)),0)))),0)</f>
        <v>0</v>
      </c>
    </row>
    <row r="203" spans="1:13">
      <c r="A203" s="1">
        <f>'Paste cell here'!A203</f>
        <v>202</v>
      </c>
      <c r="B203" s="2">
        <f>DATE(Sintesi!$C$4-1,12,31)+A203</f>
        <v>44398</v>
      </c>
      <c r="C203" s="34" cm="1">
        <f t="array" ref="C203">_xlfn.IFNA(MATCH(1,(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)*(_xlfn.ANCHORARRAY(Sintesi!$C$15)&gt;=0)+(_xlfn.ANCHORARRAY(Sintesi!$C$15)&lt;0),0),0)</f>
        <v>1</v>
      </c>
      <c r="D203" s="1" cm="1">
        <f t="array" ref="D203">IF(ISBLANK($E204),IF(ISNUMBER($E202),IF($C203&gt;0,IF(($E203=INDEX(_xlfn.ANCHORARRAY(Sintesi!$C$14),1,$C203))*(INDEX(_xlfn.ANCHORARRAY(Sintesi!$C$15),1,$C203)&gt;0),0,IF(($E203=INDEX(_xlfn.ANCHORARRAY(Sintesi!$C$14),1,$C203))*(INDEX(_xlfn.ANCHORARRAY(Sintesi!$C$15),1,$C203)&lt;0)+($E203&gt;=$E202)*($E203&lt;=INDEX($E:$E,MATCH(TRUE,INDEX((ISNUMBER($E:$E)),0),0)))*($E203&gt;INDEX(_xlfn.ANCHORARRAY(Sintesi!$C$14),1,$C203))*($E203&lt;=INDEX(_xlfn.ANCHORARRAY(Sintesi!$C$15),1,$C203))*(INDEX(_xlfn.ANCHORARRAY(Sintesi!$C$15),1,$C203)&gt;0),1,IF(($E203&gt;=$E202)*($E203&lt;=INDEX($E:$E,MATCH(TRUE,INDEX((ISNUMBER($E:$E)),0),0)))*($E203&gt;INDEX(_xlfn.ANCHORARRAY(Sintesi!$C$14),1,$C203))*($E203&lt;INDEX(_xlfn.ANCHORARRAY(Sintesi!$C$16),1,$C203))*(INDEX(_xlfn.ANCHORARRAY(Sintesi!$C$15),1,$C203)&lt;0)+($E203&gt;=$E202)*($E203&lt;=INDEX($E:$E,MATCH(TRUE,INDEX((ISNUMBER($E:$E)),0),0)))*($E203&gt;INDEX(_xlfn.ANCHORARRAY(Sintesi!$C$15),1,$C203))*($E203&lt;INDEX(_xlfn.ANCHORARRAY(Sintesi!$C$16),1,$C203))*(INDEX(_xlfn.ANCHORARRAY(Sintesi!$C$15),1,$C203)&gt;0),2,IF($E203=(INDEX(_xlfn.ANCHORARRAY(Sintesi!$C$16),1,$C203)),3,4)))),0),IF($C203&gt;0,IF(($E203=INDEX(_xlfn.ANCHORARRAY(Sintesi!$C$14),1,$C203))*(INDEX(_xlfn.ANCHORARRAY(Sintesi!$C$15),1,$C203)&gt;0),0,IF(($E203=INDEX(_xlfn.ANCHORARRAY(Sintesi!$C$14),1,$C203))*(INDEX(_xlfn.ANCHORARRAY(Sintesi!$C$15),1,$C203)&lt;0)+($E203&gt;=LOOKUP(2,1/($E:$E&lt;&gt;""),$E:$E))*($E203&lt;=INDEX($E:$E,MATCH(TRUE,INDEX((ISNUMBER($E:$E)),0),0)))*($E203&gt;INDEX(_xlfn.ANCHORARRAY(Sintesi!$C$14),1,$C203))*($E203&lt;=INDEX(_xlfn.ANCHORARRAY(Sintesi!$C$15),1,$C203))*(INDEX(_xlfn.ANCHORARRAY(Sintesi!$C$15),1,$C203)&gt;0),1,IF(($E203&gt;=LOOKUP(2,1/($E:$E&lt;&gt;""),$E:$E))*($E203&lt;=INDEX($E:$E,MATCH(TRUE,INDEX((ISNUMBER($E:$E)),0),0)))*($E203&gt;INDEX(_xlfn.ANCHORARRAY(Sintesi!$C$14),1,$C203))*($E203&lt;INDEX(_xlfn.ANCHORARRAY(Sintesi!$C$16),1,$C203))*(INDEX(_xlfn.ANCHORARRAY(Sintesi!$C$15),1,$C203)&lt;0)+($E203&gt;=LOOKUP(2,1/($E:$E&lt;&gt;""),$E:$E))*($E203&lt;=INDEX($E:$E,MATCH(TRUE,INDEX((ISNUMBER($E:$E)),0),0)))*($E203&gt;INDEX(_xlfn.ANCHORARRAY(Sintesi!$C$15),1,$C203))*($E203&lt;INDEX(_xlfn.ANCHORARRAY(Sintesi!$C$16),1,$C203))*(INDEX(_xlfn.ANCHORARRAY(Sintesi!$C$15),1,$C203)&gt;0),2,IF($E203=(INDEX(_xlfn.ANCHORARRAY(Sintesi!$C$16),1,$C203)),3,4)))),0)),IF(ISNUMBER($E202),IF($C203&gt;0,IF(($E203=INDEX(_xlfn.ANCHORARRAY(Sintesi!$C$14),1,$C203))*(INDEX(_xlfn.ANCHORARRAY(Sintesi!$C$15),1,$C203)&gt;0),0,IF(($E203=INDEX(_xlfn.ANCHORARRAY(Sintesi!$C$14),1,$C203))*(INDEX(_xlfn.ANCHORARRAY(Sintesi!$C$15),1,$C203)&lt;0)+($E203&gt;=$E202)*($E203&lt;=$E204)*($E203&gt;INDEX(_xlfn.ANCHORARRAY(Sintesi!$C$14),1,$C203))*($E203&lt;=INDEX(_xlfn.ANCHORARRAY(Sintesi!$C$15),1,$C203))*(INDEX(_xlfn.ANCHORARRAY(Sintesi!$C$15),1,$C203)&gt;0),1,IF(($E203&gt;=$E202)*($E203&lt;=$E204)*($E203&gt;INDEX(_xlfn.ANCHORARRAY(Sintesi!$C$14),1,$C203))*($E203&lt;INDEX(_xlfn.ANCHORARRAY(Sintesi!$C$16),1,$C203))*(INDEX(_xlfn.ANCHORARRAY(Sintesi!$C$15),1,$C203)&lt;0)+($E203&gt;=$E202)*($E203&lt;=$E204)*($E203&gt;INDEX(_xlfn.ANCHORARRAY(Sintesi!$C$15),1,$C203))*($E203&lt;INDEX(_xlfn.ANCHORARRAY(Sintesi!$C$16),1,$C203))*(INDEX(_xlfn.ANCHORARRAY(Sintesi!$C$15),1,$C203)&gt;0),2,IF($E203=(INDEX(_xlfn.ANCHORARRAY(Sintesi!$C$16),1,$C203)),3,4)))),0),IF($C203&gt;0,IF(($E203=INDEX(_xlfn.ANCHORARRAY(Sintesi!$C$14),1,$C203))*(INDEX(_xlfn.ANCHORARRAY(Sintesi!$C$15),1,$C203)&gt;0),0,IF(($E203=INDEX(_xlfn.ANCHORARRAY(Sintesi!$C$14),1,$C203))*(INDEX(_xlfn.ANCHORARRAY(Sintesi!$C$15),1,$C203)&lt;0)+($E203&gt;=LOOKUP(2,1/($E:$E&lt;&gt;""),$E:$E))*($E203&lt;=$E204)*($E203&gt;INDEX(_xlfn.ANCHORARRAY(Sintesi!$C$14),1,$C203))*($E203&lt;=INDEX(_xlfn.ANCHORARRAY(Sintesi!$C$15),1,$C203))*(INDEX(_xlfn.ANCHORARRAY(Sintesi!$C$15),1,$C203)&gt;0),1,IF(($E203&gt;=LOOKUP(2,1/($E:$E&lt;&gt;""),$E:$E))*($E203&lt;=$E204)*($E203&gt;INDEX(_xlfn.ANCHORARRAY(Sintesi!$C$14),1,$C203))*($E203&lt;INDEX(_xlfn.ANCHORARRAY(Sintesi!$C$16),1,$C203))*(INDEX(_xlfn.ANCHORARRAY(Sintesi!$C$15),1,$C203)&lt;0)+($E203&gt;=LOOKUP(2,1/($E:$E&lt;&gt;""),$E:$E))*($E203&lt;=$E204)*($E203&gt;INDEX(_xlfn.ANCHORARRAY(Sintesi!$C$15),1,$C203))*($E203&lt;INDEX(_xlfn.ANCHORARRAY(Sintesi!$C$16),1,$C203))*(INDEX(_xlfn.ANCHORARRAY(Sintesi!$C$15),1,$C203)&gt;0),2,IF($E203=(INDEX(_xlfn.ANCHORARRAY(Sintesi!$C$16),1,$C203)),3,4)))),0)))</f>
        <v>3</v>
      </c>
      <c r="E203" s="1">
        <f>'Paste cell here'!F203</f>
        <v>1.046</v>
      </c>
      <c r="F203" s="1">
        <f>'Paste cell here'!C203</f>
        <v>34.256605030000003</v>
      </c>
      <c r="G203" s="1">
        <f>'Paste cell here'!D203</f>
        <v>18.81212</v>
      </c>
      <c r="H203" s="1">
        <f>'Paste cell here'!E203</f>
        <v>5.647692954</v>
      </c>
      <c r="I203" s="1">
        <f>'Paste cell here'!X203</f>
        <v>5.9071549860000001</v>
      </c>
      <c r="J203" s="1">
        <f>'Paste cell here'!Y203+'Paste cell here'!S203</f>
        <v>5.9071549860000001</v>
      </c>
      <c r="K203" s="1">
        <f t="shared" si="7"/>
        <v>1.0459412425769774</v>
      </c>
      <c r="L203" s="1">
        <f t="shared" si="6"/>
        <v>29.243333176698421</v>
      </c>
      <c r="M203" s="1" cm="1">
        <f t="array" ref="M203">IF(AND(A203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,A203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),IF(L203&lt;_xlfn.IFNA(INDEX(_xlfn.ANCHORARRAY(Sintesi!$C$17)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,1,IF(L203&gt;=_xlfn.IFNA(INDEX(_xlfn.ANCHORARRAY(Sintesi!$C$18)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,0,1-(L203-_xlfn.IFNA(INDEX(_xlfn.ANCHORARRAY(Sintesi!$C$17)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)/(_xlfn.IFNA(INDEX(_xlfn.ANCHORARRAY(Sintesi!$C$18)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-_xlfn.IFNA(INDEX(_xlfn.ANCHORARRAY(Sintesi!$C$17),1,MATCH(1,(_xlfn.ANCHORARRAY(Sintesi!$C$9)&gt;_xlfn.ANCHORARRAY(Sintesi!$C$10))*(A202&gt;=_xlfn.ANCHORARRAY(Sintesi!$C$9))+(_xlfn.ANCHORARRAY(Sintesi!$C$9)&gt;_xlfn.ANCHORARRAY(Sintesi!$C$10))*(A202&lt;=_xlfn.ANCHORARRAY(Sintesi!$C$10))+(_xlfn.ANCHORARRAY(Sintesi!$C$9)&lt;_xlfn.ANCHORARRAY(Sintesi!$C$10))*(A202&gt;=_xlfn.ANCHORARRAY(Sintesi!$C$9))*(A202&lt;=_xlfn.ANCHORARRAY(Sintesi!$C$10)),0)),0)))),0)</f>
        <v>0</v>
      </c>
    </row>
    <row r="204" spans="1:13">
      <c r="A204" s="1">
        <f>'Paste cell here'!A204</f>
        <v>203</v>
      </c>
      <c r="B204" s="2">
        <f>DATE(Sintesi!$C$4-1,12,31)+A204</f>
        <v>44399</v>
      </c>
      <c r="C204" s="34" cm="1">
        <f t="array" ref="C204">_xlfn.IFNA(MATCH(1,(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)*(_xlfn.ANCHORARRAY(Sintesi!$C$15)&gt;=0)+(_xlfn.ANCHORARRAY(Sintesi!$C$15)&lt;0),0),0)</f>
        <v>1</v>
      </c>
      <c r="D204" s="1" cm="1">
        <f t="array" ref="D204">IF(ISBLANK($E205),IF(ISNUMBER($E203),IF($C204&gt;0,IF(($E204=INDEX(_xlfn.ANCHORARRAY(Sintesi!$C$14),1,$C204))*(INDEX(_xlfn.ANCHORARRAY(Sintesi!$C$15),1,$C204)&gt;0),0,IF(($E204=INDEX(_xlfn.ANCHORARRAY(Sintesi!$C$14),1,$C204))*(INDEX(_xlfn.ANCHORARRAY(Sintesi!$C$15),1,$C204)&lt;0)+($E204&gt;=$E203)*($E204&lt;=INDEX($E:$E,MATCH(TRUE,INDEX((ISNUMBER($E:$E)),0),0)))*($E204&gt;INDEX(_xlfn.ANCHORARRAY(Sintesi!$C$14),1,$C204))*($E204&lt;=INDEX(_xlfn.ANCHORARRAY(Sintesi!$C$15),1,$C204))*(INDEX(_xlfn.ANCHORARRAY(Sintesi!$C$15),1,$C204)&gt;0),1,IF(($E204&gt;=$E203)*($E204&lt;=INDEX($E:$E,MATCH(TRUE,INDEX((ISNUMBER($E:$E)),0),0)))*($E204&gt;INDEX(_xlfn.ANCHORARRAY(Sintesi!$C$14),1,$C204))*($E204&lt;INDEX(_xlfn.ANCHORARRAY(Sintesi!$C$16),1,$C204))*(INDEX(_xlfn.ANCHORARRAY(Sintesi!$C$15),1,$C204)&lt;0)+($E204&gt;=$E203)*($E204&lt;=INDEX($E:$E,MATCH(TRUE,INDEX((ISNUMBER($E:$E)),0),0)))*($E204&gt;INDEX(_xlfn.ANCHORARRAY(Sintesi!$C$15),1,$C204))*($E204&lt;INDEX(_xlfn.ANCHORARRAY(Sintesi!$C$16),1,$C204))*(INDEX(_xlfn.ANCHORARRAY(Sintesi!$C$15),1,$C204)&gt;0),2,IF($E204=(INDEX(_xlfn.ANCHORARRAY(Sintesi!$C$16),1,$C204)),3,4)))),0),IF($C204&gt;0,IF(($E204=INDEX(_xlfn.ANCHORARRAY(Sintesi!$C$14),1,$C204))*(INDEX(_xlfn.ANCHORARRAY(Sintesi!$C$15),1,$C204)&gt;0),0,IF(($E204=INDEX(_xlfn.ANCHORARRAY(Sintesi!$C$14),1,$C204))*(INDEX(_xlfn.ANCHORARRAY(Sintesi!$C$15),1,$C204)&lt;0)+($E204&gt;=LOOKUP(2,1/($E:$E&lt;&gt;""),$E:$E))*($E204&lt;=INDEX($E:$E,MATCH(TRUE,INDEX((ISNUMBER($E:$E)),0),0)))*($E204&gt;INDEX(_xlfn.ANCHORARRAY(Sintesi!$C$14),1,$C204))*($E204&lt;=INDEX(_xlfn.ANCHORARRAY(Sintesi!$C$15),1,$C204))*(INDEX(_xlfn.ANCHORARRAY(Sintesi!$C$15),1,$C204)&gt;0),1,IF(($E204&gt;=LOOKUP(2,1/($E:$E&lt;&gt;""),$E:$E))*($E204&lt;=INDEX($E:$E,MATCH(TRUE,INDEX((ISNUMBER($E:$E)),0),0)))*($E204&gt;INDEX(_xlfn.ANCHORARRAY(Sintesi!$C$14),1,$C204))*($E204&lt;INDEX(_xlfn.ANCHORARRAY(Sintesi!$C$16),1,$C204))*(INDEX(_xlfn.ANCHORARRAY(Sintesi!$C$15),1,$C204)&lt;0)+($E204&gt;=LOOKUP(2,1/($E:$E&lt;&gt;""),$E:$E))*($E204&lt;=INDEX($E:$E,MATCH(TRUE,INDEX((ISNUMBER($E:$E)),0),0)))*($E204&gt;INDEX(_xlfn.ANCHORARRAY(Sintesi!$C$15),1,$C204))*($E204&lt;INDEX(_xlfn.ANCHORARRAY(Sintesi!$C$16),1,$C204))*(INDEX(_xlfn.ANCHORARRAY(Sintesi!$C$15),1,$C204)&gt;0),2,IF($E204=(INDEX(_xlfn.ANCHORARRAY(Sintesi!$C$16),1,$C204)),3,4)))),0)),IF(ISNUMBER($E203),IF($C204&gt;0,IF(($E204=INDEX(_xlfn.ANCHORARRAY(Sintesi!$C$14),1,$C204))*(INDEX(_xlfn.ANCHORARRAY(Sintesi!$C$15),1,$C204)&gt;0),0,IF(($E204=INDEX(_xlfn.ANCHORARRAY(Sintesi!$C$14),1,$C204))*(INDEX(_xlfn.ANCHORARRAY(Sintesi!$C$15),1,$C204)&lt;0)+($E204&gt;=$E203)*($E204&lt;=$E205)*($E204&gt;INDEX(_xlfn.ANCHORARRAY(Sintesi!$C$14),1,$C204))*($E204&lt;=INDEX(_xlfn.ANCHORARRAY(Sintesi!$C$15),1,$C204))*(INDEX(_xlfn.ANCHORARRAY(Sintesi!$C$15),1,$C204)&gt;0),1,IF(($E204&gt;=$E203)*($E204&lt;=$E205)*($E204&gt;INDEX(_xlfn.ANCHORARRAY(Sintesi!$C$14),1,$C204))*($E204&lt;INDEX(_xlfn.ANCHORARRAY(Sintesi!$C$16),1,$C204))*(INDEX(_xlfn.ANCHORARRAY(Sintesi!$C$15),1,$C204)&lt;0)+($E204&gt;=$E203)*($E204&lt;=$E205)*($E204&gt;INDEX(_xlfn.ANCHORARRAY(Sintesi!$C$15),1,$C204))*($E204&lt;INDEX(_xlfn.ANCHORARRAY(Sintesi!$C$16),1,$C204))*(INDEX(_xlfn.ANCHORARRAY(Sintesi!$C$15),1,$C204)&gt;0),2,IF($E204=(INDEX(_xlfn.ANCHORARRAY(Sintesi!$C$16),1,$C204)),3,4)))),0),IF($C204&gt;0,IF(($E204=INDEX(_xlfn.ANCHORARRAY(Sintesi!$C$14),1,$C204))*(INDEX(_xlfn.ANCHORARRAY(Sintesi!$C$15),1,$C204)&gt;0),0,IF(($E204=INDEX(_xlfn.ANCHORARRAY(Sintesi!$C$14),1,$C204))*(INDEX(_xlfn.ANCHORARRAY(Sintesi!$C$15),1,$C204)&lt;0)+($E204&gt;=LOOKUP(2,1/($E:$E&lt;&gt;""),$E:$E))*($E204&lt;=$E205)*($E204&gt;INDEX(_xlfn.ANCHORARRAY(Sintesi!$C$14),1,$C204))*($E204&lt;=INDEX(_xlfn.ANCHORARRAY(Sintesi!$C$15),1,$C204))*(INDEX(_xlfn.ANCHORARRAY(Sintesi!$C$15),1,$C204)&gt;0),1,IF(($E204&gt;=LOOKUP(2,1/($E:$E&lt;&gt;""),$E:$E))*($E204&lt;=$E205)*($E204&gt;INDEX(_xlfn.ANCHORARRAY(Sintesi!$C$14),1,$C204))*($E204&lt;INDEX(_xlfn.ANCHORARRAY(Sintesi!$C$16),1,$C204))*(INDEX(_xlfn.ANCHORARRAY(Sintesi!$C$15),1,$C204)&lt;0)+($E204&gt;=LOOKUP(2,1/($E:$E&lt;&gt;""),$E:$E))*($E204&lt;=$E205)*($E204&gt;INDEX(_xlfn.ANCHORARRAY(Sintesi!$C$15),1,$C204))*($E204&lt;INDEX(_xlfn.ANCHORARRAY(Sintesi!$C$16),1,$C204))*(INDEX(_xlfn.ANCHORARRAY(Sintesi!$C$15),1,$C204)&gt;0),2,IF($E204=(INDEX(_xlfn.ANCHORARRAY(Sintesi!$C$16),1,$C204)),3,4)))),0)))</f>
        <v>3</v>
      </c>
      <c r="E204" s="1">
        <f>'Paste cell here'!F204</f>
        <v>1.046</v>
      </c>
      <c r="F204" s="1">
        <f>'Paste cell here'!C204</f>
        <v>33.256605030000003</v>
      </c>
      <c r="G204" s="1">
        <f>'Paste cell here'!D204</f>
        <v>20.53485474</v>
      </c>
      <c r="H204" s="1">
        <f>'Paste cell here'!E204</f>
        <v>5.7441533749999998</v>
      </c>
      <c r="I204" s="1">
        <f>'Paste cell here'!X204</f>
        <v>6.0080598360000002</v>
      </c>
      <c r="J204" s="1">
        <f>'Paste cell here'!Y204+'Paste cell here'!S204</f>
        <v>6.0080598360000002</v>
      </c>
      <c r="K204" s="1">
        <f t="shared" si="7"/>
        <v>1.0459434913678642</v>
      </c>
      <c r="L204" s="1">
        <f t="shared" si="6"/>
        <v>29.127131465183563</v>
      </c>
      <c r="M204" s="1" cm="1">
        <f t="array" ref="M204">IF(AND(A204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,A204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),IF(L204&lt;_xlfn.IFNA(INDEX(_xlfn.ANCHORARRAY(Sintesi!$C$17)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,1,IF(L204&gt;=_xlfn.IFNA(INDEX(_xlfn.ANCHORARRAY(Sintesi!$C$18)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,0,1-(L204-_xlfn.IFNA(INDEX(_xlfn.ANCHORARRAY(Sintesi!$C$17)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)/(_xlfn.IFNA(INDEX(_xlfn.ANCHORARRAY(Sintesi!$C$18)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-_xlfn.IFNA(INDEX(_xlfn.ANCHORARRAY(Sintesi!$C$17),1,MATCH(1,(_xlfn.ANCHORARRAY(Sintesi!$C$9)&gt;_xlfn.ANCHORARRAY(Sintesi!$C$10))*(A203&gt;=_xlfn.ANCHORARRAY(Sintesi!$C$9))+(_xlfn.ANCHORARRAY(Sintesi!$C$9)&gt;_xlfn.ANCHORARRAY(Sintesi!$C$10))*(A203&lt;=_xlfn.ANCHORARRAY(Sintesi!$C$10))+(_xlfn.ANCHORARRAY(Sintesi!$C$9)&lt;_xlfn.ANCHORARRAY(Sintesi!$C$10))*(A203&gt;=_xlfn.ANCHORARRAY(Sintesi!$C$9))*(A203&lt;=_xlfn.ANCHORARRAY(Sintesi!$C$10)),0)),0)))),0)</f>
        <v>0</v>
      </c>
    </row>
    <row r="205" spans="1:13">
      <c r="A205" s="1">
        <f>'Paste cell here'!A205</f>
        <v>204</v>
      </c>
      <c r="B205" s="2">
        <f>DATE(Sintesi!$C$4-1,12,31)+A205</f>
        <v>44400</v>
      </c>
      <c r="C205" s="34" cm="1">
        <f t="array" ref="C205">_xlfn.IFNA(MATCH(1,(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)*(_xlfn.ANCHORARRAY(Sintesi!$C$15)&gt;=0)+(_xlfn.ANCHORARRAY(Sintesi!$C$15)&lt;0),0),0)</f>
        <v>1</v>
      </c>
      <c r="D205" s="1" cm="1">
        <f t="array" ref="D205">IF(ISBLANK($E206),IF(ISNUMBER($E204),IF($C205&gt;0,IF(($E205=INDEX(_xlfn.ANCHORARRAY(Sintesi!$C$14),1,$C205))*(INDEX(_xlfn.ANCHORARRAY(Sintesi!$C$15),1,$C205)&gt;0),0,IF(($E205=INDEX(_xlfn.ANCHORARRAY(Sintesi!$C$14),1,$C205))*(INDEX(_xlfn.ANCHORARRAY(Sintesi!$C$15),1,$C205)&lt;0)+($E205&gt;=$E204)*($E205&lt;=INDEX($E:$E,MATCH(TRUE,INDEX((ISNUMBER($E:$E)),0),0)))*($E205&gt;INDEX(_xlfn.ANCHORARRAY(Sintesi!$C$14),1,$C205))*($E205&lt;=INDEX(_xlfn.ANCHORARRAY(Sintesi!$C$15),1,$C205))*(INDEX(_xlfn.ANCHORARRAY(Sintesi!$C$15),1,$C205)&gt;0),1,IF(($E205&gt;=$E204)*($E205&lt;=INDEX($E:$E,MATCH(TRUE,INDEX((ISNUMBER($E:$E)),0),0)))*($E205&gt;INDEX(_xlfn.ANCHORARRAY(Sintesi!$C$14),1,$C205))*($E205&lt;INDEX(_xlfn.ANCHORARRAY(Sintesi!$C$16),1,$C205))*(INDEX(_xlfn.ANCHORARRAY(Sintesi!$C$15),1,$C205)&lt;0)+($E205&gt;=$E204)*($E205&lt;=INDEX($E:$E,MATCH(TRUE,INDEX((ISNUMBER($E:$E)),0),0)))*($E205&gt;INDEX(_xlfn.ANCHORARRAY(Sintesi!$C$15),1,$C205))*($E205&lt;INDEX(_xlfn.ANCHORARRAY(Sintesi!$C$16),1,$C205))*(INDEX(_xlfn.ANCHORARRAY(Sintesi!$C$15),1,$C205)&gt;0),2,IF($E205=(INDEX(_xlfn.ANCHORARRAY(Sintesi!$C$16),1,$C205)),3,4)))),0),IF($C205&gt;0,IF(($E205=INDEX(_xlfn.ANCHORARRAY(Sintesi!$C$14),1,$C205))*(INDEX(_xlfn.ANCHORARRAY(Sintesi!$C$15),1,$C205)&gt;0),0,IF(($E205=INDEX(_xlfn.ANCHORARRAY(Sintesi!$C$14),1,$C205))*(INDEX(_xlfn.ANCHORARRAY(Sintesi!$C$15),1,$C205)&lt;0)+($E205&gt;=LOOKUP(2,1/($E:$E&lt;&gt;""),$E:$E))*($E205&lt;=INDEX($E:$E,MATCH(TRUE,INDEX((ISNUMBER($E:$E)),0),0)))*($E205&gt;INDEX(_xlfn.ANCHORARRAY(Sintesi!$C$14),1,$C205))*($E205&lt;=INDEX(_xlfn.ANCHORARRAY(Sintesi!$C$15),1,$C205))*(INDEX(_xlfn.ANCHORARRAY(Sintesi!$C$15),1,$C205)&gt;0),1,IF(($E205&gt;=LOOKUP(2,1/($E:$E&lt;&gt;""),$E:$E))*($E205&lt;=INDEX($E:$E,MATCH(TRUE,INDEX((ISNUMBER($E:$E)),0),0)))*($E205&gt;INDEX(_xlfn.ANCHORARRAY(Sintesi!$C$14),1,$C205))*($E205&lt;INDEX(_xlfn.ANCHORARRAY(Sintesi!$C$16),1,$C205))*(INDEX(_xlfn.ANCHORARRAY(Sintesi!$C$15),1,$C205)&lt;0)+($E205&gt;=LOOKUP(2,1/($E:$E&lt;&gt;""),$E:$E))*($E205&lt;=INDEX($E:$E,MATCH(TRUE,INDEX((ISNUMBER($E:$E)),0),0)))*($E205&gt;INDEX(_xlfn.ANCHORARRAY(Sintesi!$C$15),1,$C205))*($E205&lt;INDEX(_xlfn.ANCHORARRAY(Sintesi!$C$16),1,$C205))*(INDEX(_xlfn.ANCHORARRAY(Sintesi!$C$15),1,$C205)&gt;0),2,IF($E205=(INDEX(_xlfn.ANCHORARRAY(Sintesi!$C$16),1,$C205)),3,4)))),0)),IF(ISNUMBER($E204),IF($C205&gt;0,IF(($E205=INDEX(_xlfn.ANCHORARRAY(Sintesi!$C$14),1,$C205))*(INDEX(_xlfn.ANCHORARRAY(Sintesi!$C$15),1,$C205)&gt;0),0,IF(($E205=INDEX(_xlfn.ANCHORARRAY(Sintesi!$C$14),1,$C205))*(INDEX(_xlfn.ANCHORARRAY(Sintesi!$C$15),1,$C205)&lt;0)+($E205&gt;=$E204)*($E205&lt;=$E206)*($E205&gt;INDEX(_xlfn.ANCHORARRAY(Sintesi!$C$14),1,$C205))*($E205&lt;=INDEX(_xlfn.ANCHORARRAY(Sintesi!$C$15),1,$C205))*(INDEX(_xlfn.ANCHORARRAY(Sintesi!$C$15),1,$C205)&gt;0),1,IF(($E205&gt;=$E204)*($E205&lt;=$E206)*($E205&gt;INDEX(_xlfn.ANCHORARRAY(Sintesi!$C$14),1,$C205))*($E205&lt;INDEX(_xlfn.ANCHORARRAY(Sintesi!$C$16),1,$C205))*(INDEX(_xlfn.ANCHORARRAY(Sintesi!$C$15),1,$C205)&lt;0)+($E205&gt;=$E204)*($E205&lt;=$E206)*($E205&gt;INDEX(_xlfn.ANCHORARRAY(Sintesi!$C$15),1,$C205))*($E205&lt;INDEX(_xlfn.ANCHORARRAY(Sintesi!$C$16),1,$C205))*(INDEX(_xlfn.ANCHORARRAY(Sintesi!$C$15),1,$C205)&gt;0),2,IF($E205=(INDEX(_xlfn.ANCHORARRAY(Sintesi!$C$16),1,$C205)),3,4)))),0),IF($C205&gt;0,IF(($E205=INDEX(_xlfn.ANCHORARRAY(Sintesi!$C$14),1,$C205))*(INDEX(_xlfn.ANCHORARRAY(Sintesi!$C$15),1,$C205)&gt;0),0,IF(($E205=INDEX(_xlfn.ANCHORARRAY(Sintesi!$C$14),1,$C205))*(INDEX(_xlfn.ANCHORARRAY(Sintesi!$C$15),1,$C205)&lt;0)+($E205&gt;=LOOKUP(2,1/($E:$E&lt;&gt;""),$E:$E))*($E205&lt;=$E206)*($E205&gt;INDEX(_xlfn.ANCHORARRAY(Sintesi!$C$14),1,$C205))*($E205&lt;=INDEX(_xlfn.ANCHORARRAY(Sintesi!$C$15),1,$C205))*(INDEX(_xlfn.ANCHORARRAY(Sintesi!$C$15),1,$C205)&gt;0),1,IF(($E205&gt;=LOOKUP(2,1/($E:$E&lt;&gt;""),$E:$E))*($E205&lt;=$E206)*($E205&gt;INDEX(_xlfn.ANCHORARRAY(Sintesi!$C$14),1,$C205))*($E205&lt;INDEX(_xlfn.ANCHORARRAY(Sintesi!$C$16),1,$C205))*(INDEX(_xlfn.ANCHORARRAY(Sintesi!$C$15),1,$C205)&lt;0)+($E205&gt;=LOOKUP(2,1/($E:$E&lt;&gt;""),$E:$E))*($E205&lt;=$E206)*($E205&gt;INDEX(_xlfn.ANCHORARRAY(Sintesi!$C$15),1,$C205))*($E205&lt;INDEX(_xlfn.ANCHORARRAY(Sintesi!$C$16),1,$C205))*(INDEX(_xlfn.ANCHORARRAY(Sintesi!$C$15),1,$C205)&gt;0),2,IF($E205=(INDEX(_xlfn.ANCHORARRAY(Sintesi!$C$16),1,$C205)),3,4)))),0)))</f>
        <v>3</v>
      </c>
      <c r="E205" s="1">
        <f>'Paste cell here'!F205</f>
        <v>1.046</v>
      </c>
      <c r="F205" s="1">
        <f>'Paste cell here'!C205</f>
        <v>33.174543870000001</v>
      </c>
      <c r="G205" s="1">
        <f>'Paste cell here'!D205</f>
        <v>19.55071907</v>
      </c>
      <c r="H205" s="1">
        <f>'Paste cell here'!E205</f>
        <v>5.2586216910000001</v>
      </c>
      <c r="I205" s="1">
        <f>'Paste cell here'!X205</f>
        <v>5.5002328580000004</v>
      </c>
      <c r="J205" s="1">
        <f>'Paste cell here'!Y205+'Paste cell here'!S205</f>
        <v>5.5002328580000004</v>
      </c>
      <c r="K205" s="1">
        <f t="shared" si="7"/>
        <v>1.0459457213690637</v>
      </c>
      <c r="L205" s="1">
        <f t="shared" si="6"/>
        <v>28.752257385764146</v>
      </c>
      <c r="M205" s="1" cm="1">
        <f t="array" ref="M205">IF(AND(A205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,A205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),IF(L205&lt;_xlfn.IFNA(INDEX(_xlfn.ANCHORARRAY(Sintesi!$C$17)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,1,IF(L205&gt;=_xlfn.IFNA(INDEX(_xlfn.ANCHORARRAY(Sintesi!$C$18)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,0,1-(L205-_xlfn.IFNA(INDEX(_xlfn.ANCHORARRAY(Sintesi!$C$17)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)/(_xlfn.IFNA(INDEX(_xlfn.ANCHORARRAY(Sintesi!$C$18)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-_xlfn.IFNA(INDEX(_xlfn.ANCHORARRAY(Sintesi!$C$17),1,MATCH(1,(_xlfn.ANCHORARRAY(Sintesi!$C$9)&gt;_xlfn.ANCHORARRAY(Sintesi!$C$10))*(A204&gt;=_xlfn.ANCHORARRAY(Sintesi!$C$9))+(_xlfn.ANCHORARRAY(Sintesi!$C$9)&gt;_xlfn.ANCHORARRAY(Sintesi!$C$10))*(A204&lt;=_xlfn.ANCHORARRAY(Sintesi!$C$10))+(_xlfn.ANCHORARRAY(Sintesi!$C$9)&lt;_xlfn.ANCHORARRAY(Sintesi!$C$10))*(A204&gt;=_xlfn.ANCHORARRAY(Sintesi!$C$9))*(A204&lt;=_xlfn.ANCHORARRAY(Sintesi!$C$10)),0)),0)))),0)</f>
        <v>0</v>
      </c>
    </row>
    <row r="206" spans="1:13">
      <c r="A206" s="1">
        <f>'Paste cell here'!A206</f>
        <v>205</v>
      </c>
      <c r="B206" s="2">
        <f>DATE(Sintesi!$C$4-1,12,31)+A206</f>
        <v>44401</v>
      </c>
      <c r="C206" s="34" cm="1">
        <f t="array" ref="C206">_xlfn.IFNA(MATCH(1,(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)*(_xlfn.ANCHORARRAY(Sintesi!$C$15)&gt;=0)+(_xlfn.ANCHORARRAY(Sintesi!$C$15)&lt;0),0),0)</f>
        <v>1</v>
      </c>
      <c r="D206" s="1" cm="1">
        <f t="array" ref="D206">IF(ISBLANK($E207),IF(ISNUMBER($E205),IF($C206&gt;0,IF(($E206=INDEX(_xlfn.ANCHORARRAY(Sintesi!$C$14),1,$C206))*(INDEX(_xlfn.ANCHORARRAY(Sintesi!$C$15),1,$C206)&gt;0),0,IF(($E206=INDEX(_xlfn.ANCHORARRAY(Sintesi!$C$14),1,$C206))*(INDEX(_xlfn.ANCHORARRAY(Sintesi!$C$15),1,$C206)&lt;0)+($E206&gt;=$E205)*($E206&lt;=INDEX($E:$E,MATCH(TRUE,INDEX((ISNUMBER($E:$E)),0),0)))*($E206&gt;INDEX(_xlfn.ANCHORARRAY(Sintesi!$C$14),1,$C206))*($E206&lt;=INDEX(_xlfn.ANCHORARRAY(Sintesi!$C$15),1,$C206))*(INDEX(_xlfn.ANCHORARRAY(Sintesi!$C$15),1,$C206)&gt;0),1,IF(($E206&gt;=$E205)*($E206&lt;=INDEX($E:$E,MATCH(TRUE,INDEX((ISNUMBER($E:$E)),0),0)))*($E206&gt;INDEX(_xlfn.ANCHORARRAY(Sintesi!$C$14),1,$C206))*($E206&lt;INDEX(_xlfn.ANCHORARRAY(Sintesi!$C$16),1,$C206))*(INDEX(_xlfn.ANCHORARRAY(Sintesi!$C$15),1,$C206)&lt;0)+($E206&gt;=$E205)*($E206&lt;=INDEX($E:$E,MATCH(TRUE,INDEX((ISNUMBER($E:$E)),0),0)))*($E206&gt;INDEX(_xlfn.ANCHORARRAY(Sintesi!$C$15),1,$C206))*($E206&lt;INDEX(_xlfn.ANCHORARRAY(Sintesi!$C$16),1,$C206))*(INDEX(_xlfn.ANCHORARRAY(Sintesi!$C$15),1,$C206)&gt;0),2,IF($E206=(INDEX(_xlfn.ANCHORARRAY(Sintesi!$C$16),1,$C206)),3,4)))),0),IF($C206&gt;0,IF(($E206=INDEX(_xlfn.ANCHORARRAY(Sintesi!$C$14),1,$C206))*(INDEX(_xlfn.ANCHORARRAY(Sintesi!$C$15),1,$C206)&gt;0),0,IF(($E206=INDEX(_xlfn.ANCHORARRAY(Sintesi!$C$14),1,$C206))*(INDEX(_xlfn.ANCHORARRAY(Sintesi!$C$15),1,$C206)&lt;0)+($E206&gt;=LOOKUP(2,1/($E:$E&lt;&gt;""),$E:$E))*($E206&lt;=INDEX($E:$E,MATCH(TRUE,INDEX((ISNUMBER($E:$E)),0),0)))*($E206&gt;INDEX(_xlfn.ANCHORARRAY(Sintesi!$C$14),1,$C206))*($E206&lt;=INDEX(_xlfn.ANCHORARRAY(Sintesi!$C$15),1,$C206))*(INDEX(_xlfn.ANCHORARRAY(Sintesi!$C$15),1,$C206)&gt;0),1,IF(($E206&gt;=LOOKUP(2,1/($E:$E&lt;&gt;""),$E:$E))*($E206&lt;=INDEX($E:$E,MATCH(TRUE,INDEX((ISNUMBER($E:$E)),0),0)))*($E206&gt;INDEX(_xlfn.ANCHORARRAY(Sintesi!$C$14),1,$C206))*($E206&lt;INDEX(_xlfn.ANCHORARRAY(Sintesi!$C$16),1,$C206))*(INDEX(_xlfn.ANCHORARRAY(Sintesi!$C$15),1,$C206)&lt;0)+($E206&gt;=LOOKUP(2,1/($E:$E&lt;&gt;""),$E:$E))*($E206&lt;=INDEX($E:$E,MATCH(TRUE,INDEX((ISNUMBER($E:$E)),0),0)))*($E206&gt;INDEX(_xlfn.ANCHORARRAY(Sintesi!$C$15),1,$C206))*($E206&lt;INDEX(_xlfn.ANCHORARRAY(Sintesi!$C$16),1,$C206))*(INDEX(_xlfn.ANCHORARRAY(Sintesi!$C$15),1,$C206)&gt;0),2,IF($E206=(INDEX(_xlfn.ANCHORARRAY(Sintesi!$C$16),1,$C206)),3,4)))),0)),IF(ISNUMBER($E205),IF($C206&gt;0,IF(($E206=INDEX(_xlfn.ANCHORARRAY(Sintesi!$C$14),1,$C206))*(INDEX(_xlfn.ANCHORARRAY(Sintesi!$C$15),1,$C206)&gt;0),0,IF(($E206=INDEX(_xlfn.ANCHORARRAY(Sintesi!$C$14),1,$C206))*(INDEX(_xlfn.ANCHORARRAY(Sintesi!$C$15),1,$C206)&lt;0)+($E206&gt;=$E205)*($E206&lt;=$E207)*($E206&gt;INDEX(_xlfn.ANCHORARRAY(Sintesi!$C$14),1,$C206))*($E206&lt;=INDEX(_xlfn.ANCHORARRAY(Sintesi!$C$15),1,$C206))*(INDEX(_xlfn.ANCHORARRAY(Sintesi!$C$15),1,$C206)&gt;0),1,IF(($E206&gt;=$E205)*($E206&lt;=$E207)*($E206&gt;INDEX(_xlfn.ANCHORARRAY(Sintesi!$C$14),1,$C206))*($E206&lt;INDEX(_xlfn.ANCHORARRAY(Sintesi!$C$16),1,$C206))*(INDEX(_xlfn.ANCHORARRAY(Sintesi!$C$15),1,$C206)&lt;0)+($E206&gt;=$E205)*($E206&lt;=$E207)*($E206&gt;INDEX(_xlfn.ANCHORARRAY(Sintesi!$C$15),1,$C206))*($E206&lt;INDEX(_xlfn.ANCHORARRAY(Sintesi!$C$16),1,$C206))*(INDEX(_xlfn.ANCHORARRAY(Sintesi!$C$15),1,$C206)&gt;0),2,IF($E206=(INDEX(_xlfn.ANCHORARRAY(Sintesi!$C$16),1,$C206)),3,4)))),0),IF($C206&gt;0,IF(($E206=INDEX(_xlfn.ANCHORARRAY(Sintesi!$C$14),1,$C206))*(INDEX(_xlfn.ANCHORARRAY(Sintesi!$C$15),1,$C206)&gt;0),0,IF(($E206=INDEX(_xlfn.ANCHORARRAY(Sintesi!$C$14),1,$C206))*(INDEX(_xlfn.ANCHORARRAY(Sintesi!$C$15),1,$C206)&lt;0)+($E206&gt;=LOOKUP(2,1/($E:$E&lt;&gt;""),$E:$E))*($E206&lt;=$E207)*($E206&gt;INDEX(_xlfn.ANCHORARRAY(Sintesi!$C$14),1,$C206))*($E206&lt;=INDEX(_xlfn.ANCHORARRAY(Sintesi!$C$15),1,$C206))*(INDEX(_xlfn.ANCHORARRAY(Sintesi!$C$15),1,$C206)&gt;0),1,IF(($E206&gt;=LOOKUP(2,1/($E:$E&lt;&gt;""),$E:$E))*($E206&lt;=$E207)*($E206&gt;INDEX(_xlfn.ANCHORARRAY(Sintesi!$C$14),1,$C206))*($E206&lt;INDEX(_xlfn.ANCHORARRAY(Sintesi!$C$16),1,$C206))*(INDEX(_xlfn.ANCHORARRAY(Sintesi!$C$15),1,$C206)&lt;0)+($E206&gt;=LOOKUP(2,1/($E:$E&lt;&gt;""),$E:$E))*($E206&lt;=$E207)*($E206&gt;INDEX(_xlfn.ANCHORARRAY(Sintesi!$C$15),1,$C206))*($E206&lt;INDEX(_xlfn.ANCHORARRAY(Sintesi!$C$16),1,$C206))*(INDEX(_xlfn.ANCHORARRAY(Sintesi!$C$15),1,$C206)&gt;0),2,IF($E206=(INDEX(_xlfn.ANCHORARRAY(Sintesi!$C$16),1,$C206)),3,4)))),0)))</f>
        <v>3</v>
      </c>
      <c r="E206" s="1">
        <f>'Paste cell here'!F206</f>
        <v>1.046</v>
      </c>
      <c r="F206" s="1">
        <f>'Paste cell here'!C206</f>
        <v>32.692675899999998</v>
      </c>
      <c r="G206" s="1">
        <f>'Paste cell here'!D206</f>
        <v>22.0688511</v>
      </c>
      <c r="H206" s="1">
        <f>'Paste cell here'!E206</f>
        <v>5.1109362689999998</v>
      </c>
      <c r="I206" s="1">
        <f>'Paste cell here'!X206</f>
        <v>5.3457732030000003</v>
      </c>
      <c r="J206" s="1">
        <f>'Paste cell here'!Y206+'Paste cell here'!S206</f>
        <v>5.3457732030000003</v>
      </c>
      <c r="K206" s="1">
        <f t="shared" si="7"/>
        <v>1.045947928449898</v>
      </c>
      <c r="L206" s="1">
        <f t="shared" si="6"/>
        <v>29.244187864251789</v>
      </c>
      <c r="M206" s="1" cm="1">
        <f t="array" ref="M206">IF(AND(A206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,A206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),IF(L206&lt;_xlfn.IFNA(INDEX(_xlfn.ANCHORARRAY(Sintesi!$C$17)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,1,IF(L206&gt;=_xlfn.IFNA(INDEX(_xlfn.ANCHORARRAY(Sintesi!$C$18)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,0,1-(L206-_xlfn.IFNA(INDEX(_xlfn.ANCHORARRAY(Sintesi!$C$17)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)/(_xlfn.IFNA(INDEX(_xlfn.ANCHORARRAY(Sintesi!$C$18)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-_xlfn.IFNA(INDEX(_xlfn.ANCHORARRAY(Sintesi!$C$17),1,MATCH(1,(_xlfn.ANCHORARRAY(Sintesi!$C$9)&gt;_xlfn.ANCHORARRAY(Sintesi!$C$10))*(A205&gt;=_xlfn.ANCHORARRAY(Sintesi!$C$9))+(_xlfn.ANCHORARRAY(Sintesi!$C$9)&gt;_xlfn.ANCHORARRAY(Sintesi!$C$10))*(A205&lt;=_xlfn.ANCHORARRAY(Sintesi!$C$10))+(_xlfn.ANCHORARRAY(Sintesi!$C$9)&lt;_xlfn.ANCHORARRAY(Sintesi!$C$10))*(A205&gt;=_xlfn.ANCHORARRAY(Sintesi!$C$9))*(A205&lt;=_xlfn.ANCHORARRAY(Sintesi!$C$10)),0)),0)))),0)</f>
        <v>0</v>
      </c>
    </row>
    <row r="207" spans="1:13">
      <c r="A207" s="1">
        <f>'Paste cell here'!A207</f>
        <v>206</v>
      </c>
      <c r="B207" s="2">
        <f>DATE(Sintesi!$C$4-1,12,31)+A207</f>
        <v>44402</v>
      </c>
      <c r="C207" s="34" cm="1">
        <f t="array" ref="C207">_xlfn.IFNA(MATCH(1,(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)*(_xlfn.ANCHORARRAY(Sintesi!$C$15)&gt;=0)+(_xlfn.ANCHORARRAY(Sintesi!$C$15)&lt;0),0),0)</f>
        <v>1</v>
      </c>
      <c r="D207" s="1" cm="1">
        <f t="array" ref="D207">IF(ISBLANK($E208),IF(ISNUMBER($E206),IF($C207&gt;0,IF(($E207=INDEX(_xlfn.ANCHORARRAY(Sintesi!$C$14),1,$C207))*(INDEX(_xlfn.ANCHORARRAY(Sintesi!$C$15),1,$C207)&gt;0),0,IF(($E207=INDEX(_xlfn.ANCHORARRAY(Sintesi!$C$14),1,$C207))*(INDEX(_xlfn.ANCHORARRAY(Sintesi!$C$15),1,$C207)&lt;0)+($E207&gt;=$E206)*($E207&lt;=INDEX($E:$E,MATCH(TRUE,INDEX((ISNUMBER($E:$E)),0),0)))*($E207&gt;INDEX(_xlfn.ANCHORARRAY(Sintesi!$C$14),1,$C207))*($E207&lt;=INDEX(_xlfn.ANCHORARRAY(Sintesi!$C$15),1,$C207))*(INDEX(_xlfn.ANCHORARRAY(Sintesi!$C$15),1,$C207)&gt;0),1,IF(($E207&gt;=$E206)*($E207&lt;=INDEX($E:$E,MATCH(TRUE,INDEX((ISNUMBER($E:$E)),0),0)))*($E207&gt;INDEX(_xlfn.ANCHORARRAY(Sintesi!$C$14),1,$C207))*($E207&lt;INDEX(_xlfn.ANCHORARRAY(Sintesi!$C$16),1,$C207))*(INDEX(_xlfn.ANCHORARRAY(Sintesi!$C$15),1,$C207)&lt;0)+($E207&gt;=$E206)*($E207&lt;=INDEX($E:$E,MATCH(TRUE,INDEX((ISNUMBER($E:$E)),0),0)))*($E207&gt;INDEX(_xlfn.ANCHORARRAY(Sintesi!$C$15),1,$C207))*($E207&lt;INDEX(_xlfn.ANCHORARRAY(Sintesi!$C$16),1,$C207))*(INDEX(_xlfn.ANCHORARRAY(Sintesi!$C$15),1,$C207)&gt;0),2,IF($E207=(INDEX(_xlfn.ANCHORARRAY(Sintesi!$C$16),1,$C207)),3,4)))),0),IF($C207&gt;0,IF(($E207=INDEX(_xlfn.ANCHORARRAY(Sintesi!$C$14),1,$C207))*(INDEX(_xlfn.ANCHORARRAY(Sintesi!$C$15),1,$C207)&gt;0),0,IF(($E207=INDEX(_xlfn.ANCHORARRAY(Sintesi!$C$14),1,$C207))*(INDEX(_xlfn.ANCHORARRAY(Sintesi!$C$15),1,$C207)&lt;0)+($E207&gt;=LOOKUP(2,1/($E:$E&lt;&gt;""),$E:$E))*($E207&lt;=INDEX($E:$E,MATCH(TRUE,INDEX((ISNUMBER($E:$E)),0),0)))*($E207&gt;INDEX(_xlfn.ANCHORARRAY(Sintesi!$C$14),1,$C207))*($E207&lt;=INDEX(_xlfn.ANCHORARRAY(Sintesi!$C$15),1,$C207))*(INDEX(_xlfn.ANCHORARRAY(Sintesi!$C$15),1,$C207)&gt;0),1,IF(($E207&gt;=LOOKUP(2,1/($E:$E&lt;&gt;""),$E:$E))*($E207&lt;=INDEX($E:$E,MATCH(TRUE,INDEX((ISNUMBER($E:$E)),0),0)))*($E207&gt;INDEX(_xlfn.ANCHORARRAY(Sintesi!$C$14),1,$C207))*($E207&lt;INDEX(_xlfn.ANCHORARRAY(Sintesi!$C$16),1,$C207))*(INDEX(_xlfn.ANCHORARRAY(Sintesi!$C$15),1,$C207)&lt;0)+($E207&gt;=LOOKUP(2,1/($E:$E&lt;&gt;""),$E:$E))*($E207&lt;=INDEX($E:$E,MATCH(TRUE,INDEX((ISNUMBER($E:$E)),0),0)))*($E207&gt;INDEX(_xlfn.ANCHORARRAY(Sintesi!$C$15),1,$C207))*($E207&lt;INDEX(_xlfn.ANCHORARRAY(Sintesi!$C$16),1,$C207))*(INDEX(_xlfn.ANCHORARRAY(Sintesi!$C$15),1,$C207)&gt;0),2,IF($E207=(INDEX(_xlfn.ANCHORARRAY(Sintesi!$C$16),1,$C207)),3,4)))),0)),IF(ISNUMBER($E206),IF($C207&gt;0,IF(($E207=INDEX(_xlfn.ANCHORARRAY(Sintesi!$C$14),1,$C207))*(INDEX(_xlfn.ANCHORARRAY(Sintesi!$C$15),1,$C207)&gt;0),0,IF(($E207=INDEX(_xlfn.ANCHORARRAY(Sintesi!$C$14),1,$C207))*(INDEX(_xlfn.ANCHORARRAY(Sintesi!$C$15),1,$C207)&lt;0)+($E207&gt;=$E206)*($E207&lt;=$E208)*($E207&gt;INDEX(_xlfn.ANCHORARRAY(Sintesi!$C$14),1,$C207))*($E207&lt;=INDEX(_xlfn.ANCHORARRAY(Sintesi!$C$15),1,$C207))*(INDEX(_xlfn.ANCHORARRAY(Sintesi!$C$15),1,$C207)&gt;0),1,IF(($E207&gt;=$E206)*($E207&lt;=$E208)*($E207&gt;INDEX(_xlfn.ANCHORARRAY(Sintesi!$C$14),1,$C207))*($E207&lt;INDEX(_xlfn.ANCHORARRAY(Sintesi!$C$16),1,$C207))*(INDEX(_xlfn.ANCHORARRAY(Sintesi!$C$15),1,$C207)&lt;0)+($E207&gt;=$E206)*($E207&lt;=$E208)*($E207&gt;INDEX(_xlfn.ANCHORARRAY(Sintesi!$C$15),1,$C207))*($E207&lt;INDEX(_xlfn.ANCHORARRAY(Sintesi!$C$16),1,$C207))*(INDEX(_xlfn.ANCHORARRAY(Sintesi!$C$15),1,$C207)&gt;0),2,IF($E207=(INDEX(_xlfn.ANCHORARRAY(Sintesi!$C$16),1,$C207)),3,4)))),0),IF($C207&gt;0,IF(($E207=INDEX(_xlfn.ANCHORARRAY(Sintesi!$C$14),1,$C207))*(INDEX(_xlfn.ANCHORARRAY(Sintesi!$C$15),1,$C207)&gt;0),0,IF(($E207=INDEX(_xlfn.ANCHORARRAY(Sintesi!$C$14),1,$C207))*(INDEX(_xlfn.ANCHORARRAY(Sintesi!$C$15),1,$C207)&lt;0)+($E207&gt;=LOOKUP(2,1/($E:$E&lt;&gt;""),$E:$E))*($E207&lt;=$E208)*($E207&gt;INDEX(_xlfn.ANCHORARRAY(Sintesi!$C$14),1,$C207))*($E207&lt;=INDEX(_xlfn.ANCHORARRAY(Sintesi!$C$15),1,$C207))*(INDEX(_xlfn.ANCHORARRAY(Sintesi!$C$15),1,$C207)&gt;0),1,IF(($E207&gt;=LOOKUP(2,1/($E:$E&lt;&gt;""),$E:$E))*($E207&lt;=$E208)*($E207&gt;INDEX(_xlfn.ANCHORARRAY(Sintesi!$C$14),1,$C207))*($E207&lt;INDEX(_xlfn.ANCHORARRAY(Sintesi!$C$16),1,$C207))*(INDEX(_xlfn.ANCHORARRAY(Sintesi!$C$15),1,$C207)&lt;0)+($E207&gt;=LOOKUP(2,1/($E:$E&lt;&gt;""),$E:$E))*($E207&lt;=$E208)*($E207&gt;INDEX(_xlfn.ANCHORARRAY(Sintesi!$C$15),1,$C207))*($E207&lt;INDEX(_xlfn.ANCHORARRAY(Sintesi!$C$16),1,$C207))*(INDEX(_xlfn.ANCHORARRAY(Sintesi!$C$15),1,$C207)&gt;0),2,IF($E207=(INDEX(_xlfn.ANCHORARRAY(Sintesi!$C$16),1,$C207)),3,4)))),0)))</f>
        <v>3</v>
      </c>
      <c r="E207" s="1">
        <f>'Paste cell here'!F207</f>
        <v>1.046</v>
      </c>
      <c r="F207" s="1">
        <f>'Paste cell here'!C207</f>
        <v>31.666734930000001</v>
      </c>
      <c r="G207" s="1">
        <f>'Paste cell here'!D207</f>
        <v>20.861249409999999</v>
      </c>
      <c r="H207" s="1">
        <f>'Paste cell here'!E207</f>
        <v>4.739346276</v>
      </c>
      <c r="I207" s="1">
        <f>'Paste cell here'!X207</f>
        <v>4.9571197480000002</v>
      </c>
      <c r="J207" s="1">
        <f>'Paste cell here'!Y207+'Paste cell here'!S207</f>
        <v>4.9571197480000002</v>
      </c>
      <c r="K207" s="1">
        <f t="shared" si="7"/>
        <v>1.0459501077401334</v>
      </c>
      <c r="L207" s="1">
        <f t="shared" si="6"/>
        <v>28.159279918489407</v>
      </c>
      <c r="M207" s="1" cm="1">
        <f t="array" ref="M207">IF(AND(A207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,A207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),IF(L207&lt;_xlfn.IFNA(INDEX(_xlfn.ANCHORARRAY(Sintesi!$C$17)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,1,IF(L207&gt;=_xlfn.IFNA(INDEX(_xlfn.ANCHORARRAY(Sintesi!$C$18)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,0,1-(L207-_xlfn.IFNA(INDEX(_xlfn.ANCHORARRAY(Sintesi!$C$17)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)/(_xlfn.IFNA(INDEX(_xlfn.ANCHORARRAY(Sintesi!$C$18)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-_xlfn.IFNA(INDEX(_xlfn.ANCHORARRAY(Sintesi!$C$17),1,MATCH(1,(_xlfn.ANCHORARRAY(Sintesi!$C$9)&gt;_xlfn.ANCHORARRAY(Sintesi!$C$10))*(A206&gt;=_xlfn.ANCHORARRAY(Sintesi!$C$9))+(_xlfn.ANCHORARRAY(Sintesi!$C$9)&gt;_xlfn.ANCHORARRAY(Sintesi!$C$10))*(A206&lt;=_xlfn.ANCHORARRAY(Sintesi!$C$10))+(_xlfn.ANCHORARRAY(Sintesi!$C$9)&lt;_xlfn.ANCHORARRAY(Sintesi!$C$10))*(A206&gt;=_xlfn.ANCHORARRAY(Sintesi!$C$9))*(A206&lt;=_xlfn.ANCHORARRAY(Sintesi!$C$10)),0)),0)))),0)</f>
        <v>0</v>
      </c>
    </row>
    <row r="208" spans="1:13">
      <c r="A208" s="1">
        <f>'Paste cell here'!A208</f>
        <v>207</v>
      </c>
      <c r="B208" s="2">
        <f>DATE(Sintesi!$C$4-1,12,31)+A208</f>
        <v>44403</v>
      </c>
      <c r="C208" s="34" cm="1">
        <f t="array" ref="C208">_xlfn.IFNA(MATCH(1,(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)*(_xlfn.ANCHORARRAY(Sintesi!$C$15)&gt;=0)+(_xlfn.ANCHORARRAY(Sintesi!$C$15)&lt;0),0),0)</f>
        <v>1</v>
      </c>
      <c r="D208" s="1" cm="1">
        <f t="array" ref="D208">IF(ISBLANK($E209),IF(ISNUMBER($E207),IF($C208&gt;0,IF(($E208=INDEX(_xlfn.ANCHORARRAY(Sintesi!$C$14),1,$C208))*(INDEX(_xlfn.ANCHORARRAY(Sintesi!$C$15),1,$C208)&gt;0),0,IF(($E208=INDEX(_xlfn.ANCHORARRAY(Sintesi!$C$14),1,$C208))*(INDEX(_xlfn.ANCHORARRAY(Sintesi!$C$15),1,$C208)&lt;0)+($E208&gt;=$E207)*($E208&lt;=INDEX($E:$E,MATCH(TRUE,INDEX((ISNUMBER($E:$E)),0),0)))*($E208&gt;INDEX(_xlfn.ANCHORARRAY(Sintesi!$C$14),1,$C208))*($E208&lt;=INDEX(_xlfn.ANCHORARRAY(Sintesi!$C$15),1,$C208))*(INDEX(_xlfn.ANCHORARRAY(Sintesi!$C$15),1,$C208)&gt;0),1,IF(($E208&gt;=$E207)*($E208&lt;=INDEX($E:$E,MATCH(TRUE,INDEX((ISNUMBER($E:$E)),0),0)))*($E208&gt;INDEX(_xlfn.ANCHORARRAY(Sintesi!$C$14),1,$C208))*($E208&lt;INDEX(_xlfn.ANCHORARRAY(Sintesi!$C$16),1,$C208))*(INDEX(_xlfn.ANCHORARRAY(Sintesi!$C$15),1,$C208)&lt;0)+($E208&gt;=$E207)*($E208&lt;=INDEX($E:$E,MATCH(TRUE,INDEX((ISNUMBER($E:$E)),0),0)))*($E208&gt;INDEX(_xlfn.ANCHORARRAY(Sintesi!$C$15),1,$C208))*($E208&lt;INDEX(_xlfn.ANCHORARRAY(Sintesi!$C$16),1,$C208))*(INDEX(_xlfn.ANCHORARRAY(Sintesi!$C$15),1,$C208)&gt;0),2,IF($E208=(INDEX(_xlfn.ANCHORARRAY(Sintesi!$C$16),1,$C208)),3,4)))),0),IF($C208&gt;0,IF(($E208=INDEX(_xlfn.ANCHORARRAY(Sintesi!$C$14),1,$C208))*(INDEX(_xlfn.ANCHORARRAY(Sintesi!$C$15),1,$C208)&gt;0),0,IF(($E208=INDEX(_xlfn.ANCHORARRAY(Sintesi!$C$14),1,$C208))*(INDEX(_xlfn.ANCHORARRAY(Sintesi!$C$15),1,$C208)&lt;0)+($E208&gt;=LOOKUP(2,1/($E:$E&lt;&gt;""),$E:$E))*($E208&lt;=INDEX($E:$E,MATCH(TRUE,INDEX((ISNUMBER($E:$E)),0),0)))*($E208&gt;INDEX(_xlfn.ANCHORARRAY(Sintesi!$C$14),1,$C208))*($E208&lt;=INDEX(_xlfn.ANCHORARRAY(Sintesi!$C$15),1,$C208))*(INDEX(_xlfn.ANCHORARRAY(Sintesi!$C$15),1,$C208)&gt;0),1,IF(($E208&gt;=LOOKUP(2,1/($E:$E&lt;&gt;""),$E:$E))*($E208&lt;=INDEX($E:$E,MATCH(TRUE,INDEX((ISNUMBER($E:$E)),0),0)))*($E208&gt;INDEX(_xlfn.ANCHORARRAY(Sintesi!$C$14),1,$C208))*($E208&lt;INDEX(_xlfn.ANCHORARRAY(Sintesi!$C$16),1,$C208))*(INDEX(_xlfn.ANCHORARRAY(Sintesi!$C$15),1,$C208)&lt;0)+($E208&gt;=LOOKUP(2,1/($E:$E&lt;&gt;""),$E:$E))*($E208&lt;=INDEX($E:$E,MATCH(TRUE,INDEX((ISNUMBER($E:$E)),0),0)))*($E208&gt;INDEX(_xlfn.ANCHORARRAY(Sintesi!$C$15),1,$C208))*($E208&lt;INDEX(_xlfn.ANCHORARRAY(Sintesi!$C$16),1,$C208))*(INDEX(_xlfn.ANCHORARRAY(Sintesi!$C$15),1,$C208)&gt;0),2,IF($E208=(INDEX(_xlfn.ANCHORARRAY(Sintesi!$C$16),1,$C208)),3,4)))),0)),IF(ISNUMBER($E207),IF($C208&gt;0,IF(($E208=INDEX(_xlfn.ANCHORARRAY(Sintesi!$C$14),1,$C208))*(INDEX(_xlfn.ANCHORARRAY(Sintesi!$C$15),1,$C208)&gt;0),0,IF(($E208=INDEX(_xlfn.ANCHORARRAY(Sintesi!$C$14),1,$C208))*(INDEX(_xlfn.ANCHORARRAY(Sintesi!$C$15),1,$C208)&lt;0)+($E208&gt;=$E207)*($E208&lt;=$E209)*($E208&gt;INDEX(_xlfn.ANCHORARRAY(Sintesi!$C$14),1,$C208))*($E208&lt;=INDEX(_xlfn.ANCHORARRAY(Sintesi!$C$15),1,$C208))*(INDEX(_xlfn.ANCHORARRAY(Sintesi!$C$15),1,$C208)&gt;0),1,IF(($E208&gt;=$E207)*($E208&lt;=$E209)*($E208&gt;INDEX(_xlfn.ANCHORARRAY(Sintesi!$C$14),1,$C208))*($E208&lt;INDEX(_xlfn.ANCHORARRAY(Sintesi!$C$16),1,$C208))*(INDEX(_xlfn.ANCHORARRAY(Sintesi!$C$15),1,$C208)&lt;0)+($E208&gt;=$E207)*($E208&lt;=$E209)*($E208&gt;INDEX(_xlfn.ANCHORARRAY(Sintesi!$C$15),1,$C208))*($E208&lt;INDEX(_xlfn.ANCHORARRAY(Sintesi!$C$16),1,$C208))*(INDEX(_xlfn.ANCHORARRAY(Sintesi!$C$15),1,$C208)&gt;0),2,IF($E208=(INDEX(_xlfn.ANCHORARRAY(Sintesi!$C$16),1,$C208)),3,4)))),0),IF($C208&gt;0,IF(($E208=INDEX(_xlfn.ANCHORARRAY(Sintesi!$C$14),1,$C208))*(INDEX(_xlfn.ANCHORARRAY(Sintesi!$C$15),1,$C208)&gt;0),0,IF(($E208=INDEX(_xlfn.ANCHORARRAY(Sintesi!$C$14),1,$C208))*(INDEX(_xlfn.ANCHORARRAY(Sintesi!$C$15),1,$C208)&lt;0)+($E208&gt;=LOOKUP(2,1/($E:$E&lt;&gt;""),$E:$E))*($E208&lt;=$E209)*($E208&gt;INDEX(_xlfn.ANCHORARRAY(Sintesi!$C$14),1,$C208))*($E208&lt;=INDEX(_xlfn.ANCHORARRAY(Sintesi!$C$15),1,$C208))*(INDEX(_xlfn.ANCHORARRAY(Sintesi!$C$15),1,$C208)&gt;0),1,IF(($E208&gt;=LOOKUP(2,1/($E:$E&lt;&gt;""),$E:$E))*($E208&lt;=$E209)*($E208&gt;INDEX(_xlfn.ANCHORARRAY(Sintesi!$C$14),1,$C208))*($E208&lt;INDEX(_xlfn.ANCHORARRAY(Sintesi!$C$16),1,$C208))*(INDEX(_xlfn.ANCHORARRAY(Sintesi!$C$15),1,$C208)&lt;0)+($E208&gt;=LOOKUP(2,1/($E:$E&lt;&gt;""),$E:$E))*($E208&lt;=$E209)*($E208&gt;INDEX(_xlfn.ANCHORARRAY(Sintesi!$C$15),1,$C208))*($E208&lt;INDEX(_xlfn.ANCHORARRAY(Sintesi!$C$16),1,$C208))*(INDEX(_xlfn.ANCHORARRAY(Sintesi!$C$15),1,$C208)&gt;0),2,IF($E208=(INDEX(_xlfn.ANCHORARRAY(Sintesi!$C$16),1,$C208)),3,4)))),0)))</f>
        <v>3</v>
      </c>
      <c r="E208" s="1">
        <f>'Paste cell here'!F208</f>
        <v>1.046</v>
      </c>
      <c r="F208" s="1">
        <f>'Paste cell here'!C208</f>
        <v>29.6460747</v>
      </c>
      <c r="G208" s="1">
        <f>'Paste cell here'!D208</f>
        <v>18.6460747</v>
      </c>
      <c r="H208" s="1">
        <f>'Paste cell here'!E208</f>
        <v>3.8202263150000002</v>
      </c>
      <c r="I208" s="1">
        <f>'Paste cell here'!X208</f>
        <v>3.995774328</v>
      </c>
      <c r="J208" s="1">
        <f>'Paste cell here'!Y208+'Paste cell here'!S208</f>
        <v>3.995774328</v>
      </c>
      <c r="K208" s="1">
        <f t="shared" si="7"/>
        <v>1.0459522547946221</v>
      </c>
      <c r="L208" s="1">
        <f t="shared" si="6"/>
        <v>26.075480388878614</v>
      </c>
      <c r="M208" s="1" cm="1">
        <f t="array" ref="M208">IF(AND(A208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,A208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),IF(L208&lt;_xlfn.IFNA(INDEX(_xlfn.ANCHORARRAY(Sintesi!$C$17)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,1,IF(L208&gt;=_xlfn.IFNA(INDEX(_xlfn.ANCHORARRAY(Sintesi!$C$18)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,0,1-(L208-_xlfn.IFNA(INDEX(_xlfn.ANCHORARRAY(Sintesi!$C$17)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)/(_xlfn.IFNA(INDEX(_xlfn.ANCHORARRAY(Sintesi!$C$18)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-_xlfn.IFNA(INDEX(_xlfn.ANCHORARRAY(Sintesi!$C$17),1,MATCH(1,(_xlfn.ANCHORARRAY(Sintesi!$C$9)&gt;_xlfn.ANCHORARRAY(Sintesi!$C$10))*(A207&gt;=_xlfn.ANCHORARRAY(Sintesi!$C$9))+(_xlfn.ANCHORARRAY(Sintesi!$C$9)&gt;_xlfn.ANCHORARRAY(Sintesi!$C$10))*(A207&lt;=_xlfn.ANCHORARRAY(Sintesi!$C$10))+(_xlfn.ANCHORARRAY(Sintesi!$C$9)&lt;_xlfn.ANCHORARRAY(Sintesi!$C$10))*(A207&gt;=_xlfn.ANCHORARRAY(Sintesi!$C$9))*(A207&lt;=_xlfn.ANCHORARRAY(Sintesi!$C$10)),0)),0)))),0)</f>
        <v>0</v>
      </c>
    </row>
    <row r="209" spans="1:13">
      <c r="A209" s="1">
        <f>'Paste cell here'!A209</f>
        <v>208</v>
      </c>
      <c r="B209" s="2">
        <f>DATE(Sintesi!$C$4-1,12,31)+A209</f>
        <v>44404</v>
      </c>
      <c r="C209" s="34" cm="1">
        <f t="array" ref="C209">_xlfn.IFNA(MATCH(1,(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)*(_xlfn.ANCHORARRAY(Sintesi!$C$15)&gt;=0)+(_xlfn.ANCHORARRAY(Sintesi!$C$15)&lt;0),0),0)</f>
        <v>1</v>
      </c>
      <c r="D209" s="1" cm="1">
        <f t="array" ref="D209">IF(ISBLANK($E210),IF(ISNUMBER($E208),IF($C209&gt;0,IF(($E209=INDEX(_xlfn.ANCHORARRAY(Sintesi!$C$14),1,$C209))*(INDEX(_xlfn.ANCHORARRAY(Sintesi!$C$15),1,$C209)&gt;0),0,IF(($E209=INDEX(_xlfn.ANCHORARRAY(Sintesi!$C$14),1,$C209))*(INDEX(_xlfn.ANCHORARRAY(Sintesi!$C$15),1,$C209)&lt;0)+($E209&gt;=$E208)*($E209&lt;=INDEX($E:$E,MATCH(TRUE,INDEX((ISNUMBER($E:$E)),0),0)))*($E209&gt;INDEX(_xlfn.ANCHORARRAY(Sintesi!$C$14),1,$C209))*($E209&lt;=INDEX(_xlfn.ANCHORARRAY(Sintesi!$C$15),1,$C209))*(INDEX(_xlfn.ANCHORARRAY(Sintesi!$C$15),1,$C209)&gt;0),1,IF(($E209&gt;=$E208)*($E209&lt;=INDEX($E:$E,MATCH(TRUE,INDEX((ISNUMBER($E:$E)),0),0)))*($E209&gt;INDEX(_xlfn.ANCHORARRAY(Sintesi!$C$14),1,$C209))*($E209&lt;INDEX(_xlfn.ANCHORARRAY(Sintesi!$C$16),1,$C209))*(INDEX(_xlfn.ANCHORARRAY(Sintesi!$C$15),1,$C209)&lt;0)+($E209&gt;=$E208)*($E209&lt;=INDEX($E:$E,MATCH(TRUE,INDEX((ISNUMBER($E:$E)),0),0)))*($E209&gt;INDEX(_xlfn.ANCHORARRAY(Sintesi!$C$15),1,$C209))*($E209&lt;INDEX(_xlfn.ANCHORARRAY(Sintesi!$C$16),1,$C209))*(INDEX(_xlfn.ANCHORARRAY(Sintesi!$C$15),1,$C209)&gt;0),2,IF($E209=(INDEX(_xlfn.ANCHORARRAY(Sintesi!$C$16),1,$C209)),3,4)))),0),IF($C209&gt;0,IF(($E209=INDEX(_xlfn.ANCHORARRAY(Sintesi!$C$14),1,$C209))*(INDEX(_xlfn.ANCHORARRAY(Sintesi!$C$15),1,$C209)&gt;0),0,IF(($E209=INDEX(_xlfn.ANCHORARRAY(Sintesi!$C$14),1,$C209))*(INDEX(_xlfn.ANCHORARRAY(Sintesi!$C$15),1,$C209)&lt;0)+($E209&gt;=LOOKUP(2,1/($E:$E&lt;&gt;""),$E:$E))*($E209&lt;=INDEX($E:$E,MATCH(TRUE,INDEX((ISNUMBER($E:$E)),0),0)))*($E209&gt;INDEX(_xlfn.ANCHORARRAY(Sintesi!$C$14),1,$C209))*($E209&lt;=INDEX(_xlfn.ANCHORARRAY(Sintesi!$C$15),1,$C209))*(INDEX(_xlfn.ANCHORARRAY(Sintesi!$C$15),1,$C209)&gt;0),1,IF(($E209&gt;=LOOKUP(2,1/($E:$E&lt;&gt;""),$E:$E))*($E209&lt;=INDEX($E:$E,MATCH(TRUE,INDEX((ISNUMBER($E:$E)),0),0)))*($E209&gt;INDEX(_xlfn.ANCHORARRAY(Sintesi!$C$14),1,$C209))*($E209&lt;INDEX(_xlfn.ANCHORARRAY(Sintesi!$C$16),1,$C209))*(INDEX(_xlfn.ANCHORARRAY(Sintesi!$C$15),1,$C209)&lt;0)+($E209&gt;=LOOKUP(2,1/($E:$E&lt;&gt;""),$E:$E))*($E209&lt;=INDEX($E:$E,MATCH(TRUE,INDEX((ISNUMBER($E:$E)),0),0)))*($E209&gt;INDEX(_xlfn.ANCHORARRAY(Sintesi!$C$15),1,$C209))*($E209&lt;INDEX(_xlfn.ANCHORARRAY(Sintesi!$C$16),1,$C209))*(INDEX(_xlfn.ANCHORARRAY(Sintesi!$C$15),1,$C209)&gt;0),2,IF($E209=(INDEX(_xlfn.ANCHORARRAY(Sintesi!$C$16),1,$C209)),3,4)))),0)),IF(ISNUMBER($E208),IF($C209&gt;0,IF(($E209=INDEX(_xlfn.ANCHORARRAY(Sintesi!$C$14),1,$C209))*(INDEX(_xlfn.ANCHORARRAY(Sintesi!$C$15),1,$C209)&gt;0),0,IF(($E209=INDEX(_xlfn.ANCHORARRAY(Sintesi!$C$14),1,$C209))*(INDEX(_xlfn.ANCHORARRAY(Sintesi!$C$15),1,$C209)&lt;0)+($E209&gt;=$E208)*($E209&lt;=$E210)*($E209&gt;INDEX(_xlfn.ANCHORARRAY(Sintesi!$C$14),1,$C209))*($E209&lt;=INDEX(_xlfn.ANCHORARRAY(Sintesi!$C$15),1,$C209))*(INDEX(_xlfn.ANCHORARRAY(Sintesi!$C$15),1,$C209)&gt;0),1,IF(($E209&gt;=$E208)*($E209&lt;=$E210)*($E209&gt;INDEX(_xlfn.ANCHORARRAY(Sintesi!$C$14),1,$C209))*($E209&lt;INDEX(_xlfn.ANCHORARRAY(Sintesi!$C$16),1,$C209))*(INDEX(_xlfn.ANCHORARRAY(Sintesi!$C$15),1,$C209)&lt;0)+($E209&gt;=$E208)*($E209&lt;=$E210)*($E209&gt;INDEX(_xlfn.ANCHORARRAY(Sintesi!$C$15),1,$C209))*($E209&lt;INDEX(_xlfn.ANCHORARRAY(Sintesi!$C$16),1,$C209))*(INDEX(_xlfn.ANCHORARRAY(Sintesi!$C$15),1,$C209)&gt;0),2,IF($E209=(INDEX(_xlfn.ANCHORARRAY(Sintesi!$C$16),1,$C209)),3,4)))),0),IF($C209&gt;0,IF(($E209=INDEX(_xlfn.ANCHORARRAY(Sintesi!$C$14),1,$C209))*(INDEX(_xlfn.ANCHORARRAY(Sintesi!$C$15),1,$C209)&gt;0),0,IF(($E209=INDEX(_xlfn.ANCHORARRAY(Sintesi!$C$14),1,$C209))*(INDEX(_xlfn.ANCHORARRAY(Sintesi!$C$15),1,$C209)&lt;0)+($E209&gt;=LOOKUP(2,1/($E:$E&lt;&gt;""),$E:$E))*($E209&lt;=$E210)*($E209&gt;INDEX(_xlfn.ANCHORARRAY(Sintesi!$C$14),1,$C209))*($E209&lt;=INDEX(_xlfn.ANCHORARRAY(Sintesi!$C$15),1,$C209))*(INDEX(_xlfn.ANCHORARRAY(Sintesi!$C$15),1,$C209)&gt;0),1,IF(($E209&gt;=LOOKUP(2,1/($E:$E&lt;&gt;""),$E:$E))*($E209&lt;=$E210)*($E209&gt;INDEX(_xlfn.ANCHORARRAY(Sintesi!$C$14),1,$C209))*($E209&lt;INDEX(_xlfn.ANCHORARRAY(Sintesi!$C$16),1,$C209))*(INDEX(_xlfn.ANCHORARRAY(Sintesi!$C$15),1,$C209)&lt;0)+($E209&gt;=LOOKUP(2,1/($E:$E&lt;&gt;""),$E:$E))*($E209&lt;=$E210)*($E209&gt;INDEX(_xlfn.ANCHORARRAY(Sintesi!$C$15),1,$C209))*($E209&lt;INDEX(_xlfn.ANCHORARRAY(Sintesi!$C$16),1,$C209))*(INDEX(_xlfn.ANCHORARRAY(Sintesi!$C$15),1,$C209)&gt;0),2,IF($E209=(INDEX(_xlfn.ANCHORARRAY(Sintesi!$C$16),1,$C209)),3,4)))),0)))</f>
        <v>3</v>
      </c>
      <c r="E209" s="1">
        <f>'Paste cell here'!F209</f>
        <v>1.046</v>
      </c>
      <c r="F209" s="1">
        <f>'Paste cell here'!C209</f>
        <v>30.377265260000001</v>
      </c>
      <c r="G209" s="1">
        <f>'Paste cell here'!D209</f>
        <v>19.897320270000002</v>
      </c>
      <c r="H209" s="1">
        <f>'Paste cell here'!E209</f>
        <v>4.1354893449999999</v>
      </c>
      <c r="I209" s="1">
        <f>'Paste cell here'!X209</f>
        <v>4.3255331369999999</v>
      </c>
      <c r="J209" s="1">
        <f>'Paste cell here'!Y209+'Paste cell here'!S209</f>
        <v>4.3255331369999999</v>
      </c>
      <c r="K209" s="1">
        <f t="shared" si="7"/>
        <v>1.045954366254086</v>
      </c>
      <c r="L209" s="1">
        <f t="shared" si="6"/>
        <v>26.97548053616736</v>
      </c>
      <c r="M209" s="1" cm="1">
        <f t="array" ref="M209">IF(AND(A209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,A209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),IF(L209&lt;_xlfn.IFNA(INDEX(_xlfn.ANCHORARRAY(Sintesi!$C$17)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,1,IF(L209&gt;=_xlfn.IFNA(INDEX(_xlfn.ANCHORARRAY(Sintesi!$C$18)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,0,1-(L209-_xlfn.IFNA(INDEX(_xlfn.ANCHORARRAY(Sintesi!$C$17)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)/(_xlfn.IFNA(INDEX(_xlfn.ANCHORARRAY(Sintesi!$C$18)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-_xlfn.IFNA(INDEX(_xlfn.ANCHORARRAY(Sintesi!$C$17),1,MATCH(1,(_xlfn.ANCHORARRAY(Sintesi!$C$9)&gt;_xlfn.ANCHORARRAY(Sintesi!$C$10))*(A208&gt;=_xlfn.ANCHORARRAY(Sintesi!$C$9))+(_xlfn.ANCHORARRAY(Sintesi!$C$9)&gt;_xlfn.ANCHORARRAY(Sintesi!$C$10))*(A208&lt;=_xlfn.ANCHORARRAY(Sintesi!$C$10))+(_xlfn.ANCHORARRAY(Sintesi!$C$9)&lt;_xlfn.ANCHORARRAY(Sintesi!$C$10))*(A208&gt;=_xlfn.ANCHORARRAY(Sintesi!$C$9))*(A208&lt;=_xlfn.ANCHORARRAY(Sintesi!$C$10)),0)),0)))),0)</f>
        <v>0</v>
      </c>
    </row>
    <row r="210" spans="1:13">
      <c r="A210" s="1">
        <f>'Paste cell here'!A210</f>
        <v>209</v>
      </c>
      <c r="B210" s="2">
        <f>DATE(Sintesi!$C$4-1,12,31)+A210</f>
        <v>44405</v>
      </c>
      <c r="C210" s="34" cm="1">
        <f t="array" ref="C210">_xlfn.IFNA(MATCH(1,(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)*(_xlfn.ANCHORARRAY(Sintesi!$C$15)&gt;=0)+(_xlfn.ANCHORARRAY(Sintesi!$C$15)&lt;0),0),0)</f>
        <v>1</v>
      </c>
      <c r="D210" s="1" cm="1">
        <f t="array" ref="D210">IF(ISBLANK($E211),IF(ISNUMBER($E209),IF($C210&gt;0,IF(($E210=INDEX(_xlfn.ANCHORARRAY(Sintesi!$C$14),1,$C210))*(INDEX(_xlfn.ANCHORARRAY(Sintesi!$C$15),1,$C210)&gt;0),0,IF(($E210=INDEX(_xlfn.ANCHORARRAY(Sintesi!$C$14),1,$C210))*(INDEX(_xlfn.ANCHORARRAY(Sintesi!$C$15),1,$C210)&lt;0)+($E210&gt;=$E209)*($E210&lt;=INDEX($E:$E,MATCH(TRUE,INDEX((ISNUMBER($E:$E)),0),0)))*($E210&gt;INDEX(_xlfn.ANCHORARRAY(Sintesi!$C$14),1,$C210))*($E210&lt;=INDEX(_xlfn.ANCHORARRAY(Sintesi!$C$15),1,$C210))*(INDEX(_xlfn.ANCHORARRAY(Sintesi!$C$15),1,$C210)&gt;0),1,IF(($E210&gt;=$E209)*($E210&lt;=INDEX($E:$E,MATCH(TRUE,INDEX((ISNUMBER($E:$E)),0),0)))*($E210&gt;INDEX(_xlfn.ANCHORARRAY(Sintesi!$C$14),1,$C210))*($E210&lt;INDEX(_xlfn.ANCHORARRAY(Sintesi!$C$16),1,$C210))*(INDEX(_xlfn.ANCHORARRAY(Sintesi!$C$15),1,$C210)&lt;0)+($E210&gt;=$E209)*($E210&lt;=INDEX($E:$E,MATCH(TRUE,INDEX((ISNUMBER($E:$E)),0),0)))*($E210&gt;INDEX(_xlfn.ANCHORARRAY(Sintesi!$C$15),1,$C210))*($E210&lt;INDEX(_xlfn.ANCHORARRAY(Sintesi!$C$16),1,$C210))*(INDEX(_xlfn.ANCHORARRAY(Sintesi!$C$15),1,$C210)&gt;0),2,IF($E210=(INDEX(_xlfn.ANCHORARRAY(Sintesi!$C$16),1,$C210)),3,4)))),0),IF($C210&gt;0,IF(($E210=INDEX(_xlfn.ANCHORARRAY(Sintesi!$C$14),1,$C210))*(INDEX(_xlfn.ANCHORARRAY(Sintesi!$C$15),1,$C210)&gt;0),0,IF(($E210=INDEX(_xlfn.ANCHORARRAY(Sintesi!$C$14),1,$C210))*(INDEX(_xlfn.ANCHORARRAY(Sintesi!$C$15),1,$C210)&lt;0)+($E210&gt;=LOOKUP(2,1/($E:$E&lt;&gt;""),$E:$E))*($E210&lt;=INDEX($E:$E,MATCH(TRUE,INDEX((ISNUMBER($E:$E)),0),0)))*($E210&gt;INDEX(_xlfn.ANCHORARRAY(Sintesi!$C$14),1,$C210))*($E210&lt;=INDEX(_xlfn.ANCHORARRAY(Sintesi!$C$15),1,$C210))*(INDEX(_xlfn.ANCHORARRAY(Sintesi!$C$15),1,$C210)&gt;0),1,IF(($E210&gt;=LOOKUP(2,1/($E:$E&lt;&gt;""),$E:$E))*($E210&lt;=INDEX($E:$E,MATCH(TRUE,INDEX((ISNUMBER($E:$E)),0),0)))*($E210&gt;INDEX(_xlfn.ANCHORARRAY(Sintesi!$C$14),1,$C210))*($E210&lt;INDEX(_xlfn.ANCHORARRAY(Sintesi!$C$16),1,$C210))*(INDEX(_xlfn.ANCHORARRAY(Sintesi!$C$15),1,$C210)&lt;0)+($E210&gt;=LOOKUP(2,1/($E:$E&lt;&gt;""),$E:$E))*($E210&lt;=INDEX($E:$E,MATCH(TRUE,INDEX((ISNUMBER($E:$E)),0),0)))*($E210&gt;INDEX(_xlfn.ANCHORARRAY(Sintesi!$C$15),1,$C210))*($E210&lt;INDEX(_xlfn.ANCHORARRAY(Sintesi!$C$16),1,$C210))*(INDEX(_xlfn.ANCHORARRAY(Sintesi!$C$15),1,$C210)&gt;0),2,IF($E210=(INDEX(_xlfn.ANCHORARRAY(Sintesi!$C$16),1,$C210)),3,4)))),0)),IF(ISNUMBER($E209),IF($C210&gt;0,IF(($E210=INDEX(_xlfn.ANCHORARRAY(Sintesi!$C$14),1,$C210))*(INDEX(_xlfn.ANCHORARRAY(Sintesi!$C$15),1,$C210)&gt;0),0,IF(($E210=INDEX(_xlfn.ANCHORARRAY(Sintesi!$C$14),1,$C210))*(INDEX(_xlfn.ANCHORARRAY(Sintesi!$C$15),1,$C210)&lt;0)+($E210&gt;=$E209)*($E210&lt;=$E211)*($E210&gt;INDEX(_xlfn.ANCHORARRAY(Sintesi!$C$14),1,$C210))*($E210&lt;=INDEX(_xlfn.ANCHORARRAY(Sintesi!$C$15),1,$C210))*(INDEX(_xlfn.ANCHORARRAY(Sintesi!$C$15),1,$C210)&gt;0),1,IF(($E210&gt;=$E209)*($E210&lt;=$E211)*($E210&gt;INDEX(_xlfn.ANCHORARRAY(Sintesi!$C$14),1,$C210))*($E210&lt;INDEX(_xlfn.ANCHORARRAY(Sintesi!$C$16),1,$C210))*(INDEX(_xlfn.ANCHORARRAY(Sintesi!$C$15),1,$C210)&lt;0)+($E210&gt;=$E209)*($E210&lt;=$E211)*($E210&gt;INDEX(_xlfn.ANCHORARRAY(Sintesi!$C$15),1,$C210))*($E210&lt;INDEX(_xlfn.ANCHORARRAY(Sintesi!$C$16),1,$C210))*(INDEX(_xlfn.ANCHORARRAY(Sintesi!$C$15),1,$C210)&gt;0),2,IF($E210=(INDEX(_xlfn.ANCHORARRAY(Sintesi!$C$16),1,$C210)),3,4)))),0),IF($C210&gt;0,IF(($E210=INDEX(_xlfn.ANCHORARRAY(Sintesi!$C$14),1,$C210))*(INDEX(_xlfn.ANCHORARRAY(Sintesi!$C$15),1,$C210)&gt;0),0,IF(($E210=INDEX(_xlfn.ANCHORARRAY(Sintesi!$C$14),1,$C210))*(INDEX(_xlfn.ANCHORARRAY(Sintesi!$C$15),1,$C210)&lt;0)+($E210&gt;=LOOKUP(2,1/($E:$E&lt;&gt;""),$E:$E))*($E210&lt;=$E211)*($E210&gt;INDEX(_xlfn.ANCHORARRAY(Sintesi!$C$14),1,$C210))*($E210&lt;=INDEX(_xlfn.ANCHORARRAY(Sintesi!$C$15),1,$C210))*(INDEX(_xlfn.ANCHORARRAY(Sintesi!$C$15),1,$C210)&gt;0),1,IF(($E210&gt;=LOOKUP(2,1/($E:$E&lt;&gt;""),$E:$E))*($E210&lt;=$E211)*($E210&gt;INDEX(_xlfn.ANCHORARRAY(Sintesi!$C$14),1,$C210))*($E210&lt;INDEX(_xlfn.ANCHORARRAY(Sintesi!$C$16),1,$C210))*(INDEX(_xlfn.ANCHORARRAY(Sintesi!$C$15),1,$C210)&lt;0)+($E210&gt;=LOOKUP(2,1/($E:$E&lt;&gt;""),$E:$E))*($E210&lt;=$E211)*($E210&gt;INDEX(_xlfn.ANCHORARRAY(Sintesi!$C$15),1,$C210))*($E210&lt;INDEX(_xlfn.ANCHORARRAY(Sintesi!$C$16),1,$C210))*(INDEX(_xlfn.ANCHORARRAY(Sintesi!$C$15),1,$C210)&gt;0),2,IF($E210=(INDEX(_xlfn.ANCHORARRAY(Sintesi!$C$16),1,$C210)),3,4)))),0)))</f>
        <v>3</v>
      </c>
      <c r="E210" s="1">
        <f>'Paste cell here'!F210</f>
        <v>1.046</v>
      </c>
      <c r="F210" s="1">
        <f>'Paste cell here'!C210</f>
        <v>30.677265259999999</v>
      </c>
      <c r="G210" s="1">
        <f>'Paste cell here'!D210</f>
        <v>18.833265069999999</v>
      </c>
      <c r="H210" s="1">
        <f>'Paste cell here'!E210</f>
        <v>3.998564682</v>
      </c>
      <c r="I210" s="1">
        <f>'Paste cell here'!X210</f>
        <v>4.1823244720000003</v>
      </c>
      <c r="J210" s="1">
        <f>'Paste cell here'!Y210+'Paste cell here'!S210</f>
        <v>4.1823244720000003</v>
      </c>
      <c r="K210" s="1">
        <f t="shared" si="7"/>
        <v>1.0459564380256785</v>
      </c>
      <c r="L210" s="1">
        <f t="shared" si="6"/>
        <v>26.832708923696853</v>
      </c>
      <c r="M210" s="1" cm="1">
        <f t="array" ref="M210">IF(AND(A210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,A210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),IF(L210&lt;_xlfn.IFNA(INDEX(_xlfn.ANCHORARRAY(Sintesi!$C$17)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,1,IF(L210&gt;=_xlfn.IFNA(INDEX(_xlfn.ANCHORARRAY(Sintesi!$C$18)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,0,1-(L210-_xlfn.IFNA(INDEX(_xlfn.ANCHORARRAY(Sintesi!$C$17)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)/(_xlfn.IFNA(INDEX(_xlfn.ANCHORARRAY(Sintesi!$C$18)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-_xlfn.IFNA(INDEX(_xlfn.ANCHORARRAY(Sintesi!$C$17),1,MATCH(1,(_xlfn.ANCHORARRAY(Sintesi!$C$9)&gt;_xlfn.ANCHORARRAY(Sintesi!$C$10))*(A209&gt;=_xlfn.ANCHORARRAY(Sintesi!$C$9))+(_xlfn.ANCHORARRAY(Sintesi!$C$9)&gt;_xlfn.ANCHORARRAY(Sintesi!$C$10))*(A209&lt;=_xlfn.ANCHORARRAY(Sintesi!$C$10))+(_xlfn.ANCHORARRAY(Sintesi!$C$9)&lt;_xlfn.ANCHORARRAY(Sintesi!$C$10))*(A209&gt;=_xlfn.ANCHORARRAY(Sintesi!$C$9))*(A209&lt;=_xlfn.ANCHORARRAY(Sintesi!$C$10)),0)),0)))),0)</f>
        <v>0</v>
      </c>
    </row>
    <row r="211" spans="1:13">
      <c r="A211" s="1">
        <f>'Paste cell here'!A211</f>
        <v>210</v>
      </c>
      <c r="B211" s="2">
        <f>DATE(Sintesi!$C$4-1,12,31)+A211</f>
        <v>44406</v>
      </c>
      <c r="C211" s="34" cm="1">
        <f t="array" ref="C211">_xlfn.IFNA(MATCH(1,(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)*(_xlfn.ANCHORARRAY(Sintesi!$C$15)&gt;=0)+(_xlfn.ANCHORARRAY(Sintesi!$C$15)&lt;0),0),0)</f>
        <v>1</v>
      </c>
      <c r="D211" s="1" cm="1">
        <f t="array" ref="D211">IF(ISBLANK($E212),IF(ISNUMBER($E210),IF($C211&gt;0,IF(($E211=INDEX(_xlfn.ANCHORARRAY(Sintesi!$C$14),1,$C211))*(INDEX(_xlfn.ANCHORARRAY(Sintesi!$C$15),1,$C211)&gt;0),0,IF(($E211=INDEX(_xlfn.ANCHORARRAY(Sintesi!$C$14),1,$C211))*(INDEX(_xlfn.ANCHORARRAY(Sintesi!$C$15),1,$C211)&lt;0)+($E211&gt;=$E210)*($E211&lt;=INDEX($E:$E,MATCH(TRUE,INDEX((ISNUMBER($E:$E)),0),0)))*($E211&gt;INDEX(_xlfn.ANCHORARRAY(Sintesi!$C$14),1,$C211))*($E211&lt;=INDEX(_xlfn.ANCHORARRAY(Sintesi!$C$15),1,$C211))*(INDEX(_xlfn.ANCHORARRAY(Sintesi!$C$15),1,$C211)&gt;0),1,IF(($E211&gt;=$E210)*($E211&lt;=INDEX($E:$E,MATCH(TRUE,INDEX((ISNUMBER($E:$E)),0),0)))*($E211&gt;INDEX(_xlfn.ANCHORARRAY(Sintesi!$C$14),1,$C211))*($E211&lt;INDEX(_xlfn.ANCHORARRAY(Sintesi!$C$16),1,$C211))*(INDEX(_xlfn.ANCHORARRAY(Sintesi!$C$15),1,$C211)&lt;0)+($E211&gt;=$E210)*($E211&lt;=INDEX($E:$E,MATCH(TRUE,INDEX((ISNUMBER($E:$E)),0),0)))*($E211&gt;INDEX(_xlfn.ANCHORARRAY(Sintesi!$C$15),1,$C211))*($E211&lt;INDEX(_xlfn.ANCHORARRAY(Sintesi!$C$16),1,$C211))*(INDEX(_xlfn.ANCHORARRAY(Sintesi!$C$15),1,$C211)&gt;0),2,IF($E211=(INDEX(_xlfn.ANCHORARRAY(Sintesi!$C$16),1,$C211)),3,4)))),0),IF($C211&gt;0,IF(($E211=INDEX(_xlfn.ANCHORARRAY(Sintesi!$C$14),1,$C211))*(INDEX(_xlfn.ANCHORARRAY(Sintesi!$C$15),1,$C211)&gt;0),0,IF(($E211=INDEX(_xlfn.ANCHORARRAY(Sintesi!$C$14),1,$C211))*(INDEX(_xlfn.ANCHORARRAY(Sintesi!$C$15),1,$C211)&lt;0)+($E211&gt;=LOOKUP(2,1/($E:$E&lt;&gt;""),$E:$E))*($E211&lt;=INDEX($E:$E,MATCH(TRUE,INDEX((ISNUMBER($E:$E)),0),0)))*($E211&gt;INDEX(_xlfn.ANCHORARRAY(Sintesi!$C$14),1,$C211))*($E211&lt;=INDEX(_xlfn.ANCHORARRAY(Sintesi!$C$15),1,$C211))*(INDEX(_xlfn.ANCHORARRAY(Sintesi!$C$15),1,$C211)&gt;0),1,IF(($E211&gt;=LOOKUP(2,1/($E:$E&lt;&gt;""),$E:$E))*($E211&lt;=INDEX($E:$E,MATCH(TRUE,INDEX((ISNUMBER($E:$E)),0),0)))*($E211&gt;INDEX(_xlfn.ANCHORARRAY(Sintesi!$C$14),1,$C211))*($E211&lt;INDEX(_xlfn.ANCHORARRAY(Sintesi!$C$16),1,$C211))*(INDEX(_xlfn.ANCHORARRAY(Sintesi!$C$15),1,$C211)&lt;0)+($E211&gt;=LOOKUP(2,1/($E:$E&lt;&gt;""),$E:$E))*($E211&lt;=INDEX($E:$E,MATCH(TRUE,INDEX((ISNUMBER($E:$E)),0),0)))*($E211&gt;INDEX(_xlfn.ANCHORARRAY(Sintesi!$C$15),1,$C211))*($E211&lt;INDEX(_xlfn.ANCHORARRAY(Sintesi!$C$16),1,$C211))*(INDEX(_xlfn.ANCHORARRAY(Sintesi!$C$15),1,$C211)&gt;0),2,IF($E211=(INDEX(_xlfn.ANCHORARRAY(Sintesi!$C$16),1,$C211)),3,4)))),0)),IF(ISNUMBER($E210),IF($C211&gt;0,IF(($E211=INDEX(_xlfn.ANCHORARRAY(Sintesi!$C$14),1,$C211))*(INDEX(_xlfn.ANCHORARRAY(Sintesi!$C$15),1,$C211)&gt;0),0,IF(($E211=INDEX(_xlfn.ANCHORARRAY(Sintesi!$C$14),1,$C211))*(INDEX(_xlfn.ANCHORARRAY(Sintesi!$C$15),1,$C211)&lt;0)+($E211&gt;=$E210)*($E211&lt;=$E212)*($E211&gt;INDEX(_xlfn.ANCHORARRAY(Sintesi!$C$14),1,$C211))*($E211&lt;=INDEX(_xlfn.ANCHORARRAY(Sintesi!$C$15),1,$C211))*(INDEX(_xlfn.ANCHORARRAY(Sintesi!$C$15),1,$C211)&gt;0),1,IF(($E211&gt;=$E210)*($E211&lt;=$E212)*($E211&gt;INDEX(_xlfn.ANCHORARRAY(Sintesi!$C$14),1,$C211))*($E211&lt;INDEX(_xlfn.ANCHORARRAY(Sintesi!$C$16),1,$C211))*(INDEX(_xlfn.ANCHORARRAY(Sintesi!$C$15),1,$C211)&lt;0)+($E211&gt;=$E210)*($E211&lt;=$E212)*($E211&gt;INDEX(_xlfn.ANCHORARRAY(Sintesi!$C$15),1,$C211))*($E211&lt;INDEX(_xlfn.ANCHORARRAY(Sintesi!$C$16),1,$C211))*(INDEX(_xlfn.ANCHORARRAY(Sintesi!$C$15),1,$C211)&gt;0),2,IF($E211=(INDEX(_xlfn.ANCHORARRAY(Sintesi!$C$16),1,$C211)),3,4)))),0),IF($C211&gt;0,IF(($E211=INDEX(_xlfn.ANCHORARRAY(Sintesi!$C$14),1,$C211))*(INDEX(_xlfn.ANCHORARRAY(Sintesi!$C$15),1,$C211)&gt;0),0,IF(($E211=INDEX(_xlfn.ANCHORARRAY(Sintesi!$C$14),1,$C211))*(INDEX(_xlfn.ANCHORARRAY(Sintesi!$C$15),1,$C211)&lt;0)+($E211&gt;=LOOKUP(2,1/($E:$E&lt;&gt;""),$E:$E))*($E211&lt;=$E212)*($E211&gt;INDEX(_xlfn.ANCHORARRAY(Sintesi!$C$14),1,$C211))*($E211&lt;=INDEX(_xlfn.ANCHORARRAY(Sintesi!$C$15),1,$C211))*(INDEX(_xlfn.ANCHORARRAY(Sintesi!$C$15),1,$C211)&gt;0),1,IF(($E211&gt;=LOOKUP(2,1/($E:$E&lt;&gt;""),$E:$E))*($E211&lt;=$E212)*($E211&gt;INDEX(_xlfn.ANCHORARRAY(Sintesi!$C$14),1,$C211))*($E211&lt;INDEX(_xlfn.ANCHORARRAY(Sintesi!$C$16),1,$C211))*(INDEX(_xlfn.ANCHORARRAY(Sintesi!$C$15),1,$C211)&lt;0)+($E211&gt;=LOOKUP(2,1/($E:$E&lt;&gt;""),$E:$E))*($E211&lt;=$E212)*($E211&gt;INDEX(_xlfn.ANCHORARRAY(Sintesi!$C$15),1,$C211))*($E211&lt;INDEX(_xlfn.ANCHORARRAY(Sintesi!$C$16),1,$C211))*(INDEX(_xlfn.ANCHORARRAY(Sintesi!$C$15),1,$C211)&gt;0),2,IF($E211=(INDEX(_xlfn.ANCHORARRAY(Sintesi!$C$16),1,$C211)),3,4)))),0)))</f>
        <v>3</v>
      </c>
      <c r="E211" s="1">
        <f>'Paste cell here'!F211</f>
        <v>1.046</v>
      </c>
      <c r="F211" s="1">
        <f>'Paste cell here'!C211</f>
        <v>33.677265259999999</v>
      </c>
      <c r="G211" s="1">
        <f>'Paste cell here'!D211</f>
        <v>17.597320270000001</v>
      </c>
      <c r="H211" s="1">
        <f>'Paste cell here'!E211</f>
        <v>5.4553190860000003</v>
      </c>
      <c r="I211" s="1">
        <f>'Paste cell here'!X211</f>
        <v>5.7060371910000001</v>
      </c>
      <c r="J211" s="1">
        <f>'Paste cell here'!Y211+'Paste cell here'!S211</f>
        <v>5.7060371910000001</v>
      </c>
      <c r="K211" s="1">
        <f t="shared" si="7"/>
        <v>1.0459584675153866</v>
      </c>
      <c r="L211" s="1">
        <f t="shared" si="6"/>
        <v>28.457723432323743</v>
      </c>
      <c r="M211" s="1" cm="1">
        <f t="array" ref="M211">IF(AND(A211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,A211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),IF(L211&lt;_xlfn.IFNA(INDEX(_xlfn.ANCHORARRAY(Sintesi!$C$17)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,1,IF(L211&gt;=_xlfn.IFNA(INDEX(_xlfn.ANCHORARRAY(Sintesi!$C$18)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,0,1-(L211-_xlfn.IFNA(INDEX(_xlfn.ANCHORARRAY(Sintesi!$C$17)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)/(_xlfn.IFNA(INDEX(_xlfn.ANCHORARRAY(Sintesi!$C$18)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-_xlfn.IFNA(INDEX(_xlfn.ANCHORARRAY(Sintesi!$C$17),1,MATCH(1,(_xlfn.ANCHORARRAY(Sintesi!$C$9)&gt;_xlfn.ANCHORARRAY(Sintesi!$C$10))*(A210&gt;=_xlfn.ANCHORARRAY(Sintesi!$C$9))+(_xlfn.ANCHORARRAY(Sintesi!$C$9)&gt;_xlfn.ANCHORARRAY(Sintesi!$C$10))*(A210&lt;=_xlfn.ANCHORARRAY(Sintesi!$C$10))+(_xlfn.ANCHORARRAY(Sintesi!$C$9)&lt;_xlfn.ANCHORARRAY(Sintesi!$C$10))*(A210&gt;=_xlfn.ANCHORARRAY(Sintesi!$C$9))*(A210&lt;=_xlfn.ANCHORARRAY(Sintesi!$C$10)),0)),0)))),0)</f>
        <v>0</v>
      </c>
    </row>
    <row r="212" spans="1:13">
      <c r="A212" s="1">
        <f>'Paste cell here'!A212</f>
        <v>211</v>
      </c>
      <c r="B212" s="2">
        <f>DATE(Sintesi!$C$4-1,12,31)+A212</f>
        <v>44407</v>
      </c>
      <c r="C212" s="34" cm="1">
        <f t="array" ref="C212">_xlfn.IFNA(MATCH(1,(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)*(_xlfn.ANCHORARRAY(Sintesi!$C$15)&gt;=0)+(_xlfn.ANCHORARRAY(Sintesi!$C$15)&lt;0),0),0)</f>
        <v>1</v>
      </c>
      <c r="D212" s="1" cm="1">
        <f t="array" ref="D212">IF(ISBLANK($E213),IF(ISNUMBER($E211),IF($C212&gt;0,IF(($E212=INDEX(_xlfn.ANCHORARRAY(Sintesi!$C$14),1,$C212))*(INDEX(_xlfn.ANCHORARRAY(Sintesi!$C$15),1,$C212)&gt;0),0,IF(($E212=INDEX(_xlfn.ANCHORARRAY(Sintesi!$C$14),1,$C212))*(INDEX(_xlfn.ANCHORARRAY(Sintesi!$C$15),1,$C212)&lt;0)+($E212&gt;=$E211)*($E212&lt;=INDEX($E:$E,MATCH(TRUE,INDEX((ISNUMBER($E:$E)),0),0)))*($E212&gt;INDEX(_xlfn.ANCHORARRAY(Sintesi!$C$14),1,$C212))*($E212&lt;=INDEX(_xlfn.ANCHORARRAY(Sintesi!$C$15),1,$C212))*(INDEX(_xlfn.ANCHORARRAY(Sintesi!$C$15),1,$C212)&gt;0),1,IF(($E212&gt;=$E211)*($E212&lt;=INDEX($E:$E,MATCH(TRUE,INDEX((ISNUMBER($E:$E)),0),0)))*($E212&gt;INDEX(_xlfn.ANCHORARRAY(Sintesi!$C$14),1,$C212))*($E212&lt;INDEX(_xlfn.ANCHORARRAY(Sintesi!$C$16),1,$C212))*(INDEX(_xlfn.ANCHORARRAY(Sintesi!$C$15),1,$C212)&lt;0)+($E212&gt;=$E211)*($E212&lt;=INDEX($E:$E,MATCH(TRUE,INDEX((ISNUMBER($E:$E)),0),0)))*($E212&gt;INDEX(_xlfn.ANCHORARRAY(Sintesi!$C$15),1,$C212))*($E212&lt;INDEX(_xlfn.ANCHORARRAY(Sintesi!$C$16),1,$C212))*(INDEX(_xlfn.ANCHORARRAY(Sintesi!$C$15),1,$C212)&gt;0),2,IF($E212=(INDEX(_xlfn.ANCHORARRAY(Sintesi!$C$16),1,$C212)),3,4)))),0),IF($C212&gt;0,IF(($E212=INDEX(_xlfn.ANCHORARRAY(Sintesi!$C$14),1,$C212))*(INDEX(_xlfn.ANCHORARRAY(Sintesi!$C$15),1,$C212)&gt;0),0,IF(($E212=INDEX(_xlfn.ANCHORARRAY(Sintesi!$C$14),1,$C212))*(INDEX(_xlfn.ANCHORARRAY(Sintesi!$C$15),1,$C212)&lt;0)+($E212&gt;=LOOKUP(2,1/($E:$E&lt;&gt;""),$E:$E))*($E212&lt;=INDEX($E:$E,MATCH(TRUE,INDEX((ISNUMBER($E:$E)),0),0)))*($E212&gt;INDEX(_xlfn.ANCHORARRAY(Sintesi!$C$14),1,$C212))*($E212&lt;=INDEX(_xlfn.ANCHORARRAY(Sintesi!$C$15),1,$C212))*(INDEX(_xlfn.ANCHORARRAY(Sintesi!$C$15),1,$C212)&gt;0),1,IF(($E212&gt;=LOOKUP(2,1/($E:$E&lt;&gt;""),$E:$E))*($E212&lt;=INDEX($E:$E,MATCH(TRUE,INDEX((ISNUMBER($E:$E)),0),0)))*($E212&gt;INDEX(_xlfn.ANCHORARRAY(Sintesi!$C$14),1,$C212))*($E212&lt;INDEX(_xlfn.ANCHORARRAY(Sintesi!$C$16),1,$C212))*(INDEX(_xlfn.ANCHORARRAY(Sintesi!$C$15),1,$C212)&lt;0)+($E212&gt;=LOOKUP(2,1/($E:$E&lt;&gt;""),$E:$E))*($E212&lt;=INDEX($E:$E,MATCH(TRUE,INDEX((ISNUMBER($E:$E)),0),0)))*($E212&gt;INDEX(_xlfn.ANCHORARRAY(Sintesi!$C$15),1,$C212))*($E212&lt;INDEX(_xlfn.ANCHORARRAY(Sintesi!$C$16),1,$C212))*(INDEX(_xlfn.ANCHORARRAY(Sintesi!$C$15),1,$C212)&gt;0),2,IF($E212=(INDEX(_xlfn.ANCHORARRAY(Sintesi!$C$16),1,$C212)),3,4)))),0)),IF(ISNUMBER($E211),IF($C212&gt;0,IF(($E212=INDEX(_xlfn.ANCHORARRAY(Sintesi!$C$14),1,$C212))*(INDEX(_xlfn.ANCHORARRAY(Sintesi!$C$15),1,$C212)&gt;0),0,IF(($E212=INDEX(_xlfn.ANCHORARRAY(Sintesi!$C$14),1,$C212))*(INDEX(_xlfn.ANCHORARRAY(Sintesi!$C$15),1,$C212)&lt;0)+($E212&gt;=$E211)*($E212&lt;=$E213)*($E212&gt;INDEX(_xlfn.ANCHORARRAY(Sintesi!$C$14),1,$C212))*($E212&lt;=INDEX(_xlfn.ANCHORARRAY(Sintesi!$C$15),1,$C212))*(INDEX(_xlfn.ANCHORARRAY(Sintesi!$C$15),1,$C212)&gt;0),1,IF(($E212&gt;=$E211)*($E212&lt;=$E213)*($E212&gt;INDEX(_xlfn.ANCHORARRAY(Sintesi!$C$14),1,$C212))*($E212&lt;INDEX(_xlfn.ANCHORARRAY(Sintesi!$C$16),1,$C212))*(INDEX(_xlfn.ANCHORARRAY(Sintesi!$C$15),1,$C212)&lt;0)+($E212&gt;=$E211)*($E212&lt;=$E213)*($E212&gt;INDEX(_xlfn.ANCHORARRAY(Sintesi!$C$15),1,$C212))*($E212&lt;INDEX(_xlfn.ANCHORARRAY(Sintesi!$C$16),1,$C212))*(INDEX(_xlfn.ANCHORARRAY(Sintesi!$C$15),1,$C212)&gt;0),2,IF($E212=(INDEX(_xlfn.ANCHORARRAY(Sintesi!$C$16),1,$C212)),3,4)))),0),IF($C212&gt;0,IF(($E212=INDEX(_xlfn.ANCHORARRAY(Sintesi!$C$14),1,$C212))*(INDEX(_xlfn.ANCHORARRAY(Sintesi!$C$15),1,$C212)&gt;0),0,IF(($E212=INDEX(_xlfn.ANCHORARRAY(Sintesi!$C$14),1,$C212))*(INDEX(_xlfn.ANCHORARRAY(Sintesi!$C$15),1,$C212)&lt;0)+($E212&gt;=LOOKUP(2,1/($E:$E&lt;&gt;""),$E:$E))*($E212&lt;=$E213)*($E212&gt;INDEX(_xlfn.ANCHORARRAY(Sintesi!$C$14),1,$C212))*($E212&lt;=INDEX(_xlfn.ANCHORARRAY(Sintesi!$C$15),1,$C212))*(INDEX(_xlfn.ANCHORARRAY(Sintesi!$C$15),1,$C212)&gt;0),1,IF(($E212&gt;=LOOKUP(2,1/($E:$E&lt;&gt;""),$E:$E))*($E212&lt;=$E213)*($E212&gt;INDEX(_xlfn.ANCHORARRAY(Sintesi!$C$14),1,$C212))*($E212&lt;INDEX(_xlfn.ANCHORARRAY(Sintesi!$C$16),1,$C212))*(INDEX(_xlfn.ANCHORARRAY(Sintesi!$C$15),1,$C212)&lt;0)+($E212&gt;=LOOKUP(2,1/($E:$E&lt;&gt;""),$E:$E))*($E212&lt;=$E213)*($E212&gt;INDEX(_xlfn.ANCHORARRAY(Sintesi!$C$15),1,$C212))*($E212&lt;INDEX(_xlfn.ANCHORARRAY(Sintesi!$C$16),1,$C212))*(INDEX(_xlfn.ANCHORARRAY(Sintesi!$C$15),1,$C212)&gt;0),2,IF($E212=(INDEX(_xlfn.ANCHORARRAY(Sintesi!$C$16),1,$C212)),3,4)))),0)))</f>
        <v>3</v>
      </c>
      <c r="E212" s="1">
        <f>'Paste cell here'!F212</f>
        <v>1.046</v>
      </c>
      <c r="F212" s="1">
        <f>'Paste cell here'!C212</f>
        <v>32.249280929999998</v>
      </c>
      <c r="G212" s="1">
        <f>'Paste cell here'!D212</f>
        <v>19.13326507</v>
      </c>
      <c r="H212" s="1">
        <f>'Paste cell here'!E212</f>
        <v>4.710065095</v>
      </c>
      <c r="I212" s="1">
        <f>'Paste cell here'!X212</f>
        <v>4.926541812</v>
      </c>
      <c r="J212" s="1">
        <f>'Paste cell here'!Y212+'Paste cell here'!S212</f>
        <v>4.926541812</v>
      </c>
      <c r="K212" s="1">
        <f t="shared" si="7"/>
        <v>1.0459604512111313</v>
      </c>
      <c r="L212" s="1">
        <f t="shared" si="6"/>
        <v>27.991828965064194</v>
      </c>
      <c r="M212" s="1" cm="1">
        <f t="array" ref="M212">IF(AND(A212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,A212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),IF(L212&lt;_xlfn.IFNA(INDEX(_xlfn.ANCHORARRAY(Sintesi!$C$17)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,1,IF(L212&gt;=_xlfn.IFNA(INDEX(_xlfn.ANCHORARRAY(Sintesi!$C$18)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,0,1-(L212-_xlfn.IFNA(INDEX(_xlfn.ANCHORARRAY(Sintesi!$C$17)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)/(_xlfn.IFNA(INDEX(_xlfn.ANCHORARRAY(Sintesi!$C$18)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-_xlfn.IFNA(INDEX(_xlfn.ANCHORARRAY(Sintesi!$C$17),1,MATCH(1,(_xlfn.ANCHORARRAY(Sintesi!$C$9)&gt;_xlfn.ANCHORARRAY(Sintesi!$C$10))*(A211&gt;=_xlfn.ANCHORARRAY(Sintesi!$C$9))+(_xlfn.ANCHORARRAY(Sintesi!$C$9)&gt;_xlfn.ANCHORARRAY(Sintesi!$C$10))*(A211&lt;=_xlfn.ANCHORARRAY(Sintesi!$C$10))+(_xlfn.ANCHORARRAY(Sintesi!$C$9)&lt;_xlfn.ANCHORARRAY(Sintesi!$C$10))*(A211&gt;=_xlfn.ANCHORARRAY(Sintesi!$C$9))*(A211&lt;=_xlfn.ANCHORARRAY(Sintesi!$C$10)),0)),0)))),0)</f>
        <v>0</v>
      </c>
    </row>
    <row r="213" spans="1:13">
      <c r="A213" s="1">
        <f>'Paste cell here'!A213</f>
        <v>212</v>
      </c>
      <c r="B213" s="2">
        <f>DATE(Sintesi!$C$4-1,12,31)+A213</f>
        <v>44408</v>
      </c>
      <c r="C213" s="34" cm="1">
        <f t="array" ref="C213">_xlfn.IFNA(MATCH(1,(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)*(_xlfn.ANCHORARRAY(Sintesi!$C$15)&gt;=0)+(_xlfn.ANCHORARRAY(Sintesi!$C$15)&lt;0),0),0)</f>
        <v>1</v>
      </c>
      <c r="D213" s="1" cm="1">
        <f t="array" ref="D213">IF(ISBLANK($E214),IF(ISNUMBER($E212),IF($C213&gt;0,IF(($E213=INDEX(_xlfn.ANCHORARRAY(Sintesi!$C$14),1,$C213))*(INDEX(_xlfn.ANCHORARRAY(Sintesi!$C$15),1,$C213)&gt;0),0,IF(($E213=INDEX(_xlfn.ANCHORARRAY(Sintesi!$C$14),1,$C213))*(INDEX(_xlfn.ANCHORARRAY(Sintesi!$C$15),1,$C213)&lt;0)+($E213&gt;=$E212)*($E213&lt;=INDEX($E:$E,MATCH(TRUE,INDEX((ISNUMBER($E:$E)),0),0)))*($E213&gt;INDEX(_xlfn.ANCHORARRAY(Sintesi!$C$14),1,$C213))*($E213&lt;=INDEX(_xlfn.ANCHORARRAY(Sintesi!$C$15),1,$C213))*(INDEX(_xlfn.ANCHORARRAY(Sintesi!$C$15),1,$C213)&gt;0),1,IF(($E213&gt;=$E212)*($E213&lt;=INDEX($E:$E,MATCH(TRUE,INDEX((ISNUMBER($E:$E)),0),0)))*($E213&gt;INDEX(_xlfn.ANCHORARRAY(Sintesi!$C$14),1,$C213))*($E213&lt;INDEX(_xlfn.ANCHORARRAY(Sintesi!$C$16),1,$C213))*(INDEX(_xlfn.ANCHORARRAY(Sintesi!$C$15),1,$C213)&lt;0)+($E213&gt;=$E212)*($E213&lt;=INDEX($E:$E,MATCH(TRUE,INDEX((ISNUMBER($E:$E)),0),0)))*($E213&gt;INDEX(_xlfn.ANCHORARRAY(Sintesi!$C$15),1,$C213))*($E213&lt;INDEX(_xlfn.ANCHORARRAY(Sintesi!$C$16),1,$C213))*(INDEX(_xlfn.ANCHORARRAY(Sintesi!$C$15),1,$C213)&gt;0),2,IF($E213=(INDEX(_xlfn.ANCHORARRAY(Sintesi!$C$16),1,$C213)),3,4)))),0),IF($C213&gt;0,IF(($E213=INDEX(_xlfn.ANCHORARRAY(Sintesi!$C$14),1,$C213))*(INDEX(_xlfn.ANCHORARRAY(Sintesi!$C$15),1,$C213)&gt;0),0,IF(($E213=INDEX(_xlfn.ANCHORARRAY(Sintesi!$C$14),1,$C213))*(INDEX(_xlfn.ANCHORARRAY(Sintesi!$C$15),1,$C213)&lt;0)+($E213&gt;=LOOKUP(2,1/($E:$E&lt;&gt;""),$E:$E))*($E213&lt;=INDEX($E:$E,MATCH(TRUE,INDEX((ISNUMBER($E:$E)),0),0)))*($E213&gt;INDEX(_xlfn.ANCHORARRAY(Sintesi!$C$14),1,$C213))*($E213&lt;=INDEX(_xlfn.ANCHORARRAY(Sintesi!$C$15),1,$C213))*(INDEX(_xlfn.ANCHORARRAY(Sintesi!$C$15),1,$C213)&gt;0),1,IF(($E213&gt;=LOOKUP(2,1/($E:$E&lt;&gt;""),$E:$E))*($E213&lt;=INDEX($E:$E,MATCH(TRUE,INDEX((ISNUMBER($E:$E)),0),0)))*($E213&gt;INDEX(_xlfn.ANCHORARRAY(Sintesi!$C$14),1,$C213))*($E213&lt;INDEX(_xlfn.ANCHORARRAY(Sintesi!$C$16),1,$C213))*(INDEX(_xlfn.ANCHORARRAY(Sintesi!$C$15),1,$C213)&lt;0)+($E213&gt;=LOOKUP(2,1/($E:$E&lt;&gt;""),$E:$E))*($E213&lt;=INDEX($E:$E,MATCH(TRUE,INDEX((ISNUMBER($E:$E)),0),0)))*($E213&gt;INDEX(_xlfn.ANCHORARRAY(Sintesi!$C$15),1,$C213))*($E213&lt;INDEX(_xlfn.ANCHORARRAY(Sintesi!$C$16),1,$C213))*(INDEX(_xlfn.ANCHORARRAY(Sintesi!$C$15),1,$C213)&gt;0),2,IF($E213=(INDEX(_xlfn.ANCHORARRAY(Sintesi!$C$16),1,$C213)),3,4)))),0)),IF(ISNUMBER($E212),IF($C213&gt;0,IF(($E213=INDEX(_xlfn.ANCHORARRAY(Sintesi!$C$14),1,$C213))*(INDEX(_xlfn.ANCHORARRAY(Sintesi!$C$15),1,$C213)&gt;0),0,IF(($E213=INDEX(_xlfn.ANCHORARRAY(Sintesi!$C$14),1,$C213))*(INDEX(_xlfn.ANCHORARRAY(Sintesi!$C$15),1,$C213)&lt;0)+($E213&gt;=$E212)*($E213&lt;=$E214)*($E213&gt;INDEX(_xlfn.ANCHORARRAY(Sintesi!$C$14),1,$C213))*($E213&lt;=INDEX(_xlfn.ANCHORARRAY(Sintesi!$C$15),1,$C213))*(INDEX(_xlfn.ANCHORARRAY(Sintesi!$C$15),1,$C213)&gt;0),1,IF(($E213&gt;=$E212)*($E213&lt;=$E214)*($E213&gt;INDEX(_xlfn.ANCHORARRAY(Sintesi!$C$14),1,$C213))*($E213&lt;INDEX(_xlfn.ANCHORARRAY(Sintesi!$C$16),1,$C213))*(INDEX(_xlfn.ANCHORARRAY(Sintesi!$C$15),1,$C213)&lt;0)+($E213&gt;=$E212)*($E213&lt;=$E214)*($E213&gt;INDEX(_xlfn.ANCHORARRAY(Sintesi!$C$15),1,$C213))*($E213&lt;INDEX(_xlfn.ANCHORARRAY(Sintesi!$C$16),1,$C213))*(INDEX(_xlfn.ANCHORARRAY(Sintesi!$C$15),1,$C213)&gt;0),2,IF($E213=(INDEX(_xlfn.ANCHORARRAY(Sintesi!$C$16),1,$C213)),3,4)))),0),IF($C213&gt;0,IF(($E213=INDEX(_xlfn.ANCHORARRAY(Sintesi!$C$14),1,$C213))*(INDEX(_xlfn.ANCHORARRAY(Sintesi!$C$15),1,$C213)&gt;0),0,IF(($E213=INDEX(_xlfn.ANCHORARRAY(Sintesi!$C$14),1,$C213))*(INDEX(_xlfn.ANCHORARRAY(Sintesi!$C$15),1,$C213)&lt;0)+($E213&gt;=LOOKUP(2,1/($E:$E&lt;&gt;""),$E:$E))*($E213&lt;=$E214)*($E213&gt;INDEX(_xlfn.ANCHORARRAY(Sintesi!$C$14),1,$C213))*($E213&lt;=INDEX(_xlfn.ANCHORARRAY(Sintesi!$C$15),1,$C213))*(INDEX(_xlfn.ANCHORARRAY(Sintesi!$C$15),1,$C213)&gt;0),1,IF(($E213&gt;=LOOKUP(2,1/($E:$E&lt;&gt;""),$E:$E))*($E213&lt;=$E214)*($E213&gt;INDEX(_xlfn.ANCHORARRAY(Sintesi!$C$14),1,$C213))*($E213&lt;INDEX(_xlfn.ANCHORARRAY(Sintesi!$C$16),1,$C213))*(INDEX(_xlfn.ANCHORARRAY(Sintesi!$C$15),1,$C213)&lt;0)+($E213&gt;=LOOKUP(2,1/($E:$E&lt;&gt;""),$E:$E))*($E213&lt;=$E214)*($E213&gt;INDEX(_xlfn.ANCHORARRAY(Sintesi!$C$15),1,$C213))*($E213&lt;INDEX(_xlfn.ANCHORARRAY(Sintesi!$C$16),1,$C213))*(INDEX(_xlfn.ANCHORARRAY(Sintesi!$C$15),1,$C213)&gt;0),2,IF($E213=(INDEX(_xlfn.ANCHORARRAY(Sintesi!$C$16),1,$C213)),3,4)))),0)))</f>
        <v>3</v>
      </c>
      <c r="E213" s="1">
        <f>'Paste cell here'!F213</f>
        <v>1.046</v>
      </c>
      <c r="F213" s="1">
        <f>'Paste cell here'!C213</f>
        <v>33.031148899999998</v>
      </c>
      <c r="G213" s="1">
        <f>'Paste cell here'!D213</f>
        <v>20.689511329999998</v>
      </c>
      <c r="H213" s="1">
        <f>'Paste cell here'!E213</f>
        <v>4.7511570929999998</v>
      </c>
      <c r="I213" s="1">
        <f>'Paste cell here'!X213</f>
        <v>4.9695316119999999</v>
      </c>
      <c r="J213" s="1">
        <f>'Paste cell here'!Y213+'Paste cell here'!S213</f>
        <v>4.9695316119999999</v>
      </c>
      <c r="K213" s="1">
        <f t="shared" si="7"/>
        <v>1.0459623865777321</v>
      </c>
      <c r="L213" s="1">
        <f t="shared" si="6"/>
        <v>29.02505972751236</v>
      </c>
      <c r="M213" s="1" cm="1">
        <f t="array" ref="M213">IF(AND(A213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,A213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),IF(L213&lt;_xlfn.IFNA(INDEX(_xlfn.ANCHORARRAY(Sintesi!$C$17)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,1,IF(L213&gt;=_xlfn.IFNA(INDEX(_xlfn.ANCHORARRAY(Sintesi!$C$18)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,0,1-(L213-_xlfn.IFNA(INDEX(_xlfn.ANCHORARRAY(Sintesi!$C$17)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)/(_xlfn.IFNA(INDEX(_xlfn.ANCHORARRAY(Sintesi!$C$18)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-_xlfn.IFNA(INDEX(_xlfn.ANCHORARRAY(Sintesi!$C$17),1,MATCH(1,(_xlfn.ANCHORARRAY(Sintesi!$C$9)&gt;_xlfn.ANCHORARRAY(Sintesi!$C$10))*(A212&gt;=_xlfn.ANCHORARRAY(Sintesi!$C$9))+(_xlfn.ANCHORARRAY(Sintesi!$C$9)&gt;_xlfn.ANCHORARRAY(Sintesi!$C$10))*(A212&lt;=_xlfn.ANCHORARRAY(Sintesi!$C$10))+(_xlfn.ANCHORARRAY(Sintesi!$C$9)&lt;_xlfn.ANCHORARRAY(Sintesi!$C$10))*(A212&gt;=_xlfn.ANCHORARRAY(Sintesi!$C$9))*(A212&lt;=_xlfn.ANCHORARRAY(Sintesi!$C$10)),0)),0)))),0)</f>
        <v>0</v>
      </c>
    </row>
    <row r="214" spans="1:13">
      <c r="A214" s="1">
        <f>'Paste cell here'!A214</f>
        <v>213</v>
      </c>
      <c r="B214" s="2">
        <f>DATE(Sintesi!$C$4-1,12,31)+A214</f>
        <v>44409</v>
      </c>
      <c r="C214" s="34" cm="1">
        <f t="array" ref="C214">_xlfn.IFNA(MATCH(1,(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)*(_xlfn.ANCHORARRAY(Sintesi!$C$15)&gt;=0)+(_xlfn.ANCHORARRAY(Sintesi!$C$15)&lt;0),0),0)</f>
        <v>1</v>
      </c>
      <c r="D214" s="1" cm="1">
        <f t="array" ref="D214">IF(ISBLANK($E215),IF(ISNUMBER($E213),IF($C214&gt;0,IF(($E214=INDEX(_xlfn.ANCHORARRAY(Sintesi!$C$14),1,$C214))*(INDEX(_xlfn.ANCHORARRAY(Sintesi!$C$15),1,$C214)&gt;0),0,IF(($E214=INDEX(_xlfn.ANCHORARRAY(Sintesi!$C$14),1,$C214))*(INDEX(_xlfn.ANCHORARRAY(Sintesi!$C$15),1,$C214)&lt;0)+($E214&gt;=$E213)*($E214&lt;=INDEX($E:$E,MATCH(TRUE,INDEX((ISNUMBER($E:$E)),0),0)))*($E214&gt;INDEX(_xlfn.ANCHORARRAY(Sintesi!$C$14),1,$C214))*($E214&lt;=INDEX(_xlfn.ANCHORARRAY(Sintesi!$C$15),1,$C214))*(INDEX(_xlfn.ANCHORARRAY(Sintesi!$C$15),1,$C214)&gt;0),1,IF(($E214&gt;=$E213)*($E214&lt;=INDEX($E:$E,MATCH(TRUE,INDEX((ISNUMBER($E:$E)),0),0)))*($E214&gt;INDEX(_xlfn.ANCHORARRAY(Sintesi!$C$14),1,$C214))*($E214&lt;INDEX(_xlfn.ANCHORARRAY(Sintesi!$C$16),1,$C214))*(INDEX(_xlfn.ANCHORARRAY(Sintesi!$C$15),1,$C214)&lt;0)+($E214&gt;=$E213)*($E214&lt;=INDEX($E:$E,MATCH(TRUE,INDEX((ISNUMBER($E:$E)),0),0)))*($E214&gt;INDEX(_xlfn.ANCHORARRAY(Sintesi!$C$15),1,$C214))*($E214&lt;INDEX(_xlfn.ANCHORARRAY(Sintesi!$C$16),1,$C214))*(INDEX(_xlfn.ANCHORARRAY(Sintesi!$C$15),1,$C214)&gt;0),2,IF($E214=(INDEX(_xlfn.ANCHORARRAY(Sintesi!$C$16),1,$C214)),3,4)))),0),IF($C214&gt;0,IF(($E214=INDEX(_xlfn.ANCHORARRAY(Sintesi!$C$14),1,$C214))*(INDEX(_xlfn.ANCHORARRAY(Sintesi!$C$15),1,$C214)&gt;0),0,IF(($E214=INDEX(_xlfn.ANCHORARRAY(Sintesi!$C$14),1,$C214))*(INDEX(_xlfn.ANCHORARRAY(Sintesi!$C$15),1,$C214)&lt;0)+($E214&gt;=LOOKUP(2,1/($E:$E&lt;&gt;""),$E:$E))*($E214&lt;=INDEX($E:$E,MATCH(TRUE,INDEX((ISNUMBER($E:$E)),0),0)))*($E214&gt;INDEX(_xlfn.ANCHORARRAY(Sintesi!$C$14),1,$C214))*($E214&lt;=INDEX(_xlfn.ANCHORARRAY(Sintesi!$C$15),1,$C214))*(INDEX(_xlfn.ANCHORARRAY(Sintesi!$C$15),1,$C214)&gt;0),1,IF(($E214&gt;=LOOKUP(2,1/($E:$E&lt;&gt;""),$E:$E))*($E214&lt;=INDEX($E:$E,MATCH(TRUE,INDEX((ISNUMBER($E:$E)),0),0)))*($E214&gt;INDEX(_xlfn.ANCHORARRAY(Sintesi!$C$14),1,$C214))*($E214&lt;INDEX(_xlfn.ANCHORARRAY(Sintesi!$C$16),1,$C214))*(INDEX(_xlfn.ANCHORARRAY(Sintesi!$C$15),1,$C214)&lt;0)+($E214&gt;=LOOKUP(2,1/($E:$E&lt;&gt;""),$E:$E))*($E214&lt;=INDEX($E:$E,MATCH(TRUE,INDEX((ISNUMBER($E:$E)),0),0)))*($E214&gt;INDEX(_xlfn.ANCHORARRAY(Sintesi!$C$15),1,$C214))*($E214&lt;INDEX(_xlfn.ANCHORARRAY(Sintesi!$C$16),1,$C214))*(INDEX(_xlfn.ANCHORARRAY(Sintesi!$C$15),1,$C214)&gt;0),2,IF($E214=(INDEX(_xlfn.ANCHORARRAY(Sintesi!$C$16),1,$C214)),3,4)))),0)),IF(ISNUMBER($E213),IF($C214&gt;0,IF(($E214=INDEX(_xlfn.ANCHORARRAY(Sintesi!$C$14),1,$C214))*(INDEX(_xlfn.ANCHORARRAY(Sintesi!$C$15),1,$C214)&gt;0),0,IF(($E214=INDEX(_xlfn.ANCHORARRAY(Sintesi!$C$14),1,$C214))*(INDEX(_xlfn.ANCHORARRAY(Sintesi!$C$15),1,$C214)&lt;0)+($E214&gt;=$E213)*($E214&lt;=$E215)*($E214&gt;INDEX(_xlfn.ANCHORARRAY(Sintesi!$C$14),1,$C214))*($E214&lt;=INDEX(_xlfn.ANCHORARRAY(Sintesi!$C$15),1,$C214))*(INDEX(_xlfn.ANCHORARRAY(Sintesi!$C$15),1,$C214)&gt;0),1,IF(($E214&gt;=$E213)*($E214&lt;=$E215)*($E214&gt;INDEX(_xlfn.ANCHORARRAY(Sintesi!$C$14),1,$C214))*($E214&lt;INDEX(_xlfn.ANCHORARRAY(Sintesi!$C$16),1,$C214))*(INDEX(_xlfn.ANCHORARRAY(Sintesi!$C$15),1,$C214)&lt;0)+($E214&gt;=$E213)*($E214&lt;=$E215)*($E214&gt;INDEX(_xlfn.ANCHORARRAY(Sintesi!$C$15),1,$C214))*($E214&lt;INDEX(_xlfn.ANCHORARRAY(Sintesi!$C$16),1,$C214))*(INDEX(_xlfn.ANCHORARRAY(Sintesi!$C$15),1,$C214)&gt;0),2,IF($E214=(INDEX(_xlfn.ANCHORARRAY(Sintesi!$C$16),1,$C214)),3,4)))),0),IF($C214&gt;0,IF(($E214=INDEX(_xlfn.ANCHORARRAY(Sintesi!$C$14),1,$C214))*(INDEX(_xlfn.ANCHORARRAY(Sintesi!$C$15),1,$C214)&gt;0),0,IF(($E214=INDEX(_xlfn.ANCHORARRAY(Sintesi!$C$14),1,$C214))*(INDEX(_xlfn.ANCHORARRAY(Sintesi!$C$15),1,$C214)&lt;0)+($E214&gt;=LOOKUP(2,1/($E:$E&lt;&gt;""),$E:$E))*($E214&lt;=$E215)*($E214&gt;INDEX(_xlfn.ANCHORARRAY(Sintesi!$C$14),1,$C214))*($E214&lt;=INDEX(_xlfn.ANCHORARRAY(Sintesi!$C$15),1,$C214))*(INDEX(_xlfn.ANCHORARRAY(Sintesi!$C$15),1,$C214)&gt;0),1,IF(($E214&gt;=LOOKUP(2,1/($E:$E&lt;&gt;""),$E:$E))*($E214&lt;=$E215)*($E214&gt;INDEX(_xlfn.ANCHORARRAY(Sintesi!$C$14),1,$C214))*($E214&lt;INDEX(_xlfn.ANCHORARRAY(Sintesi!$C$16),1,$C214))*(INDEX(_xlfn.ANCHORARRAY(Sintesi!$C$15),1,$C214)&lt;0)+($E214&gt;=LOOKUP(2,1/($E:$E&lt;&gt;""),$E:$E))*($E214&lt;=$E215)*($E214&gt;INDEX(_xlfn.ANCHORARRAY(Sintesi!$C$15),1,$C214))*($E214&lt;INDEX(_xlfn.ANCHORARRAY(Sintesi!$C$16),1,$C214))*(INDEX(_xlfn.ANCHORARRAY(Sintesi!$C$15),1,$C214)&gt;0),2,IF($E214=(INDEX(_xlfn.ANCHORARRAY(Sintesi!$C$16),1,$C214)),3,4)))),0)))</f>
        <v>3</v>
      </c>
      <c r="E214" s="1">
        <f>'Paste cell here'!F214</f>
        <v>1.046</v>
      </c>
      <c r="F214" s="1">
        <f>'Paste cell here'!C214</f>
        <v>29.295204099999999</v>
      </c>
      <c r="G214" s="1">
        <f>'Paste cell here'!D214</f>
        <v>16.543394970000001</v>
      </c>
      <c r="H214" s="1">
        <f>'Paste cell here'!E214</f>
        <v>3.751608246</v>
      </c>
      <c r="I214" s="1">
        <f>'Paste cell here'!X214</f>
        <v>3.9240481859999998</v>
      </c>
      <c r="J214" s="1">
        <f>'Paste cell here'!Y214+'Paste cell here'!S214</f>
        <v>3.9240481859999998</v>
      </c>
      <c r="K214" s="1">
        <f t="shared" si="7"/>
        <v>1.0459642715051223</v>
      </c>
      <c r="L214" s="1">
        <f t="shared" si="6"/>
        <v>24.522451068059581</v>
      </c>
      <c r="M214" s="1" cm="1">
        <f t="array" ref="M214">IF(AND(A214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,A214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),IF(L214&lt;_xlfn.IFNA(INDEX(_xlfn.ANCHORARRAY(Sintesi!$C$17)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,1,IF(L214&gt;=_xlfn.IFNA(INDEX(_xlfn.ANCHORARRAY(Sintesi!$C$18)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,0,1-(L214-_xlfn.IFNA(INDEX(_xlfn.ANCHORARRAY(Sintesi!$C$17)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)/(_xlfn.IFNA(INDEX(_xlfn.ANCHORARRAY(Sintesi!$C$18)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-_xlfn.IFNA(INDEX(_xlfn.ANCHORARRAY(Sintesi!$C$17),1,MATCH(1,(_xlfn.ANCHORARRAY(Sintesi!$C$9)&gt;_xlfn.ANCHORARRAY(Sintesi!$C$10))*(A213&gt;=_xlfn.ANCHORARRAY(Sintesi!$C$9))+(_xlfn.ANCHORARRAY(Sintesi!$C$9)&gt;_xlfn.ANCHORARRAY(Sintesi!$C$10))*(A213&lt;=_xlfn.ANCHORARRAY(Sintesi!$C$10))+(_xlfn.ANCHORARRAY(Sintesi!$C$9)&lt;_xlfn.ANCHORARRAY(Sintesi!$C$10))*(A213&gt;=_xlfn.ANCHORARRAY(Sintesi!$C$9))*(A213&lt;=_xlfn.ANCHORARRAY(Sintesi!$C$10)),0)),0)))),0)</f>
        <v>0</v>
      </c>
    </row>
    <row r="215" spans="1:13">
      <c r="A215" s="1">
        <f>'Paste cell here'!A215</f>
        <v>214</v>
      </c>
      <c r="B215" s="2">
        <f>DATE(Sintesi!$C$4-1,12,31)+A215</f>
        <v>44410</v>
      </c>
      <c r="C215" s="34" cm="1">
        <f t="array" ref="C215">_xlfn.IFNA(MATCH(1,(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)*(_xlfn.ANCHORARRAY(Sintesi!$C$15)&gt;=0)+(_xlfn.ANCHORARRAY(Sintesi!$C$15)&lt;0),0),0)</f>
        <v>1</v>
      </c>
      <c r="D215" s="1" cm="1">
        <f t="array" ref="D215">IF(ISBLANK($E216),IF(ISNUMBER($E214),IF($C215&gt;0,IF(($E215=INDEX(_xlfn.ANCHORARRAY(Sintesi!$C$14),1,$C215))*(INDEX(_xlfn.ANCHORARRAY(Sintesi!$C$15),1,$C215)&gt;0),0,IF(($E215=INDEX(_xlfn.ANCHORARRAY(Sintesi!$C$14),1,$C215))*(INDEX(_xlfn.ANCHORARRAY(Sintesi!$C$15),1,$C215)&lt;0)+($E215&gt;=$E214)*($E215&lt;=INDEX($E:$E,MATCH(TRUE,INDEX((ISNUMBER($E:$E)),0),0)))*($E215&gt;INDEX(_xlfn.ANCHORARRAY(Sintesi!$C$14),1,$C215))*($E215&lt;=INDEX(_xlfn.ANCHORARRAY(Sintesi!$C$15),1,$C215))*(INDEX(_xlfn.ANCHORARRAY(Sintesi!$C$15),1,$C215)&gt;0),1,IF(($E215&gt;=$E214)*($E215&lt;=INDEX($E:$E,MATCH(TRUE,INDEX((ISNUMBER($E:$E)),0),0)))*($E215&gt;INDEX(_xlfn.ANCHORARRAY(Sintesi!$C$14),1,$C215))*($E215&lt;INDEX(_xlfn.ANCHORARRAY(Sintesi!$C$16),1,$C215))*(INDEX(_xlfn.ANCHORARRAY(Sintesi!$C$15),1,$C215)&lt;0)+($E215&gt;=$E214)*($E215&lt;=INDEX($E:$E,MATCH(TRUE,INDEX((ISNUMBER($E:$E)),0),0)))*($E215&gt;INDEX(_xlfn.ANCHORARRAY(Sintesi!$C$15),1,$C215))*($E215&lt;INDEX(_xlfn.ANCHORARRAY(Sintesi!$C$16),1,$C215))*(INDEX(_xlfn.ANCHORARRAY(Sintesi!$C$15),1,$C215)&gt;0),2,IF($E215=(INDEX(_xlfn.ANCHORARRAY(Sintesi!$C$16),1,$C215)),3,4)))),0),IF($C215&gt;0,IF(($E215=INDEX(_xlfn.ANCHORARRAY(Sintesi!$C$14),1,$C215))*(INDEX(_xlfn.ANCHORARRAY(Sintesi!$C$15),1,$C215)&gt;0),0,IF(($E215=INDEX(_xlfn.ANCHORARRAY(Sintesi!$C$14),1,$C215))*(INDEX(_xlfn.ANCHORARRAY(Sintesi!$C$15),1,$C215)&lt;0)+($E215&gt;=LOOKUP(2,1/($E:$E&lt;&gt;""),$E:$E))*($E215&lt;=INDEX($E:$E,MATCH(TRUE,INDEX((ISNUMBER($E:$E)),0),0)))*($E215&gt;INDEX(_xlfn.ANCHORARRAY(Sintesi!$C$14),1,$C215))*($E215&lt;=INDEX(_xlfn.ANCHORARRAY(Sintesi!$C$15),1,$C215))*(INDEX(_xlfn.ANCHORARRAY(Sintesi!$C$15),1,$C215)&gt;0),1,IF(($E215&gt;=LOOKUP(2,1/($E:$E&lt;&gt;""),$E:$E))*($E215&lt;=INDEX($E:$E,MATCH(TRUE,INDEX((ISNUMBER($E:$E)),0),0)))*($E215&gt;INDEX(_xlfn.ANCHORARRAY(Sintesi!$C$14),1,$C215))*($E215&lt;INDEX(_xlfn.ANCHORARRAY(Sintesi!$C$16),1,$C215))*(INDEX(_xlfn.ANCHORARRAY(Sintesi!$C$15),1,$C215)&lt;0)+($E215&gt;=LOOKUP(2,1/($E:$E&lt;&gt;""),$E:$E))*($E215&lt;=INDEX($E:$E,MATCH(TRUE,INDEX((ISNUMBER($E:$E)),0),0)))*($E215&gt;INDEX(_xlfn.ANCHORARRAY(Sintesi!$C$15),1,$C215))*($E215&lt;INDEX(_xlfn.ANCHORARRAY(Sintesi!$C$16),1,$C215))*(INDEX(_xlfn.ANCHORARRAY(Sintesi!$C$15),1,$C215)&gt;0),2,IF($E215=(INDEX(_xlfn.ANCHORARRAY(Sintesi!$C$16),1,$C215)),3,4)))),0)),IF(ISNUMBER($E214),IF($C215&gt;0,IF(($E215=INDEX(_xlfn.ANCHORARRAY(Sintesi!$C$14),1,$C215))*(INDEX(_xlfn.ANCHORARRAY(Sintesi!$C$15),1,$C215)&gt;0),0,IF(($E215=INDEX(_xlfn.ANCHORARRAY(Sintesi!$C$14),1,$C215))*(INDEX(_xlfn.ANCHORARRAY(Sintesi!$C$15),1,$C215)&lt;0)+($E215&gt;=$E214)*($E215&lt;=$E216)*($E215&gt;INDEX(_xlfn.ANCHORARRAY(Sintesi!$C$14),1,$C215))*($E215&lt;=INDEX(_xlfn.ANCHORARRAY(Sintesi!$C$15),1,$C215))*(INDEX(_xlfn.ANCHORARRAY(Sintesi!$C$15),1,$C215)&gt;0),1,IF(($E215&gt;=$E214)*($E215&lt;=$E216)*($E215&gt;INDEX(_xlfn.ANCHORARRAY(Sintesi!$C$14),1,$C215))*($E215&lt;INDEX(_xlfn.ANCHORARRAY(Sintesi!$C$16),1,$C215))*(INDEX(_xlfn.ANCHORARRAY(Sintesi!$C$15),1,$C215)&lt;0)+($E215&gt;=$E214)*($E215&lt;=$E216)*($E215&gt;INDEX(_xlfn.ANCHORARRAY(Sintesi!$C$15),1,$C215))*($E215&lt;INDEX(_xlfn.ANCHORARRAY(Sintesi!$C$16),1,$C215))*(INDEX(_xlfn.ANCHORARRAY(Sintesi!$C$15),1,$C215)&gt;0),2,IF($E215=(INDEX(_xlfn.ANCHORARRAY(Sintesi!$C$16),1,$C215)),3,4)))),0),IF($C215&gt;0,IF(($E215=INDEX(_xlfn.ANCHORARRAY(Sintesi!$C$14),1,$C215))*(INDEX(_xlfn.ANCHORARRAY(Sintesi!$C$15),1,$C215)&gt;0),0,IF(($E215=INDEX(_xlfn.ANCHORARRAY(Sintesi!$C$14),1,$C215))*(INDEX(_xlfn.ANCHORARRAY(Sintesi!$C$15),1,$C215)&lt;0)+($E215&gt;=LOOKUP(2,1/($E:$E&lt;&gt;""),$E:$E))*($E215&lt;=$E216)*($E215&gt;INDEX(_xlfn.ANCHORARRAY(Sintesi!$C$14),1,$C215))*($E215&lt;=INDEX(_xlfn.ANCHORARRAY(Sintesi!$C$15),1,$C215))*(INDEX(_xlfn.ANCHORARRAY(Sintesi!$C$15),1,$C215)&gt;0),1,IF(($E215&gt;=LOOKUP(2,1/($E:$E&lt;&gt;""),$E:$E))*($E215&lt;=$E216)*($E215&gt;INDEX(_xlfn.ANCHORARRAY(Sintesi!$C$14),1,$C215))*($E215&lt;INDEX(_xlfn.ANCHORARRAY(Sintesi!$C$16),1,$C215))*(INDEX(_xlfn.ANCHORARRAY(Sintesi!$C$15),1,$C215)&lt;0)+($E215&gt;=LOOKUP(2,1/($E:$E&lt;&gt;""),$E:$E))*($E215&lt;=$E216)*($E215&gt;INDEX(_xlfn.ANCHORARRAY(Sintesi!$C$15),1,$C215))*($E215&lt;INDEX(_xlfn.ANCHORARRAY(Sintesi!$C$16),1,$C215))*(INDEX(_xlfn.ANCHORARRAY(Sintesi!$C$15),1,$C215)&gt;0),2,IF($E215=(INDEX(_xlfn.ANCHORARRAY(Sintesi!$C$16),1,$C215)),3,4)))),0)))</f>
        <v>3</v>
      </c>
      <c r="E215" s="1">
        <f>'Paste cell here'!F215</f>
        <v>1.046</v>
      </c>
      <c r="F215" s="1">
        <f>'Paste cell here'!C215</f>
        <v>29.569941159999999</v>
      </c>
      <c r="G215" s="1">
        <f>'Paste cell here'!D215</f>
        <v>15.961249410000001</v>
      </c>
      <c r="H215" s="1">
        <f>'Paste cell here'!E215</f>
        <v>4.6055696859999999</v>
      </c>
      <c r="I215" s="1">
        <f>'Paste cell here'!X215</f>
        <v>4.8172697810000003</v>
      </c>
      <c r="J215" s="1">
        <f>'Paste cell here'!Y215+'Paste cell here'!S215</f>
        <v>4.8172697810000003</v>
      </c>
      <c r="K215" s="1">
        <f t="shared" si="7"/>
        <v>1.0459661039639734</v>
      </c>
      <c r="L215" s="1">
        <f t="shared" si="6"/>
        <v>24.476473703860695</v>
      </c>
      <c r="M215" s="1" cm="1">
        <f t="array" ref="M215">IF(AND(A215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,A215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),IF(L215&lt;_xlfn.IFNA(INDEX(_xlfn.ANCHORARRAY(Sintesi!$C$17)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,1,IF(L215&gt;=_xlfn.IFNA(INDEX(_xlfn.ANCHORARRAY(Sintesi!$C$18)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,0,1-(L215-_xlfn.IFNA(INDEX(_xlfn.ANCHORARRAY(Sintesi!$C$17)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)/(_xlfn.IFNA(INDEX(_xlfn.ANCHORARRAY(Sintesi!$C$18)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-_xlfn.IFNA(INDEX(_xlfn.ANCHORARRAY(Sintesi!$C$17),1,MATCH(1,(_xlfn.ANCHORARRAY(Sintesi!$C$9)&gt;_xlfn.ANCHORARRAY(Sintesi!$C$10))*(A214&gt;=_xlfn.ANCHORARRAY(Sintesi!$C$9))+(_xlfn.ANCHORARRAY(Sintesi!$C$9)&gt;_xlfn.ANCHORARRAY(Sintesi!$C$10))*(A214&lt;=_xlfn.ANCHORARRAY(Sintesi!$C$10))+(_xlfn.ANCHORARRAY(Sintesi!$C$9)&lt;_xlfn.ANCHORARRAY(Sintesi!$C$10))*(A214&gt;=_xlfn.ANCHORARRAY(Sintesi!$C$9))*(A214&lt;=_xlfn.ANCHORARRAY(Sintesi!$C$10)),0)),0)))),0)</f>
        <v>0</v>
      </c>
    </row>
    <row r="216" spans="1:13">
      <c r="A216" s="1">
        <f>'Paste cell here'!A216</f>
        <v>215</v>
      </c>
      <c r="B216" s="2">
        <f>DATE(Sintesi!$C$4-1,12,31)+A216</f>
        <v>44411</v>
      </c>
      <c r="C216" s="34" cm="1">
        <f t="array" ref="C216">_xlfn.IFNA(MATCH(1,(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)*(_xlfn.ANCHORARRAY(Sintesi!$C$15)&gt;=0)+(_xlfn.ANCHORARRAY(Sintesi!$C$15)&lt;0),0),0)</f>
        <v>1</v>
      </c>
      <c r="D216" s="1" cm="1">
        <f t="array" ref="D216">IF(ISBLANK($E217),IF(ISNUMBER($E215),IF($C216&gt;0,IF(($E216=INDEX(_xlfn.ANCHORARRAY(Sintesi!$C$14),1,$C216))*(INDEX(_xlfn.ANCHORARRAY(Sintesi!$C$15),1,$C216)&gt;0),0,IF(($E216=INDEX(_xlfn.ANCHORARRAY(Sintesi!$C$14),1,$C216))*(INDEX(_xlfn.ANCHORARRAY(Sintesi!$C$15),1,$C216)&lt;0)+($E216&gt;=$E215)*($E216&lt;=INDEX($E:$E,MATCH(TRUE,INDEX((ISNUMBER($E:$E)),0),0)))*($E216&gt;INDEX(_xlfn.ANCHORARRAY(Sintesi!$C$14),1,$C216))*($E216&lt;=INDEX(_xlfn.ANCHORARRAY(Sintesi!$C$15),1,$C216))*(INDEX(_xlfn.ANCHORARRAY(Sintesi!$C$15),1,$C216)&gt;0),1,IF(($E216&gt;=$E215)*($E216&lt;=INDEX($E:$E,MATCH(TRUE,INDEX((ISNUMBER($E:$E)),0),0)))*($E216&gt;INDEX(_xlfn.ANCHORARRAY(Sintesi!$C$14),1,$C216))*($E216&lt;INDEX(_xlfn.ANCHORARRAY(Sintesi!$C$16),1,$C216))*(INDEX(_xlfn.ANCHORARRAY(Sintesi!$C$15),1,$C216)&lt;0)+($E216&gt;=$E215)*($E216&lt;=INDEX($E:$E,MATCH(TRUE,INDEX((ISNUMBER($E:$E)),0),0)))*($E216&gt;INDEX(_xlfn.ANCHORARRAY(Sintesi!$C$15),1,$C216))*($E216&lt;INDEX(_xlfn.ANCHORARRAY(Sintesi!$C$16),1,$C216))*(INDEX(_xlfn.ANCHORARRAY(Sintesi!$C$15),1,$C216)&gt;0),2,IF($E216=(INDEX(_xlfn.ANCHORARRAY(Sintesi!$C$16),1,$C216)),3,4)))),0),IF($C216&gt;0,IF(($E216=INDEX(_xlfn.ANCHORARRAY(Sintesi!$C$14),1,$C216))*(INDEX(_xlfn.ANCHORARRAY(Sintesi!$C$15),1,$C216)&gt;0),0,IF(($E216=INDEX(_xlfn.ANCHORARRAY(Sintesi!$C$14),1,$C216))*(INDEX(_xlfn.ANCHORARRAY(Sintesi!$C$15),1,$C216)&lt;0)+($E216&gt;=LOOKUP(2,1/($E:$E&lt;&gt;""),$E:$E))*($E216&lt;=INDEX($E:$E,MATCH(TRUE,INDEX((ISNUMBER($E:$E)),0),0)))*($E216&gt;INDEX(_xlfn.ANCHORARRAY(Sintesi!$C$14),1,$C216))*($E216&lt;=INDEX(_xlfn.ANCHORARRAY(Sintesi!$C$15),1,$C216))*(INDEX(_xlfn.ANCHORARRAY(Sintesi!$C$15),1,$C216)&gt;0),1,IF(($E216&gt;=LOOKUP(2,1/($E:$E&lt;&gt;""),$E:$E))*($E216&lt;=INDEX($E:$E,MATCH(TRUE,INDEX((ISNUMBER($E:$E)),0),0)))*($E216&gt;INDEX(_xlfn.ANCHORARRAY(Sintesi!$C$14),1,$C216))*($E216&lt;INDEX(_xlfn.ANCHORARRAY(Sintesi!$C$16),1,$C216))*(INDEX(_xlfn.ANCHORARRAY(Sintesi!$C$15),1,$C216)&lt;0)+($E216&gt;=LOOKUP(2,1/($E:$E&lt;&gt;""),$E:$E))*($E216&lt;=INDEX($E:$E,MATCH(TRUE,INDEX((ISNUMBER($E:$E)),0),0)))*($E216&gt;INDEX(_xlfn.ANCHORARRAY(Sintesi!$C$15),1,$C216))*($E216&lt;INDEX(_xlfn.ANCHORARRAY(Sintesi!$C$16),1,$C216))*(INDEX(_xlfn.ANCHORARRAY(Sintesi!$C$15),1,$C216)&gt;0),2,IF($E216=(INDEX(_xlfn.ANCHORARRAY(Sintesi!$C$16),1,$C216)),3,4)))),0)),IF(ISNUMBER($E215),IF($C216&gt;0,IF(($E216=INDEX(_xlfn.ANCHORARRAY(Sintesi!$C$14),1,$C216))*(INDEX(_xlfn.ANCHORARRAY(Sintesi!$C$15),1,$C216)&gt;0),0,IF(($E216=INDEX(_xlfn.ANCHORARRAY(Sintesi!$C$14),1,$C216))*(INDEX(_xlfn.ANCHORARRAY(Sintesi!$C$15),1,$C216)&lt;0)+($E216&gt;=$E215)*($E216&lt;=$E217)*($E216&gt;INDEX(_xlfn.ANCHORARRAY(Sintesi!$C$14),1,$C216))*($E216&lt;=INDEX(_xlfn.ANCHORARRAY(Sintesi!$C$15),1,$C216))*(INDEX(_xlfn.ANCHORARRAY(Sintesi!$C$15),1,$C216)&gt;0),1,IF(($E216&gt;=$E215)*($E216&lt;=$E217)*($E216&gt;INDEX(_xlfn.ANCHORARRAY(Sintesi!$C$14),1,$C216))*($E216&lt;INDEX(_xlfn.ANCHORARRAY(Sintesi!$C$16),1,$C216))*(INDEX(_xlfn.ANCHORARRAY(Sintesi!$C$15),1,$C216)&lt;0)+($E216&gt;=$E215)*($E216&lt;=$E217)*($E216&gt;INDEX(_xlfn.ANCHORARRAY(Sintesi!$C$15),1,$C216))*($E216&lt;INDEX(_xlfn.ANCHORARRAY(Sintesi!$C$16),1,$C216))*(INDEX(_xlfn.ANCHORARRAY(Sintesi!$C$15),1,$C216)&gt;0),2,IF($E216=(INDEX(_xlfn.ANCHORARRAY(Sintesi!$C$16),1,$C216)),3,4)))),0),IF($C216&gt;0,IF(($E216=INDEX(_xlfn.ANCHORARRAY(Sintesi!$C$14),1,$C216))*(INDEX(_xlfn.ANCHORARRAY(Sintesi!$C$15),1,$C216)&gt;0),0,IF(($E216=INDEX(_xlfn.ANCHORARRAY(Sintesi!$C$14),1,$C216))*(INDEX(_xlfn.ANCHORARRAY(Sintesi!$C$15),1,$C216)&lt;0)+($E216&gt;=LOOKUP(2,1/($E:$E&lt;&gt;""),$E:$E))*($E216&lt;=$E217)*($E216&gt;INDEX(_xlfn.ANCHORARRAY(Sintesi!$C$14),1,$C216))*($E216&lt;=INDEX(_xlfn.ANCHORARRAY(Sintesi!$C$15),1,$C216))*(INDEX(_xlfn.ANCHORARRAY(Sintesi!$C$15),1,$C216)&gt;0),1,IF(($E216&gt;=LOOKUP(2,1/($E:$E&lt;&gt;""),$E:$E))*($E216&lt;=$E217)*($E216&gt;INDEX(_xlfn.ANCHORARRAY(Sintesi!$C$14),1,$C216))*($E216&lt;INDEX(_xlfn.ANCHORARRAY(Sintesi!$C$16),1,$C216))*(INDEX(_xlfn.ANCHORARRAY(Sintesi!$C$15),1,$C216)&lt;0)+($E216&gt;=LOOKUP(2,1/($E:$E&lt;&gt;""),$E:$E))*($E216&lt;=$E217)*($E216&gt;INDEX(_xlfn.ANCHORARRAY(Sintesi!$C$15),1,$C216))*($E216&lt;INDEX(_xlfn.ANCHORARRAY(Sintesi!$C$16),1,$C216))*(INDEX(_xlfn.ANCHORARRAY(Sintesi!$C$15),1,$C216)&gt;0),2,IF($E216=(INDEX(_xlfn.ANCHORARRAY(Sintesi!$C$16),1,$C216)),3,4)))),0)))</f>
        <v>4</v>
      </c>
      <c r="E216" s="1">
        <f>'Paste cell here'!F216</f>
        <v>1.004</v>
      </c>
      <c r="F216" s="1">
        <f>'Paste cell here'!C216</f>
        <v>29.469941160000001</v>
      </c>
      <c r="G216" s="1">
        <f>'Paste cell here'!D216</f>
        <v>15.94339497</v>
      </c>
      <c r="H216" s="1">
        <f>'Paste cell here'!E216</f>
        <v>4.3216550810000003</v>
      </c>
      <c r="I216" s="1">
        <f>'Paste cell here'!X216</f>
        <v>4.3388084720000002</v>
      </c>
      <c r="J216" s="1">
        <f>'Paste cell here'!Y216+'Paste cell here'!S216</f>
        <v>4.3388084720000002</v>
      </c>
      <c r="K216" s="1">
        <f t="shared" si="7"/>
        <v>1.0039691716896646</v>
      </c>
      <c r="L216" s="1">
        <f t="shared" si="6"/>
        <v>24.4072191821339</v>
      </c>
      <c r="M216" s="1" cm="1">
        <f t="array" ref="M216">IF(AND(A216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,A216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),IF(L216&lt;_xlfn.IFNA(INDEX(_xlfn.ANCHORARRAY(Sintesi!$C$17)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,1,IF(L216&gt;=_xlfn.IFNA(INDEX(_xlfn.ANCHORARRAY(Sintesi!$C$18)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,0,1-(L216-_xlfn.IFNA(INDEX(_xlfn.ANCHORARRAY(Sintesi!$C$17)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)/(_xlfn.IFNA(INDEX(_xlfn.ANCHORARRAY(Sintesi!$C$18)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-_xlfn.IFNA(INDEX(_xlfn.ANCHORARRAY(Sintesi!$C$17),1,MATCH(1,(_xlfn.ANCHORARRAY(Sintesi!$C$9)&gt;_xlfn.ANCHORARRAY(Sintesi!$C$10))*(A215&gt;=_xlfn.ANCHORARRAY(Sintesi!$C$9))+(_xlfn.ANCHORARRAY(Sintesi!$C$9)&gt;_xlfn.ANCHORARRAY(Sintesi!$C$10))*(A215&lt;=_xlfn.ANCHORARRAY(Sintesi!$C$10))+(_xlfn.ANCHORARRAY(Sintesi!$C$9)&lt;_xlfn.ANCHORARRAY(Sintesi!$C$10))*(A215&gt;=_xlfn.ANCHORARRAY(Sintesi!$C$9))*(A215&lt;=_xlfn.ANCHORARRAY(Sintesi!$C$10)),0)),0)))),0)</f>
        <v>0</v>
      </c>
    </row>
    <row r="217" spans="1:13">
      <c r="A217" s="1">
        <f>'Paste cell here'!A217</f>
        <v>216</v>
      </c>
      <c r="B217" s="2">
        <f>DATE(Sintesi!$C$4-1,12,31)+A217</f>
        <v>44412</v>
      </c>
      <c r="C217" s="34" cm="1">
        <f t="array" ref="C217">_xlfn.IFNA(MATCH(1,(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)*(_xlfn.ANCHORARRAY(Sintesi!$C$15)&gt;=0)+(_xlfn.ANCHORARRAY(Sintesi!$C$15)&lt;0),0),0)</f>
        <v>1</v>
      </c>
      <c r="D217" s="1" cm="1">
        <f t="array" ref="D217">IF(ISBLANK($E218),IF(ISNUMBER($E216),IF($C217&gt;0,IF(($E217=INDEX(_xlfn.ANCHORARRAY(Sintesi!$C$14),1,$C217))*(INDEX(_xlfn.ANCHORARRAY(Sintesi!$C$15),1,$C217)&gt;0),0,IF(($E217=INDEX(_xlfn.ANCHORARRAY(Sintesi!$C$14),1,$C217))*(INDEX(_xlfn.ANCHORARRAY(Sintesi!$C$15),1,$C217)&lt;0)+($E217&gt;=$E216)*($E217&lt;=INDEX($E:$E,MATCH(TRUE,INDEX((ISNUMBER($E:$E)),0),0)))*($E217&gt;INDEX(_xlfn.ANCHORARRAY(Sintesi!$C$14),1,$C217))*($E217&lt;=INDEX(_xlfn.ANCHORARRAY(Sintesi!$C$15),1,$C217))*(INDEX(_xlfn.ANCHORARRAY(Sintesi!$C$15),1,$C217)&gt;0),1,IF(($E217&gt;=$E216)*($E217&lt;=INDEX($E:$E,MATCH(TRUE,INDEX((ISNUMBER($E:$E)),0),0)))*($E217&gt;INDEX(_xlfn.ANCHORARRAY(Sintesi!$C$14),1,$C217))*($E217&lt;INDEX(_xlfn.ANCHORARRAY(Sintesi!$C$16),1,$C217))*(INDEX(_xlfn.ANCHORARRAY(Sintesi!$C$15),1,$C217)&lt;0)+($E217&gt;=$E216)*($E217&lt;=INDEX($E:$E,MATCH(TRUE,INDEX((ISNUMBER($E:$E)),0),0)))*($E217&gt;INDEX(_xlfn.ANCHORARRAY(Sintesi!$C$15),1,$C217))*($E217&lt;INDEX(_xlfn.ANCHORARRAY(Sintesi!$C$16),1,$C217))*(INDEX(_xlfn.ANCHORARRAY(Sintesi!$C$15),1,$C217)&gt;0),2,IF($E217=(INDEX(_xlfn.ANCHORARRAY(Sintesi!$C$16),1,$C217)),3,4)))),0),IF($C217&gt;0,IF(($E217=INDEX(_xlfn.ANCHORARRAY(Sintesi!$C$14),1,$C217))*(INDEX(_xlfn.ANCHORARRAY(Sintesi!$C$15),1,$C217)&gt;0),0,IF(($E217=INDEX(_xlfn.ANCHORARRAY(Sintesi!$C$14),1,$C217))*(INDEX(_xlfn.ANCHORARRAY(Sintesi!$C$15),1,$C217)&lt;0)+($E217&gt;=LOOKUP(2,1/($E:$E&lt;&gt;""),$E:$E))*($E217&lt;=INDEX($E:$E,MATCH(TRUE,INDEX((ISNUMBER($E:$E)),0),0)))*($E217&gt;INDEX(_xlfn.ANCHORARRAY(Sintesi!$C$14),1,$C217))*($E217&lt;=INDEX(_xlfn.ANCHORARRAY(Sintesi!$C$15),1,$C217))*(INDEX(_xlfn.ANCHORARRAY(Sintesi!$C$15),1,$C217)&gt;0),1,IF(($E217&gt;=LOOKUP(2,1/($E:$E&lt;&gt;""),$E:$E))*($E217&lt;=INDEX($E:$E,MATCH(TRUE,INDEX((ISNUMBER($E:$E)),0),0)))*($E217&gt;INDEX(_xlfn.ANCHORARRAY(Sintesi!$C$14),1,$C217))*($E217&lt;INDEX(_xlfn.ANCHORARRAY(Sintesi!$C$16),1,$C217))*(INDEX(_xlfn.ANCHORARRAY(Sintesi!$C$15),1,$C217)&lt;0)+($E217&gt;=LOOKUP(2,1/($E:$E&lt;&gt;""),$E:$E))*($E217&lt;=INDEX($E:$E,MATCH(TRUE,INDEX((ISNUMBER($E:$E)),0),0)))*($E217&gt;INDEX(_xlfn.ANCHORARRAY(Sintesi!$C$15),1,$C217))*($E217&lt;INDEX(_xlfn.ANCHORARRAY(Sintesi!$C$16),1,$C217))*(INDEX(_xlfn.ANCHORARRAY(Sintesi!$C$15),1,$C217)&gt;0),2,IF($E217=(INDEX(_xlfn.ANCHORARRAY(Sintesi!$C$16),1,$C217)),3,4)))),0)),IF(ISNUMBER($E216),IF($C217&gt;0,IF(($E217=INDEX(_xlfn.ANCHORARRAY(Sintesi!$C$14),1,$C217))*(INDEX(_xlfn.ANCHORARRAY(Sintesi!$C$15),1,$C217)&gt;0),0,IF(($E217=INDEX(_xlfn.ANCHORARRAY(Sintesi!$C$14),1,$C217))*(INDEX(_xlfn.ANCHORARRAY(Sintesi!$C$15),1,$C217)&lt;0)+($E217&gt;=$E216)*($E217&lt;=$E218)*($E217&gt;INDEX(_xlfn.ANCHORARRAY(Sintesi!$C$14),1,$C217))*($E217&lt;=INDEX(_xlfn.ANCHORARRAY(Sintesi!$C$15),1,$C217))*(INDEX(_xlfn.ANCHORARRAY(Sintesi!$C$15),1,$C217)&gt;0),1,IF(($E217&gt;=$E216)*($E217&lt;=$E218)*($E217&gt;INDEX(_xlfn.ANCHORARRAY(Sintesi!$C$14),1,$C217))*($E217&lt;INDEX(_xlfn.ANCHORARRAY(Sintesi!$C$16),1,$C217))*(INDEX(_xlfn.ANCHORARRAY(Sintesi!$C$15),1,$C217)&lt;0)+($E217&gt;=$E216)*($E217&lt;=$E218)*($E217&gt;INDEX(_xlfn.ANCHORARRAY(Sintesi!$C$15),1,$C217))*($E217&lt;INDEX(_xlfn.ANCHORARRAY(Sintesi!$C$16),1,$C217))*(INDEX(_xlfn.ANCHORARRAY(Sintesi!$C$15),1,$C217)&gt;0),2,IF($E217=(INDEX(_xlfn.ANCHORARRAY(Sintesi!$C$16),1,$C217)),3,4)))),0),IF($C217&gt;0,IF(($E217=INDEX(_xlfn.ANCHORARRAY(Sintesi!$C$14),1,$C217))*(INDEX(_xlfn.ANCHORARRAY(Sintesi!$C$15),1,$C217)&gt;0),0,IF(($E217=INDEX(_xlfn.ANCHORARRAY(Sintesi!$C$14),1,$C217))*(INDEX(_xlfn.ANCHORARRAY(Sintesi!$C$15),1,$C217)&lt;0)+($E217&gt;=LOOKUP(2,1/($E:$E&lt;&gt;""),$E:$E))*($E217&lt;=$E218)*($E217&gt;INDEX(_xlfn.ANCHORARRAY(Sintesi!$C$14),1,$C217))*($E217&lt;=INDEX(_xlfn.ANCHORARRAY(Sintesi!$C$15),1,$C217))*(INDEX(_xlfn.ANCHORARRAY(Sintesi!$C$15),1,$C217)&gt;0),1,IF(($E217&gt;=LOOKUP(2,1/($E:$E&lt;&gt;""),$E:$E))*($E217&lt;=$E218)*($E217&gt;INDEX(_xlfn.ANCHORARRAY(Sintesi!$C$14),1,$C217))*($E217&lt;INDEX(_xlfn.ANCHORARRAY(Sintesi!$C$16),1,$C217))*(INDEX(_xlfn.ANCHORARRAY(Sintesi!$C$15),1,$C217)&lt;0)+($E217&gt;=LOOKUP(2,1/($E:$E&lt;&gt;""),$E:$E))*($E217&lt;=$E218)*($E217&gt;INDEX(_xlfn.ANCHORARRAY(Sintesi!$C$15),1,$C217))*($E217&lt;INDEX(_xlfn.ANCHORARRAY(Sintesi!$C$16),1,$C217))*(INDEX(_xlfn.ANCHORARRAY(Sintesi!$C$15),1,$C217)&gt;0),2,IF($E217=(INDEX(_xlfn.ANCHORARRAY(Sintesi!$C$16),1,$C217)),3,4)))),0)))</f>
        <v>4</v>
      </c>
      <c r="E217" s="1">
        <f>'Paste cell here'!F217</f>
        <v>0.96099999999999997</v>
      </c>
      <c r="F217" s="1">
        <f>'Paste cell here'!C217</f>
        <v>24.956605029999999</v>
      </c>
      <c r="G217" s="1">
        <f>'Paste cell here'!D217</f>
        <v>18.78201949</v>
      </c>
      <c r="H217" s="1">
        <f>'Paste cell here'!E217</f>
        <v>2.3197422410000001</v>
      </c>
      <c r="I217" s="1">
        <f>'Paste cell here'!X217</f>
        <v>2.2292075140000001</v>
      </c>
      <c r="J217" s="1">
        <f>'Paste cell here'!Y217+'Paste cell here'!S217</f>
        <v>2.2292075140000001</v>
      </c>
      <c r="K217" s="1">
        <f t="shared" si="7"/>
        <v>0.96097207465559964</v>
      </c>
      <c r="L217" s="1">
        <f t="shared" si="6"/>
        <v>22.645578292022908</v>
      </c>
      <c r="M217" s="1" cm="1">
        <f t="array" ref="M217">IF(AND(A217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,A217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),IF(L217&lt;_xlfn.IFNA(INDEX(_xlfn.ANCHORARRAY(Sintesi!$C$17)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,1,IF(L217&gt;=_xlfn.IFNA(INDEX(_xlfn.ANCHORARRAY(Sintesi!$C$18)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,0,1-(L217-_xlfn.IFNA(INDEX(_xlfn.ANCHORARRAY(Sintesi!$C$17)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)/(_xlfn.IFNA(INDEX(_xlfn.ANCHORARRAY(Sintesi!$C$18)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-_xlfn.IFNA(INDEX(_xlfn.ANCHORARRAY(Sintesi!$C$17),1,MATCH(1,(_xlfn.ANCHORARRAY(Sintesi!$C$9)&gt;_xlfn.ANCHORARRAY(Sintesi!$C$10))*(A216&gt;=_xlfn.ANCHORARRAY(Sintesi!$C$9))+(_xlfn.ANCHORARRAY(Sintesi!$C$9)&gt;_xlfn.ANCHORARRAY(Sintesi!$C$10))*(A216&lt;=_xlfn.ANCHORARRAY(Sintesi!$C$10))+(_xlfn.ANCHORARRAY(Sintesi!$C$9)&lt;_xlfn.ANCHORARRAY(Sintesi!$C$10))*(A216&gt;=_xlfn.ANCHORARRAY(Sintesi!$C$9))*(A216&lt;=_xlfn.ANCHORARRAY(Sintesi!$C$10)),0)),0)))),0)</f>
        <v>0</v>
      </c>
    </row>
    <row r="218" spans="1:13">
      <c r="A218" s="1">
        <f>'Paste cell here'!A218</f>
        <v>217</v>
      </c>
      <c r="B218" s="2">
        <f>DATE(Sintesi!$C$4-1,12,31)+A218</f>
        <v>44413</v>
      </c>
      <c r="C218" s="34" cm="1">
        <f t="array" ref="C218">_xlfn.IFNA(MATCH(1,(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)*(_xlfn.ANCHORARRAY(Sintesi!$C$15)&gt;=0)+(_xlfn.ANCHORARRAY(Sintesi!$C$15)&lt;0),0),0)</f>
        <v>1</v>
      </c>
      <c r="D218" s="1" cm="1">
        <f t="array" ref="D218">IF(ISBLANK($E219),IF(ISNUMBER($E217),IF($C218&gt;0,IF(($E218=INDEX(_xlfn.ANCHORARRAY(Sintesi!$C$14),1,$C218))*(INDEX(_xlfn.ANCHORARRAY(Sintesi!$C$15),1,$C218)&gt;0),0,IF(($E218=INDEX(_xlfn.ANCHORARRAY(Sintesi!$C$14),1,$C218))*(INDEX(_xlfn.ANCHORARRAY(Sintesi!$C$15),1,$C218)&lt;0)+($E218&gt;=$E217)*($E218&lt;=INDEX($E:$E,MATCH(TRUE,INDEX((ISNUMBER($E:$E)),0),0)))*($E218&gt;INDEX(_xlfn.ANCHORARRAY(Sintesi!$C$14),1,$C218))*($E218&lt;=INDEX(_xlfn.ANCHORARRAY(Sintesi!$C$15),1,$C218))*(INDEX(_xlfn.ANCHORARRAY(Sintesi!$C$15),1,$C218)&gt;0),1,IF(($E218&gt;=$E217)*($E218&lt;=INDEX($E:$E,MATCH(TRUE,INDEX((ISNUMBER($E:$E)),0),0)))*($E218&gt;INDEX(_xlfn.ANCHORARRAY(Sintesi!$C$14),1,$C218))*($E218&lt;INDEX(_xlfn.ANCHORARRAY(Sintesi!$C$16),1,$C218))*(INDEX(_xlfn.ANCHORARRAY(Sintesi!$C$15),1,$C218)&lt;0)+($E218&gt;=$E217)*($E218&lt;=INDEX($E:$E,MATCH(TRUE,INDEX((ISNUMBER($E:$E)),0),0)))*($E218&gt;INDEX(_xlfn.ANCHORARRAY(Sintesi!$C$15),1,$C218))*($E218&lt;INDEX(_xlfn.ANCHORARRAY(Sintesi!$C$16),1,$C218))*(INDEX(_xlfn.ANCHORARRAY(Sintesi!$C$15),1,$C218)&gt;0),2,IF($E218=(INDEX(_xlfn.ANCHORARRAY(Sintesi!$C$16),1,$C218)),3,4)))),0),IF($C218&gt;0,IF(($E218=INDEX(_xlfn.ANCHORARRAY(Sintesi!$C$14),1,$C218))*(INDEX(_xlfn.ANCHORARRAY(Sintesi!$C$15),1,$C218)&gt;0),0,IF(($E218=INDEX(_xlfn.ANCHORARRAY(Sintesi!$C$14),1,$C218))*(INDEX(_xlfn.ANCHORARRAY(Sintesi!$C$15),1,$C218)&lt;0)+($E218&gt;=LOOKUP(2,1/($E:$E&lt;&gt;""),$E:$E))*($E218&lt;=INDEX($E:$E,MATCH(TRUE,INDEX((ISNUMBER($E:$E)),0),0)))*($E218&gt;INDEX(_xlfn.ANCHORARRAY(Sintesi!$C$14),1,$C218))*($E218&lt;=INDEX(_xlfn.ANCHORARRAY(Sintesi!$C$15),1,$C218))*(INDEX(_xlfn.ANCHORARRAY(Sintesi!$C$15),1,$C218)&gt;0),1,IF(($E218&gt;=LOOKUP(2,1/($E:$E&lt;&gt;""),$E:$E))*($E218&lt;=INDEX($E:$E,MATCH(TRUE,INDEX((ISNUMBER($E:$E)),0),0)))*($E218&gt;INDEX(_xlfn.ANCHORARRAY(Sintesi!$C$14),1,$C218))*($E218&lt;INDEX(_xlfn.ANCHORARRAY(Sintesi!$C$16),1,$C218))*(INDEX(_xlfn.ANCHORARRAY(Sintesi!$C$15),1,$C218)&lt;0)+($E218&gt;=LOOKUP(2,1/($E:$E&lt;&gt;""),$E:$E))*($E218&lt;=INDEX($E:$E,MATCH(TRUE,INDEX((ISNUMBER($E:$E)),0),0)))*($E218&gt;INDEX(_xlfn.ANCHORARRAY(Sintesi!$C$15),1,$C218))*($E218&lt;INDEX(_xlfn.ANCHORARRAY(Sintesi!$C$16),1,$C218))*(INDEX(_xlfn.ANCHORARRAY(Sintesi!$C$15),1,$C218)&gt;0),2,IF($E218=(INDEX(_xlfn.ANCHORARRAY(Sintesi!$C$16),1,$C218)),3,4)))),0)),IF(ISNUMBER($E217),IF($C218&gt;0,IF(($E218=INDEX(_xlfn.ANCHORARRAY(Sintesi!$C$14),1,$C218))*(INDEX(_xlfn.ANCHORARRAY(Sintesi!$C$15),1,$C218)&gt;0),0,IF(($E218=INDEX(_xlfn.ANCHORARRAY(Sintesi!$C$14),1,$C218))*(INDEX(_xlfn.ANCHORARRAY(Sintesi!$C$15),1,$C218)&lt;0)+($E218&gt;=$E217)*($E218&lt;=$E219)*($E218&gt;INDEX(_xlfn.ANCHORARRAY(Sintesi!$C$14),1,$C218))*($E218&lt;=INDEX(_xlfn.ANCHORARRAY(Sintesi!$C$15),1,$C218))*(INDEX(_xlfn.ANCHORARRAY(Sintesi!$C$15),1,$C218)&gt;0),1,IF(($E218&gt;=$E217)*($E218&lt;=$E219)*($E218&gt;INDEX(_xlfn.ANCHORARRAY(Sintesi!$C$14),1,$C218))*($E218&lt;INDEX(_xlfn.ANCHORARRAY(Sintesi!$C$16),1,$C218))*(INDEX(_xlfn.ANCHORARRAY(Sintesi!$C$15),1,$C218)&lt;0)+($E218&gt;=$E217)*($E218&lt;=$E219)*($E218&gt;INDEX(_xlfn.ANCHORARRAY(Sintesi!$C$15),1,$C218))*($E218&lt;INDEX(_xlfn.ANCHORARRAY(Sintesi!$C$16),1,$C218))*(INDEX(_xlfn.ANCHORARRAY(Sintesi!$C$15),1,$C218)&gt;0),2,IF($E218=(INDEX(_xlfn.ANCHORARRAY(Sintesi!$C$16),1,$C218)),3,4)))),0),IF($C218&gt;0,IF(($E218=INDEX(_xlfn.ANCHORARRAY(Sintesi!$C$14),1,$C218))*(INDEX(_xlfn.ANCHORARRAY(Sintesi!$C$15),1,$C218)&gt;0),0,IF(($E218=INDEX(_xlfn.ANCHORARRAY(Sintesi!$C$14),1,$C218))*(INDEX(_xlfn.ANCHORARRAY(Sintesi!$C$15),1,$C218)&lt;0)+($E218&gt;=LOOKUP(2,1/($E:$E&lt;&gt;""),$E:$E))*($E218&lt;=$E219)*($E218&gt;INDEX(_xlfn.ANCHORARRAY(Sintesi!$C$14),1,$C218))*($E218&lt;=INDEX(_xlfn.ANCHORARRAY(Sintesi!$C$15),1,$C218))*(INDEX(_xlfn.ANCHORARRAY(Sintesi!$C$15),1,$C218)&gt;0),1,IF(($E218&gt;=LOOKUP(2,1/($E:$E&lt;&gt;""),$E:$E))*($E218&lt;=$E219)*($E218&gt;INDEX(_xlfn.ANCHORARRAY(Sintesi!$C$14),1,$C218))*($E218&lt;INDEX(_xlfn.ANCHORARRAY(Sintesi!$C$16),1,$C218))*(INDEX(_xlfn.ANCHORARRAY(Sintesi!$C$15),1,$C218)&lt;0)+($E218&gt;=LOOKUP(2,1/($E:$E&lt;&gt;""),$E:$E))*($E218&lt;=$E219)*($E218&gt;INDEX(_xlfn.ANCHORARRAY(Sintesi!$C$15),1,$C218))*($E218&lt;INDEX(_xlfn.ANCHORARRAY(Sintesi!$C$16),1,$C218))*(INDEX(_xlfn.ANCHORARRAY(Sintesi!$C$15),1,$C218)&gt;0),2,IF($E218=(INDEX(_xlfn.ANCHORARRAY(Sintesi!$C$16),1,$C218)),3,4)))),0)))</f>
        <v>4</v>
      </c>
      <c r="E218" s="1">
        <f>'Paste cell here'!F218</f>
        <v>0.91800000000000004</v>
      </c>
      <c r="F218" s="1">
        <f>'Paste cell here'!C218</f>
        <v>31.302679730000001</v>
      </c>
      <c r="G218" s="1">
        <f>'Paste cell here'!D218</f>
        <v>15.7359448</v>
      </c>
      <c r="H218" s="1">
        <f>'Paste cell here'!E218</f>
        <v>5.6730619899999999</v>
      </c>
      <c r="I218" s="1">
        <f>'Paste cell here'!X218</f>
        <v>5.2077278649999998</v>
      </c>
      <c r="J218" s="1">
        <f>'Paste cell here'!Y218+'Paste cell here'!S218</f>
        <v>5.2077278649999998</v>
      </c>
      <c r="K218" s="1">
        <f t="shared" si="7"/>
        <v>0.91797478578230729</v>
      </c>
      <c r="L218" s="1">
        <f t="shared" si="6"/>
        <v>25.476354964851144</v>
      </c>
      <c r="M218" s="1" cm="1">
        <f t="array" ref="M218">IF(AND(A218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,A218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),IF(L218&lt;_xlfn.IFNA(INDEX(_xlfn.ANCHORARRAY(Sintesi!$C$17)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,1,IF(L218&gt;=_xlfn.IFNA(INDEX(_xlfn.ANCHORARRAY(Sintesi!$C$18)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,0,1-(L218-_xlfn.IFNA(INDEX(_xlfn.ANCHORARRAY(Sintesi!$C$17)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)/(_xlfn.IFNA(INDEX(_xlfn.ANCHORARRAY(Sintesi!$C$18)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-_xlfn.IFNA(INDEX(_xlfn.ANCHORARRAY(Sintesi!$C$17),1,MATCH(1,(_xlfn.ANCHORARRAY(Sintesi!$C$9)&gt;_xlfn.ANCHORARRAY(Sintesi!$C$10))*(A217&gt;=_xlfn.ANCHORARRAY(Sintesi!$C$9))+(_xlfn.ANCHORARRAY(Sintesi!$C$9)&gt;_xlfn.ANCHORARRAY(Sintesi!$C$10))*(A217&lt;=_xlfn.ANCHORARRAY(Sintesi!$C$10))+(_xlfn.ANCHORARRAY(Sintesi!$C$9)&lt;_xlfn.ANCHORARRAY(Sintesi!$C$10))*(A217&gt;=_xlfn.ANCHORARRAY(Sintesi!$C$9))*(A217&lt;=_xlfn.ANCHORARRAY(Sintesi!$C$10)),0)),0)))),0)</f>
        <v>0</v>
      </c>
    </row>
    <row r="219" spans="1:13">
      <c r="A219" s="1">
        <f>'Paste cell here'!A219</f>
        <v>218</v>
      </c>
      <c r="B219" s="2">
        <f>DATE(Sintesi!$C$4-1,12,31)+A219</f>
        <v>44414</v>
      </c>
      <c r="C219" s="34" cm="1">
        <f t="array" ref="C219">_xlfn.IFNA(MATCH(1,(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)*(_xlfn.ANCHORARRAY(Sintesi!$C$15)&gt;=0)+(_xlfn.ANCHORARRAY(Sintesi!$C$15)&lt;0),0),0)</f>
        <v>1</v>
      </c>
      <c r="D219" s="1" cm="1">
        <f t="array" ref="D219">IF(ISBLANK($E220),IF(ISNUMBER($E218),IF($C219&gt;0,IF(($E219=INDEX(_xlfn.ANCHORARRAY(Sintesi!$C$14),1,$C219))*(INDEX(_xlfn.ANCHORARRAY(Sintesi!$C$15),1,$C219)&gt;0),0,IF(($E219=INDEX(_xlfn.ANCHORARRAY(Sintesi!$C$14),1,$C219))*(INDEX(_xlfn.ANCHORARRAY(Sintesi!$C$15),1,$C219)&lt;0)+($E219&gt;=$E218)*($E219&lt;=INDEX($E:$E,MATCH(TRUE,INDEX((ISNUMBER($E:$E)),0),0)))*($E219&gt;INDEX(_xlfn.ANCHORARRAY(Sintesi!$C$14),1,$C219))*($E219&lt;=INDEX(_xlfn.ANCHORARRAY(Sintesi!$C$15),1,$C219))*(INDEX(_xlfn.ANCHORARRAY(Sintesi!$C$15),1,$C219)&gt;0),1,IF(($E219&gt;=$E218)*($E219&lt;=INDEX($E:$E,MATCH(TRUE,INDEX((ISNUMBER($E:$E)),0),0)))*($E219&gt;INDEX(_xlfn.ANCHORARRAY(Sintesi!$C$14),1,$C219))*($E219&lt;INDEX(_xlfn.ANCHORARRAY(Sintesi!$C$16),1,$C219))*(INDEX(_xlfn.ANCHORARRAY(Sintesi!$C$15),1,$C219)&lt;0)+($E219&gt;=$E218)*($E219&lt;=INDEX($E:$E,MATCH(TRUE,INDEX((ISNUMBER($E:$E)),0),0)))*($E219&gt;INDEX(_xlfn.ANCHORARRAY(Sintesi!$C$15),1,$C219))*($E219&lt;INDEX(_xlfn.ANCHORARRAY(Sintesi!$C$16),1,$C219))*(INDEX(_xlfn.ANCHORARRAY(Sintesi!$C$15),1,$C219)&gt;0),2,IF($E219=(INDEX(_xlfn.ANCHORARRAY(Sintesi!$C$16),1,$C219)),3,4)))),0),IF($C219&gt;0,IF(($E219=INDEX(_xlfn.ANCHORARRAY(Sintesi!$C$14),1,$C219))*(INDEX(_xlfn.ANCHORARRAY(Sintesi!$C$15),1,$C219)&gt;0),0,IF(($E219=INDEX(_xlfn.ANCHORARRAY(Sintesi!$C$14),1,$C219))*(INDEX(_xlfn.ANCHORARRAY(Sintesi!$C$15),1,$C219)&lt;0)+($E219&gt;=LOOKUP(2,1/($E:$E&lt;&gt;""),$E:$E))*($E219&lt;=INDEX($E:$E,MATCH(TRUE,INDEX((ISNUMBER($E:$E)),0),0)))*($E219&gt;INDEX(_xlfn.ANCHORARRAY(Sintesi!$C$14),1,$C219))*($E219&lt;=INDEX(_xlfn.ANCHORARRAY(Sintesi!$C$15),1,$C219))*(INDEX(_xlfn.ANCHORARRAY(Sintesi!$C$15),1,$C219)&gt;0),1,IF(($E219&gt;=LOOKUP(2,1/($E:$E&lt;&gt;""),$E:$E))*($E219&lt;=INDEX($E:$E,MATCH(TRUE,INDEX((ISNUMBER($E:$E)),0),0)))*($E219&gt;INDEX(_xlfn.ANCHORARRAY(Sintesi!$C$14),1,$C219))*($E219&lt;INDEX(_xlfn.ANCHORARRAY(Sintesi!$C$16),1,$C219))*(INDEX(_xlfn.ANCHORARRAY(Sintesi!$C$15),1,$C219)&lt;0)+($E219&gt;=LOOKUP(2,1/($E:$E&lt;&gt;""),$E:$E))*($E219&lt;=INDEX($E:$E,MATCH(TRUE,INDEX((ISNUMBER($E:$E)),0),0)))*($E219&gt;INDEX(_xlfn.ANCHORARRAY(Sintesi!$C$15),1,$C219))*($E219&lt;INDEX(_xlfn.ANCHORARRAY(Sintesi!$C$16),1,$C219))*(INDEX(_xlfn.ANCHORARRAY(Sintesi!$C$15),1,$C219)&gt;0),2,IF($E219=(INDEX(_xlfn.ANCHORARRAY(Sintesi!$C$16),1,$C219)),3,4)))),0)),IF(ISNUMBER($E218),IF($C219&gt;0,IF(($E219=INDEX(_xlfn.ANCHORARRAY(Sintesi!$C$14),1,$C219))*(INDEX(_xlfn.ANCHORARRAY(Sintesi!$C$15),1,$C219)&gt;0),0,IF(($E219=INDEX(_xlfn.ANCHORARRAY(Sintesi!$C$14),1,$C219))*(INDEX(_xlfn.ANCHORARRAY(Sintesi!$C$15),1,$C219)&lt;0)+($E219&gt;=$E218)*($E219&lt;=$E220)*($E219&gt;INDEX(_xlfn.ANCHORARRAY(Sintesi!$C$14),1,$C219))*($E219&lt;=INDEX(_xlfn.ANCHORARRAY(Sintesi!$C$15),1,$C219))*(INDEX(_xlfn.ANCHORARRAY(Sintesi!$C$15),1,$C219)&gt;0),1,IF(($E219&gt;=$E218)*($E219&lt;=$E220)*($E219&gt;INDEX(_xlfn.ANCHORARRAY(Sintesi!$C$14),1,$C219))*($E219&lt;INDEX(_xlfn.ANCHORARRAY(Sintesi!$C$16),1,$C219))*(INDEX(_xlfn.ANCHORARRAY(Sintesi!$C$15),1,$C219)&lt;0)+($E219&gt;=$E218)*($E219&lt;=$E220)*($E219&gt;INDEX(_xlfn.ANCHORARRAY(Sintesi!$C$15),1,$C219))*($E219&lt;INDEX(_xlfn.ANCHORARRAY(Sintesi!$C$16),1,$C219))*(INDEX(_xlfn.ANCHORARRAY(Sintesi!$C$15),1,$C219)&gt;0),2,IF($E219=(INDEX(_xlfn.ANCHORARRAY(Sintesi!$C$16),1,$C219)),3,4)))),0),IF($C219&gt;0,IF(($E219=INDEX(_xlfn.ANCHORARRAY(Sintesi!$C$14),1,$C219))*(INDEX(_xlfn.ANCHORARRAY(Sintesi!$C$15),1,$C219)&gt;0),0,IF(($E219=INDEX(_xlfn.ANCHORARRAY(Sintesi!$C$14),1,$C219))*(INDEX(_xlfn.ANCHORARRAY(Sintesi!$C$15),1,$C219)&lt;0)+($E219&gt;=LOOKUP(2,1/($E:$E&lt;&gt;""),$E:$E))*($E219&lt;=$E220)*($E219&gt;INDEX(_xlfn.ANCHORARRAY(Sintesi!$C$14),1,$C219))*($E219&lt;=INDEX(_xlfn.ANCHORARRAY(Sintesi!$C$15),1,$C219))*(INDEX(_xlfn.ANCHORARRAY(Sintesi!$C$15),1,$C219)&gt;0),1,IF(($E219&gt;=LOOKUP(2,1/($E:$E&lt;&gt;""),$E:$E))*($E219&lt;=$E220)*($E219&gt;INDEX(_xlfn.ANCHORARRAY(Sintesi!$C$14),1,$C219))*($E219&lt;INDEX(_xlfn.ANCHORARRAY(Sintesi!$C$16),1,$C219))*(INDEX(_xlfn.ANCHORARRAY(Sintesi!$C$15),1,$C219)&lt;0)+($E219&gt;=LOOKUP(2,1/($E:$E&lt;&gt;""),$E:$E))*($E219&lt;=$E220)*($E219&gt;INDEX(_xlfn.ANCHORARRAY(Sintesi!$C$15),1,$C219))*($E219&lt;INDEX(_xlfn.ANCHORARRAY(Sintesi!$C$16),1,$C219))*(INDEX(_xlfn.ANCHORARRAY(Sintesi!$C$15),1,$C219)&gt;0),2,IF($E219=(INDEX(_xlfn.ANCHORARRAY(Sintesi!$C$16),1,$C219)),3,4)))),0)))</f>
        <v>4</v>
      </c>
      <c r="E219" s="1">
        <f>'Paste cell here'!F219</f>
        <v>0.876</v>
      </c>
      <c r="F219" s="1">
        <f>'Paste cell here'!C219</f>
        <v>31.70267973</v>
      </c>
      <c r="G219" s="1">
        <f>'Paste cell here'!D219</f>
        <v>16.31212</v>
      </c>
      <c r="H219" s="1">
        <f>'Paste cell here'!E219</f>
        <v>5.1339527120000001</v>
      </c>
      <c r="I219" s="1">
        <f>'Paste cell here'!X219</f>
        <v>4.497225963</v>
      </c>
      <c r="J219" s="1">
        <f>'Paste cell here'!Y219+'Paste cell here'!S219</f>
        <v>4.497225963</v>
      </c>
      <c r="K219" s="1">
        <f t="shared" si="7"/>
        <v>0.87597728597855462</v>
      </c>
      <c r="L219" s="1">
        <f t="shared" si="6"/>
        <v>25.942293900368501</v>
      </c>
      <c r="M219" s="1" cm="1">
        <f t="array" ref="M219">IF(AND(A219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,A219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),IF(L219&lt;_xlfn.IFNA(INDEX(_xlfn.ANCHORARRAY(Sintesi!$C$17)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,1,IF(L219&gt;=_xlfn.IFNA(INDEX(_xlfn.ANCHORARRAY(Sintesi!$C$18)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,0,1-(L219-_xlfn.IFNA(INDEX(_xlfn.ANCHORARRAY(Sintesi!$C$17)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)/(_xlfn.IFNA(INDEX(_xlfn.ANCHORARRAY(Sintesi!$C$18)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-_xlfn.IFNA(INDEX(_xlfn.ANCHORARRAY(Sintesi!$C$17),1,MATCH(1,(_xlfn.ANCHORARRAY(Sintesi!$C$9)&gt;_xlfn.ANCHORARRAY(Sintesi!$C$10))*(A218&gt;=_xlfn.ANCHORARRAY(Sintesi!$C$9))+(_xlfn.ANCHORARRAY(Sintesi!$C$9)&gt;_xlfn.ANCHORARRAY(Sintesi!$C$10))*(A218&lt;=_xlfn.ANCHORARRAY(Sintesi!$C$10))+(_xlfn.ANCHORARRAY(Sintesi!$C$9)&lt;_xlfn.ANCHORARRAY(Sintesi!$C$10))*(A218&gt;=_xlfn.ANCHORARRAY(Sintesi!$C$9))*(A218&lt;=_xlfn.ANCHORARRAY(Sintesi!$C$10)),0)),0)))),0)</f>
        <v>0</v>
      </c>
    </row>
    <row r="220" spans="1:13">
      <c r="A220" s="1">
        <f>'Paste cell here'!A220</f>
        <v>219</v>
      </c>
      <c r="B220" s="2">
        <f>DATE(Sintesi!$C$4-1,12,31)+A220</f>
        <v>44415</v>
      </c>
      <c r="C220" s="34" cm="1">
        <f t="array" ref="C220">_xlfn.IFNA(MATCH(1,(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)*(_xlfn.ANCHORARRAY(Sintesi!$C$15)&gt;=0)+(_xlfn.ANCHORARRAY(Sintesi!$C$15)&lt;0),0),0)</f>
        <v>1</v>
      </c>
      <c r="D220" s="1" cm="1">
        <f t="array" ref="D220">IF(ISBLANK($E221),IF(ISNUMBER($E219),IF($C220&gt;0,IF(($E220=INDEX(_xlfn.ANCHORARRAY(Sintesi!$C$14),1,$C220))*(INDEX(_xlfn.ANCHORARRAY(Sintesi!$C$15),1,$C220)&gt;0),0,IF(($E220=INDEX(_xlfn.ANCHORARRAY(Sintesi!$C$14),1,$C220))*(INDEX(_xlfn.ANCHORARRAY(Sintesi!$C$15),1,$C220)&lt;0)+($E220&gt;=$E219)*($E220&lt;=INDEX($E:$E,MATCH(TRUE,INDEX((ISNUMBER($E:$E)),0),0)))*($E220&gt;INDEX(_xlfn.ANCHORARRAY(Sintesi!$C$14),1,$C220))*($E220&lt;=INDEX(_xlfn.ANCHORARRAY(Sintesi!$C$15),1,$C220))*(INDEX(_xlfn.ANCHORARRAY(Sintesi!$C$15),1,$C220)&gt;0),1,IF(($E220&gt;=$E219)*($E220&lt;=INDEX($E:$E,MATCH(TRUE,INDEX((ISNUMBER($E:$E)),0),0)))*($E220&gt;INDEX(_xlfn.ANCHORARRAY(Sintesi!$C$14),1,$C220))*($E220&lt;INDEX(_xlfn.ANCHORARRAY(Sintesi!$C$16),1,$C220))*(INDEX(_xlfn.ANCHORARRAY(Sintesi!$C$15),1,$C220)&lt;0)+($E220&gt;=$E219)*($E220&lt;=INDEX($E:$E,MATCH(TRUE,INDEX((ISNUMBER($E:$E)),0),0)))*($E220&gt;INDEX(_xlfn.ANCHORARRAY(Sintesi!$C$15),1,$C220))*($E220&lt;INDEX(_xlfn.ANCHORARRAY(Sintesi!$C$16),1,$C220))*(INDEX(_xlfn.ANCHORARRAY(Sintesi!$C$15),1,$C220)&gt;0),2,IF($E220=(INDEX(_xlfn.ANCHORARRAY(Sintesi!$C$16),1,$C220)),3,4)))),0),IF($C220&gt;0,IF(($E220=INDEX(_xlfn.ANCHORARRAY(Sintesi!$C$14),1,$C220))*(INDEX(_xlfn.ANCHORARRAY(Sintesi!$C$15),1,$C220)&gt;0),0,IF(($E220=INDEX(_xlfn.ANCHORARRAY(Sintesi!$C$14),1,$C220))*(INDEX(_xlfn.ANCHORARRAY(Sintesi!$C$15),1,$C220)&lt;0)+($E220&gt;=LOOKUP(2,1/($E:$E&lt;&gt;""),$E:$E))*($E220&lt;=INDEX($E:$E,MATCH(TRUE,INDEX((ISNUMBER($E:$E)),0),0)))*($E220&gt;INDEX(_xlfn.ANCHORARRAY(Sintesi!$C$14),1,$C220))*($E220&lt;=INDEX(_xlfn.ANCHORARRAY(Sintesi!$C$15),1,$C220))*(INDEX(_xlfn.ANCHORARRAY(Sintesi!$C$15),1,$C220)&gt;0),1,IF(($E220&gt;=LOOKUP(2,1/($E:$E&lt;&gt;""),$E:$E))*($E220&lt;=INDEX($E:$E,MATCH(TRUE,INDEX((ISNUMBER($E:$E)),0),0)))*($E220&gt;INDEX(_xlfn.ANCHORARRAY(Sintesi!$C$14),1,$C220))*($E220&lt;INDEX(_xlfn.ANCHORARRAY(Sintesi!$C$16),1,$C220))*(INDEX(_xlfn.ANCHORARRAY(Sintesi!$C$15),1,$C220)&lt;0)+($E220&gt;=LOOKUP(2,1/($E:$E&lt;&gt;""),$E:$E))*($E220&lt;=INDEX($E:$E,MATCH(TRUE,INDEX((ISNUMBER($E:$E)),0),0)))*($E220&gt;INDEX(_xlfn.ANCHORARRAY(Sintesi!$C$15),1,$C220))*($E220&lt;INDEX(_xlfn.ANCHORARRAY(Sintesi!$C$16),1,$C220))*(INDEX(_xlfn.ANCHORARRAY(Sintesi!$C$15),1,$C220)&gt;0),2,IF($E220=(INDEX(_xlfn.ANCHORARRAY(Sintesi!$C$16),1,$C220)),3,4)))),0)),IF(ISNUMBER($E219),IF($C220&gt;0,IF(($E220=INDEX(_xlfn.ANCHORARRAY(Sintesi!$C$14),1,$C220))*(INDEX(_xlfn.ANCHORARRAY(Sintesi!$C$15),1,$C220)&gt;0),0,IF(($E220=INDEX(_xlfn.ANCHORARRAY(Sintesi!$C$14),1,$C220))*(INDEX(_xlfn.ANCHORARRAY(Sintesi!$C$15),1,$C220)&lt;0)+($E220&gt;=$E219)*($E220&lt;=$E221)*($E220&gt;INDEX(_xlfn.ANCHORARRAY(Sintesi!$C$14),1,$C220))*($E220&lt;=INDEX(_xlfn.ANCHORARRAY(Sintesi!$C$15),1,$C220))*(INDEX(_xlfn.ANCHORARRAY(Sintesi!$C$15),1,$C220)&gt;0),1,IF(($E220&gt;=$E219)*($E220&lt;=$E221)*($E220&gt;INDEX(_xlfn.ANCHORARRAY(Sintesi!$C$14),1,$C220))*($E220&lt;INDEX(_xlfn.ANCHORARRAY(Sintesi!$C$16),1,$C220))*(INDEX(_xlfn.ANCHORARRAY(Sintesi!$C$15),1,$C220)&lt;0)+($E220&gt;=$E219)*($E220&lt;=$E221)*($E220&gt;INDEX(_xlfn.ANCHORARRAY(Sintesi!$C$15),1,$C220))*($E220&lt;INDEX(_xlfn.ANCHORARRAY(Sintesi!$C$16),1,$C220))*(INDEX(_xlfn.ANCHORARRAY(Sintesi!$C$15),1,$C220)&gt;0),2,IF($E220=(INDEX(_xlfn.ANCHORARRAY(Sintesi!$C$16),1,$C220)),3,4)))),0),IF($C220&gt;0,IF(($E220=INDEX(_xlfn.ANCHORARRAY(Sintesi!$C$14),1,$C220))*(INDEX(_xlfn.ANCHORARRAY(Sintesi!$C$15),1,$C220)&gt;0),0,IF(($E220=INDEX(_xlfn.ANCHORARRAY(Sintesi!$C$14),1,$C220))*(INDEX(_xlfn.ANCHORARRAY(Sintesi!$C$15),1,$C220)&lt;0)+($E220&gt;=LOOKUP(2,1/($E:$E&lt;&gt;""),$E:$E))*($E220&lt;=$E221)*($E220&gt;INDEX(_xlfn.ANCHORARRAY(Sintesi!$C$14),1,$C220))*($E220&lt;=INDEX(_xlfn.ANCHORARRAY(Sintesi!$C$15),1,$C220))*(INDEX(_xlfn.ANCHORARRAY(Sintesi!$C$15),1,$C220)&gt;0),1,IF(($E220&gt;=LOOKUP(2,1/($E:$E&lt;&gt;""),$E:$E))*($E220&lt;=$E221)*($E220&gt;INDEX(_xlfn.ANCHORARRAY(Sintesi!$C$14),1,$C220))*($E220&lt;INDEX(_xlfn.ANCHORARRAY(Sintesi!$C$16),1,$C220))*(INDEX(_xlfn.ANCHORARRAY(Sintesi!$C$15),1,$C220)&lt;0)+($E220&gt;=LOOKUP(2,1/($E:$E&lt;&gt;""),$E:$E))*($E220&lt;=$E221)*($E220&gt;INDEX(_xlfn.ANCHORARRAY(Sintesi!$C$15),1,$C220))*($E220&lt;INDEX(_xlfn.ANCHORARRAY(Sintesi!$C$16),1,$C220))*(INDEX(_xlfn.ANCHORARRAY(Sintesi!$C$15),1,$C220)&gt;0),2,IF($E220=(INDEX(_xlfn.ANCHORARRAY(Sintesi!$C$16),1,$C220)),3,4)))),0)))</f>
        <v>4</v>
      </c>
      <c r="E220" s="1">
        <f>'Paste cell here'!F220</f>
        <v>0.83299999999999996</v>
      </c>
      <c r="F220" s="1">
        <f>'Paste cell here'!C220</f>
        <v>29.895204100000001</v>
      </c>
      <c r="G220" s="1">
        <f>'Paste cell here'!D220</f>
        <v>18.768851099999999</v>
      </c>
      <c r="H220" s="1">
        <f>'Paste cell here'!E220</f>
        <v>3.8160084740000002</v>
      </c>
      <c r="I220" s="1">
        <f>'Paste cell here'!X220</f>
        <v>3.1786573460000001</v>
      </c>
      <c r="J220" s="1">
        <f>'Paste cell here'!Y220+'Paste cell here'!S220</f>
        <v>3.1786573460000001</v>
      </c>
      <c r="K220" s="1">
        <f t="shared" si="7"/>
        <v>0.8329796350446993</v>
      </c>
      <c r="L220" s="1">
        <f t="shared" si="6"/>
        <v>25.7308275418332</v>
      </c>
      <c r="M220" s="1" cm="1">
        <f t="array" ref="M220">IF(AND(A220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,A220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),IF(L220&lt;_xlfn.IFNA(INDEX(_xlfn.ANCHORARRAY(Sintesi!$C$17)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,1,IF(L220&gt;=_xlfn.IFNA(INDEX(_xlfn.ANCHORARRAY(Sintesi!$C$18)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,0,1-(L220-_xlfn.IFNA(INDEX(_xlfn.ANCHORARRAY(Sintesi!$C$17)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)/(_xlfn.IFNA(INDEX(_xlfn.ANCHORARRAY(Sintesi!$C$18)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-_xlfn.IFNA(INDEX(_xlfn.ANCHORARRAY(Sintesi!$C$17),1,MATCH(1,(_xlfn.ANCHORARRAY(Sintesi!$C$9)&gt;_xlfn.ANCHORARRAY(Sintesi!$C$10))*(A219&gt;=_xlfn.ANCHORARRAY(Sintesi!$C$9))+(_xlfn.ANCHORARRAY(Sintesi!$C$9)&gt;_xlfn.ANCHORARRAY(Sintesi!$C$10))*(A219&lt;=_xlfn.ANCHORARRAY(Sintesi!$C$10))+(_xlfn.ANCHORARRAY(Sintesi!$C$9)&lt;_xlfn.ANCHORARRAY(Sintesi!$C$10))*(A219&gt;=_xlfn.ANCHORARRAY(Sintesi!$C$9))*(A219&lt;=_xlfn.ANCHORARRAY(Sintesi!$C$10)),0)),0)))),0)</f>
        <v>0</v>
      </c>
    </row>
    <row r="221" spans="1:13">
      <c r="A221" s="1">
        <f>'Paste cell here'!A221</f>
        <v>220</v>
      </c>
      <c r="B221" s="2">
        <f>DATE(Sintesi!$C$4-1,12,31)+A221</f>
        <v>44416</v>
      </c>
      <c r="C221" s="34" cm="1">
        <f t="array" ref="C221">_xlfn.IFNA(MATCH(1,(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)*(_xlfn.ANCHORARRAY(Sintesi!$C$15)&gt;=0)+(_xlfn.ANCHORARRAY(Sintesi!$C$15)&lt;0),0),0)</f>
        <v>1</v>
      </c>
      <c r="D221" s="1" cm="1">
        <f t="array" ref="D221">IF(ISBLANK($E222),IF(ISNUMBER($E220),IF($C221&gt;0,IF(($E221=INDEX(_xlfn.ANCHORARRAY(Sintesi!$C$14),1,$C221))*(INDEX(_xlfn.ANCHORARRAY(Sintesi!$C$15),1,$C221)&gt;0),0,IF(($E221=INDEX(_xlfn.ANCHORARRAY(Sintesi!$C$14),1,$C221))*(INDEX(_xlfn.ANCHORARRAY(Sintesi!$C$15),1,$C221)&lt;0)+($E221&gt;=$E220)*($E221&lt;=INDEX($E:$E,MATCH(TRUE,INDEX((ISNUMBER($E:$E)),0),0)))*($E221&gt;INDEX(_xlfn.ANCHORARRAY(Sintesi!$C$14),1,$C221))*($E221&lt;=INDEX(_xlfn.ANCHORARRAY(Sintesi!$C$15),1,$C221))*(INDEX(_xlfn.ANCHORARRAY(Sintesi!$C$15),1,$C221)&gt;0),1,IF(($E221&gt;=$E220)*($E221&lt;=INDEX($E:$E,MATCH(TRUE,INDEX((ISNUMBER($E:$E)),0),0)))*($E221&gt;INDEX(_xlfn.ANCHORARRAY(Sintesi!$C$14),1,$C221))*($E221&lt;INDEX(_xlfn.ANCHORARRAY(Sintesi!$C$16),1,$C221))*(INDEX(_xlfn.ANCHORARRAY(Sintesi!$C$15),1,$C221)&lt;0)+($E221&gt;=$E220)*($E221&lt;=INDEX($E:$E,MATCH(TRUE,INDEX((ISNUMBER($E:$E)),0),0)))*($E221&gt;INDEX(_xlfn.ANCHORARRAY(Sintesi!$C$15),1,$C221))*($E221&lt;INDEX(_xlfn.ANCHORARRAY(Sintesi!$C$16),1,$C221))*(INDEX(_xlfn.ANCHORARRAY(Sintesi!$C$15),1,$C221)&gt;0),2,IF($E221=(INDEX(_xlfn.ANCHORARRAY(Sintesi!$C$16),1,$C221)),3,4)))),0),IF($C221&gt;0,IF(($E221=INDEX(_xlfn.ANCHORARRAY(Sintesi!$C$14),1,$C221))*(INDEX(_xlfn.ANCHORARRAY(Sintesi!$C$15),1,$C221)&gt;0),0,IF(($E221=INDEX(_xlfn.ANCHORARRAY(Sintesi!$C$14),1,$C221))*(INDEX(_xlfn.ANCHORARRAY(Sintesi!$C$15),1,$C221)&lt;0)+($E221&gt;=LOOKUP(2,1/($E:$E&lt;&gt;""),$E:$E))*($E221&lt;=INDEX($E:$E,MATCH(TRUE,INDEX((ISNUMBER($E:$E)),0),0)))*($E221&gt;INDEX(_xlfn.ANCHORARRAY(Sintesi!$C$14),1,$C221))*($E221&lt;=INDEX(_xlfn.ANCHORARRAY(Sintesi!$C$15),1,$C221))*(INDEX(_xlfn.ANCHORARRAY(Sintesi!$C$15),1,$C221)&gt;0),1,IF(($E221&gt;=LOOKUP(2,1/($E:$E&lt;&gt;""),$E:$E))*($E221&lt;=INDEX($E:$E,MATCH(TRUE,INDEX((ISNUMBER($E:$E)),0),0)))*($E221&gt;INDEX(_xlfn.ANCHORARRAY(Sintesi!$C$14),1,$C221))*($E221&lt;INDEX(_xlfn.ANCHORARRAY(Sintesi!$C$16),1,$C221))*(INDEX(_xlfn.ANCHORARRAY(Sintesi!$C$15),1,$C221)&lt;0)+($E221&gt;=LOOKUP(2,1/($E:$E&lt;&gt;""),$E:$E))*($E221&lt;=INDEX($E:$E,MATCH(TRUE,INDEX((ISNUMBER($E:$E)),0),0)))*($E221&gt;INDEX(_xlfn.ANCHORARRAY(Sintesi!$C$15),1,$C221))*($E221&lt;INDEX(_xlfn.ANCHORARRAY(Sintesi!$C$16),1,$C221))*(INDEX(_xlfn.ANCHORARRAY(Sintesi!$C$15),1,$C221)&gt;0),2,IF($E221=(INDEX(_xlfn.ANCHORARRAY(Sintesi!$C$16),1,$C221)),3,4)))),0)),IF(ISNUMBER($E220),IF($C221&gt;0,IF(($E221=INDEX(_xlfn.ANCHORARRAY(Sintesi!$C$14),1,$C221))*(INDEX(_xlfn.ANCHORARRAY(Sintesi!$C$15),1,$C221)&gt;0),0,IF(($E221=INDEX(_xlfn.ANCHORARRAY(Sintesi!$C$14),1,$C221))*(INDEX(_xlfn.ANCHORARRAY(Sintesi!$C$15),1,$C221)&lt;0)+($E221&gt;=$E220)*($E221&lt;=$E222)*($E221&gt;INDEX(_xlfn.ANCHORARRAY(Sintesi!$C$14),1,$C221))*($E221&lt;=INDEX(_xlfn.ANCHORARRAY(Sintesi!$C$15),1,$C221))*(INDEX(_xlfn.ANCHORARRAY(Sintesi!$C$15),1,$C221)&gt;0),1,IF(($E221&gt;=$E220)*($E221&lt;=$E222)*($E221&gt;INDEX(_xlfn.ANCHORARRAY(Sintesi!$C$14),1,$C221))*($E221&lt;INDEX(_xlfn.ANCHORARRAY(Sintesi!$C$16),1,$C221))*(INDEX(_xlfn.ANCHORARRAY(Sintesi!$C$15),1,$C221)&lt;0)+($E221&gt;=$E220)*($E221&lt;=$E222)*($E221&gt;INDEX(_xlfn.ANCHORARRAY(Sintesi!$C$15),1,$C221))*($E221&lt;INDEX(_xlfn.ANCHORARRAY(Sintesi!$C$16),1,$C221))*(INDEX(_xlfn.ANCHORARRAY(Sintesi!$C$15),1,$C221)&gt;0),2,IF($E221=(INDEX(_xlfn.ANCHORARRAY(Sintesi!$C$16),1,$C221)),3,4)))),0),IF($C221&gt;0,IF(($E221=INDEX(_xlfn.ANCHORARRAY(Sintesi!$C$14),1,$C221))*(INDEX(_xlfn.ANCHORARRAY(Sintesi!$C$15),1,$C221)&gt;0),0,IF(($E221=INDEX(_xlfn.ANCHORARRAY(Sintesi!$C$14),1,$C221))*(INDEX(_xlfn.ANCHORARRAY(Sintesi!$C$15),1,$C221)&lt;0)+($E221&gt;=LOOKUP(2,1/($E:$E&lt;&gt;""),$E:$E))*($E221&lt;=$E222)*($E221&gt;INDEX(_xlfn.ANCHORARRAY(Sintesi!$C$14),1,$C221))*($E221&lt;=INDEX(_xlfn.ANCHORARRAY(Sintesi!$C$15),1,$C221))*(INDEX(_xlfn.ANCHORARRAY(Sintesi!$C$15),1,$C221)&gt;0),1,IF(($E221&gt;=LOOKUP(2,1/($E:$E&lt;&gt;""),$E:$E))*($E221&lt;=$E222)*($E221&gt;INDEX(_xlfn.ANCHORARRAY(Sintesi!$C$14),1,$C221))*($E221&lt;INDEX(_xlfn.ANCHORARRAY(Sintesi!$C$16),1,$C221))*(INDEX(_xlfn.ANCHORARRAY(Sintesi!$C$15),1,$C221)&lt;0)+($E221&gt;=LOOKUP(2,1/($E:$E&lt;&gt;""),$E:$E))*($E221&lt;=$E222)*($E221&gt;INDEX(_xlfn.ANCHORARRAY(Sintesi!$C$15),1,$C221))*($E221&lt;INDEX(_xlfn.ANCHORARRAY(Sintesi!$C$16),1,$C221))*(INDEX(_xlfn.ANCHORARRAY(Sintesi!$C$15),1,$C221)&gt;0),2,IF($E221=(INDEX(_xlfn.ANCHORARRAY(Sintesi!$C$16),1,$C221)),3,4)))),0)))</f>
        <v>4</v>
      </c>
      <c r="E221" s="1">
        <f>'Paste cell here'!F221</f>
        <v>0.79</v>
      </c>
      <c r="F221" s="1">
        <f>'Paste cell here'!C221</f>
        <v>32.75941083</v>
      </c>
      <c r="G221" s="1">
        <f>'Paste cell here'!D221</f>
        <v>18.4047959</v>
      </c>
      <c r="H221" s="1">
        <f>'Paste cell here'!E221</f>
        <v>4.5249159419999998</v>
      </c>
      <c r="I221" s="1">
        <f>'Paste cell here'!X221</f>
        <v>3.5746012970000001</v>
      </c>
      <c r="J221" s="1">
        <f>'Paste cell here'!Y221+'Paste cell here'!S221</f>
        <v>3.5746012970000001</v>
      </c>
      <c r="K221" s="1">
        <f t="shared" si="7"/>
        <v>0.78998181244004206</v>
      </c>
      <c r="L221" s="1">
        <f t="shared" si="6"/>
        <v>27.386758900297327</v>
      </c>
      <c r="M221" s="1" cm="1">
        <f t="array" ref="M221">IF(AND(A221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,A221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),IF(L221&lt;_xlfn.IFNA(INDEX(_xlfn.ANCHORARRAY(Sintesi!$C$17)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,1,IF(L221&gt;=_xlfn.IFNA(INDEX(_xlfn.ANCHORARRAY(Sintesi!$C$18)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,0,1-(L221-_xlfn.IFNA(INDEX(_xlfn.ANCHORARRAY(Sintesi!$C$17)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)/(_xlfn.IFNA(INDEX(_xlfn.ANCHORARRAY(Sintesi!$C$18)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-_xlfn.IFNA(INDEX(_xlfn.ANCHORARRAY(Sintesi!$C$17),1,MATCH(1,(_xlfn.ANCHORARRAY(Sintesi!$C$9)&gt;_xlfn.ANCHORARRAY(Sintesi!$C$10))*(A220&gt;=_xlfn.ANCHORARRAY(Sintesi!$C$9))+(_xlfn.ANCHORARRAY(Sintesi!$C$9)&gt;_xlfn.ANCHORARRAY(Sintesi!$C$10))*(A220&lt;=_xlfn.ANCHORARRAY(Sintesi!$C$10))+(_xlfn.ANCHORARRAY(Sintesi!$C$9)&lt;_xlfn.ANCHORARRAY(Sintesi!$C$10))*(A220&gt;=_xlfn.ANCHORARRAY(Sintesi!$C$9))*(A220&lt;=_xlfn.ANCHORARRAY(Sintesi!$C$10)),0)),0)))),0)</f>
        <v>0</v>
      </c>
    </row>
    <row r="222" spans="1:13">
      <c r="A222" s="1">
        <f>'Paste cell here'!A222</f>
        <v>221</v>
      </c>
      <c r="B222" s="2">
        <f>DATE(Sintesi!$C$4-1,12,31)+A222</f>
        <v>44417</v>
      </c>
      <c r="C222" s="34" cm="1">
        <f t="array" ref="C222">_xlfn.IFNA(MATCH(1,(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)*(_xlfn.ANCHORARRAY(Sintesi!$C$15)&gt;=0)+(_xlfn.ANCHORARRAY(Sintesi!$C$15)&lt;0),0),0)</f>
        <v>1</v>
      </c>
      <c r="D222" s="1" cm="1">
        <f t="array" ref="D222">IF(ISBLANK($E223),IF(ISNUMBER($E221),IF($C222&gt;0,IF(($E222=INDEX(_xlfn.ANCHORARRAY(Sintesi!$C$14),1,$C222))*(INDEX(_xlfn.ANCHORARRAY(Sintesi!$C$15),1,$C222)&gt;0),0,IF(($E222=INDEX(_xlfn.ANCHORARRAY(Sintesi!$C$14),1,$C222))*(INDEX(_xlfn.ANCHORARRAY(Sintesi!$C$15),1,$C222)&lt;0)+($E222&gt;=$E221)*($E222&lt;=INDEX($E:$E,MATCH(TRUE,INDEX((ISNUMBER($E:$E)),0),0)))*($E222&gt;INDEX(_xlfn.ANCHORARRAY(Sintesi!$C$14),1,$C222))*($E222&lt;=INDEX(_xlfn.ANCHORARRAY(Sintesi!$C$15),1,$C222))*(INDEX(_xlfn.ANCHORARRAY(Sintesi!$C$15),1,$C222)&gt;0),1,IF(($E222&gt;=$E221)*($E222&lt;=INDEX($E:$E,MATCH(TRUE,INDEX((ISNUMBER($E:$E)),0),0)))*($E222&gt;INDEX(_xlfn.ANCHORARRAY(Sintesi!$C$14),1,$C222))*($E222&lt;INDEX(_xlfn.ANCHORARRAY(Sintesi!$C$16),1,$C222))*(INDEX(_xlfn.ANCHORARRAY(Sintesi!$C$15),1,$C222)&lt;0)+($E222&gt;=$E221)*($E222&lt;=INDEX($E:$E,MATCH(TRUE,INDEX((ISNUMBER($E:$E)),0),0)))*($E222&gt;INDEX(_xlfn.ANCHORARRAY(Sintesi!$C$15),1,$C222))*($E222&lt;INDEX(_xlfn.ANCHORARRAY(Sintesi!$C$16),1,$C222))*(INDEX(_xlfn.ANCHORARRAY(Sintesi!$C$15),1,$C222)&gt;0),2,IF($E222=(INDEX(_xlfn.ANCHORARRAY(Sintesi!$C$16),1,$C222)),3,4)))),0),IF($C222&gt;0,IF(($E222=INDEX(_xlfn.ANCHORARRAY(Sintesi!$C$14),1,$C222))*(INDEX(_xlfn.ANCHORARRAY(Sintesi!$C$15),1,$C222)&gt;0),0,IF(($E222=INDEX(_xlfn.ANCHORARRAY(Sintesi!$C$14),1,$C222))*(INDEX(_xlfn.ANCHORARRAY(Sintesi!$C$15),1,$C222)&lt;0)+($E222&gt;=LOOKUP(2,1/($E:$E&lt;&gt;""),$E:$E))*($E222&lt;=INDEX($E:$E,MATCH(TRUE,INDEX((ISNUMBER($E:$E)),0),0)))*($E222&gt;INDEX(_xlfn.ANCHORARRAY(Sintesi!$C$14),1,$C222))*($E222&lt;=INDEX(_xlfn.ANCHORARRAY(Sintesi!$C$15),1,$C222))*(INDEX(_xlfn.ANCHORARRAY(Sintesi!$C$15),1,$C222)&gt;0),1,IF(($E222&gt;=LOOKUP(2,1/($E:$E&lt;&gt;""),$E:$E))*($E222&lt;=INDEX($E:$E,MATCH(TRUE,INDEX((ISNUMBER($E:$E)),0),0)))*($E222&gt;INDEX(_xlfn.ANCHORARRAY(Sintesi!$C$14),1,$C222))*($E222&lt;INDEX(_xlfn.ANCHORARRAY(Sintesi!$C$16),1,$C222))*(INDEX(_xlfn.ANCHORARRAY(Sintesi!$C$15),1,$C222)&lt;0)+($E222&gt;=LOOKUP(2,1/($E:$E&lt;&gt;""),$E:$E))*($E222&lt;=INDEX($E:$E,MATCH(TRUE,INDEX((ISNUMBER($E:$E)),0),0)))*($E222&gt;INDEX(_xlfn.ANCHORARRAY(Sintesi!$C$15),1,$C222))*($E222&lt;INDEX(_xlfn.ANCHORARRAY(Sintesi!$C$16),1,$C222))*(INDEX(_xlfn.ANCHORARRAY(Sintesi!$C$15),1,$C222)&gt;0),2,IF($E222=(INDEX(_xlfn.ANCHORARRAY(Sintesi!$C$16),1,$C222)),3,4)))),0)),IF(ISNUMBER($E221),IF($C222&gt;0,IF(($E222=INDEX(_xlfn.ANCHORARRAY(Sintesi!$C$14),1,$C222))*(INDEX(_xlfn.ANCHORARRAY(Sintesi!$C$15),1,$C222)&gt;0),0,IF(($E222=INDEX(_xlfn.ANCHORARRAY(Sintesi!$C$14),1,$C222))*(INDEX(_xlfn.ANCHORARRAY(Sintesi!$C$15),1,$C222)&lt;0)+($E222&gt;=$E221)*($E222&lt;=$E223)*($E222&gt;INDEX(_xlfn.ANCHORARRAY(Sintesi!$C$14),1,$C222))*($E222&lt;=INDEX(_xlfn.ANCHORARRAY(Sintesi!$C$15),1,$C222))*(INDEX(_xlfn.ANCHORARRAY(Sintesi!$C$15),1,$C222)&gt;0),1,IF(($E222&gt;=$E221)*($E222&lt;=$E223)*($E222&gt;INDEX(_xlfn.ANCHORARRAY(Sintesi!$C$14),1,$C222))*($E222&lt;INDEX(_xlfn.ANCHORARRAY(Sintesi!$C$16),1,$C222))*(INDEX(_xlfn.ANCHORARRAY(Sintesi!$C$15),1,$C222)&lt;0)+($E222&gt;=$E221)*($E222&lt;=$E223)*($E222&gt;INDEX(_xlfn.ANCHORARRAY(Sintesi!$C$15),1,$C222))*($E222&lt;INDEX(_xlfn.ANCHORARRAY(Sintesi!$C$16),1,$C222))*(INDEX(_xlfn.ANCHORARRAY(Sintesi!$C$15),1,$C222)&gt;0),2,IF($E222=(INDEX(_xlfn.ANCHORARRAY(Sintesi!$C$16),1,$C222)),3,4)))),0),IF($C222&gt;0,IF(($E222=INDEX(_xlfn.ANCHORARRAY(Sintesi!$C$14),1,$C222))*(INDEX(_xlfn.ANCHORARRAY(Sintesi!$C$15),1,$C222)&gt;0),0,IF(($E222=INDEX(_xlfn.ANCHORARRAY(Sintesi!$C$14),1,$C222))*(INDEX(_xlfn.ANCHORARRAY(Sintesi!$C$15),1,$C222)&lt;0)+($E222&gt;=LOOKUP(2,1/($E:$E&lt;&gt;""),$E:$E))*($E222&lt;=$E223)*($E222&gt;INDEX(_xlfn.ANCHORARRAY(Sintesi!$C$14),1,$C222))*($E222&lt;=INDEX(_xlfn.ANCHORARRAY(Sintesi!$C$15),1,$C222))*(INDEX(_xlfn.ANCHORARRAY(Sintesi!$C$15),1,$C222)&gt;0),1,IF(($E222&gt;=LOOKUP(2,1/($E:$E&lt;&gt;""),$E:$E))*($E222&lt;=$E223)*($E222&gt;INDEX(_xlfn.ANCHORARRAY(Sintesi!$C$14),1,$C222))*($E222&lt;INDEX(_xlfn.ANCHORARRAY(Sintesi!$C$16),1,$C222))*(INDEX(_xlfn.ANCHORARRAY(Sintesi!$C$15),1,$C222)&lt;0)+($E222&gt;=LOOKUP(2,1/($E:$E&lt;&gt;""),$E:$E))*($E222&lt;=$E223)*($E222&gt;INDEX(_xlfn.ANCHORARRAY(Sintesi!$C$15),1,$C222))*($E222&lt;INDEX(_xlfn.ANCHORARRAY(Sintesi!$C$16),1,$C222))*(INDEX(_xlfn.ANCHORARRAY(Sintesi!$C$15),1,$C222)&gt;0),2,IF($E222=(INDEX(_xlfn.ANCHORARRAY(Sintesi!$C$16),1,$C222)),3,4)))),0)))</f>
        <v>4</v>
      </c>
      <c r="E222" s="1">
        <f>'Paste cell here'!F222</f>
        <v>0.748</v>
      </c>
      <c r="F222" s="1">
        <f>'Paste cell here'!C222</f>
        <v>32.666734929999997</v>
      </c>
      <c r="G222" s="1">
        <f>'Paste cell here'!D222</f>
        <v>17.250719069999999</v>
      </c>
      <c r="H222" s="1">
        <f>'Paste cell here'!E222</f>
        <v>5.1025666599999999</v>
      </c>
      <c r="I222" s="1">
        <f>'Paste cell here'!X222</f>
        <v>3.8166372179999999</v>
      </c>
      <c r="J222" s="1">
        <f>'Paste cell here'!Y222+'Paste cell here'!S222</f>
        <v>3.8166372179999999</v>
      </c>
      <c r="K222" s="1">
        <f t="shared" si="7"/>
        <v>0.7479838035080173</v>
      </c>
      <c r="L222" s="1">
        <f t="shared" si="6"/>
        <v>26.896821368232583</v>
      </c>
      <c r="M222" s="1" cm="1">
        <f t="array" ref="M222">IF(AND(A222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,A222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),IF(L222&lt;_xlfn.IFNA(INDEX(_xlfn.ANCHORARRAY(Sintesi!$C$17)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,1,IF(L222&gt;=_xlfn.IFNA(INDEX(_xlfn.ANCHORARRAY(Sintesi!$C$18)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,0,1-(L222-_xlfn.IFNA(INDEX(_xlfn.ANCHORARRAY(Sintesi!$C$17)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)/(_xlfn.IFNA(INDEX(_xlfn.ANCHORARRAY(Sintesi!$C$18)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-_xlfn.IFNA(INDEX(_xlfn.ANCHORARRAY(Sintesi!$C$17),1,MATCH(1,(_xlfn.ANCHORARRAY(Sintesi!$C$9)&gt;_xlfn.ANCHORARRAY(Sintesi!$C$10))*(A221&gt;=_xlfn.ANCHORARRAY(Sintesi!$C$9))+(_xlfn.ANCHORARRAY(Sintesi!$C$9)&gt;_xlfn.ANCHORARRAY(Sintesi!$C$10))*(A221&lt;=_xlfn.ANCHORARRAY(Sintesi!$C$10))+(_xlfn.ANCHORARRAY(Sintesi!$C$9)&lt;_xlfn.ANCHORARRAY(Sintesi!$C$10))*(A221&gt;=_xlfn.ANCHORARRAY(Sintesi!$C$9))*(A221&lt;=_xlfn.ANCHORARRAY(Sintesi!$C$10)),0)),0)))),0)</f>
        <v>0</v>
      </c>
    </row>
    <row r="223" spans="1:13">
      <c r="A223" s="1">
        <f>'Paste cell here'!A223</f>
        <v>222</v>
      </c>
      <c r="B223" s="2">
        <f>DATE(Sintesi!$C$4-1,12,31)+A223</f>
        <v>44418</v>
      </c>
      <c r="C223" s="34" cm="1">
        <f t="array" ref="C223">_xlfn.IFNA(MATCH(1,(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)*(_xlfn.ANCHORARRAY(Sintesi!$C$15)&gt;=0)+(_xlfn.ANCHORARRAY(Sintesi!$C$15)&lt;0),0),0)</f>
        <v>1</v>
      </c>
      <c r="D223" s="1" cm="1">
        <f t="array" ref="D223">IF(ISBLANK($E224),IF(ISNUMBER($E222),IF($C223&gt;0,IF(($E223=INDEX(_xlfn.ANCHORARRAY(Sintesi!$C$14),1,$C223))*(INDEX(_xlfn.ANCHORARRAY(Sintesi!$C$15),1,$C223)&gt;0),0,IF(($E223=INDEX(_xlfn.ANCHORARRAY(Sintesi!$C$14),1,$C223))*(INDEX(_xlfn.ANCHORARRAY(Sintesi!$C$15),1,$C223)&lt;0)+($E223&gt;=$E222)*($E223&lt;=INDEX($E:$E,MATCH(TRUE,INDEX((ISNUMBER($E:$E)),0),0)))*($E223&gt;INDEX(_xlfn.ANCHORARRAY(Sintesi!$C$14),1,$C223))*($E223&lt;=INDEX(_xlfn.ANCHORARRAY(Sintesi!$C$15),1,$C223))*(INDEX(_xlfn.ANCHORARRAY(Sintesi!$C$15),1,$C223)&gt;0),1,IF(($E223&gt;=$E222)*($E223&lt;=INDEX($E:$E,MATCH(TRUE,INDEX((ISNUMBER($E:$E)),0),0)))*($E223&gt;INDEX(_xlfn.ANCHORARRAY(Sintesi!$C$14),1,$C223))*($E223&lt;INDEX(_xlfn.ANCHORARRAY(Sintesi!$C$16),1,$C223))*(INDEX(_xlfn.ANCHORARRAY(Sintesi!$C$15),1,$C223)&lt;0)+($E223&gt;=$E222)*($E223&lt;=INDEX($E:$E,MATCH(TRUE,INDEX((ISNUMBER($E:$E)),0),0)))*($E223&gt;INDEX(_xlfn.ANCHORARRAY(Sintesi!$C$15),1,$C223))*($E223&lt;INDEX(_xlfn.ANCHORARRAY(Sintesi!$C$16),1,$C223))*(INDEX(_xlfn.ANCHORARRAY(Sintesi!$C$15),1,$C223)&gt;0),2,IF($E223=(INDEX(_xlfn.ANCHORARRAY(Sintesi!$C$16),1,$C223)),3,4)))),0),IF($C223&gt;0,IF(($E223=INDEX(_xlfn.ANCHORARRAY(Sintesi!$C$14),1,$C223))*(INDEX(_xlfn.ANCHORARRAY(Sintesi!$C$15),1,$C223)&gt;0),0,IF(($E223=INDEX(_xlfn.ANCHORARRAY(Sintesi!$C$14),1,$C223))*(INDEX(_xlfn.ANCHORARRAY(Sintesi!$C$15),1,$C223)&lt;0)+($E223&gt;=LOOKUP(2,1/($E:$E&lt;&gt;""),$E:$E))*($E223&lt;=INDEX($E:$E,MATCH(TRUE,INDEX((ISNUMBER($E:$E)),0),0)))*($E223&gt;INDEX(_xlfn.ANCHORARRAY(Sintesi!$C$14),1,$C223))*($E223&lt;=INDEX(_xlfn.ANCHORARRAY(Sintesi!$C$15),1,$C223))*(INDEX(_xlfn.ANCHORARRAY(Sintesi!$C$15),1,$C223)&gt;0),1,IF(($E223&gt;=LOOKUP(2,1/($E:$E&lt;&gt;""),$E:$E))*($E223&lt;=INDEX($E:$E,MATCH(TRUE,INDEX((ISNUMBER($E:$E)),0),0)))*($E223&gt;INDEX(_xlfn.ANCHORARRAY(Sintesi!$C$14),1,$C223))*($E223&lt;INDEX(_xlfn.ANCHORARRAY(Sintesi!$C$16),1,$C223))*(INDEX(_xlfn.ANCHORARRAY(Sintesi!$C$15),1,$C223)&lt;0)+($E223&gt;=LOOKUP(2,1/($E:$E&lt;&gt;""),$E:$E))*($E223&lt;=INDEX($E:$E,MATCH(TRUE,INDEX((ISNUMBER($E:$E)),0),0)))*($E223&gt;INDEX(_xlfn.ANCHORARRAY(Sintesi!$C$15),1,$C223))*($E223&lt;INDEX(_xlfn.ANCHORARRAY(Sintesi!$C$16),1,$C223))*(INDEX(_xlfn.ANCHORARRAY(Sintesi!$C$15),1,$C223)&gt;0),2,IF($E223=(INDEX(_xlfn.ANCHORARRAY(Sintesi!$C$16),1,$C223)),3,4)))),0)),IF(ISNUMBER($E222),IF($C223&gt;0,IF(($E223=INDEX(_xlfn.ANCHORARRAY(Sintesi!$C$14),1,$C223))*(INDEX(_xlfn.ANCHORARRAY(Sintesi!$C$15),1,$C223)&gt;0),0,IF(($E223=INDEX(_xlfn.ANCHORARRAY(Sintesi!$C$14),1,$C223))*(INDEX(_xlfn.ANCHORARRAY(Sintesi!$C$15),1,$C223)&lt;0)+($E223&gt;=$E222)*($E223&lt;=$E224)*($E223&gt;INDEX(_xlfn.ANCHORARRAY(Sintesi!$C$14),1,$C223))*($E223&lt;=INDEX(_xlfn.ANCHORARRAY(Sintesi!$C$15),1,$C223))*(INDEX(_xlfn.ANCHORARRAY(Sintesi!$C$15),1,$C223)&gt;0),1,IF(($E223&gt;=$E222)*($E223&lt;=$E224)*($E223&gt;INDEX(_xlfn.ANCHORARRAY(Sintesi!$C$14),1,$C223))*($E223&lt;INDEX(_xlfn.ANCHORARRAY(Sintesi!$C$16),1,$C223))*(INDEX(_xlfn.ANCHORARRAY(Sintesi!$C$15),1,$C223)&lt;0)+($E223&gt;=$E222)*($E223&lt;=$E224)*($E223&gt;INDEX(_xlfn.ANCHORARRAY(Sintesi!$C$15),1,$C223))*($E223&lt;INDEX(_xlfn.ANCHORARRAY(Sintesi!$C$16),1,$C223))*(INDEX(_xlfn.ANCHORARRAY(Sintesi!$C$15),1,$C223)&gt;0),2,IF($E223=(INDEX(_xlfn.ANCHORARRAY(Sintesi!$C$16),1,$C223)),3,4)))),0),IF($C223&gt;0,IF(($E223=INDEX(_xlfn.ANCHORARRAY(Sintesi!$C$14),1,$C223))*(INDEX(_xlfn.ANCHORARRAY(Sintesi!$C$15),1,$C223)&gt;0),0,IF(($E223=INDEX(_xlfn.ANCHORARRAY(Sintesi!$C$14),1,$C223))*(INDEX(_xlfn.ANCHORARRAY(Sintesi!$C$15),1,$C223)&lt;0)+($E223&gt;=LOOKUP(2,1/($E:$E&lt;&gt;""),$E:$E))*($E223&lt;=$E224)*($E223&gt;INDEX(_xlfn.ANCHORARRAY(Sintesi!$C$14),1,$C223))*($E223&lt;=INDEX(_xlfn.ANCHORARRAY(Sintesi!$C$15),1,$C223))*(INDEX(_xlfn.ANCHORARRAY(Sintesi!$C$15),1,$C223)&gt;0),1,IF(($E223&gt;=LOOKUP(2,1/($E:$E&lt;&gt;""),$E:$E))*($E223&lt;=$E224)*($E223&gt;INDEX(_xlfn.ANCHORARRAY(Sintesi!$C$14),1,$C223))*($E223&lt;INDEX(_xlfn.ANCHORARRAY(Sintesi!$C$16),1,$C223))*(INDEX(_xlfn.ANCHORARRAY(Sintesi!$C$15),1,$C223)&lt;0)+($E223&gt;=LOOKUP(2,1/($E:$E&lt;&gt;""),$E:$E))*($E223&lt;=$E224)*($E223&gt;INDEX(_xlfn.ANCHORARRAY(Sintesi!$C$15),1,$C223))*($E223&lt;INDEX(_xlfn.ANCHORARRAY(Sintesi!$C$16),1,$C223))*(INDEX(_xlfn.ANCHORARRAY(Sintesi!$C$15),1,$C223)&gt;0),2,IF($E223=(INDEX(_xlfn.ANCHORARRAY(Sintesi!$C$16),1,$C223)),3,4)))),0)))</f>
        <v>4</v>
      </c>
      <c r="E223" s="1">
        <f>'Paste cell here'!F223</f>
        <v>0.70499999999999996</v>
      </c>
      <c r="F223" s="1">
        <f>'Paste cell here'!C223</f>
        <v>33.349280929999999</v>
      </c>
      <c r="G223" s="1">
        <f>'Paste cell here'!D223</f>
        <v>17.38666387</v>
      </c>
      <c r="H223" s="1">
        <f>'Paste cell here'!E223</f>
        <v>4.8631885109999997</v>
      </c>
      <c r="I223" s="1">
        <f>'Paste cell here'!X223</f>
        <v>3.428478165</v>
      </c>
      <c r="J223" s="1">
        <f>'Paste cell here'!Y223+'Paste cell here'!S223</f>
        <v>3.428478165</v>
      </c>
      <c r="K223" s="1">
        <f t="shared" si="7"/>
        <v>0.70498566058978751</v>
      </c>
      <c r="L223" s="1">
        <f t="shared" si="6"/>
        <v>27.374785217734047</v>
      </c>
      <c r="M223" s="1" cm="1">
        <f t="array" ref="M223">IF(AND(A223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,A223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),IF(L223&lt;_xlfn.IFNA(INDEX(_xlfn.ANCHORARRAY(Sintesi!$C$17)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,1,IF(L223&gt;=_xlfn.IFNA(INDEX(_xlfn.ANCHORARRAY(Sintesi!$C$18)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,0,1-(L223-_xlfn.IFNA(INDEX(_xlfn.ANCHORARRAY(Sintesi!$C$17)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)/(_xlfn.IFNA(INDEX(_xlfn.ANCHORARRAY(Sintesi!$C$18)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-_xlfn.IFNA(INDEX(_xlfn.ANCHORARRAY(Sintesi!$C$17),1,MATCH(1,(_xlfn.ANCHORARRAY(Sintesi!$C$9)&gt;_xlfn.ANCHORARRAY(Sintesi!$C$10))*(A222&gt;=_xlfn.ANCHORARRAY(Sintesi!$C$9))+(_xlfn.ANCHORARRAY(Sintesi!$C$9)&gt;_xlfn.ANCHORARRAY(Sintesi!$C$10))*(A222&lt;=_xlfn.ANCHORARRAY(Sintesi!$C$10))+(_xlfn.ANCHORARRAY(Sintesi!$C$9)&lt;_xlfn.ANCHORARRAY(Sintesi!$C$10))*(A222&gt;=_xlfn.ANCHORARRAY(Sintesi!$C$9))*(A222&lt;=_xlfn.ANCHORARRAY(Sintesi!$C$10)),0)),0)))),0)</f>
        <v>0</v>
      </c>
    </row>
    <row r="224" spans="1:13">
      <c r="A224" s="1">
        <f>'Paste cell here'!A224</f>
        <v>223</v>
      </c>
      <c r="B224" s="2">
        <f>DATE(Sintesi!$C$4-1,12,31)+A224</f>
        <v>44419</v>
      </c>
      <c r="C224" s="34" cm="1">
        <f t="array" ref="C224">_xlfn.IFNA(MATCH(1,(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)*(_xlfn.ANCHORARRAY(Sintesi!$C$15)&gt;=0)+(_xlfn.ANCHORARRAY(Sintesi!$C$15)&lt;0),0),0)</f>
        <v>1</v>
      </c>
      <c r="D224" s="1" cm="1">
        <f t="array" ref="D224">IF(ISBLANK($E225),IF(ISNUMBER($E223),IF($C224&gt;0,IF(($E224=INDEX(_xlfn.ANCHORARRAY(Sintesi!$C$14),1,$C224))*(INDEX(_xlfn.ANCHORARRAY(Sintesi!$C$15),1,$C224)&gt;0),0,IF(($E224=INDEX(_xlfn.ANCHORARRAY(Sintesi!$C$14),1,$C224))*(INDEX(_xlfn.ANCHORARRAY(Sintesi!$C$15),1,$C224)&lt;0)+($E224&gt;=$E223)*($E224&lt;=INDEX($E:$E,MATCH(TRUE,INDEX((ISNUMBER($E:$E)),0),0)))*($E224&gt;INDEX(_xlfn.ANCHORARRAY(Sintesi!$C$14),1,$C224))*($E224&lt;=INDEX(_xlfn.ANCHORARRAY(Sintesi!$C$15),1,$C224))*(INDEX(_xlfn.ANCHORARRAY(Sintesi!$C$15),1,$C224)&gt;0),1,IF(($E224&gt;=$E223)*($E224&lt;=INDEX($E:$E,MATCH(TRUE,INDEX((ISNUMBER($E:$E)),0),0)))*($E224&gt;INDEX(_xlfn.ANCHORARRAY(Sintesi!$C$14),1,$C224))*($E224&lt;INDEX(_xlfn.ANCHORARRAY(Sintesi!$C$16),1,$C224))*(INDEX(_xlfn.ANCHORARRAY(Sintesi!$C$15),1,$C224)&lt;0)+($E224&gt;=$E223)*($E224&lt;=INDEX($E:$E,MATCH(TRUE,INDEX((ISNUMBER($E:$E)),0),0)))*($E224&gt;INDEX(_xlfn.ANCHORARRAY(Sintesi!$C$15),1,$C224))*($E224&lt;INDEX(_xlfn.ANCHORARRAY(Sintesi!$C$16),1,$C224))*(INDEX(_xlfn.ANCHORARRAY(Sintesi!$C$15),1,$C224)&gt;0),2,IF($E224=(INDEX(_xlfn.ANCHORARRAY(Sintesi!$C$16),1,$C224)),3,4)))),0),IF($C224&gt;0,IF(($E224=INDEX(_xlfn.ANCHORARRAY(Sintesi!$C$14),1,$C224))*(INDEX(_xlfn.ANCHORARRAY(Sintesi!$C$15),1,$C224)&gt;0),0,IF(($E224=INDEX(_xlfn.ANCHORARRAY(Sintesi!$C$14),1,$C224))*(INDEX(_xlfn.ANCHORARRAY(Sintesi!$C$15),1,$C224)&lt;0)+($E224&gt;=LOOKUP(2,1/($E:$E&lt;&gt;""),$E:$E))*($E224&lt;=INDEX($E:$E,MATCH(TRUE,INDEX((ISNUMBER($E:$E)),0),0)))*($E224&gt;INDEX(_xlfn.ANCHORARRAY(Sintesi!$C$14),1,$C224))*($E224&lt;=INDEX(_xlfn.ANCHORARRAY(Sintesi!$C$15),1,$C224))*(INDEX(_xlfn.ANCHORARRAY(Sintesi!$C$15),1,$C224)&gt;0),1,IF(($E224&gt;=LOOKUP(2,1/($E:$E&lt;&gt;""),$E:$E))*($E224&lt;=INDEX($E:$E,MATCH(TRUE,INDEX((ISNUMBER($E:$E)),0),0)))*($E224&gt;INDEX(_xlfn.ANCHORARRAY(Sintesi!$C$14),1,$C224))*($E224&lt;INDEX(_xlfn.ANCHORARRAY(Sintesi!$C$16),1,$C224))*(INDEX(_xlfn.ANCHORARRAY(Sintesi!$C$15),1,$C224)&lt;0)+($E224&gt;=LOOKUP(2,1/($E:$E&lt;&gt;""),$E:$E))*($E224&lt;=INDEX($E:$E,MATCH(TRUE,INDEX((ISNUMBER($E:$E)),0),0)))*($E224&gt;INDEX(_xlfn.ANCHORARRAY(Sintesi!$C$15),1,$C224))*($E224&lt;INDEX(_xlfn.ANCHORARRAY(Sintesi!$C$16),1,$C224))*(INDEX(_xlfn.ANCHORARRAY(Sintesi!$C$15),1,$C224)&gt;0),2,IF($E224=(INDEX(_xlfn.ANCHORARRAY(Sintesi!$C$16),1,$C224)),3,4)))),0)),IF(ISNUMBER($E223),IF($C224&gt;0,IF(($E224=INDEX(_xlfn.ANCHORARRAY(Sintesi!$C$14),1,$C224))*(INDEX(_xlfn.ANCHORARRAY(Sintesi!$C$15),1,$C224)&gt;0),0,IF(($E224=INDEX(_xlfn.ANCHORARRAY(Sintesi!$C$14),1,$C224))*(INDEX(_xlfn.ANCHORARRAY(Sintesi!$C$15),1,$C224)&lt;0)+($E224&gt;=$E223)*($E224&lt;=$E225)*($E224&gt;INDEX(_xlfn.ANCHORARRAY(Sintesi!$C$14),1,$C224))*($E224&lt;=INDEX(_xlfn.ANCHORARRAY(Sintesi!$C$15),1,$C224))*(INDEX(_xlfn.ANCHORARRAY(Sintesi!$C$15),1,$C224)&gt;0),1,IF(($E224&gt;=$E223)*($E224&lt;=$E225)*($E224&gt;INDEX(_xlfn.ANCHORARRAY(Sintesi!$C$14),1,$C224))*($E224&lt;INDEX(_xlfn.ANCHORARRAY(Sintesi!$C$16),1,$C224))*(INDEX(_xlfn.ANCHORARRAY(Sintesi!$C$15),1,$C224)&lt;0)+($E224&gt;=$E223)*($E224&lt;=$E225)*($E224&gt;INDEX(_xlfn.ANCHORARRAY(Sintesi!$C$15),1,$C224))*($E224&lt;INDEX(_xlfn.ANCHORARRAY(Sintesi!$C$16),1,$C224))*(INDEX(_xlfn.ANCHORARRAY(Sintesi!$C$15),1,$C224)&gt;0),2,IF($E224=(INDEX(_xlfn.ANCHORARRAY(Sintesi!$C$16),1,$C224)),3,4)))),0),IF($C224&gt;0,IF(($E224=INDEX(_xlfn.ANCHORARRAY(Sintesi!$C$14),1,$C224))*(INDEX(_xlfn.ANCHORARRAY(Sintesi!$C$15),1,$C224)&gt;0),0,IF(($E224=INDEX(_xlfn.ANCHORARRAY(Sintesi!$C$14),1,$C224))*(INDEX(_xlfn.ANCHORARRAY(Sintesi!$C$15),1,$C224)&lt;0)+($E224&gt;=LOOKUP(2,1/($E:$E&lt;&gt;""),$E:$E))*($E224&lt;=$E225)*($E224&gt;INDEX(_xlfn.ANCHORARRAY(Sintesi!$C$14),1,$C224))*($E224&lt;=INDEX(_xlfn.ANCHORARRAY(Sintesi!$C$15),1,$C224))*(INDEX(_xlfn.ANCHORARRAY(Sintesi!$C$15),1,$C224)&gt;0),1,IF(($E224&gt;=LOOKUP(2,1/($E:$E&lt;&gt;""),$E:$E))*($E224&lt;=$E225)*($E224&gt;INDEX(_xlfn.ANCHORARRAY(Sintesi!$C$14),1,$C224))*($E224&lt;INDEX(_xlfn.ANCHORARRAY(Sintesi!$C$16),1,$C224))*(INDEX(_xlfn.ANCHORARRAY(Sintesi!$C$15),1,$C224)&lt;0)+($E224&gt;=LOOKUP(2,1/($E:$E&lt;&gt;""),$E:$E))*($E224&lt;=$E225)*($E224&gt;INDEX(_xlfn.ANCHORARRAY(Sintesi!$C$15),1,$C224))*($E224&lt;INDEX(_xlfn.ANCHORARRAY(Sintesi!$C$16),1,$C224))*(INDEX(_xlfn.ANCHORARRAY(Sintesi!$C$15),1,$C224)&gt;0),2,IF($E224=(INDEX(_xlfn.ANCHORARRAY(Sintesi!$C$16),1,$C224)),3,4)))),0)))</f>
        <v>4</v>
      </c>
      <c r="E224" s="1">
        <f>'Paste cell here'!F224</f>
        <v>0.66200000000000003</v>
      </c>
      <c r="F224" s="1">
        <f>'Paste cell here'!C224</f>
        <v>35.320660230000001</v>
      </c>
      <c r="G224" s="1">
        <f>'Paste cell here'!D224</f>
        <v>17.668851100000001</v>
      </c>
      <c r="H224" s="1">
        <f>'Paste cell here'!E224</f>
        <v>5.1716034899999999</v>
      </c>
      <c r="I224" s="1">
        <f>'Paste cell here'!X224</f>
        <v>3.4235361800000002</v>
      </c>
      <c r="J224" s="1">
        <f>'Paste cell here'!Y224+'Paste cell here'!S224</f>
        <v>3.4235361800000002</v>
      </c>
      <c r="K224" s="1">
        <f t="shared" si="7"/>
        <v>0.66198736748087394</v>
      </c>
      <c r="L224" s="1">
        <f t="shared" si="6"/>
        <v>28.713932926794115</v>
      </c>
      <c r="M224" s="1" cm="1">
        <f t="array" ref="M224">IF(AND(A224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,A224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),IF(L224&lt;_xlfn.IFNA(INDEX(_xlfn.ANCHORARRAY(Sintesi!$C$17)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,1,IF(L224&gt;=_xlfn.IFNA(INDEX(_xlfn.ANCHORARRAY(Sintesi!$C$18)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,0,1-(L224-_xlfn.IFNA(INDEX(_xlfn.ANCHORARRAY(Sintesi!$C$17)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)/(_xlfn.IFNA(INDEX(_xlfn.ANCHORARRAY(Sintesi!$C$18)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-_xlfn.IFNA(INDEX(_xlfn.ANCHORARRAY(Sintesi!$C$17),1,MATCH(1,(_xlfn.ANCHORARRAY(Sintesi!$C$9)&gt;_xlfn.ANCHORARRAY(Sintesi!$C$10))*(A223&gt;=_xlfn.ANCHORARRAY(Sintesi!$C$9))+(_xlfn.ANCHORARRAY(Sintesi!$C$9)&gt;_xlfn.ANCHORARRAY(Sintesi!$C$10))*(A223&lt;=_xlfn.ANCHORARRAY(Sintesi!$C$10))+(_xlfn.ANCHORARRAY(Sintesi!$C$9)&lt;_xlfn.ANCHORARRAY(Sintesi!$C$10))*(A223&gt;=_xlfn.ANCHORARRAY(Sintesi!$C$9))*(A223&lt;=_xlfn.ANCHORARRAY(Sintesi!$C$10)),0)),0)))),0)</f>
        <v>0</v>
      </c>
    </row>
    <row r="225" spans="1:13">
      <c r="A225" s="1">
        <f>'Paste cell here'!A225</f>
        <v>224</v>
      </c>
      <c r="B225" s="2">
        <f>DATE(Sintesi!$C$4-1,12,31)+A225</f>
        <v>44420</v>
      </c>
      <c r="C225" s="34" cm="1">
        <f t="array" ref="C225">_xlfn.IFNA(MATCH(1,(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)*(_xlfn.ANCHORARRAY(Sintesi!$C$15)&gt;=0)+(_xlfn.ANCHORARRAY(Sintesi!$C$15)&lt;0),0),0)</f>
        <v>1</v>
      </c>
      <c r="D225" s="1" cm="1">
        <f t="array" ref="D225">IF(ISBLANK($E226),IF(ISNUMBER($E224),IF($C225&gt;0,IF(($E225=INDEX(_xlfn.ANCHORARRAY(Sintesi!$C$14),1,$C225))*(INDEX(_xlfn.ANCHORARRAY(Sintesi!$C$15),1,$C225)&gt;0),0,IF(($E225=INDEX(_xlfn.ANCHORARRAY(Sintesi!$C$14),1,$C225))*(INDEX(_xlfn.ANCHORARRAY(Sintesi!$C$15),1,$C225)&lt;0)+($E225&gt;=$E224)*($E225&lt;=INDEX($E:$E,MATCH(TRUE,INDEX((ISNUMBER($E:$E)),0),0)))*($E225&gt;INDEX(_xlfn.ANCHORARRAY(Sintesi!$C$14),1,$C225))*($E225&lt;=INDEX(_xlfn.ANCHORARRAY(Sintesi!$C$15),1,$C225))*(INDEX(_xlfn.ANCHORARRAY(Sintesi!$C$15),1,$C225)&gt;0),1,IF(($E225&gt;=$E224)*($E225&lt;=INDEX($E:$E,MATCH(TRUE,INDEX((ISNUMBER($E:$E)),0),0)))*($E225&gt;INDEX(_xlfn.ANCHORARRAY(Sintesi!$C$14),1,$C225))*($E225&lt;INDEX(_xlfn.ANCHORARRAY(Sintesi!$C$16),1,$C225))*(INDEX(_xlfn.ANCHORARRAY(Sintesi!$C$15),1,$C225)&lt;0)+($E225&gt;=$E224)*($E225&lt;=INDEX($E:$E,MATCH(TRUE,INDEX((ISNUMBER($E:$E)),0),0)))*($E225&gt;INDEX(_xlfn.ANCHORARRAY(Sintesi!$C$15),1,$C225))*($E225&lt;INDEX(_xlfn.ANCHORARRAY(Sintesi!$C$16),1,$C225))*(INDEX(_xlfn.ANCHORARRAY(Sintesi!$C$15),1,$C225)&gt;0),2,IF($E225=(INDEX(_xlfn.ANCHORARRAY(Sintesi!$C$16),1,$C225)),3,4)))),0),IF($C225&gt;0,IF(($E225=INDEX(_xlfn.ANCHORARRAY(Sintesi!$C$14),1,$C225))*(INDEX(_xlfn.ANCHORARRAY(Sintesi!$C$15),1,$C225)&gt;0),0,IF(($E225=INDEX(_xlfn.ANCHORARRAY(Sintesi!$C$14),1,$C225))*(INDEX(_xlfn.ANCHORARRAY(Sintesi!$C$15),1,$C225)&lt;0)+($E225&gt;=LOOKUP(2,1/($E:$E&lt;&gt;""),$E:$E))*($E225&lt;=INDEX($E:$E,MATCH(TRUE,INDEX((ISNUMBER($E:$E)),0),0)))*($E225&gt;INDEX(_xlfn.ANCHORARRAY(Sintesi!$C$14),1,$C225))*($E225&lt;=INDEX(_xlfn.ANCHORARRAY(Sintesi!$C$15),1,$C225))*(INDEX(_xlfn.ANCHORARRAY(Sintesi!$C$15),1,$C225)&gt;0),1,IF(($E225&gt;=LOOKUP(2,1/($E:$E&lt;&gt;""),$E:$E))*($E225&lt;=INDEX($E:$E,MATCH(TRUE,INDEX((ISNUMBER($E:$E)),0),0)))*($E225&gt;INDEX(_xlfn.ANCHORARRAY(Sintesi!$C$14),1,$C225))*($E225&lt;INDEX(_xlfn.ANCHORARRAY(Sintesi!$C$16),1,$C225))*(INDEX(_xlfn.ANCHORARRAY(Sintesi!$C$15),1,$C225)&lt;0)+($E225&gt;=LOOKUP(2,1/($E:$E&lt;&gt;""),$E:$E))*($E225&lt;=INDEX($E:$E,MATCH(TRUE,INDEX((ISNUMBER($E:$E)),0),0)))*($E225&gt;INDEX(_xlfn.ANCHORARRAY(Sintesi!$C$15),1,$C225))*($E225&lt;INDEX(_xlfn.ANCHORARRAY(Sintesi!$C$16),1,$C225))*(INDEX(_xlfn.ANCHORARRAY(Sintesi!$C$15),1,$C225)&gt;0),2,IF($E225=(INDEX(_xlfn.ANCHORARRAY(Sintesi!$C$16),1,$C225)),3,4)))),0)),IF(ISNUMBER($E224),IF($C225&gt;0,IF(($E225=INDEX(_xlfn.ANCHORARRAY(Sintesi!$C$14),1,$C225))*(INDEX(_xlfn.ANCHORARRAY(Sintesi!$C$15),1,$C225)&gt;0),0,IF(($E225=INDEX(_xlfn.ANCHORARRAY(Sintesi!$C$14),1,$C225))*(INDEX(_xlfn.ANCHORARRAY(Sintesi!$C$15),1,$C225)&lt;0)+($E225&gt;=$E224)*($E225&lt;=$E226)*($E225&gt;INDEX(_xlfn.ANCHORARRAY(Sintesi!$C$14),1,$C225))*($E225&lt;=INDEX(_xlfn.ANCHORARRAY(Sintesi!$C$15),1,$C225))*(INDEX(_xlfn.ANCHORARRAY(Sintesi!$C$15),1,$C225)&gt;0),1,IF(($E225&gt;=$E224)*($E225&lt;=$E226)*($E225&gt;INDEX(_xlfn.ANCHORARRAY(Sintesi!$C$14),1,$C225))*($E225&lt;INDEX(_xlfn.ANCHORARRAY(Sintesi!$C$16),1,$C225))*(INDEX(_xlfn.ANCHORARRAY(Sintesi!$C$15),1,$C225)&lt;0)+($E225&gt;=$E224)*($E225&lt;=$E226)*($E225&gt;INDEX(_xlfn.ANCHORARRAY(Sintesi!$C$15),1,$C225))*($E225&lt;INDEX(_xlfn.ANCHORARRAY(Sintesi!$C$16),1,$C225))*(INDEX(_xlfn.ANCHORARRAY(Sintesi!$C$15),1,$C225)&gt;0),2,IF($E225=(INDEX(_xlfn.ANCHORARRAY(Sintesi!$C$16),1,$C225)),3,4)))),0),IF($C225&gt;0,IF(($E225=INDEX(_xlfn.ANCHORARRAY(Sintesi!$C$14),1,$C225))*(INDEX(_xlfn.ANCHORARRAY(Sintesi!$C$15),1,$C225)&gt;0),0,IF(($E225=INDEX(_xlfn.ANCHORARRAY(Sintesi!$C$14),1,$C225))*(INDEX(_xlfn.ANCHORARRAY(Sintesi!$C$15),1,$C225)&lt;0)+($E225&gt;=LOOKUP(2,1/($E:$E&lt;&gt;""),$E:$E))*($E225&lt;=$E226)*($E225&gt;INDEX(_xlfn.ANCHORARRAY(Sintesi!$C$14),1,$C225))*($E225&lt;=INDEX(_xlfn.ANCHORARRAY(Sintesi!$C$15),1,$C225))*(INDEX(_xlfn.ANCHORARRAY(Sintesi!$C$15),1,$C225)&gt;0),1,IF(($E225&gt;=LOOKUP(2,1/($E:$E&lt;&gt;""),$E:$E))*($E225&lt;=$E226)*($E225&gt;INDEX(_xlfn.ANCHORARRAY(Sintesi!$C$14),1,$C225))*($E225&lt;INDEX(_xlfn.ANCHORARRAY(Sintesi!$C$16),1,$C225))*(INDEX(_xlfn.ANCHORARRAY(Sintesi!$C$15),1,$C225)&lt;0)+($E225&gt;=LOOKUP(2,1/($E:$E&lt;&gt;""),$E:$E))*($E225&lt;=$E226)*($E225&gt;INDEX(_xlfn.ANCHORARRAY(Sintesi!$C$15),1,$C225))*($E225&lt;INDEX(_xlfn.ANCHORARRAY(Sintesi!$C$16),1,$C225))*(INDEX(_xlfn.ANCHORARRAY(Sintesi!$C$15),1,$C225)&gt;0),2,IF($E225=(INDEX(_xlfn.ANCHORARRAY(Sintesi!$C$16),1,$C225)),3,4)))),0)))</f>
        <v>4</v>
      </c>
      <c r="E225" s="1">
        <f>'Paste cell here'!F225</f>
        <v>0.62</v>
      </c>
      <c r="F225" s="1">
        <f>'Paste cell here'!C225</f>
        <v>36.120660229999999</v>
      </c>
      <c r="G225" s="1">
        <f>'Paste cell here'!D225</f>
        <v>19.358679540000001</v>
      </c>
      <c r="H225" s="1">
        <f>'Paste cell here'!E225</f>
        <v>5.4884473920000003</v>
      </c>
      <c r="I225" s="1">
        <f>'Paste cell here'!X225</f>
        <v>3.4027765400000001</v>
      </c>
      <c r="J225" s="1">
        <f>'Paste cell here'!Y225+'Paste cell here'!S225</f>
        <v>3.4027765400000001</v>
      </c>
      <c r="K225" s="1">
        <f t="shared" si="7"/>
        <v>0.61998891434395653</v>
      </c>
      <c r="L225" s="1">
        <f t="shared" si="6"/>
        <v>29.846978327773765</v>
      </c>
      <c r="M225" s="1" cm="1">
        <f t="array" ref="M225">IF(AND(A225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,A225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),IF(L225&lt;_xlfn.IFNA(INDEX(_xlfn.ANCHORARRAY(Sintesi!$C$17)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,1,IF(L225&gt;=_xlfn.IFNA(INDEX(_xlfn.ANCHORARRAY(Sintesi!$C$18)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,0,1-(L225-_xlfn.IFNA(INDEX(_xlfn.ANCHORARRAY(Sintesi!$C$17)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)/(_xlfn.IFNA(INDEX(_xlfn.ANCHORARRAY(Sintesi!$C$18)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-_xlfn.IFNA(INDEX(_xlfn.ANCHORARRAY(Sintesi!$C$17),1,MATCH(1,(_xlfn.ANCHORARRAY(Sintesi!$C$9)&gt;_xlfn.ANCHORARRAY(Sintesi!$C$10))*(A224&gt;=_xlfn.ANCHORARRAY(Sintesi!$C$9))+(_xlfn.ANCHORARRAY(Sintesi!$C$9)&gt;_xlfn.ANCHORARRAY(Sintesi!$C$10))*(A224&lt;=_xlfn.ANCHORARRAY(Sintesi!$C$10))+(_xlfn.ANCHORARRAY(Sintesi!$C$9)&lt;_xlfn.ANCHORARRAY(Sintesi!$C$10))*(A224&gt;=_xlfn.ANCHORARRAY(Sintesi!$C$9))*(A224&lt;=_xlfn.ANCHORARRAY(Sintesi!$C$10)),0)),0)))),0)</f>
        <v>0</v>
      </c>
    </row>
    <row r="226" spans="1:13">
      <c r="A226" s="1">
        <f>'Paste cell here'!A226</f>
        <v>225</v>
      </c>
      <c r="B226" s="2">
        <f>DATE(Sintesi!$C$4-1,12,31)+A226</f>
        <v>44421</v>
      </c>
      <c r="C226" s="34" cm="1">
        <f t="array" ref="C226">_xlfn.IFNA(MATCH(1,(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)*(_xlfn.ANCHORARRAY(Sintesi!$C$15)&gt;=0)+(_xlfn.ANCHORARRAY(Sintesi!$C$15)&lt;0),0),0)</f>
        <v>1</v>
      </c>
      <c r="D226" s="1" cm="1">
        <f t="array" ref="D226">IF(ISBLANK($E227),IF(ISNUMBER($E225),IF($C226&gt;0,IF(($E226=INDEX(_xlfn.ANCHORARRAY(Sintesi!$C$14),1,$C226))*(INDEX(_xlfn.ANCHORARRAY(Sintesi!$C$15),1,$C226)&gt;0),0,IF(($E226=INDEX(_xlfn.ANCHORARRAY(Sintesi!$C$14),1,$C226))*(INDEX(_xlfn.ANCHORARRAY(Sintesi!$C$15),1,$C226)&lt;0)+($E226&gt;=$E225)*($E226&lt;=INDEX($E:$E,MATCH(TRUE,INDEX((ISNUMBER($E:$E)),0),0)))*($E226&gt;INDEX(_xlfn.ANCHORARRAY(Sintesi!$C$14),1,$C226))*($E226&lt;=INDEX(_xlfn.ANCHORARRAY(Sintesi!$C$15),1,$C226))*(INDEX(_xlfn.ANCHORARRAY(Sintesi!$C$15),1,$C226)&gt;0),1,IF(($E226&gt;=$E225)*($E226&lt;=INDEX($E:$E,MATCH(TRUE,INDEX((ISNUMBER($E:$E)),0),0)))*($E226&gt;INDEX(_xlfn.ANCHORARRAY(Sintesi!$C$14),1,$C226))*($E226&lt;INDEX(_xlfn.ANCHORARRAY(Sintesi!$C$16),1,$C226))*(INDEX(_xlfn.ANCHORARRAY(Sintesi!$C$15),1,$C226)&lt;0)+($E226&gt;=$E225)*($E226&lt;=INDEX($E:$E,MATCH(TRUE,INDEX((ISNUMBER($E:$E)),0),0)))*($E226&gt;INDEX(_xlfn.ANCHORARRAY(Sintesi!$C$15),1,$C226))*($E226&lt;INDEX(_xlfn.ANCHORARRAY(Sintesi!$C$16),1,$C226))*(INDEX(_xlfn.ANCHORARRAY(Sintesi!$C$15),1,$C226)&gt;0),2,IF($E226=(INDEX(_xlfn.ANCHORARRAY(Sintesi!$C$16),1,$C226)),3,4)))),0),IF($C226&gt;0,IF(($E226=INDEX(_xlfn.ANCHORARRAY(Sintesi!$C$14),1,$C226))*(INDEX(_xlfn.ANCHORARRAY(Sintesi!$C$15),1,$C226)&gt;0),0,IF(($E226=INDEX(_xlfn.ANCHORARRAY(Sintesi!$C$14),1,$C226))*(INDEX(_xlfn.ANCHORARRAY(Sintesi!$C$15),1,$C226)&lt;0)+($E226&gt;=LOOKUP(2,1/($E:$E&lt;&gt;""),$E:$E))*($E226&lt;=INDEX($E:$E,MATCH(TRUE,INDEX((ISNUMBER($E:$E)),0),0)))*($E226&gt;INDEX(_xlfn.ANCHORARRAY(Sintesi!$C$14),1,$C226))*($E226&lt;=INDEX(_xlfn.ANCHORARRAY(Sintesi!$C$15),1,$C226))*(INDEX(_xlfn.ANCHORARRAY(Sintesi!$C$15),1,$C226)&gt;0),1,IF(($E226&gt;=LOOKUP(2,1/($E:$E&lt;&gt;""),$E:$E))*($E226&lt;=INDEX($E:$E,MATCH(TRUE,INDEX((ISNUMBER($E:$E)),0),0)))*($E226&gt;INDEX(_xlfn.ANCHORARRAY(Sintesi!$C$14),1,$C226))*($E226&lt;INDEX(_xlfn.ANCHORARRAY(Sintesi!$C$16),1,$C226))*(INDEX(_xlfn.ANCHORARRAY(Sintesi!$C$15),1,$C226)&lt;0)+($E226&gt;=LOOKUP(2,1/($E:$E&lt;&gt;""),$E:$E))*($E226&lt;=INDEX($E:$E,MATCH(TRUE,INDEX((ISNUMBER($E:$E)),0),0)))*($E226&gt;INDEX(_xlfn.ANCHORARRAY(Sintesi!$C$15),1,$C226))*($E226&lt;INDEX(_xlfn.ANCHORARRAY(Sintesi!$C$16),1,$C226))*(INDEX(_xlfn.ANCHORARRAY(Sintesi!$C$15),1,$C226)&gt;0),2,IF($E226=(INDEX(_xlfn.ANCHORARRAY(Sintesi!$C$16),1,$C226)),3,4)))),0)),IF(ISNUMBER($E225),IF($C226&gt;0,IF(($E226=INDEX(_xlfn.ANCHORARRAY(Sintesi!$C$14),1,$C226))*(INDEX(_xlfn.ANCHORARRAY(Sintesi!$C$15),1,$C226)&gt;0),0,IF(($E226=INDEX(_xlfn.ANCHORARRAY(Sintesi!$C$14),1,$C226))*(INDEX(_xlfn.ANCHORARRAY(Sintesi!$C$15),1,$C226)&lt;0)+($E226&gt;=$E225)*($E226&lt;=$E227)*($E226&gt;INDEX(_xlfn.ANCHORARRAY(Sintesi!$C$14),1,$C226))*($E226&lt;=INDEX(_xlfn.ANCHORARRAY(Sintesi!$C$15),1,$C226))*(INDEX(_xlfn.ANCHORARRAY(Sintesi!$C$15),1,$C226)&gt;0),1,IF(($E226&gt;=$E225)*($E226&lt;=$E227)*($E226&gt;INDEX(_xlfn.ANCHORARRAY(Sintesi!$C$14),1,$C226))*($E226&lt;INDEX(_xlfn.ANCHORARRAY(Sintesi!$C$16),1,$C226))*(INDEX(_xlfn.ANCHORARRAY(Sintesi!$C$15),1,$C226)&lt;0)+($E226&gt;=$E225)*($E226&lt;=$E227)*($E226&gt;INDEX(_xlfn.ANCHORARRAY(Sintesi!$C$15),1,$C226))*($E226&lt;INDEX(_xlfn.ANCHORARRAY(Sintesi!$C$16),1,$C226))*(INDEX(_xlfn.ANCHORARRAY(Sintesi!$C$15),1,$C226)&gt;0),2,IF($E226=(INDEX(_xlfn.ANCHORARRAY(Sintesi!$C$16),1,$C226)),3,4)))),0),IF($C226&gt;0,IF(($E226=INDEX(_xlfn.ANCHORARRAY(Sintesi!$C$14),1,$C226))*(INDEX(_xlfn.ANCHORARRAY(Sintesi!$C$15),1,$C226)&gt;0),0,IF(($E226=INDEX(_xlfn.ANCHORARRAY(Sintesi!$C$14),1,$C226))*(INDEX(_xlfn.ANCHORARRAY(Sintesi!$C$15),1,$C226)&lt;0)+($E226&gt;=LOOKUP(2,1/($E:$E&lt;&gt;""),$E:$E))*($E226&lt;=$E227)*($E226&gt;INDEX(_xlfn.ANCHORARRAY(Sintesi!$C$14),1,$C226))*($E226&lt;=INDEX(_xlfn.ANCHORARRAY(Sintesi!$C$15),1,$C226))*(INDEX(_xlfn.ANCHORARRAY(Sintesi!$C$15),1,$C226)&gt;0),1,IF(($E226&gt;=LOOKUP(2,1/($E:$E&lt;&gt;""),$E:$E))*($E226&lt;=$E227)*($E226&gt;INDEX(_xlfn.ANCHORARRAY(Sintesi!$C$14),1,$C226))*($E226&lt;INDEX(_xlfn.ANCHORARRAY(Sintesi!$C$16),1,$C226))*(INDEX(_xlfn.ANCHORARRAY(Sintesi!$C$15),1,$C226)&lt;0)+($E226&gt;=LOOKUP(2,1/($E:$E&lt;&gt;""),$E:$E))*($E226&lt;=$E227)*($E226&gt;INDEX(_xlfn.ANCHORARRAY(Sintesi!$C$15),1,$C226))*($E226&lt;INDEX(_xlfn.ANCHORARRAY(Sintesi!$C$16),1,$C226))*(INDEX(_xlfn.ANCHORARRAY(Sintesi!$C$15),1,$C226)&gt;0),2,IF($E226=(INDEX(_xlfn.ANCHORARRAY(Sintesi!$C$16),1,$C226)),3,4)))),0)))</f>
        <v>4</v>
      </c>
      <c r="E226" s="1">
        <f>'Paste cell here'!F226</f>
        <v>0.57699999999999996</v>
      </c>
      <c r="F226" s="1">
        <f>'Paste cell here'!C226</f>
        <v>36.813336130000003</v>
      </c>
      <c r="G226" s="1">
        <f>'Paste cell here'!D226</f>
        <v>22.522734740000001</v>
      </c>
      <c r="H226" s="1">
        <f>'Paste cell here'!E226</f>
        <v>5.3634564180000002</v>
      </c>
      <c r="I226" s="1">
        <f>'Paste cell here'!X226</f>
        <v>3.0946625700000001</v>
      </c>
      <c r="J226" s="1">
        <f>'Paste cell here'!Y226+'Paste cell here'!S226</f>
        <v>3.0946625700000001</v>
      </c>
      <c r="K226" s="1">
        <f t="shared" si="7"/>
        <v>0.57699034518378367</v>
      </c>
      <c r="L226" s="1">
        <f t="shared" si="6"/>
        <v>31.464643217720312</v>
      </c>
      <c r="M226" s="1" cm="1">
        <f t="array" ref="M226">IF(AND(A226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,A226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),IF(L226&lt;_xlfn.IFNA(INDEX(_xlfn.ANCHORARRAY(Sintesi!$C$17)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,1,IF(L226&gt;=_xlfn.IFNA(INDEX(_xlfn.ANCHORARRAY(Sintesi!$C$18)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,0,1-(L226-_xlfn.IFNA(INDEX(_xlfn.ANCHORARRAY(Sintesi!$C$17)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)/(_xlfn.IFNA(INDEX(_xlfn.ANCHORARRAY(Sintesi!$C$18)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-_xlfn.IFNA(INDEX(_xlfn.ANCHORARRAY(Sintesi!$C$17),1,MATCH(1,(_xlfn.ANCHORARRAY(Sintesi!$C$9)&gt;_xlfn.ANCHORARRAY(Sintesi!$C$10))*(A225&gt;=_xlfn.ANCHORARRAY(Sintesi!$C$9))+(_xlfn.ANCHORARRAY(Sintesi!$C$9)&gt;_xlfn.ANCHORARRAY(Sintesi!$C$10))*(A225&lt;=_xlfn.ANCHORARRAY(Sintesi!$C$10))+(_xlfn.ANCHORARRAY(Sintesi!$C$9)&lt;_xlfn.ANCHORARRAY(Sintesi!$C$10))*(A225&gt;=_xlfn.ANCHORARRAY(Sintesi!$C$9))*(A225&lt;=_xlfn.ANCHORARRAY(Sintesi!$C$10)),0)),0)))),0)</f>
        <v>0</v>
      </c>
    </row>
    <row r="227" spans="1:13">
      <c r="A227" s="1">
        <f>'Paste cell here'!A227</f>
        <v>226</v>
      </c>
      <c r="B227" s="2">
        <f>DATE(Sintesi!$C$4-1,12,31)+A227</f>
        <v>44422</v>
      </c>
      <c r="C227" s="34" cm="1">
        <f t="array" ref="C227">_xlfn.IFNA(MATCH(1,(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)*(_xlfn.ANCHORARRAY(Sintesi!$C$15)&gt;=0)+(_xlfn.ANCHORARRAY(Sintesi!$C$15)&lt;0),0),0)</f>
        <v>1</v>
      </c>
      <c r="D227" s="1" cm="1">
        <f t="array" ref="D227">IF(ISBLANK($E228),IF(ISNUMBER($E226),IF($C227&gt;0,IF(($E227=INDEX(_xlfn.ANCHORARRAY(Sintesi!$C$14),1,$C227))*(INDEX(_xlfn.ANCHORARRAY(Sintesi!$C$15),1,$C227)&gt;0),0,IF(($E227=INDEX(_xlfn.ANCHORARRAY(Sintesi!$C$14),1,$C227))*(INDEX(_xlfn.ANCHORARRAY(Sintesi!$C$15),1,$C227)&lt;0)+($E227&gt;=$E226)*($E227&lt;=INDEX($E:$E,MATCH(TRUE,INDEX((ISNUMBER($E:$E)),0),0)))*($E227&gt;INDEX(_xlfn.ANCHORARRAY(Sintesi!$C$14),1,$C227))*($E227&lt;=INDEX(_xlfn.ANCHORARRAY(Sintesi!$C$15),1,$C227))*(INDEX(_xlfn.ANCHORARRAY(Sintesi!$C$15),1,$C227)&gt;0),1,IF(($E227&gt;=$E226)*($E227&lt;=INDEX($E:$E,MATCH(TRUE,INDEX((ISNUMBER($E:$E)),0),0)))*($E227&gt;INDEX(_xlfn.ANCHORARRAY(Sintesi!$C$14),1,$C227))*($E227&lt;INDEX(_xlfn.ANCHORARRAY(Sintesi!$C$16),1,$C227))*(INDEX(_xlfn.ANCHORARRAY(Sintesi!$C$15),1,$C227)&lt;0)+($E227&gt;=$E226)*($E227&lt;=INDEX($E:$E,MATCH(TRUE,INDEX((ISNUMBER($E:$E)),0),0)))*($E227&gt;INDEX(_xlfn.ANCHORARRAY(Sintesi!$C$15),1,$C227))*($E227&lt;INDEX(_xlfn.ANCHORARRAY(Sintesi!$C$16),1,$C227))*(INDEX(_xlfn.ANCHORARRAY(Sintesi!$C$15),1,$C227)&gt;0),2,IF($E227=(INDEX(_xlfn.ANCHORARRAY(Sintesi!$C$16),1,$C227)),3,4)))),0),IF($C227&gt;0,IF(($E227=INDEX(_xlfn.ANCHORARRAY(Sintesi!$C$14),1,$C227))*(INDEX(_xlfn.ANCHORARRAY(Sintesi!$C$15),1,$C227)&gt;0),0,IF(($E227=INDEX(_xlfn.ANCHORARRAY(Sintesi!$C$14),1,$C227))*(INDEX(_xlfn.ANCHORARRAY(Sintesi!$C$15),1,$C227)&lt;0)+($E227&gt;=LOOKUP(2,1/($E:$E&lt;&gt;""),$E:$E))*($E227&lt;=INDEX($E:$E,MATCH(TRUE,INDEX((ISNUMBER($E:$E)),0),0)))*($E227&gt;INDEX(_xlfn.ANCHORARRAY(Sintesi!$C$14),1,$C227))*($E227&lt;=INDEX(_xlfn.ANCHORARRAY(Sintesi!$C$15),1,$C227))*(INDEX(_xlfn.ANCHORARRAY(Sintesi!$C$15),1,$C227)&gt;0),1,IF(($E227&gt;=LOOKUP(2,1/($E:$E&lt;&gt;""),$E:$E))*($E227&lt;=INDEX($E:$E,MATCH(TRUE,INDEX((ISNUMBER($E:$E)),0),0)))*($E227&gt;INDEX(_xlfn.ANCHORARRAY(Sintesi!$C$14),1,$C227))*($E227&lt;INDEX(_xlfn.ANCHORARRAY(Sintesi!$C$16),1,$C227))*(INDEX(_xlfn.ANCHORARRAY(Sintesi!$C$15),1,$C227)&lt;0)+($E227&gt;=LOOKUP(2,1/($E:$E&lt;&gt;""),$E:$E))*($E227&lt;=INDEX($E:$E,MATCH(TRUE,INDEX((ISNUMBER($E:$E)),0),0)))*($E227&gt;INDEX(_xlfn.ANCHORARRAY(Sintesi!$C$15),1,$C227))*($E227&lt;INDEX(_xlfn.ANCHORARRAY(Sintesi!$C$16),1,$C227))*(INDEX(_xlfn.ANCHORARRAY(Sintesi!$C$15),1,$C227)&gt;0),2,IF($E227=(INDEX(_xlfn.ANCHORARRAY(Sintesi!$C$16),1,$C227)),3,4)))),0)),IF(ISNUMBER($E226),IF($C227&gt;0,IF(($E227=INDEX(_xlfn.ANCHORARRAY(Sintesi!$C$14),1,$C227))*(INDEX(_xlfn.ANCHORARRAY(Sintesi!$C$15),1,$C227)&gt;0),0,IF(($E227=INDEX(_xlfn.ANCHORARRAY(Sintesi!$C$14),1,$C227))*(INDEX(_xlfn.ANCHORARRAY(Sintesi!$C$15),1,$C227)&lt;0)+($E227&gt;=$E226)*($E227&lt;=$E228)*($E227&gt;INDEX(_xlfn.ANCHORARRAY(Sintesi!$C$14),1,$C227))*($E227&lt;=INDEX(_xlfn.ANCHORARRAY(Sintesi!$C$15),1,$C227))*(INDEX(_xlfn.ANCHORARRAY(Sintesi!$C$15),1,$C227)&gt;0),1,IF(($E227&gt;=$E226)*($E227&lt;=$E228)*($E227&gt;INDEX(_xlfn.ANCHORARRAY(Sintesi!$C$14),1,$C227))*($E227&lt;INDEX(_xlfn.ANCHORARRAY(Sintesi!$C$16),1,$C227))*(INDEX(_xlfn.ANCHORARRAY(Sintesi!$C$15),1,$C227)&lt;0)+($E227&gt;=$E226)*($E227&lt;=$E228)*($E227&gt;INDEX(_xlfn.ANCHORARRAY(Sintesi!$C$15),1,$C227))*($E227&lt;INDEX(_xlfn.ANCHORARRAY(Sintesi!$C$16),1,$C227))*(INDEX(_xlfn.ANCHORARRAY(Sintesi!$C$15),1,$C227)&gt;0),2,IF($E227=(INDEX(_xlfn.ANCHORARRAY(Sintesi!$C$16),1,$C227)),3,4)))),0),IF($C227&gt;0,IF(($E227=INDEX(_xlfn.ANCHORARRAY(Sintesi!$C$14),1,$C227))*(INDEX(_xlfn.ANCHORARRAY(Sintesi!$C$15),1,$C227)&gt;0),0,IF(($E227=INDEX(_xlfn.ANCHORARRAY(Sintesi!$C$14),1,$C227))*(INDEX(_xlfn.ANCHORARRAY(Sintesi!$C$15),1,$C227)&lt;0)+($E227&gt;=LOOKUP(2,1/($E:$E&lt;&gt;""),$E:$E))*($E227&lt;=$E228)*($E227&gt;INDEX(_xlfn.ANCHORARRAY(Sintesi!$C$14),1,$C227))*($E227&lt;=INDEX(_xlfn.ANCHORARRAY(Sintesi!$C$15),1,$C227))*(INDEX(_xlfn.ANCHORARRAY(Sintesi!$C$15),1,$C227)&gt;0),1,IF(($E227&gt;=LOOKUP(2,1/($E:$E&lt;&gt;""),$E:$E))*($E227&lt;=$E228)*($E227&gt;INDEX(_xlfn.ANCHORARRAY(Sintesi!$C$14),1,$C227))*($E227&lt;INDEX(_xlfn.ANCHORARRAY(Sintesi!$C$16),1,$C227))*(INDEX(_xlfn.ANCHORARRAY(Sintesi!$C$15),1,$C227)&lt;0)+($E227&gt;=LOOKUP(2,1/($E:$E&lt;&gt;""),$E:$E))*($E227&lt;=$E228)*($E227&gt;INDEX(_xlfn.ANCHORARRAY(Sintesi!$C$15),1,$C227))*($E227&lt;INDEX(_xlfn.ANCHORARRAY(Sintesi!$C$16),1,$C227))*(INDEX(_xlfn.ANCHORARRAY(Sintesi!$C$15),1,$C227)&gt;0),2,IF($E227=(INDEX(_xlfn.ANCHORARRAY(Sintesi!$C$16),1,$C227)),3,4)))),0)))</f>
        <v>4</v>
      </c>
      <c r="E227" s="1">
        <f>'Paste cell here'!F227</f>
        <v>0.53400000000000003</v>
      </c>
      <c r="F227" s="1">
        <f>'Paste cell here'!C227</f>
        <v>37.413336129999998</v>
      </c>
      <c r="G227" s="1">
        <f>'Paste cell here'!D227</f>
        <v>20.604795899999999</v>
      </c>
      <c r="H227" s="1">
        <f>'Paste cell here'!E227</f>
        <v>5.2618705439999998</v>
      </c>
      <c r="I227" s="1">
        <f>'Paste cell here'!X227</f>
        <v>2.8097949259999999</v>
      </c>
      <c r="J227" s="1">
        <f>'Paste cell here'!Y227+'Paste cell here'!S227</f>
        <v>2.8097949259999999</v>
      </c>
      <c r="K227" s="1">
        <f t="shared" si="7"/>
        <v>0.53399164850301195</v>
      </c>
      <c r="L227" s="1">
        <f t="shared" si="6"/>
        <v>31.122227901561121</v>
      </c>
      <c r="M227" s="1" cm="1">
        <f t="array" ref="M227">IF(AND(A227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,A227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),IF(L227&lt;_xlfn.IFNA(INDEX(_xlfn.ANCHORARRAY(Sintesi!$C$17)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,1,IF(L227&gt;=_xlfn.IFNA(INDEX(_xlfn.ANCHORARRAY(Sintesi!$C$18)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,0,1-(L227-_xlfn.IFNA(INDEX(_xlfn.ANCHORARRAY(Sintesi!$C$17)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)/(_xlfn.IFNA(INDEX(_xlfn.ANCHORARRAY(Sintesi!$C$18)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-_xlfn.IFNA(INDEX(_xlfn.ANCHORARRAY(Sintesi!$C$17),1,MATCH(1,(_xlfn.ANCHORARRAY(Sintesi!$C$9)&gt;_xlfn.ANCHORARRAY(Sintesi!$C$10))*(A226&gt;=_xlfn.ANCHORARRAY(Sintesi!$C$9))+(_xlfn.ANCHORARRAY(Sintesi!$C$9)&gt;_xlfn.ANCHORARRAY(Sintesi!$C$10))*(A226&lt;=_xlfn.ANCHORARRAY(Sintesi!$C$10))+(_xlfn.ANCHORARRAY(Sintesi!$C$9)&lt;_xlfn.ANCHORARRAY(Sintesi!$C$10))*(A226&gt;=_xlfn.ANCHORARRAY(Sintesi!$C$9))*(A226&lt;=_xlfn.ANCHORARRAY(Sintesi!$C$10)),0)),0)))),0)</f>
        <v>0</v>
      </c>
    </row>
    <row r="228" spans="1:13">
      <c r="A228" s="1">
        <f>'Paste cell here'!A228</f>
        <v>227</v>
      </c>
      <c r="B228" s="2">
        <f>DATE(Sintesi!$C$4-1,12,31)+A228</f>
        <v>44423</v>
      </c>
      <c r="C228" s="34" cm="1">
        <f t="array" ref="C228">_xlfn.IFNA(MATCH(1,(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)*(_xlfn.ANCHORARRAY(Sintesi!$C$15)&gt;=0)+(_xlfn.ANCHORARRAY(Sintesi!$C$15)&lt;0),0),0)</f>
        <v>1</v>
      </c>
      <c r="D228" s="1" cm="1">
        <f t="array" ref="D228">IF(ISBLANK($E229),IF(ISNUMBER($E227),IF($C228&gt;0,IF(($E228=INDEX(_xlfn.ANCHORARRAY(Sintesi!$C$14),1,$C228))*(INDEX(_xlfn.ANCHORARRAY(Sintesi!$C$15),1,$C228)&gt;0),0,IF(($E228=INDEX(_xlfn.ANCHORARRAY(Sintesi!$C$14),1,$C228))*(INDEX(_xlfn.ANCHORARRAY(Sintesi!$C$15),1,$C228)&lt;0)+($E228&gt;=$E227)*($E228&lt;=INDEX($E:$E,MATCH(TRUE,INDEX((ISNUMBER($E:$E)),0),0)))*($E228&gt;INDEX(_xlfn.ANCHORARRAY(Sintesi!$C$14),1,$C228))*($E228&lt;=INDEX(_xlfn.ANCHORARRAY(Sintesi!$C$15),1,$C228))*(INDEX(_xlfn.ANCHORARRAY(Sintesi!$C$15),1,$C228)&gt;0),1,IF(($E228&gt;=$E227)*($E228&lt;=INDEX($E:$E,MATCH(TRUE,INDEX((ISNUMBER($E:$E)),0),0)))*($E228&gt;INDEX(_xlfn.ANCHORARRAY(Sintesi!$C$14),1,$C228))*($E228&lt;INDEX(_xlfn.ANCHORARRAY(Sintesi!$C$16),1,$C228))*(INDEX(_xlfn.ANCHORARRAY(Sintesi!$C$15),1,$C228)&lt;0)+($E228&gt;=$E227)*($E228&lt;=INDEX($E:$E,MATCH(TRUE,INDEX((ISNUMBER($E:$E)),0),0)))*($E228&gt;INDEX(_xlfn.ANCHORARRAY(Sintesi!$C$15),1,$C228))*($E228&lt;INDEX(_xlfn.ANCHORARRAY(Sintesi!$C$16),1,$C228))*(INDEX(_xlfn.ANCHORARRAY(Sintesi!$C$15),1,$C228)&gt;0),2,IF($E228=(INDEX(_xlfn.ANCHORARRAY(Sintesi!$C$16),1,$C228)),3,4)))),0),IF($C228&gt;0,IF(($E228=INDEX(_xlfn.ANCHORARRAY(Sintesi!$C$14),1,$C228))*(INDEX(_xlfn.ANCHORARRAY(Sintesi!$C$15),1,$C228)&gt;0),0,IF(($E228=INDEX(_xlfn.ANCHORARRAY(Sintesi!$C$14),1,$C228))*(INDEX(_xlfn.ANCHORARRAY(Sintesi!$C$15),1,$C228)&lt;0)+($E228&gt;=LOOKUP(2,1/($E:$E&lt;&gt;""),$E:$E))*($E228&lt;=INDEX($E:$E,MATCH(TRUE,INDEX((ISNUMBER($E:$E)),0),0)))*($E228&gt;INDEX(_xlfn.ANCHORARRAY(Sintesi!$C$14),1,$C228))*($E228&lt;=INDEX(_xlfn.ANCHORARRAY(Sintesi!$C$15),1,$C228))*(INDEX(_xlfn.ANCHORARRAY(Sintesi!$C$15),1,$C228)&gt;0),1,IF(($E228&gt;=LOOKUP(2,1/($E:$E&lt;&gt;""),$E:$E))*($E228&lt;=INDEX($E:$E,MATCH(TRUE,INDEX((ISNUMBER($E:$E)),0),0)))*($E228&gt;INDEX(_xlfn.ANCHORARRAY(Sintesi!$C$14),1,$C228))*($E228&lt;INDEX(_xlfn.ANCHORARRAY(Sintesi!$C$16),1,$C228))*(INDEX(_xlfn.ANCHORARRAY(Sintesi!$C$15),1,$C228)&lt;0)+($E228&gt;=LOOKUP(2,1/($E:$E&lt;&gt;""),$E:$E))*($E228&lt;=INDEX($E:$E,MATCH(TRUE,INDEX((ISNUMBER($E:$E)),0),0)))*($E228&gt;INDEX(_xlfn.ANCHORARRAY(Sintesi!$C$15),1,$C228))*($E228&lt;INDEX(_xlfn.ANCHORARRAY(Sintesi!$C$16),1,$C228))*(INDEX(_xlfn.ANCHORARRAY(Sintesi!$C$15),1,$C228)&gt;0),2,IF($E228=(INDEX(_xlfn.ANCHORARRAY(Sintesi!$C$16),1,$C228)),3,4)))),0)),IF(ISNUMBER($E227),IF($C228&gt;0,IF(($E228=INDEX(_xlfn.ANCHORARRAY(Sintesi!$C$14),1,$C228))*(INDEX(_xlfn.ANCHORARRAY(Sintesi!$C$15),1,$C228)&gt;0),0,IF(($E228=INDEX(_xlfn.ANCHORARRAY(Sintesi!$C$14),1,$C228))*(INDEX(_xlfn.ANCHORARRAY(Sintesi!$C$15),1,$C228)&lt;0)+($E228&gt;=$E227)*($E228&lt;=$E229)*($E228&gt;INDEX(_xlfn.ANCHORARRAY(Sintesi!$C$14),1,$C228))*($E228&lt;=INDEX(_xlfn.ANCHORARRAY(Sintesi!$C$15),1,$C228))*(INDEX(_xlfn.ANCHORARRAY(Sintesi!$C$15),1,$C228)&gt;0),1,IF(($E228&gt;=$E227)*($E228&lt;=$E229)*($E228&gt;INDEX(_xlfn.ANCHORARRAY(Sintesi!$C$14),1,$C228))*($E228&lt;INDEX(_xlfn.ANCHORARRAY(Sintesi!$C$16),1,$C228))*(INDEX(_xlfn.ANCHORARRAY(Sintesi!$C$15),1,$C228)&lt;0)+($E228&gt;=$E227)*($E228&lt;=$E229)*($E228&gt;INDEX(_xlfn.ANCHORARRAY(Sintesi!$C$15),1,$C228))*($E228&lt;INDEX(_xlfn.ANCHORARRAY(Sintesi!$C$16),1,$C228))*(INDEX(_xlfn.ANCHORARRAY(Sintesi!$C$15),1,$C228)&gt;0),2,IF($E228=(INDEX(_xlfn.ANCHORARRAY(Sintesi!$C$16),1,$C228)),3,4)))),0),IF($C228&gt;0,IF(($E228=INDEX(_xlfn.ANCHORARRAY(Sintesi!$C$14),1,$C228))*(INDEX(_xlfn.ANCHORARRAY(Sintesi!$C$15),1,$C228)&gt;0),0,IF(($E228=INDEX(_xlfn.ANCHORARRAY(Sintesi!$C$14),1,$C228))*(INDEX(_xlfn.ANCHORARRAY(Sintesi!$C$15),1,$C228)&lt;0)+($E228&gt;=LOOKUP(2,1/($E:$E&lt;&gt;""),$E:$E))*($E228&lt;=$E229)*($E228&gt;INDEX(_xlfn.ANCHORARRAY(Sintesi!$C$14),1,$C228))*($E228&lt;=INDEX(_xlfn.ANCHORARRAY(Sintesi!$C$15),1,$C228))*(INDEX(_xlfn.ANCHORARRAY(Sintesi!$C$15),1,$C228)&gt;0),1,IF(($E228&gt;=LOOKUP(2,1/($E:$E&lt;&gt;""),$E:$E))*($E228&lt;=$E229)*($E228&gt;INDEX(_xlfn.ANCHORARRAY(Sintesi!$C$14),1,$C228))*($E228&lt;INDEX(_xlfn.ANCHORARRAY(Sintesi!$C$16),1,$C228))*(INDEX(_xlfn.ANCHORARRAY(Sintesi!$C$15),1,$C228)&lt;0)+($E228&gt;=LOOKUP(2,1/($E:$E&lt;&gt;""),$E:$E))*($E228&lt;=$E229)*($E228&gt;INDEX(_xlfn.ANCHORARRAY(Sintesi!$C$15),1,$C228))*($E228&lt;INDEX(_xlfn.ANCHORARRAY(Sintesi!$C$16),1,$C228))*(INDEX(_xlfn.ANCHORARRAY(Sintesi!$C$15),1,$C228)&gt;0),2,IF($E228=(INDEX(_xlfn.ANCHORARRAY(Sintesi!$C$16),1,$C228)),3,4)))),0)))</f>
        <v>4</v>
      </c>
      <c r="E228" s="1">
        <f>'Paste cell here'!F228</f>
        <v>0.49099999999999999</v>
      </c>
      <c r="F228" s="1">
        <f>'Paste cell here'!C228</f>
        <v>37.36673493</v>
      </c>
      <c r="G228" s="1">
        <f>'Paste cell here'!D228</f>
        <v>21.497320269999999</v>
      </c>
      <c r="H228" s="1">
        <f>'Paste cell here'!E228</f>
        <v>5.5242605190000003</v>
      </c>
      <c r="I228" s="1">
        <f>'Paste cell here'!X228</f>
        <v>2.7123723160000002</v>
      </c>
      <c r="J228" s="1">
        <f>'Paste cell here'!Y228+'Paste cell here'!S228</f>
        <v>2.7123723160000002</v>
      </c>
      <c r="K228" s="1">
        <f t="shared" si="7"/>
        <v>0.49099283183172415</v>
      </c>
      <c r="L228" s="1">
        <f t="shared" si="6"/>
        <v>31.427123055207552</v>
      </c>
      <c r="M228" s="1" cm="1">
        <f t="array" ref="M228">IF(AND(A228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,A228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),IF(L228&lt;_xlfn.IFNA(INDEX(_xlfn.ANCHORARRAY(Sintesi!$C$17)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,1,IF(L228&gt;=_xlfn.IFNA(INDEX(_xlfn.ANCHORARRAY(Sintesi!$C$18)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,0,1-(L228-_xlfn.IFNA(INDEX(_xlfn.ANCHORARRAY(Sintesi!$C$17)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)/(_xlfn.IFNA(INDEX(_xlfn.ANCHORARRAY(Sintesi!$C$18)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-_xlfn.IFNA(INDEX(_xlfn.ANCHORARRAY(Sintesi!$C$17),1,MATCH(1,(_xlfn.ANCHORARRAY(Sintesi!$C$9)&gt;_xlfn.ANCHORARRAY(Sintesi!$C$10))*(A227&gt;=_xlfn.ANCHORARRAY(Sintesi!$C$9))+(_xlfn.ANCHORARRAY(Sintesi!$C$9)&gt;_xlfn.ANCHORARRAY(Sintesi!$C$10))*(A227&lt;=_xlfn.ANCHORARRAY(Sintesi!$C$10))+(_xlfn.ANCHORARRAY(Sintesi!$C$9)&lt;_xlfn.ANCHORARRAY(Sintesi!$C$10))*(A227&gt;=_xlfn.ANCHORARRAY(Sintesi!$C$9))*(A227&lt;=_xlfn.ANCHORARRAY(Sintesi!$C$10)),0)),0)))),0)</f>
        <v>0</v>
      </c>
    </row>
    <row r="229" spans="1:13">
      <c r="A229" s="1">
        <f>'Paste cell here'!A229</f>
        <v>228</v>
      </c>
      <c r="B229" s="2">
        <f>DATE(Sintesi!$C$4-1,12,31)+A229</f>
        <v>44424</v>
      </c>
      <c r="C229" s="34" cm="1">
        <f t="array" ref="C229">_xlfn.IFNA(MATCH(1,(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)*(_xlfn.ANCHORARRAY(Sintesi!$C$15)&gt;=0)+(_xlfn.ANCHORARRAY(Sintesi!$C$15)&lt;0),0),0)</f>
        <v>1</v>
      </c>
      <c r="D229" s="1" cm="1">
        <f t="array" ref="D229">IF(ISBLANK($E230),IF(ISNUMBER($E228),IF($C229&gt;0,IF(($E229=INDEX(_xlfn.ANCHORARRAY(Sintesi!$C$14),1,$C229))*(INDEX(_xlfn.ANCHORARRAY(Sintesi!$C$15),1,$C229)&gt;0),0,IF(($E229=INDEX(_xlfn.ANCHORARRAY(Sintesi!$C$14),1,$C229))*(INDEX(_xlfn.ANCHORARRAY(Sintesi!$C$15),1,$C229)&lt;0)+($E229&gt;=$E228)*($E229&lt;=INDEX($E:$E,MATCH(TRUE,INDEX((ISNUMBER($E:$E)),0),0)))*($E229&gt;INDEX(_xlfn.ANCHORARRAY(Sintesi!$C$14),1,$C229))*($E229&lt;=INDEX(_xlfn.ANCHORARRAY(Sintesi!$C$15),1,$C229))*(INDEX(_xlfn.ANCHORARRAY(Sintesi!$C$15),1,$C229)&gt;0),1,IF(($E229&gt;=$E228)*($E229&lt;=INDEX($E:$E,MATCH(TRUE,INDEX((ISNUMBER($E:$E)),0),0)))*($E229&gt;INDEX(_xlfn.ANCHORARRAY(Sintesi!$C$14),1,$C229))*($E229&lt;INDEX(_xlfn.ANCHORARRAY(Sintesi!$C$16),1,$C229))*(INDEX(_xlfn.ANCHORARRAY(Sintesi!$C$15),1,$C229)&lt;0)+($E229&gt;=$E228)*($E229&lt;=INDEX($E:$E,MATCH(TRUE,INDEX((ISNUMBER($E:$E)),0),0)))*($E229&gt;INDEX(_xlfn.ANCHORARRAY(Sintesi!$C$15),1,$C229))*($E229&lt;INDEX(_xlfn.ANCHORARRAY(Sintesi!$C$16),1,$C229))*(INDEX(_xlfn.ANCHORARRAY(Sintesi!$C$15),1,$C229)&gt;0),2,IF($E229=(INDEX(_xlfn.ANCHORARRAY(Sintesi!$C$16),1,$C229)),3,4)))),0),IF($C229&gt;0,IF(($E229=INDEX(_xlfn.ANCHORARRAY(Sintesi!$C$14),1,$C229))*(INDEX(_xlfn.ANCHORARRAY(Sintesi!$C$15),1,$C229)&gt;0),0,IF(($E229=INDEX(_xlfn.ANCHORARRAY(Sintesi!$C$14),1,$C229))*(INDEX(_xlfn.ANCHORARRAY(Sintesi!$C$15),1,$C229)&lt;0)+($E229&gt;=LOOKUP(2,1/($E:$E&lt;&gt;""),$E:$E))*($E229&lt;=INDEX($E:$E,MATCH(TRUE,INDEX((ISNUMBER($E:$E)),0),0)))*($E229&gt;INDEX(_xlfn.ANCHORARRAY(Sintesi!$C$14),1,$C229))*($E229&lt;=INDEX(_xlfn.ANCHORARRAY(Sintesi!$C$15),1,$C229))*(INDEX(_xlfn.ANCHORARRAY(Sintesi!$C$15),1,$C229)&gt;0),1,IF(($E229&gt;=LOOKUP(2,1/($E:$E&lt;&gt;""),$E:$E))*($E229&lt;=INDEX($E:$E,MATCH(TRUE,INDEX((ISNUMBER($E:$E)),0),0)))*($E229&gt;INDEX(_xlfn.ANCHORARRAY(Sintesi!$C$14),1,$C229))*($E229&lt;INDEX(_xlfn.ANCHORARRAY(Sintesi!$C$16),1,$C229))*(INDEX(_xlfn.ANCHORARRAY(Sintesi!$C$15),1,$C229)&lt;0)+($E229&gt;=LOOKUP(2,1/($E:$E&lt;&gt;""),$E:$E))*($E229&lt;=INDEX($E:$E,MATCH(TRUE,INDEX((ISNUMBER($E:$E)),0),0)))*($E229&gt;INDEX(_xlfn.ANCHORARRAY(Sintesi!$C$15),1,$C229))*($E229&lt;INDEX(_xlfn.ANCHORARRAY(Sintesi!$C$16),1,$C229))*(INDEX(_xlfn.ANCHORARRAY(Sintesi!$C$15),1,$C229)&gt;0),2,IF($E229=(INDEX(_xlfn.ANCHORARRAY(Sintesi!$C$16),1,$C229)),3,4)))),0)),IF(ISNUMBER($E228),IF($C229&gt;0,IF(($E229=INDEX(_xlfn.ANCHORARRAY(Sintesi!$C$14),1,$C229))*(INDEX(_xlfn.ANCHORARRAY(Sintesi!$C$15),1,$C229)&gt;0),0,IF(($E229=INDEX(_xlfn.ANCHORARRAY(Sintesi!$C$14),1,$C229))*(INDEX(_xlfn.ANCHORARRAY(Sintesi!$C$15),1,$C229)&lt;0)+($E229&gt;=$E228)*($E229&lt;=$E230)*($E229&gt;INDEX(_xlfn.ANCHORARRAY(Sintesi!$C$14),1,$C229))*($E229&lt;=INDEX(_xlfn.ANCHORARRAY(Sintesi!$C$15),1,$C229))*(INDEX(_xlfn.ANCHORARRAY(Sintesi!$C$15),1,$C229)&gt;0),1,IF(($E229&gt;=$E228)*($E229&lt;=$E230)*($E229&gt;INDEX(_xlfn.ANCHORARRAY(Sintesi!$C$14),1,$C229))*($E229&lt;INDEX(_xlfn.ANCHORARRAY(Sintesi!$C$16),1,$C229))*(INDEX(_xlfn.ANCHORARRAY(Sintesi!$C$15),1,$C229)&lt;0)+($E229&gt;=$E228)*($E229&lt;=$E230)*($E229&gt;INDEX(_xlfn.ANCHORARRAY(Sintesi!$C$15),1,$C229))*($E229&lt;INDEX(_xlfn.ANCHORARRAY(Sintesi!$C$16),1,$C229))*(INDEX(_xlfn.ANCHORARRAY(Sintesi!$C$15),1,$C229)&gt;0),2,IF($E229=(INDEX(_xlfn.ANCHORARRAY(Sintesi!$C$16),1,$C229)),3,4)))),0),IF($C229&gt;0,IF(($E229=INDEX(_xlfn.ANCHORARRAY(Sintesi!$C$14),1,$C229))*(INDEX(_xlfn.ANCHORARRAY(Sintesi!$C$15),1,$C229)&gt;0),0,IF(($E229=INDEX(_xlfn.ANCHORARRAY(Sintesi!$C$14),1,$C229))*(INDEX(_xlfn.ANCHORARRAY(Sintesi!$C$15),1,$C229)&lt;0)+($E229&gt;=LOOKUP(2,1/($E:$E&lt;&gt;""),$E:$E))*($E229&lt;=$E230)*($E229&gt;INDEX(_xlfn.ANCHORARRAY(Sintesi!$C$14),1,$C229))*($E229&lt;=INDEX(_xlfn.ANCHORARRAY(Sintesi!$C$15),1,$C229))*(INDEX(_xlfn.ANCHORARRAY(Sintesi!$C$15),1,$C229)&gt;0),1,IF(($E229&gt;=LOOKUP(2,1/($E:$E&lt;&gt;""),$E:$E))*($E229&lt;=$E230)*($E229&gt;INDEX(_xlfn.ANCHORARRAY(Sintesi!$C$14),1,$C229))*($E229&lt;INDEX(_xlfn.ANCHORARRAY(Sintesi!$C$16),1,$C229))*(INDEX(_xlfn.ANCHORARRAY(Sintesi!$C$15),1,$C229)&lt;0)+($E229&gt;=LOOKUP(2,1/($E:$E&lt;&gt;""),$E:$E))*($E229&lt;=$E230)*($E229&gt;INDEX(_xlfn.ANCHORARRAY(Sintesi!$C$15),1,$C229))*($E229&lt;INDEX(_xlfn.ANCHORARRAY(Sintesi!$C$16),1,$C229))*(INDEX(_xlfn.ANCHORARRAY(Sintesi!$C$15),1,$C229)&gt;0),2,IF($E229=(INDEX(_xlfn.ANCHORARRAY(Sintesi!$C$16),1,$C229)),3,4)))),0)))</f>
        <v>4</v>
      </c>
      <c r="E229" s="1">
        <f>'Paste cell here'!F229</f>
        <v>0.44900000000000001</v>
      </c>
      <c r="F229" s="1">
        <f>'Paste cell here'!C229</f>
        <v>34.895204100000001</v>
      </c>
      <c r="G229" s="1">
        <f>'Paste cell here'!D229</f>
        <v>17.555999809999999</v>
      </c>
      <c r="H229" s="1">
        <f>'Paste cell here'!E229</f>
        <v>5.2516555890000003</v>
      </c>
      <c r="I229" s="1">
        <f>'Paste cell here'!X229</f>
        <v>2.3579612659999998</v>
      </c>
      <c r="J229" s="1">
        <f>'Paste cell here'!Y229+'Paste cell here'!S229</f>
        <v>2.3579612659999998</v>
      </c>
      <c r="K229" s="1">
        <f t="shared" si="7"/>
        <v>0.44899388888695069</v>
      </c>
      <c r="L229" s="1">
        <f t="shared" si="6"/>
        <v>28.405478681209029</v>
      </c>
      <c r="M229" s="1" cm="1">
        <f t="array" ref="M229">IF(AND(A229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,A229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),IF(L229&lt;_xlfn.IFNA(INDEX(_xlfn.ANCHORARRAY(Sintesi!$C$17)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,1,IF(L229&gt;=_xlfn.IFNA(INDEX(_xlfn.ANCHORARRAY(Sintesi!$C$18)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,0,1-(L229-_xlfn.IFNA(INDEX(_xlfn.ANCHORARRAY(Sintesi!$C$17)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)/(_xlfn.IFNA(INDEX(_xlfn.ANCHORARRAY(Sintesi!$C$18)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-_xlfn.IFNA(INDEX(_xlfn.ANCHORARRAY(Sintesi!$C$17),1,MATCH(1,(_xlfn.ANCHORARRAY(Sintesi!$C$9)&gt;_xlfn.ANCHORARRAY(Sintesi!$C$10))*(A228&gt;=_xlfn.ANCHORARRAY(Sintesi!$C$9))+(_xlfn.ANCHORARRAY(Sintesi!$C$9)&gt;_xlfn.ANCHORARRAY(Sintesi!$C$10))*(A228&lt;=_xlfn.ANCHORARRAY(Sintesi!$C$10))+(_xlfn.ANCHORARRAY(Sintesi!$C$9)&lt;_xlfn.ANCHORARRAY(Sintesi!$C$10))*(A228&gt;=_xlfn.ANCHORARRAY(Sintesi!$C$9))*(A228&lt;=_xlfn.ANCHORARRAY(Sintesi!$C$10)),0)),0)))),0)</f>
        <v>0</v>
      </c>
    </row>
    <row r="230" spans="1:13">
      <c r="A230" s="1">
        <f>'Paste cell here'!A230</f>
        <v>229</v>
      </c>
      <c r="B230" s="2">
        <f>DATE(Sintesi!$C$4-1,12,31)+A230</f>
        <v>44425</v>
      </c>
      <c r="C230" s="34" cm="1">
        <f t="array" ref="C230">_xlfn.IFNA(MATCH(1,(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)*(_xlfn.ANCHORARRAY(Sintesi!$C$15)&gt;=0)+(_xlfn.ANCHORARRAY(Sintesi!$C$15)&lt;0),0),0)</f>
        <v>1</v>
      </c>
      <c r="D230" s="1" cm="1">
        <f t="array" ref="D230">IF(ISBLANK($E231),IF(ISNUMBER($E229),IF($C230&gt;0,IF(($E230=INDEX(_xlfn.ANCHORARRAY(Sintesi!$C$14),1,$C230))*(INDEX(_xlfn.ANCHORARRAY(Sintesi!$C$15),1,$C230)&gt;0),0,IF(($E230=INDEX(_xlfn.ANCHORARRAY(Sintesi!$C$14),1,$C230))*(INDEX(_xlfn.ANCHORARRAY(Sintesi!$C$15),1,$C230)&lt;0)+($E230&gt;=$E229)*($E230&lt;=INDEX($E:$E,MATCH(TRUE,INDEX((ISNUMBER($E:$E)),0),0)))*($E230&gt;INDEX(_xlfn.ANCHORARRAY(Sintesi!$C$14),1,$C230))*($E230&lt;=INDEX(_xlfn.ANCHORARRAY(Sintesi!$C$15),1,$C230))*(INDEX(_xlfn.ANCHORARRAY(Sintesi!$C$15),1,$C230)&gt;0),1,IF(($E230&gt;=$E229)*($E230&lt;=INDEX($E:$E,MATCH(TRUE,INDEX((ISNUMBER($E:$E)),0),0)))*($E230&gt;INDEX(_xlfn.ANCHORARRAY(Sintesi!$C$14),1,$C230))*($E230&lt;INDEX(_xlfn.ANCHORARRAY(Sintesi!$C$16),1,$C230))*(INDEX(_xlfn.ANCHORARRAY(Sintesi!$C$15),1,$C230)&lt;0)+($E230&gt;=$E229)*($E230&lt;=INDEX($E:$E,MATCH(TRUE,INDEX((ISNUMBER($E:$E)),0),0)))*($E230&gt;INDEX(_xlfn.ANCHORARRAY(Sintesi!$C$15),1,$C230))*($E230&lt;INDEX(_xlfn.ANCHORARRAY(Sintesi!$C$16),1,$C230))*(INDEX(_xlfn.ANCHORARRAY(Sintesi!$C$15),1,$C230)&gt;0),2,IF($E230=(INDEX(_xlfn.ANCHORARRAY(Sintesi!$C$16),1,$C230)),3,4)))),0),IF($C230&gt;0,IF(($E230=INDEX(_xlfn.ANCHORARRAY(Sintesi!$C$14),1,$C230))*(INDEX(_xlfn.ANCHORARRAY(Sintesi!$C$15),1,$C230)&gt;0),0,IF(($E230=INDEX(_xlfn.ANCHORARRAY(Sintesi!$C$14),1,$C230))*(INDEX(_xlfn.ANCHORARRAY(Sintesi!$C$15),1,$C230)&lt;0)+($E230&gt;=LOOKUP(2,1/($E:$E&lt;&gt;""),$E:$E))*($E230&lt;=INDEX($E:$E,MATCH(TRUE,INDEX((ISNUMBER($E:$E)),0),0)))*($E230&gt;INDEX(_xlfn.ANCHORARRAY(Sintesi!$C$14),1,$C230))*($E230&lt;=INDEX(_xlfn.ANCHORARRAY(Sintesi!$C$15),1,$C230))*(INDEX(_xlfn.ANCHORARRAY(Sintesi!$C$15),1,$C230)&gt;0),1,IF(($E230&gt;=LOOKUP(2,1/($E:$E&lt;&gt;""),$E:$E))*($E230&lt;=INDEX($E:$E,MATCH(TRUE,INDEX((ISNUMBER($E:$E)),0),0)))*($E230&gt;INDEX(_xlfn.ANCHORARRAY(Sintesi!$C$14),1,$C230))*($E230&lt;INDEX(_xlfn.ANCHORARRAY(Sintesi!$C$16),1,$C230))*(INDEX(_xlfn.ANCHORARRAY(Sintesi!$C$15),1,$C230)&lt;0)+($E230&gt;=LOOKUP(2,1/($E:$E&lt;&gt;""),$E:$E))*($E230&lt;=INDEX($E:$E,MATCH(TRUE,INDEX((ISNUMBER($E:$E)),0),0)))*($E230&gt;INDEX(_xlfn.ANCHORARRAY(Sintesi!$C$15),1,$C230))*($E230&lt;INDEX(_xlfn.ANCHORARRAY(Sintesi!$C$16),1,$C230))*(INDEX(_xlfn.ANCHORARRAY(Sintesi!$C$15),1,$C230)&gt;0),2,IF($E230=(INDEX(_xlfn.ANCHORARRAY(Sintesi!$C$16),1,$C230)),3,4)))),0)),IF(ISNUMBER($E229),IF($C230&gt;0,IF(($E230=INDEX(_xlfn.ANCHORARRAY(Sintesi!$C$14),1,$C230))*(INDEX(_xlfn.ANCHORARRAY(Sintesi!$C$15),1,$C230)&gt;0),0,IF(($E230=INDEX(_xlfn.ANCHORARRAY(Sintesi!$C$14),1,$C230))*(INDEX(_xlfn.ANCHORARRAY(Sintesi!$C$15),1,$C230)&lt;0)+($E230&gt;=$E229)*($E230&lt;=$E231)*($E230&gt;INDEX(_xlfn.ANCHORARRAY(Sintesi!$C$14),1,$C230))*($E230&lt;=INDEX(_xlfn.ANCHORARRAY(Sintesi!$C$15),1,$C230))*(INDEX(_xlfn.ANCHORARRAY(Sintesi!$C$15),1,$C230)&gt;0),1,IF(($E230&gt;=$E229)*($E230&lt;=$E231)*($E230&gt;INDEX(_xlfn.ANCHORARRAY(Sintesi!$C$14),1,$C230))*($E230&lt;INDEX(_xlfn.ANCHORARRAY(Sintesi!$C$16),1,$C230))*(INDEX(_xlfn.ANCHORARRAY(Sintesi!$C$15),1,$C230)&lt;0)+($E230&gt;=$E229)*($E230&lt;=$E231)*($E230&gt;INDEX(_xlfn.ANCHORARRAY(Sintesi!$C$15),1,$C230))*($E230&lt;INDEX(_xlfn.ANCHORARRAY(Sintesi!$C$16),1,$C230))*(INDEX(_xlfn.ANCHORARRAY(Sintesi!$C$15),1,$C230)&gt;0),2,IF($E230=(INDEX(_xlfn.ANCHORARRAY(Sintesi!$C$16),1,$C230)),3,4)))),0),IF($C230&gt;0,IF(($E230=INDEX(_xlfn.ANCHORARRAY(Sintesi!$C$14),1,$C230))*(INDEX(_xlfn.ANCHORARRAY(Sintesi!$C$15),1,$C230)&gt;0),0,IF(($E230=INDEX(_xlfn.ANCHORARRAY(Sintesi!$C$14),1,$C230))*(INDEX(_xlfn.ANCHORARRAY(Sintesi!$C$15),1,$C230)&lt;0)+($E230&gt;=LOOKUP(2,1/($E:$E&lt;&gt;""),$E:$E))*($E230&lt;=$E231)*($E230&gt;INDEX(_xlfn.ANCHORARRAY(Sintesi!$C$14),1,$C230))*($E230&lt;=INDEX(_xlfn.ANCHORARRAY(Sintesi!$C$15),1,$C230))*(INDEX(_xlfn.ANCHORARRAY(Sintesi!$C$15),1,$C230)&gt;0),1,IF(($E230&gt;=LOOKUP(2,1/($E:$E&lt;&gt;""),$E:$E))*($E230&lt;=$E231)*($E230&gt;INDEX(_xlfn.ANCHORARRAY(Sintesi!$C$14),1,$C230))*($E230&lt;INDEX(_xlfn.ANCHORARRAY(Sintesi!$C$16),1,$C230))*(INDEX(_xlfn.ANCHORARRAY(Sintesi!$C$15),1,$C230)&lt;0)+($E230&gt;=LOOKUP(2,1/($E:$E&lt;&gt;""),$E:$E))*($E230&lt;=$E231)*($E230&gt;INDEX(_xlfn.ANCHORARRAY(Sintesi!$C$15),1,$C230))*($E230&lt;INDEX(_xlfn.ANCHORARRAY(Sintesi!$C$16),1,$C230))*(INDEX(_xlfn.ANCHORARRAY(Sintesi!$C$15),1,$C230)&gt;0),2,IF($E230=(INDEX(_xlfn.ANCHORARRAY(Sintesi!$C$16),1,$C230)),3,4)))),0)))</f>
        <v>4</v>
      </c>
      <c r="E230" s="1">
        <f>'Paste cell here'!F230</f>
        <v>0.40600000000000003</v>
      </c>
      <c r="F230" s="1">
        <f>'Paste cell here'!C230</f>
        <v>31.538750589999999</v>
      </c>
      <c r="G230" s="1">
        <f>'Paste cell here'!D230</f>
        <v>15.999268710000001</v>
      </c>
      <c r="H230" s="1">
        <f>'Paste cell here'!E230</f>
        <v>5.0855443449999997</v>
      </c>
      <c r="I230" s="1">
        <f>'Paste cell here'!X230</f>
        <v>2.0647048379999999</v>
      </c>
      <c r="J230" s="1">
        <f>'Paste cell here'!Y230+'Paste cell here'!S230</f>
        <v>2.0647048379999999</v>
      </c>
      <c r="K230" s="1">
        <f t="shared" si="7"/>
        <v>0.40599485481430797</v>
      </c>
      <c r="L230" s="1">
        <f t="shared" si="6"/>
        <v>25.722626109037574</v>
      </c>
      <c r="M230" s="1" cm="1">
        <f t="array" ref="M230">IF(AND(A230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,A230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),IF(L230&lt;_xlfn.IFNA(INDEX(_xlfn.ANCHORARRAY(Sintesi!$C$17)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,1,IF(L230&gt;=_xlfn.IFNA(INDEX(_xlfn.ANCHORARRAY(Sintesi!$C$18)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,0,1-(L230-_xlfn.IFNA(INDEX(_xlfn.ANCHORARRAY(Sintesi!$C$17)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)/(_xlfn.IFNA(INDEX(_xlfn.ANCHORARRAY(Sintesi!$C$18)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-_xlfn.IFNA(INDEX(_xlfn.ANCHORARRAY(Sintesi!$C$17),1,MATCH(1,(_xlfn.ANCHORARRAY(Sintesi!$C$9)&gt;_xlfn.ANCHORARRAY(Sintesi!$C$10))*(A229&gt;=_xlfn.ANCHORARRAY(Sintesi!$C$9))+(_xlfn.ANCHORARRAY(Sintesi!$C$9)&gt;_xlfn.ANCHORARRAY(Sintesi!$C$10))*(A229&lt;=_xlfn.ANCHORARRAY(Sintesi!$C$10))+(_xlfn.ANCHORARRAY(Sintesi!$C$9)&lt;_xlfn.ANCHORARRAY(Sintesi!$C$10))*(A229&gt;=_xlfn.ANCHORARRAY(Sintesi!$C$9))*(A229&lt;=_xlfn.ANCHORARRAY(Sintesi!$C$10)),0)),0)))),0)</f>
        <v>0</v>
      </c>
    </row>
    <row r="231" spans="1:13">
      <c r="A231" s="1">
        <f>'Paste cell here'!A231</f>
        <v>230</v>
      </c>
      <c r="B231" s="2">
        <f>DATE(Sintesi!$C$4-1,12,31)+A231</f>
        <v>44426</v>
      </c>
      <c r="C231" s="34" cm="1">
        <f t="array" ref="C231">_xlfn.IFNA(MATCH(1,(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)*(_xlfn.ANCHORARRAY(Sintesi!$C$15)&gt;=0)+(_xlfn.ANCHORARRAY(Sintesi!$C$15)&lt;0),0),0)</f>
        <v>1</v>
      </c>
      <c r="D231" s="1" cm="1">
        <f t="array" ref="D231">IF(ISBLANK($E232),IF(ISNUMBER($E230),IF($C231&gt;0,IF(($E231=INDEX(_xlfn.ANCHORARRAY(Sintesi!$C$14),1,$C231))*(INDEX(_xlfn.ANCHORARRAY(Sintesi!$C$15),1,$C231)&gt;0),0,IF(($E231=INDEX(_xlfn.ANCHORARRAY(Sintesi!$C$14),1,$C231))*(INDEX(_xlfn.ANCHORARRAY(Sintesi!$C$15),1,$C231)&lt;0)+($E231&gt;=$E230)*($E231&lt;=INDEX($E:$E,MATCH(TRUE,INDEX((ISNUMBER($E:$E)),0),0)))*($E231&gt;INDEX(_xlfn.ANCHORARRAY(Sintesi!$C$14),1,$C231))*($E231&lt;=INDEX(_xlfn.ANCHORARRAY(Sintesi!$C$15),1,$C231))*(INDEX(_xlfn.ANCHORARRAY(Sintesi!$C$15),1,$C231)&gt;0),1,IF(($E231&gt;=$E230)*($E231&lt;=INDEX($E:$E,MATCH(TRUE,INDEX((ISNUMBER($E:$E)),0),0)))*($E231&gt;INDEX(_xlfn.ANCHORARRAY(Sintesi!$C$14),1,$C231))*($E231&lt;INDEX(_xlfn.ANCHORARRAY(Sintesi!$C$16),1,$C231))*(INDEX(_xlfn.ANCHORARRAY(Sintesi!$C$15),1,$C231)&lt;0)+($E231&gt;=$E230)*($E231&lt;=INDEX($E:$E,MATCH(TRUE,INDEX((ISNUMBER($E:$E)),0),0)))*($E231&gt;INDEX(_xlfn.ANCHORARRAY(Sintesi!$C$15),1,$C231))*($E231&lt;INDEX(_xlfn.ANCHORARRAY(Sintesi!$C$16),1,$C231))*(INDEX(_xlfn.ANCHORARRAY(Sintesi!$C$15),1,$C231)&gt;0),2,IF($E231=(INDEX(_xlfn.ANCHORARRAY(Sintesi!$C$16),1,$C231)),3,4)))),0),IF($C231&gt;0,IF(($E231=INDEX(_xlfn.ANCHORARRAY(Sintesi!$C$14),1,$C231))*(INDEX(_xlfn.ANCHORARRAY(Sintesi!$C$15),1,$C231)&gt;0),0,IF(($E231=INDEX(_xlfn.ANCHORARRAY(Sintesi!$C$14),1,$C231))*(INDEX(_xlfn.ANCHORARRAY(Sintesi!$C$15),1,$C231)&lt;0)+($E231&gt;=LOOKUP(2,1/($E:$E&lt;&gt;""),$E:$E))*($E231&lt;=INDEX($E:$E,MATCH(TRUE,INDEX((ISNUMBER($E:$E)),0),0)))*($E231&gt;INDEX(_xlfn.ANCHORARRAY(Sintesi!$C$14),1,$C231))*($E231&lt;=INDEX(_xlfn.ANCHORARRAY(Sintesi!$C$15),1,$C231))*(INDEX(_xlfn.ANCHORARRAY(Sintesi!$C$15),1,$C231)&gt;0),1,IF(($E231&gt;=LOOKUP(2,1/($E:$E&lt;&gt;""),$E:$E))*($E231&lt;=INDEX($E:$E,MATCH(TRUE,INDEX((ISNUMBER($E:$E)),0),0)))*($E231&gt;INDEX(_xlfn.ANCHORARRAY(Sintesi!$C$14),1,$C231))*($E231&lt;INDEX(_xlfn.ANCHORARRAY(Sintesi!$C$16),1,$C231))*(INDEX(_xlfn.ANCHORARRAY(Sintesi!$C$15),1,$C231)&lt;0)+($E231&gt;=LOOKUP(2,1/($E:$E&lt;&gt;""),$E:$E))*($E231&lt;=INDEX($E:$E,MATCH(TRUE,INDEX((ISNUMBER($E:$E)),0),0)))*($E231&gt;INDEX(_xlfn.ANCHORARRAY(Sintesi!$C$15),1,$C231))*($E231&lt;INDEX(_xlfn.ANCHORARRAY(Sintesi!$C$16),1,$C231))*(INDEX(_xlfn.ANCHORARRAY(Sintesi!$C$15),1,$C231)&gt;0),2,IF($E231=(INDEX(_xlfn.ANCHORARRAY(Sintesi!$C$16),1,$C231)),3,4)))),0)),IF(ISNUMBER($E230),IF($C231&gt;0,IF(($E231=INDEX(_xlfn.ANCHORARRAY(Sintesi!$C$14),1,$C231))*(INDEX(_xlfn.ANCHORARRAY(Sintesi!$C$15),1,$C231)&gt;0),0,IF(($E231=INDEX(_xlfn.ANCHORARRAY(Sintesi!$C$14),1,$C231))*(INDEX(_xlfn.ANCHORARRAY(Sintesi!$C$15),1,$C231)&lt;0)+($E231&gt;=$E230)*($E231&lt;=$E232)*($E231&gt;INDEX(_xlfn.ANCHORARRAY(Sintesi!$C$14),1,$C231))*($E231&lt;=INDEX(_xlfn.ANCHORARRAY(Sintesi!$C$15),1,$C231))*(INDEX(_xlfn.ANCHORARRAY(Sintesi!$C$15),1,$C231)&gt;0),1,IF(($E231&gt;=$E230)*($E231&lt;=$E232)*($E231&gt;INDEX(_xlfn.ANCHORARRAY(Sintesi!$C$14),1,$C231))*($E231&lt;INDEX(_xlfn.ANCHORARRAY(Sintesi!$C$16),1,$C231))*(INDEX(_xlfn.ANCHORARRAY(Sintesi!$C$15),1,$C231)&lt;0)+($E231&gt;=$E230)*($E231&lt;=$E232)*($E231&gt;INDEX(_xlfn.ANCHORARRAY(Sintesi!$C$15),1,$C231))*($E231&lt;INDEX(_xlfn.ANCHORARRAY(Sintesi!$C$16),1,$C231))*(INDEX(_xlfn.ANCHORARRAY(Sintesi!$C$15),1,$C231)&gt;0),2,IF($E231=(INDEX(_xlfn.ANCHORARRAY(Sintesi!$C$16),1,$C231)),3,4)))),0),IF($C231&gt;0,IF(($E231=INDEX(_xlfn.ANCHORARRAY(Sintesi!$C$14),1,$C231))*(INDEX(_xlfn.ANCHORARRAY(Sintesi!$C$15),1,$C231)&gt;0),0,IF(($E231=INDEX(_xlfn.ANCHORARRAY(Sintesi!$C$14),1,$C231))*(INDEX(_xlfn.ANCHORARRAY(Sintesi!$C$15),1,$C231)&lt;0)+($E231&gt;=LOOKUP(2,1/($E:$E&lt;&gt;""),$E:$E))*($E231&lt;=$E232)*($E231&gt;INDEX(_xlfn.ANCHORARRAY(Sintesi!$C$14),1,$C231))*($E231&lt;=INDEX(_xlfn.ANCHORARRAY(Sintesi!$C$15),1,$C231))*(INDEX(_xlfn.ANCHORARRAY(Sintesi!$C$15),1,$C231)&gt;0),1,IF(($E231&gt;=LOOKUP(2,1/($E:$E&lt;&gt;""),$E:$E))*($E231&lt;=$E232)*($E231&gt;INDEX(_xlfn.ANCHORARRAY(Sintesi!$C$14),1,$C231))*($E231&lt;INDEX(_xlfn.ANCHORARRAY(Sintesi!$C$16),1,$C231))*(INDEX(_xlfn.ANCHORARRAY(Sintesi!$C$15),1,$C231)&lt;0)+($E231&gt;=LOOKUP(2,1/($E:$E&lt;&gt;""),$E:$E))*($E231&lt;=$E232)*($E231&gt;INDEX(_xlfn.ANCHORARRAY(Sintesi!$C$15),1,$C231))*($E231&lt;INDEX(_xlfn.ANCHORARRAY(Sintesi!$C$16),1,$C231))*(INDEX(_xlfn.ANCHORARRAY(Sintesi!$C$15),1,$C231)&gt;0),2,IF($E231=(INDEX(_xlfn.ANCHORARRAY(Sintesi!$C$16),1,$C231)),3,4)))),0)))</f>
        <v>4</v>
      </c>
      <c r="E231" s="1">
        <f>'Paste cell here'!F231</f>
        <v>0.36299999999999999</v>
      </c>
      <c r="F231" s="1">
        <f>'Paste cell here'!C231</f>
        <v>29.674543870000001</v>
      </c>
      <c r="G231" s="1">
        <f>'Paste cell here'!D231</f>
        <v>17.01749869</v>
      </c>
      <c r="H231" s="1">
        <f>'Paste cell here'!E231</f>
        <v>5.0498288499999999</v>
      </c>
      <c r="I231" s="1">
        <f>'Paste cell here'!X231</f>
        <v>1.83306627</v>
      </c>
      <c r="J231" s="1">
        <f>'Paste cell here'!Y231+'Paste cell here'!S231</f>
        <v>1.83306627</v>
      </c>
      <c r="K231" s="1">
        <f t="shared" si="7"/>
        <v>0.36299572212234482</v>
      </c>
      <c r="L231" s="1">
        <f t="shared" si="6"/>
        <v>24.937259133190906</v>
      </c>
      <c r="M231" s="1" cm="1">
        <f t="array" ref="M231">IF(AND(A231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,A231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),IF(L231&lt;_xlfn.IFNA(INDEX(_xlfn.ANCHORARRAY(Sintesi!$C$17)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,1,IF(L231&gt;=_xlfn.IFNA(INDEX(_xlfn.ANCHORARRAY(Sintesi!$C$18)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,0,1-(L231-_xlfn.IFNA(INDEX(_xlfn.ANCHORARRAY(Sintesi!$C$17)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)/(_xlfn.IFNA(INDEX(_xlfn.ANCHORARRAY(Sintesi!$C$18)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-_xlfn.IFNA(INDEX(_xlfn.ANCHORARRAY(Sintesi!$C$17),1,MATCH(1,(_xlfn.ANCHORARRAY(Sintesi!$C$9)&gt;_xlfn.ANCHORARRAY(Sintesi!$C$10))*(A230&gt;=_xlfn.ANCHORARRAY(Sintesi!$C$9))+(_xlfn.ANCHORARRAY(Sintesi!$C$9)&gt;_xlfn.ANCHORARRAY(Sintesi!$C$10))*(A230&lt;=_xlfn.ANCHORARRAY(Sintesi!$C$10))+(_xlfn.ANCHORARRAY(Sintesi!$C$9)&lt;_xlfn.ANCHORARRAY(Sintesi!$C$10))*(A230&gt;=_xlfn.ANCHORARRAY(Sintesi!$C$9))*(A230&lt;=_xlfn.ANCHORARRAY(Sintesi!$C$10)),0)),0)))),0)</f>
        <v>0</v>
      </c>
    </row>
    <row r="232" spans="1:13">
      <c r="A232" s="1">
        <f>'Paste cell here'!A232</f>
        <v>231</v>
      </c>
      <c r="B232" s="2">
        <f>DATE(Sintesi!$C$4-1,12,31)+A232</f>
        <v>44427</v>
      </c>
      <c r="C232" s="34" cm="1">
        <f t="array" ref="C232">_xlfn.IFNA(MATCH(1,(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)*(_xlfn.ANCHORARRAY(Sintesi!$C$15)&gt;=0)+(_xlfn.ANCHORARRAY(Sintesi!$C$15)&lt;0),0),0)</f>
        <v>1</v>
      </c>
      <c r="D232" s="1" cm="1">
        <f t="array" ref="D232">IF(ISBLANK($E233),IF(ISNUMBER($E231),IF($C232&gt;0,IF(($E232=INDEX(_xlfn.ANCHORARRAY(Sintesi!$C$14),1,$C232))*(INDEX(_xlfn.ANCHORARRAY(Sintesi!$C$15),1,$C232)&gt;0),0,IF(($E232=INDEX(_xlfn.ANCHORARRAY(Sintesi!$C$14),1,$C232))*(INDEX(_xlfn.ANCHORARRAY(Sintesi!$C$15),1,$C232)&lt;0)+($E232&gt;=$E231)*($E232&lt;=INDEX($E:$E,MATCH(TRUE,INDEX((ISNUMBER($E:$E)),0),0)))*($E232&gt;INDEX(_xlfn.ANCHORARRAY(Sintesi!$C$14),1,$C232))*($E232&lt;=INDEX(_xlfn.ANCHORARRAY(Sintesi!$C$15),1,$C232))*(INDEX(_xlfn.ANCHORARRAY(Sintesi!$C$15),1,$C232)&gt;0),1,IF(($E232&gt;=$E231)*($E232&lt;=INDEX($E:$E,MATCH(TRUE,INDEX((ISNUMBER($E:$E)),0),0)))*($E232&gt;INDEX(_xlfn.ANCHORARRAY(Sintesi!$C$14),1,$C232))*($E232&lt;INDEX(_xlfn.ANCHORARRAY(Sintesi!$C$16),1,$C232))*(INDEX(_xlfn.ANCHORARRAY(Sintesi!$C$15),1,$C232)&lt;0)+($E232&gt;=$E231)*($E232&lt;=INDEX($E:$E,MATCH(TRUE,INDEX((ISNUMBER($E:$E)),0),0)))*($E232&gt;INDEX(_xlfn.ANCHORARRAY(Sintesi!$C$15),1,$C232))*($E232&lt;INDEX(_xlfn.ANCHORARRAY(Sintesi!$C$16),1,$C232))*(INDEX(_xlfn.ANCHORARRAY(Sintesi!$C$15),1,$C232)&gt;0),2,IF($E232=(INDEX(_xlfn.ANCHORARRAY(Sintesi!$C$16),1,$C232)),3,4)))),0),IF($C232&gt;0,IF(($E232=INDEX(_xlfn.ANCHORARRAY(Sintesi!$C$14),1,$C232))*(INDEX(_xlfn.ANCHORARRAY(Sintesi!$C$15),1,$C232)&gt;0),0,IF(($E232=INDEX(_xlfn.ANCHORARRAY(Sintesi!$C$14),1,$C232))*(INDEX(_xlfn.ANCHORARRAY(Sintesi!$C$15),1,$C232)&lt;0)+($E232&gt;=LOOKUP(2,1/($E:$E&lt;&gt;""),$E:$E))*($E232&lt;=INDEX($E:$E,MATCH(TRUE,INDEX((ISNUMBER($E:$E)),0),0)))*($E232&gt;INDEX(_xlfn.ANCHORARRAY(Sintesi!$C$14),1,$C232))*($E232&lt;=INDEX(_xlfn.ANCHORARRAY(Sintesi!$C$15),1,$C232))*(INDEX(_xlfn.ANCHORARRAY(Sintesi!$C$15),1,$C232)&gt;0),1,IF(($E232&gt;=LOOKUP(2,1/($E:$E&lt;&gt;""),$E:$E))*($E232&lt;=INDEX($E:$E,MATCH(TRUE,INDEX((ISNUMBER($E:$E)),0),0)))*($E232&gt;INDEX(_xlfn.ANCHORARRAY(Sintesi!$C$14),1,$C232))*($E232&lt;INDEX(_xlfn.ANCHORARRAY(Sintesi!$C$16),1,$C232))*(INDEX(_xlfn.ANCHORARRAY(Sintesi!$C$15),1,$C232)&lt;0)+($E232&gt;=LOOKUP(2,1/($E:$E&lt;&gt;""),$E:$E))*($E232&lt;=INDEX($E:$E,MATCH(TRUE,INDEX((ISNUMBER($E:$E)),0),0)))*($E232&gt;INDEX(_xlfn.ANCHORARRAY(Sintesi!$C$15),1,$C232))*($E232&lt;INDEX(_xlfn.ANCHORARRAY(Sintesi!$C$16),1,$C232))*(INDEX(_xlfn.ANCHORARRAY(Sintesi!$C$15),1,$C232)&gt;0),2,IF($E232=(INDEX(_xlfn.ANCHORARRAY(Sintesi!$C$16),1,$C232)),3,4)))),0)),IF(ISNUMBER($E231),IF($C232&gt;0,IF(($E232=INDEX(_xlfn.ANCHORARRAY(Sintesi!$C$14),1,$C232))*(INDEX(_xlfn.ANCHORARRAY(Sintesi!$C$15),1,$C232)&gt;0),0,IF(($E232=INDEX(_xlfn.ANCHORARRAY(Sintesi!$C$14),1,$C232))*(INDEX(_xlfn.ANCHORARRAY(Sintesi!$C$15),1,$C232)&lt;0)+($E232&gt;=$E231)*($E232&lt;=$E233)*($E232&gt;INDEX(_xlfn.ANCHORARRAY(Sintesi!$C$14),1,$C232))*($E232&lt;=INDEX(_xlfn.ANCHORARRAY(Sintesi!$C$15),1,$C232))*(INDEX(_xlfn.ANCHORARRAY(Sintesi!$C$15),1,$C232)&gt;0),1,IF(($E232&gt;=$E231)*($E232&lt;=$E233)*($E232&gt;INDEX(_xlfn.ANCHORARRAY(Sintesi!$C$14),1,$C232))*($E232&lt;INDEX(_xlfn.ANCHORARRAY(Sintesi!$C$16),1,$C232))*(INDEX(_xlfn.ANCHORARRAY(Sintesi!$C$15),1,$C232)&lt;0)+($E232&gt;=$E231)*($E232&lt;=$E233)*($E232&gt;INDEX(_xlfn.ANCHORARRAY(Sintesi!$C$15),1,$C232))*($E232&lt;INDEX(_xlfn.ANCHORARRAY(Sintesi!$C$16),1,$C232))*(INDEX(_xlfn.ANCHORARRAY(Sintesi!$C$15),1,$C232)&gt;0),2,IF($E232=(INDEX(_xlfn.ANCHORARRAY(Sintesi!$C$16),1,$C232)),3,4)))),0),IF($C232&gt;0,IF(($E232=INDEX(_xlfn.ANCHORARRAY(Sintesi!$C$14),1,$C232))*(INDEX(_xlfn.ANCHORARRAY(Sintesi!$C$15),1,$C232)&gt;0),0,IF(($E232=INDEX(_xlfn.ANCHORARRAY(Sintesi!$C$14),1,$C232))*(INDEX(_xlfn.ANCHORARRAY(Sintesi!$C$15),1,$C232)&lt;0)+($E232&gt;=LOOKUP(2,1/($E:$E&lt;&gt;""),$E:$E))*($E232&lt;=$E233)*($E232&gt;INDEX(_xlfn.ANCHORARRAY(Sintesi!$C$14),1,$C232))*($E232&lt;=INDEX(_xlfn.ANCHORARRAY(Sintesi!$C$15),1,$C232))*(INDEX(_xlfn.ANCHORARRAY(Sintesi!$C$15),1,$C232)&gt;0),1,IF(($E232&gt;=LOOKUP(2,1/($E:$E&lt;&gt;""),$E:$E))*($E232&lt;=$E233)*($E232&gt;INDEX(_xlfn.ANCHORARRAY(Sintesi!$C$14),1,$C232))*($E232&lt;INDEX(_xlfn.ANCHORARRAY(Sintesi!$C$16),1,$C232))*(INDEX(_xlfn.ANCHORARRAY(Sintesi!$C$15),1,$C232)&lt;0)+($E232&gt;=LOOKUP(2,1/($E:$E&lt;&gt;""),$E:$E))*($E232&lt;=$E233)*($E232&gt;INDEX(_xlfn.ANCHORARRAY(Sintesi!$C$15),1,$C232))*($E232&lt;INDEX(_xlfn.ANCHORARRAY(Sintesi!$C$16),1,$C232))*(INDEX(_xlfn.ANCHORARRAY(Sintesi!$C$15),1,$C232)&gt;0),2,IF($E232=(INDEX(_xlfn.ANCHORARRAY(Sintesi!$C$16),1,$C232)),3,4)))),0)))</f>
        <v>4</v>
      </c>
      <c r="E232" s="1">
        <f>'Paste cell here'!F232</f>
        <v>0.32100000000000001</v>
      </c>
      <c r="F232" s="1">
        <f>'Paste cell here'!C232</f>
        <v>30.238750589999999</v>
      </c>
      <c r="G232" s="1">
        <f>'Paste cell here'!D232</f>
        <v>16.419928939999998</v>
      </c>
      <c r="H232" s="1">
        <f>'Paste cell here'!E232</f>
        <v>4.5479188510000004</v>
      </c>
      <c r="I232" s="1">
        <f>'Paste cell here'!X232</f>
        <v>1.4598659730000001</v>
      </c>
      <c r="J232" s="1">
        <f>'Paste cell here'!Y232+'Paste cell here'!S232</f>
        <v>1.4598659730000001</v>
      </c>
      <c r="K232" s="1">
        <f t="shared" si="7"/>
        <v>0.32099648670710196</v>
      </c>
      <c r="L232" s="1">
        <f t="shared" si="6"/>
        <v>25.066635617488537</v>
      </c>
      <c r="M232" s="1" cm="1">
        <f t="array" ref="M232">IF(AND(A232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,A232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),IF(L232&lt;_xlfn.IFNA(INDEX(_xlfn.ANCHORARRAY(Sintesi!$C$17)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,1,IF(L232&gt;=_xlfn.IFNA(INDEX(_xlfn.ANCHORARRAY(Sintesi!$C$18)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,0,1-(L232-_xlfn.IFNA(INDEX(_xlfn.ANCHORARRAY(Sintesi!$C$17)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)/(_xlfn.IFNA(INDEX(_xlfn.ANCHORARRAY(Sintesi!$C$18)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-_xlfn.IFNA(INDEX(_xlfn.ANCHORARRAY(Sintesi!$C$17),1,MATCH(1,(_xlfn.ANCHORARRAY(Sintesi!$C$9)&gt;_xlfn.ANCHORARRAY(Sintesi!$C$10))*(A231&gt;=_xlfn.ANCHORARRAY(Sintesi!$C$9))+(_xlfn.ANCHORARRAY(Sintesi!$C$9)&gt;_xlfn.ANCHORARRAY(Sintesi!$C$10))*(A231&lt;=_xlfn.ANCHORARRAY(Sintesi!$C$10))+(_xlfn.ANCHORARRAY(Sintesi!$C$9)&lt;_xlfn.ANCHORARRAY(Sintesi!$C$10))*(A231&gt;=_xlfn.ANCHORARRAY(Sintesi!$C$9))*(A231&lt;=_xlfn.ANCHORARRAY(Sintesi!$C$10)),0)),0)))),0)</f>
        <v>0</v>
      </c>
    </row>
    <row r="233" spans="1:13">
      <c r="A233" s="1">
        <f>'Paste cell here'!A233</f>
        <v>232</v>
      </c>
      <c r="B233" s="2">
        <f>DATE(Sintesi!$C$4-1,12,31)+A233</f>
        <v>44428</v>
      </c>
      <c r="C233" s="34" cm="1">
        <f t="array" ref="C233">_xlfn.IFNA(MATCH(1,(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)*(_xlfn.ANCHORARRAY(Sintesi!$C$15)&gt;=0)+(_xlfn.ANCHORARRAY(Sintesi!$C$15)&lt;0),0),0)</f>
        <v>1</v>
      </c>
      <c r="D233" s="1" cm="1">
        <f t="array" ref="D233">IF(ISBLANK($E234),IF(ISNUMBER($E232),IF($C233&gt;0,IF(($E233=INDEX(_xlfn.ANCHORARRAY(Sintesi!$C$14),1,$C233))*(INDEX(_xlfn.ANCHORARRAY(Sintesi!$C$15),1,$C233)&gt;0),0,IF(($E233=INDEX(_xlfn.ANCHORARRAY(Sintesi!$C$14),1,$C233))*(INDEX(_xlfn.ANCHORARRAY(Sintesi!$C$15),1,$C233)&lt;0)+($E233&gt;=$E232)*($E233&lt;=INDEX($E:$E,MATCH(TRUE,INDEX((ISNUMBER($E:$E)),0),0)))*($E233&gt;INDEX(_xlfn.ANCHORARRAY(Sintesi!$C$14),1,$C233))*($E233&lt;=INDEX(_xlfn.ANCHORARRAY(Sintesi!$C$15),1,$C233))*(INDEX(_xlfn.ANCHORARRAY(Sintesi!$C$15),1,$C233)&gt;0),1,IF(($E233&gt;=$E232)*($E233&lt;=INDEX($E:$E,MATCH(TRUE,INDEX((ISNUMBER($E:$E)),0),0)))*($E233&gt;INDEX(_xlfn.ANCHORARRAY(Sintesi!$C$14),1,$C233))*($E233&lt;INDEX(_xlfn.ANCHORARRAY(Sintesi!$C$16),1,$C233))*(INDEX(_xlfn.ANCHORARRAY(Sintesi!$C$15),1,$C233)&lt;0)+($E233&gt;=$E232)*($E233&lt;=INDEX($E:$E,MATCH(TRUE,INDEX((ISNUMBER($E:$E)),0),0)))*($E233&gt;INDEX(_xlfn.ANCHORARRAY(Sintesi!$C$15),1,$C233))*($E233&lt;INDEX(_xlfn.ANCHORARRAY(Sintesi!$C$16),1,$C233))*(INDEX(_xlfn.ANCHORARRAY(Sintesi!$C$15),1,$C233)&gt;0),2,IF($E233=(INDEX(_xlfn.ANCHORARRAY(Sintesi!$C$16),1,$C233)),3,4)))),0),IF($C233&gt;0,IF(($E233=INDEX(_xlfn.ANCHORARRAY(Sintesi!$C$14),1,$C233))*(INDEX(_xlfn.ANCHORARRAY(Sintesi!$C$15),1,$C233)&gt;0),0,IF(($E233=INDEX(_xlfn.ANCHORARRAY(Sintesi!$C$14),1,$C233))*(INDEX(_xlfn.ANCHORARRAY(Sintesi!$C$15),1,$C233)&lt;0)+($E233&gt;=LOOKUP(2,1/($E:$E&lt;&gt;""),$E:$E))*($E233&lt;=INDEX($E:$E,MATCH(TRUE,INDEX((ISNUMBER($E:$E)),0),0)))*($E233&gt;INDEX(_xlfn.ANCHORARRAY(Sintesi!$C$14),1,$C233))*($E233&lt;=INDEX(_xlfn.ANCHORARRAY(Sintesi!$C$15),1,$C233))*(INDEX(_xlfn.ANCHORARRAY(Sintesi!$C$15),1,$C233)&gt;0),1,IF(($E233&gt;=LOOKUP(2,1/($E:$E&lt;&gt;""),$E:$E))*($E233&lt;=INDEX($E:$E,MATCH(TRUE,INDEX((ISNUMBER($E:$E)),0),0)))*($E233&gt;INDEX(_xlfn.ANCHORARRAY(Sintesi!$C$14),1,$C233))*($E233&lt;INDEX(_xlfn.ANCHORARRAY(Sintesi!$C$16),1,$C233))*(INDEX(_xlfn.ANCHORARRAY(Sintesi!$C$15),1,$C233)&lt;0)+($E233&gt;=LOOKUP(2,1/($E:$E&lt;&gt;""),$E:$E))*($E233&lt;=INDEX($E:$E,MATCH(TRUE,INDEX((ISNUMBER($E:$E)),0),0)))*($E233&gt;INDEX(_xlfn.ANCHORARRAY(Sintesi!$C$15),1,$C233))*($E233&lt;INDEX(_xlfn.ANCHORARRAY(Sintesi!$C$16),1,$C233))*(INDEX(_xlfn.ANCHORARRAY(Sintesi!$C$15),1,$C233)&gt;0),2,IF($E233=(INDEX(_xlfn.ANCHORARRAY(Sintesi!$C$16),1,$C233)),3,4)))),0)),IF(ISNUMBER($E232),IF($C233&gt;0,IF(($E233=INDEX(_xlfn.ANCHORARRAY(Sintesi!$C$14),1,$C233))*(INDEX(_xlfn.ANCHORARRAY(Sintesi!$C$15),1,$C233)&gt;0),0,IF(($E233=INDEX(_xlfn.ANCHORARRAY(Sintesi!$C$14),1,$C233))*(INDEX(_xlfn.ANCHORARRAY(Sintesi!$C$15),1,$C233)&lt;0)+($E233&gt;=$E232)*($E233&lt;=$E234)*($E233&gt;INDEX(_xlfn.ANCHORARRAY(Sintesi!$C$14),1,$C233))*($E233&lt;=INDEX(_xlfn.ANCHORARRAY(Sintesi!$C$15),1,$C233))*(INDEX(_xlfn.ANCHORARRAY(Sintesi!$C$15),1,$C233)&gt;0),1,IF(($E233&gt;=$E232)*($E233&lt;=$E234)*($E233&gt;INDEX(_xlfn.ANCHORARRAY(Sintesi!$C$14),1,$C233))*($E233&lt;INDEX(_xlfn.ANCHORARRAY(Sintesi!$C$16),1,$C233))*(INDEX(_xlfn.ANCHORARRAY(Sintesi!$C$15),1,$C233)&lt;0)+($E233&gt;=$E232)*($E233&lt;=$E234)*($E233&gt;INDEX(_xlfn.ANCHORARRAY(Sintesi!$C$15),1,$C233))*($E233&lt;INDEX(_xlfn.ANCHORARRAY(Sintesi!$C$16),1,$C233))*(INDEX(_xlfn.ANCHORARRAY(Sintesi!$C$15),1,$C233)&gt;0),2,IF($E233=(INDEX(_xlfn.ANCHORARRAY(Sintesi!$C$16),1,$C233)),3,4)))),0),IF($C233&gt;0,IF(($E233=INDEX(_xlfn.ANCHORARRAY(Sintesi!$C$14),1,$C233))*(INDEX(_xlfn.ANCHORARRAY(Sintesi!$C$15),1,$C233)&gt;0),0,IF(($E233=INDEX(_xlfn.ANCHORARRAY(Sintesi!$C$14),1,$C233))*(INDEX(_xlfn.ANCHORARRAY(Sintesi!$C$15),1,$C233)&lt;0)+($E233&gt;=LOOKUP(2,1/($E:$E&lt;&gt;""),$E:$E))*($E233&lt;=$E234)*($E233&gt;INDEX(_xlfn.ANCHORARRAY(Sintesi!$C$14),1,$C233))*($E233&lt;=INDEX(_xlfn.ANCHORARRAY(Sintesi!$C$15),1,$C233))*(INDEX(_xlfn.ANCHORARRAY(Sintesi!$C$15),1,$C233)&gt;0),1,IF(($E233&gt;=LOOKUP(2,1/($E:$E&lt;&gt;""),$E:$E))*($E233&lt;=$E234)*($E233&gt;INDEX(_xlfn.ANCHORARRAY(Sintesi!$C$14),1,$C233))*($E233&lt;INDEX(_xlfn.ANCHORARRAY(Sintesi!$C$16),1,$C233))*(INDEX(_xlfn.ANCHORARRAY(Sintesi!$C$15),1,$C233)&lt;0)+($E233&gt;=LOOKUP(2,1/($E:$E&lt;&gt;""),$E:$E))*($E233&lt;=$E234)*($E233&gt;INDEX(_xlfn.ANCHORARRAY(Sintesi!$C$15),1,$C233))*($E233&lt;INDEX(_xlfn.ANCHORARRAY(Sintesi!$C$16),1,$C233))*(INDEX(_xlfn.ANCHORARRAY(Sintesi!$C$15),1,$C233)&gt;0),2,IF($E233=(INDEX(_xlfn.ANCHORARRAY(Sintesi!$C$16),1,$C233)),3,4)))),0)))</f>
        <v>4</v>
      </c>
      <c r="E233" s="1">
        <f>'Paste cell here'!F233</f>
        <v>0.27800000000000002</v>
      </c>
      <c r="F233" s="1">
        <f>'Paste cell here'!C233</f>
        <v>32.120660229999999</v>
      </c>
      <c r="G233" s="1">
        <f>'Paste cell here'!D233</f>
        <v>18.622734739999999</v>
      </c>
      <c r="H233" s="1">
        <f>'Paste cell here'!E233</f>
        <v>4.673285516</v>
      </c>
      <c r="I233" s="1">
        <f>'Paste cell here'!X233</f>
        <v>1.299160184</v>
      </c>
      <c r="J233" s="1">
        <f>'Paste cell here'!Y233+'Paste cell here'!S233</f>
        <v>1.299160184</v>
      </c>
      <c r="K233" s="1">
        <f t="shared" si="7"/>
        <v>0.27799717769266291</v>
      </c>
      <c r="L233" s="1">
        <f t="shared" si="6"/>
        <v>27.068650420996267</v>
      </c>
      <c r="M233" s="1" cm="1">
        <f t="array" ref="M233">IF(AND(A233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,A233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),IF(L233&lt;_xlfn.IFNA(INDEX(_xlfn.ANCHORARRAY(Sintesi!$C$17)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,1,IF(L233&gt;=_xlfn.IFNA(INDEX(_xlfn.ANCHORARRAY(Sintesi!$C$18)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,0,1-(L233-_xlfn.IFNA(INDEX(_xlfn.ANCHORARRAY(Sintesi!$C$17)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)/(_xlfn.IFNA(INDEX(_xlfn.ANCHORARRAY(Sintesi!$C$18)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-_xlfn.IFNA(INDEX(_xlfn.ANCHORARRAY(Sintesi!$C$17),1,MATCH(1,(_xlfn.ANCHORARRAY(Sintesi!$C$9)&gt;_xlfn.ANCHORARRAY(Sintesi!$C$10))*(A232&gt;=_xlfn.ANCHORARRAY(Sintesi!$C$9))+(_xlfn.ANCHORARRAY(Sintesi!$C$9)&gt;_xlfn.ANCHORARRAY(Sintesi!$C$10))*(A232&lt;=_xlfn.ANCHORARRAY(Sintesi!$C$10))+(_xlfn.ANCHORARRAY(Sintesi!$C$9)&lt;_xlfn.ANCHORARRAY(Sintesi!$C$10))*(A232&gt;=_xlfn.ANCHORARRAY(Sintesi!$C$9))*(A232&lt;=_xlfn.ANCHORARRAY(Sintesi!$C$10)),0)),0)))),0)</f>
        <v>0</v>
      </c>
    </row>
    <row r="234" spans="1:13">
      <c r="A234" s="1">
        <f>'Paste cell here'!A234</f>
        <v>233</v>
      </c>
      <c r="B234" s="2">
        <f>DATE(Sintesi!$C$4-1,12,31)+A234</f>
        <v>44429</v>
      </c>
      <c r="C234" s="34" cm="1">
        <f t="array" ref="C234">_xlfn.IFNA(MATCH(1,(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)*(_xlfn.ANCHORARRAY(Sintesi!$C$15)&gt;=0)+(_xlfn.ANCHORARRAY(Sintesi!$C$15)&lt;0),0),0)</f>
        <v>1</v>
      </c>
      <c r="D234" s="1" cm="1">
        <f t="array" ref="D234">IF(ISBLANK($E235),IF(ISNUMBER($E233),IF($C234&gt;0,IF(($E234=INDEX(_xlfn.ANCHORARRAY(Sintesi!$C$14),1,$C234))*(INDEX(_xlfn.ANCHORARRAY(Sintesi!$C$15),1,$C234)&gt;0),0,IF(($E234=INDEX(_xlfn.ANCHORARRAY(Sintesi!$C$14),1,$C234))*(INDEX(_xlfn.ANCHORARRAY(Sintesi!$C$15),1,$C234)&lt;0)+($E234&gt;=$E233)*($E234&lt;=INDEX($E:$E,MATCH(TRUE,INDEX((ISNUMBER($E:$E)),0),0)))*($E234&gt;INDEX(_xlfn.ANCHORARRAY(Sintesi!$C$14),1,$C234))*($E234&lt;=INDEX(_xlfn.ANCHORARRAY(Sintesi!$C$15),1,$C234))*(INDEX(_xlfn.ANCHORARRAY(Sintesi!$C$15),1,$C234)&gt;0),1,IF(($E234&gt;=$E233)*($E234&lt;=INDEX($E:$E,MATCH(TRUE,INDEX((ISNUMBER($E:$E)),0),0)))*($E234&gt;INDEX(_xlfn.ANCHORARRAY(Sintesi!$C$14),1,$C234))*($E234&lt;INDEX(_xlfn.ANCHORARRAY(Sintesi!$C$16),1,$C234))*(INDEX(_xlfn.ANCHORARRAY(Sintesi!$C$15),1,$C234)&lt;0)+($E234&gt;=$E233)*($E234&lt;=INDEX($E:$E,MATCH(TRUE,INDEX((ISNUMBER($E:$E)),0),0)))*($E234&gt;INDEX(_xlfn.ANCHORARRAY(Sintesi!$C$15),1,$C234))*($E234&lt;INDEX(_xlfn.ANCHORARRAY(Sintesi!$C$16),1,$C234))*(INDEX(_xlfn.ANCHORARRAY(Sintesi!$C$15),1,$C234)&gt;0),2,IF($E234=(INDEX(_xlfn.ANCHORARRAY(Sintesi!$C$16),1,$C234)),3,4)))),0),IF($C234&gt;0,IF(($E234=INDEX(_xlfn.ANCHORARRAY(Sintesi!$C$14),1,$C234))*(INDEX(_xlfn.ANCHORARRAY(Sintesi!$C$15),1,$C234)&gt;0),0,IF(($E234=INDEX(_xlfn.ANCHORARRAY(Sintesi!$C$14),1,$C234))*(INDEX(_xlfn.ANCHORARRAY(Sintesi!$C$15),1,$C234)&lt;0)+($E234&gt;=LOOKUP(2,1/($E:$E&lt;&gt;""),$E:$E))*($E234&lt;=INDEX($E:$E,MATCH(TRUE,INDEX((ISNUMBER($E:$E)),0),0)))*($E234&gt;INDEX(_xlfn.ANCHORARRAY(Sintesi!$C$14),1,$C234))*($E234&lt;=INDEX(_xlfn.ANCHORARRAY(Sintesi!$C$15),1,$C234))*(INDEX(_xlfn.ANCHORARRAY(Sintesi!$C$15),1,$C234)&gt;0),1,IF(($E234&gt;=LOOKUP(2,1/($E:$E&lt;&gt;""),$E:$E))*($E234&lt;=INDEX($E:$E,MATCH(TRUE,INDEX((ISNUMBER($E:$E)),0),0)))*($E234&gt;INDEX(_xlfn.ANCHORARRAY(Sintesi!$C$14),1,$C234))*($E234&lt;INDEX(_xlfn.ANCHORARRAY(Sintesi!$C$16),1,$C234))*(INDEX(_xlfn.ANCHORARRAY(Sintesi!$C$15),1,$C234)&lt;0)+($E234&gt;=LOOKUP(2,1/($E:$E&lt;&gt;""),$E:$E))*($E234&lt;=INDEX($E:$E,MATCH(TRUE,INDEX((ISNUMBER($E:$E)),0),0)))*($E234&gt;INDEX(_xlfn.ANCHORARRAY(Sintesi!$C$15),1,$C234))*($E234&lt;INDEX(_xlfn.ANCHORARRAY(Sintesi!$C$16),1,$C234))*(INDEX(_xlfn.ANCHORARRAY(Sintesi!$C$15),1,$C234)&gt;0),2,IF($E234=(INDEX(_xlfn.ANCHORARRAY(Sintesi!$C$16),1,$C234)),3,4)))),0)),IF(ISNUMBER($E233),IF($C234&gt;0,IF(($E234=INDEX(_xlfn.ANCHORARRAY(Sintesi!$C$14),1,$C234))*(INDEX(_xlfn.ANCHORARRAY(Sintesi!$C$15),1,$C234)&gt;0),0,IF(($E234=INDEX(_xlfn.ANCHORARRAY(Sintesi!$C$14),1,$C234))*(INDEX(_xlfn.ANCHORARRAY(Sintesi!$C$15),1,$C234)&lt;0)+($E234&gt;=$E233)*($E234&lt;=$E235)*($E234&gt;INDEX(_xlfn.ANCHORARRAY(Sintesi!$C$14),1,$C234))*($E234&lt;=INDEX(_xlfn.ANCHORARRAY(Sintesi!$C$15),1,$C234))*(INDEX(_xlfn.ANCHORARRAY(Sintesi!$C$15),1,$C234)&gt;0),1,IF(($E234&gt;=$E233)*($E234&lt;=$E235)*($E234&gt;INDEX(_xlfn.ANCHORARRAY(Sintesi!$C$14),1,$C234))*($E234&lt;INDEX(_xlfn.ANCHORARRAY(Sintesi!$C$16),1,$C234))*(INDEX(_xlfn.ANCHORARRAY(Sintesi!$C$15),1,$C234)&lt;0)+($E234&gt;=$E233)*($E234&lt;=$E235)*($E234&gt;INDEX(_xlfn.ANCHORARRAY(Sintesi!$C$15),1,$C234))*($E234&lt;INDEX(_xlfn.ANCHORARRAY(Sintesi!$C$16),1,$C234))*(INDEX(_xlfn.ANCHORARRAY(Sintesi!$C$15),1,$C234)&gt;0),2,IF($E234=(INDEX(_xlfn.ANCHORARRAY(Sintesi!$C$16),1,$C234)),3,4)))),0),IF($C234&gt;0,IF(($E234=INDEX(_xlfn.ANCHORARRAY(Sintesi!$C$14),1,$C234))*(INDEX(_xlfn.ANCHORARRAY(Sintesi!$C$15),1,$C234)&gt;0),0,IF(($E234=INDEX(_xlfn.ANCHORARRAY(Sintesi!$C$14),1,$C234))*(INDEX(_xlfn.ANCHORARRAY(Sintesi!$C$15),1,$C234)&lt;0)+($E234&gt;=LOOKUP(2,1/($E:$E&lt;&gt;""),$E:$E))*($E234&lt;=$E235)*($E234&gt;INDEX(_xlfn.ANCHORARRAY(Sintesi!$C$14),1,$C234))*($E234&lt;=INDEX(_xlfn.ANCHORARRAY(Sintesi!$C$15),1,$C234))*(INDEX(_xlfn.ANCHORARRAY(Sintesi!$C$15),1,$C234)&gt;0),1,IF(($E234&gt;=LOOKUP(2,1/($E:$E&lt;&gt;""),$E:$E))*($E234&lt;=$E235)*($E234&gt;INDEX(_xlfn.ANCHORARRAY(Sintesi!$C$14),1,$C234))*($E234&lt;INDEX(_xlfn.ANCHORARRAY(Sintesi!$C$16),1,$C234))*(INDEX(_xlfn.ANCHORARRAY(Sintesi!$C$15),1,$C234)&lt;0)+($E234&gt;=LOOKUP(2,1/($E:$E&lt;&gt;""),$E:$E))*($E234&lt;=$E235)*($E234&gt;INDEX(_xlfn.ANCHORARRAY(Sintesi!$C$15),1,$C234))*($E234&lt;INDEX(_xlfn.ANCHORARRAY(Sintesi!$C$16),1,$C234))*(INDEX(_xlfn.ANCHORARRAY(Sintesi!$C$15),1,$C234)&gt;0),2,IF($E234=(INDEX(_xlfn.ANCHORARRAY(Sintesi!$C$16),1,$C234)),3,4)))),0)))</f>
        <v>4</v>
      </c>
      <c r="E234" s="1">
        <f>'Paste cell here'!F234</f>
        <v>0.23499999999999999</v>
      </c>
      <c r="F234" s="1">
        <f>'Paste cell here'!C234</f>
        <v>33.610488670000002</v>
      </c>
      <c r="G234" s="1">
        <f>'Paste cell here'!D234</f>
        <v>17.57666004</v>
      </c>
      <c r="H234" s="1">
        <f>'Paste cell here'!E234</f>
        <v>4.8344258819999997</v>
      </c>
      <c r="I234" s="1">
        <f>'Paste cell here'!X234</f>
        <v>1.1360793979999999</v>
      </c>
      <c r="J234" s="1">
        <f>'Paste cell here'!Y234+'Paste cell here'!S234</f>
        <v>1.1360793979999999</v>
      </c>
      <c r="K234" s="1">
        <f t="shared" si="7"/>
        <v>0.23499778996094658</v>
      </c>
      <c r="L234" s="1">
        <f t="shared" si="6"/>
        <v>27.609339858306207</v>
      </c>
      <c r="M234" s="1" cm="1">
        <f t="array" ref="M234">IF(AND(A234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,A234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),IF(L234&lt;_xlfn.IFNA(INDEX(_xlfn.ANCHORARRAY(Sintesi!$C$17)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,1,IF(L234&gt;=_xlfn.IFNA(INDEX(_xlfn.ANCHORARRAY(Sintesi!$C$18)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,0,1-(L234-_xlfn.IFNA(INDEX(_xlfn.ANCHORARRAY(Sintesi!$C$17)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)/(_xlfn.IFNA(INDEX(_xlfn.ANCHORARRAY(Sintesi!$C$18)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-_xlfn.IFNA(INDEX(_xlfn.ANCHORARRAY(Sintesi!$C$17),1,MATCH(1,(_xlfn.ANCHORARRAY(Sintesi!$C$9)&gt;_xlfn.ANCHORARRAY(Sintesi!$C$10))*(A233&gt;=_xlfn.ANCHORARRAY(Sintesi!$C$9))+(_xlfn.ANCHORARRAY(Sintesi!$C$9)&gt;_xlfn.ANCHORARRAY(Sintesi!$C$10))*(A233&lt;=_xlfn.ANCHORARRAY(Sintesi!$C$10))+(_xlfn.ANCHORARRAY(Sintesi!$C$9)&lt;_xlfn.ANCHORARRAY(Sintesi!$C$10))*(A233&gt;=_xlfn.ANCHORARRAY(Sintesi!$C$9))*(A233&lt;=_xlfn.ANCHORARRAY(Sintesi!$C$10)),0)),0)))),0)</f>
        <v>0</v>
      </c>
    </row>
    <row r="235" spans="1:13">
      <c r="A235" s="1">
        <f>'Paste cell here'!A235</f>
        <v>234</v>
      </c>
      <c r="B235" s="2">
        <f>DATE(Sintesi!$C$4-1,12,31)+A235</f>
        <v>44430</v>
      </c>
      <c r="C235" s="34" cm="1">
        <f t="array" ref="C235">_xlfn.IFNA(MATCH(1,(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)*(_xlfn.ANCHORARRAY(Sintesi!$C$15)&gt;=0)+(_xlfn.ANCHORARRAY(Sintesi!$C$15)&lt;0),0),0)</f>
        <v>1</v>
      </c>
      <c r="D235" s="1" cm="1">
        <f t="array" ref="D235">IF(ISBLANK($E236),IF(ISNUMBER($E234),IF($C235&gt;0,IF(($E235=INDEX(_xlfn.ANCHORARRAY(Sintesi!$C$14),1,$C235))*(INDEX(_xlfn.ANCHORARRAY(Sintesi!$C$15),1,$C235)&gt;0),0,IF(($E235=INDEX(_xlfn.ANCHORARRAY(Sintesi!$C$14),1,$C235))*(INDEX(_xlfn.ANCHORARRAY(Sintesi!$C$15),1,$C235)&lt;0)+($E235&gt;=$E234)*($E235&lt;=INDEX($E:$E,MATCH(TRUE,INDEX((ISNUMBER($E:$E)),0),0)))*($E235&gt;INDEX(_xlfn.ANCHORARRAY(Sintesi!$C$14),1,$C235))*($E235&lt;=INDEX(_xlfn.ANCHORARRAY(Sintesi!$C$15),1,$C235))*(INDEX(_xlfn.ANCHORARRAY(Sintesi!$C$15),1,$C235)&gt;0),1,IF(($E235&gt;=$E234)*($E235&lt;=INDEX($E:$E,MATCH(TRUE,INDEX((ISNUMBER($E:$E)),0),0)))*($E235&gt;INDEX(_xlfn.ANCHORARRAY(Sintesi!$C$14),1,$C235))*($E235&lt;INDEX(_xlfn.ANCHORARRAY(Sintesi!$C$16),1,$C235))*(INDEX(_xlfn.ANCHORARRAY(Sintesi!$C$15),1,$C235)&lt;0)+($E235&gt;=$E234)*($E235&lt;=INDEX($E:$E,MATCH(TRUE,INDEX((ISNUMBER($E:$E)),0),0)))*($E235&gt;INDEX(_xlfn.ANCHORARRAY(Sintesi!$C$15),1,$C235))*($E235&lt;INDEX(_xlfn.ANCHORARRAY(Sintesi!$C$16),1,$C235))*(INDEX(_xlfn.ANCHORARRAY(Sintesi!$C$15),1,$C235)&gt;0),2,IF($E235=(INDEX(_xlfn.ANCHORARRAY(Sintesi!$C$16),1,$C235)),3,4)))),0),IF($C235&gt;0,IF(($E235=INDEX(_xlfn.ANCHORARRAY(Sintesi!$C$14),1,$C235))*(INDEX(_xlfn.ANCHORARRAY(Sintesi!$C$15),1,$C235)&gt;0),0,IF(($E235=INDEX(_xlfn.ANCHORARRAY(Sintesi!$C$14),1,$C235))*(INDEX(_xlfn.ANCHORARRAY(Sintesi!$C$15),1,$C235)&lt;0)+($E235&gt;=LOOKUP(2,1/($E:$E&lt;&gt;""),$E:$E))*($E235&lt;=INDEX($E:$E,MATCH(TRUE,INDEX((ISNUMBER($E:$E)),0),0)))*($E235&gt;INDEX(_xlfn.ANCHORARRAY(Sintesi!$C$14),1,$C235))*($E235&lt;=INDEX(_xlfn.ANCHORARRAY(Sintesi!$C$15),1,$C235))*(INDEX(_xlfn.ANCHORARRAY(Sintesi!$C$15),1,$C235)&gt;0),1,IF(($E235&gt;=LOOKUP(2,1/($E:$E&lt;&gt;""),$E:$E))*($E235&lt;=INDEX($E:$E,MATCH(TRUE,INDEX((ISNUMBER($E:$E)),0),0)))*($E235&gt;INDEX(_xlfn.ANCHORARRAY(Sintesi!$C$14),1,$C235))*($E235&lt;INDEX(_xlfn.ANCHORARRAY(Sintesi!$C$16),1,$C235))*(INDEX(_xlfn.ANCHORARRAY(Sintesi!$C$15),1,$C235)&lt;0)+($E235&gt;=LOOKUP(2,1/($E:$E&lt;&gt;""),$E:$E))*($E235&lt;=INDEX($E:$E,MATCH(TRUE,INDEX((ISNUMBER($E:$E)),0),0)))*($E235&gt;INDEX(_xlfn.ANCHORARRAY(Sintesi!$C$15),1,$C235))*($E235&lt;INDEX(_xlfn.ANCHORARRAY(Sintesi!$C$16),1,$C235))*(INDEX(_xlfn.ANCHORARRAY(Sintesi!$C$15),1,$C235)&gt;0),2,IF($E235=(INDEX(_xlfn.ANCHORARRAY(Sintesi!$C$16),1,$C235)),3,4)))),0)),IF(ISNUMBER($E234),IF($C235&gt;0,IF(($E235=INDEX(_xlfn.ANCHORARRAY(Sintesi!$C$14),1,$C235))*(INDEX(_xlfn.ANCHORARRAY(Sintesi!$C$15),1,$C235)&gt;0),0,IF(($E235=INDEX(_xlfn.ANCHORARRAY(Sintesi!$C$14),1,$C235))*(INDEX(_xlfn.ANCHORARRAY(Sintesi!$C$15),1,$C235)&lt;0)+($E235&gt;=$E234)*($E235&lt;=$E236)*($E235&gt;INDEX(_xlfn.ANCHORARRAY(Sintesi!$C$14),1,$C235))*($E235&lt;=INDEX(_xlfn.ANCHORARRAY(Sintesi!$C$15),1,$C235))*(INDEX(_xlfn.ANCHORARRAY(Sintesi!$C$15),1,$C235)&gt;0),1,IF(($E235&gt;=$E234)*($E235&lt;=$E236)*($E235&gt;INDEX(_xlfn.ANCHORARRAY(Sintesi!$C$14),1,$C235))*($E235&lt;INDEX(_xlfn.ANCHORARRAY(Sintesi!$C$16),1,$C235))*(INDEX(_xlfn.ANCHORARRAY(Sintesi!$C$15),1,$C235)&lt;0)+($E235&gt;=$E234)*($E235&lt;=$E236)*($E235&gt;INDEX(_xlfn.ANCHORARRAY(Sintesi!$C$15),1,$C235))*($E235&lt;INDEX(_xlfn.ANCHORARRAY(Sintesi!$C$16),1,$C235))*(INDEX(_xlfn.ANCHORARRAY(Sintesi!$C$15),1,$C235)&gt;0),2,IF($E235=(INDEX(_xlfn.ANCHORARRAY(Sintesi!$C$16),1,$C235)),3,4)))),0),IF($C235&gt;0,IF(($E235=INDEX(_xlfn.ANCHORARRAY(Sintesi!$C$14),1,$C235))*(INDEX(_xlfn.ANCHORARRAY(Sintesi!$C$15),1,$C235)&gt;0),0,IF(($E235=INDEX(_xlfn.ANCHORARRAY(Sintesi!$C$14),1,$C235))*(INDEX(_xlfn.ANCHORARRAY(Sintesi!$C$15),1,$C235)&lt;0)+($E235&gt;=LOOKUP(2,1/($E:$E&lt;&gt;""),$E:$E))*($E235&lt;=$E236)*($E235&gt;INDEX(_xlfn.ANCHORARRAY(Sintesi!$C$14),1,$C235))*($E235&lt;=INDEX(_xlfn.ANCHORARRAY(Sintesi!$C$15),1,$C235))*(INDEX(_xlfn.ANCHORARRAY(Sintesi!$C$15),1,$C235)&gt;0),1,IF(($E235&gt;=LOOKUP(2,1/($E:$E&lt;&gt;""),$E:$E))*($E235&lt;=$E236)*($E235&gt;INDEX(_xlfn.ANCHORARRAY(Sintesi!$C$14),1,$C235))*($E235&lt;INDEX(_xlfn.ANCHORARRAY(Sintesi!$C$16),1,$C235))*(INDEX(_xlfn.ANCHORARRAY(Sintesi!$C$15),1,$C235)&lt;0)+($E235&gt;=LOOKUP(2,1/($E:$E&lt;&gt;""),$E:$E))*($E235&lt;=$E236)*($E235&gt;INDEX(_xlfn.ANCHORARRAY(Sintesi!$C$15),1,$C235))*($E235&lt;INDEX(_xlfn.ANCHORARRAY(Sintesi!$C$16),1,$C235))*(INDEX(_xlfn.ANCHORARRAY(Sintesi!$C$15),1,$C235)&gt;0),2,IF($E235=(INDEX(_xlfn.ANCHORARRAY(Sintesi!$C$16),1,$C235)),3,4)))),0)))</f>
        <v>4</v>
      </c>
      <c r="E235" s="1">
        <f>'Paste cell here'!F235</f>
        <v>0.193</v>
      </c>
      <c r="F235" s="1">
        <f>'Paste cell here'!C235</f>
        <v>33.074543869999999</v>
      </c>
      <c r="G235" s="1">
        <f>'Paste cell here'!D235</f>
        <v>18.79732027</v>
      </c>
      <c r="H235" s="1">
        <f>'Paste cell here'!E235</f>
        <v>4.6933818</v>
      </c>
      <c r="I235" s="1">
        <f>'Paste cell here'!X235</f>
        <v>0.90581480700000006</v>
      </c>
      <c r="J235" s="1">
        <f>'Paste cell here'!Y235+'Paste cell here'!S235</f>
        <v>0.90581480700000006</v>
      </c>
      <c r="K235" s="1">
        <f t="shared" si="7"/>
        <v>0.19299832095483901</v>
      </c>
      <c r="L235" s="1">
        <f t="shared" si="6"/>
        <v>27.730858003162432</v>
      </c>
      <c r="M235" s="1" cm="1">
        <f t="array" ref="M235">IF(AND(A235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,A235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),IF(L235&lt;_xlfn.IFNA(INDEX(_xlfn.ANCHORARRAY(Sintesi!$C$17)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,1,IF(L235&gt;=_xlfn.IFNA(INDEX(_xlfn.ANCHORARRAY(Sintesi!$C$18)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,0,1-(L235-_xlfn.IFNA(INDEX(_xlfn.ANCHORARRAY(Sintesi!$C$17)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)/(_xlfn.IFNA(INDEX(_xlfn.ANCHORARRAY(Sintesi!$C$18)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-_xlfn.IFNA(INDEX(_xlfn.ANCHORARRAY(Sintesi!$C$17),1,MATCH(1,(_xlfn.ANCHORARRAY(Sintesi!$C$9)&gt;_xlfn.ANCHORARRAY(Sintesi!$C$10))*(A234&gt;=_xlfn.ANCHORARRAY(Sintesi!$C$9))+(_xlfn.ANCHORARRAY(Sintesi!$C$9)&gt;_xlfn.ANCHORARRAY(Sintesi!$C$10))*(A234&lt;=_xlfn.ANCHORARRAY(Sintesi!$C$10))+(_xlfn.ANCHORARRAY(Sintesi!$C$9)&lt;_xlfn.ANCHORARRAY(Sintesi!$C$10))*(A234&gt;=_xlfn.ANCHORARRAY(Sintesi!$C$9))*(A234&lt;=_xlfn.ANCHORARRAY(Sintesi!$C$10)),0)),0)))),0)</f>
        <v>0</v>
      </c>
    </row>
    <row r="236" spans="1:13">
      <c r="A236" s="1">
        <f>'Paste cell here'!A236</f>
        <v>235</v>
      </c>
      <c r="B236" s="2">
        <f>DATE(Sintesi!$C$4-1,12,31)+A236</f>
        <v>44431</v>
      </c>
      <c r="C236" s="34" cm="1">
        <f t="array" ref="C236">_xlfn.IFNA(MATCH(1,(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)*(_xlfn.ANCHORARRAY(Sintesi!$C$15)&gt;=0)+(_xlfn.ANCHORARRAY(Sintesi!$C$15)&lt;0),0),0)</f>
        <v>1</v>
      </c>
      <c r="D236" s="1" cm="1">
        <f t="array" ref="D236">IF(ISBLANK($E237),IF(ISNUMBER($E235),IF($C236&gt;0,IF(($E236=INDEX(_xlfn.ANCHORARRAY(Sintesi!$C$14),1,$C236))*(INDEX(_xlfn.ANCHORARRAY(Sintesi!$C$15),1,$C236)&gt;0),0,IF(($E236=INDEX(_xlfn.ANCHORARRAY(Sintesi!$C$14),1,$C236))*(INDEX(_xlfn.ANCHORARRAY(Sintesi!$C$15),1,$C236)&lt;0)+($E236&gt;=$E235)*($E236&lt;=INDEX($E:$E,MATCH(TRUE,INDEX((ISNUMBER($E:$E)),0),0)))*($E236&gt;INDEX(_xlfn.ANCHORARRAY(Sintesi!$C$14),1,$C236))*($E236&lt;=INDEX(_xlfn.ANCHORARRAY(Sintesi!$C$15),1,$C236))*(INDEX(_xlfn.ANCHORARRAY(Sintesi!$C$15),1,$C236)&gt;0),1,IF(($E236&gt;=$E235)*($E236&lt;=INDEX($E:$E,MATCH(TRUE,INDEX((ISNUMBER($E:$E)),0),0)))*($E236&gt;INDEX(_xlfn.ANCHORARRAY(Sintesi!$C$14),1,$C236))*($E236&lt;INDEX(_xlfn.ANCHORARRAY(Sintesi!$C$16),1,$C236))*(INDEX(_xlfn.ANCHORARRAY(Sintesi!$C$15),1,$C236)&lt;0)+($E236&gt;=$E235)*($E236&lt;=INDEX($E:$E,MATCH(TRUE,INDEX((ISNUMBER($E:$E)),0),0)))*($E236&gt;INDEX(_xlfn.ANCHORARRAY(Sintesi!$C$15),1,$C236))*($E236&lt;INDEX(_xlfn.ANCHORARRAY(Sintesi!$C$16),1,$C236))*(INDEX(_xlfn.ANCHORARRAY(Sintesi!$C$15),1,$C236)&gt;0),2,IF($E236=(INDEX(_xlfn.ANCHORARRAY(Sintesi!$C$16),1,$C236)),3,4)))),0),IF($C236&gt;0,IF(($E236=INDEX(_xlfn.ANCHORARRAY(Sintesi!$C$14),1,$C236))*(INDEX(_xlfn.ANCHORARRAY(Sintesi!$C$15),1,$C236)&gt;0),0,IF(($E236=INDEX(_xlfn.ANCHORARRAY(Sintesi!$C$14),1,$C236))*(INDEX(_xlfn.ANCHORARRAY(Sintesi!$C$15),1,$C236)&lt;0)+($E236&gt;=LOOKUP(2,1/($E:$E&lt;&gt;""),$E:$E))*($E236&lt;=INDEX($E:$E,MATCH(TRUE,INDEX((ISNUMBER($E:$E)),0),0)))*($E236&gt;INDEX(_xlfn.ANCHORARRAY(Sintesi!$C$14),1,$C236))*($E236&lt;=INDEX(_xlfn.ANCHORARRAY(Sintesi!$C$15),1,$C236))*(INDEX(_xlfn.ANCHORARRAY(Sintesi!$C$15),1,$C236)&gt;0),1,IF(($E236&gt;=LOOKUP(2,1/($E:$E&lt;&gt;""),$E:$E))*($E236&lt;=INDEX($E:$E,MATCH(TRUE,INDEX((ISNUMBER($E:$E)),0),0)))*($E236&gt;INDEX(_xlfn.ANCHORARRAY(Sintesi!$C$14),1,$C236))*($E236&lt;INDEX(_xlfn.ANCHORARRAY(Sintesi!$C$16),1,$C236))*(INDEX(_xlfn.ANCHORARRAY(Sintesi!$C$15),1,$C236)&lt;0)+($E236&gt;=LOOKUP(2,1/($E:$E&lt;&gt;""),$E:$E))*($E236&lt;=INDEX($E:$E,MATCH(TRUE,INDEX((ISNUMBER($E:$E)),0),0)))*($E236&gt;INDEX(_xlfn.ANCHORARRAY(Sintesi!$C$15),1,$C236))*($E236&lt;INDEX(_xlfn.ANCHORARRAY(Sintesi!$C$16),1,$C236))*(INDEX(_xlfn.ANCHORARRAY(Sintesi!$C$15),1,$C236)&gt;0),2,IF($E236=(INDEX(_xlfn.ANCHORARRAY(Sintesi!$C$16),1,$C236)),3,4)))),0)),IF(ISNUMBER($E235),IF($C236&gt;0,IF(($E236=INDEX(_xlfn.ANCHORARRAY(Sintesi!$C$14),1,$C236))*(INDEX(_xlfn.ANCHORARRAY(Sintesi!$C$15),1,$C236)&gt;0),0,IF(($E236=INDEX(_xlfn.ANCHORARRAY(Sintesi!$C$14),1,$C236))*(INDEX(_xlfn.ANCHORARRAY(Sintesi!$C$15),1,$C236)&lt;0)+($E236&gt;=$E235)*($E236&lt;=$E237)*($E236&gt;INDEX(_xlfn.ANCHORARRAY(Sintesi!$C$14),1,$C236))*($E236&lt;=INDEX(_xlfn.ANCHORARRAY(Sintesi!$C$15),1,$C236))*(INDEX(_xlfn.ANCHORARRAY(Sintesi!$C$15),1,$C236)&gt;0),1,IF(($E236&gt;=$E235)*($E236&lt;=$E237)*($E236&gt;INDEX(_xlfn.ANCHORARRAY(Sintesi!$C$14),1,$C236))*($E236&lt;INDEX(_xlfn.ANCHORARRAY(Sintesi!$C$16),1,$C236))*(INDEX(_xlfn.ANCHORARRAY(Sintesi!$C$15),1,$C236)&lt;0)+($E236&gt;=$E235)*($E236&lt;=$E237)*($E236&gt;INDEX(_xlfn.ANCHORARRAY(Sintesi!$C$15),1,$C236))*($E236&lt;INDEX(_xlfn.ANCHORARRAY(Sintesi!$C$16),1,$C236))*(INDEX(_xlfn.ANCHORARRAY(Sintesi!$C$15),1,$C236)&gt;0),2,IF($E236=(INDEX(_xlfn.ANCHORARRAY(Sintesi!$C$16),1,$C236)),3,4)))),0),IF($C236&gt;0,IF(($E236=INDEX(_xlfn.ANCHORARRAY(Sintesi!$C$14),1,$C236))*(INDEX(_xlfn.ANCHORARRAY(Sintesi!$C$15),1,$C236)&gt;0),0,IF(($E236=INDEX(_xlfn.ANCHORARRAY(Sintesi!$C$14),1,$C236))*(INDEX(_xlfn.ANCHORARRAY(Sintesi!$C$15),1,$C236)&lt;0)+($E236&gt;=LOOKUP(2,1/($E:$E&lt;&gt;""),$E:$E))*($E236&lt;=$E237)*($E236&gt;INDEX(_xlfn.ANCHORARRAY(Sintesi!$C$14),1,$C236))*($E236&lt;=INDEX(_xlfn.ANCHORARRAY(Sintesi!$C$15),1,$C236))*(INDEX(_xlfn.ANCHORARRAY(Sintesi!$C$15),1,$C236)&gt;0),1,IF(($E236&gt;=LOOKUP(2,1/($E:$E&lt;&gt;""),$E:$E))*($E236&lt;=$E237)*($E236&gt;INDEX(_xlfn.ANCHORARRAY(Sintesi!$C$14),1,$C236))*($E236&lt;INDEX(_xlfn.ANCHORARRAY(Sintesi!$C$16),1,$C236))*(INDEX(_xlfn.ANCHORARRAY(Sintesi!$C$15),1,$C236)&lt;0)+($E236&gt;=LOOKUP(2,1/($E:$E&lt;&gt;""),$E:$E))*($E236&lt;=$E237)*($E236&gt;INDEX(_xlfn.ANCHORARRAY(Sintesi!$C$15),1,$C236))*($E236&lt;INDEX(_xlfn.ANCHORARRAY(Sintesi!$C$16),1,$C236))*(INDEX(_xlfn.ANCHORARRAY(Sintesi!$C$15),1,$C236)&gt;0),2,IF($E236=(INDEX(_xlfn.ANCHORARRAY(Sintesi!$C$16),1,$C236)),3,4)))),0)))</f>
        <v>4</v>
      </c>
      <c r="E236" s="1">
        <f>'Paste cell here'!F236</f>
        <v>0.15</v>
      </c>
      <c r="F236" s="1">
        <f>'Paste cell here'!C236</f>
        <v>29.8926759</v>
      </c>
      <c r="G236" s="1">
        <f>'Paste cell here'!D236</f>
        <v>18.864055199999999</v>
      </c>
      <c r="H236" s="1">
        <f>'Paste cell here'!E236</f>
        <v>4.6061320429999997</v>
      </c>
      <c r="I236" s="1">
        <f>'Paste cell here'!X236</f>
        <v>0.69091425299999998</v>
      </c>
      <c r="J236" s="1">
        <f>'Paste cell here'!Y236+'Paste cell here'!S236</f>
        <v>0.69091425299999998</v>
      </c>
      <c r="K236" s="1">
        <f t="shared" si="7"/>
        <v>0.14999879433547539</v>
      </c>
      <c r="L236" s="1">
        <f t="shared" si="6"/>
        <v>25.764878632378423</v>
      </c>
      <c r="M236" s="1" cm="1">
        <f t="array" ref="M236">IF(AND(A236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,A236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),IF(L236&lt;_xlfn.IFNA(INDEX(_xlfn.ANCHORARRAY(Sintesi!$C$17)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,1,IF(L236&gt;=_xlfn.IFNA(INDEX(_xlfn.ANCHORARRAY(Sintesi!$C$18)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,0,1-(L236-_xlfn.IFNA(INDEX(_xlfn.ANCHORARRAY(Sintesi!$C$17)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)/(_xlfn.IFNA(INDEX(_xlfn.ANCHORARRAY(Sintesi!$C$18)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-_xlfn.IFNA(INDEX(_xlfn.ANCHORARRAY(Sintesi!$C$17),1,MATCH(1,(_xlfn.ANCHORARRAY(Sintesi!$C$9)&gt;_xlfn.ANCHORARRAY(Sintesi!$C$10))*(A235&gt;=_xlfn.ANCHORARRAY(Sintesi!$C$9))+(_xlfn.ANCHORARRAY(Sintesi!$C$9)&gt;_xlfn.ANCHORARRAY(Sintesi!$C$10))*(A235&lt;=_xlfn.ANCHORARRAY(Sintesi!$C$10))+(_xlfn.ANCHORARRAY(Sintesi!$C$9)&lt;_xlfn.ANCHORARRAY(Sintesi!$C$10))*(A235&gt;=_xlfn.ANCHORARRAY(Sintesi!$C$9))*(A235&lt;=_xlfn.ANCHORARRAY(Sintesi!$C$10)),0)),0)))),0)</f>
        <v>0</v>
      </c>
    </row>
    <row r="237" spans="1:13">
      <c r="A237" s="1">
        <f>'Paste cell here'!A237</f>
        <v>236</v>
      </c>
      <c r="B237" s="2">
        <f>DATE(Sintesi!$C$4-1,12,31)+A237</f>
        <v>44432</v>
      </c>
      <c r="C237" s="34" cm="1">
        <f t="array" ref="C237">_xlfn.IFNA(MATCH(1,(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)*(_xlfn.ANCHORARRAY(Sintesi!$C$15)&gt;=0)+(_xlfn.ANCHORARRAY(Sintesi!$C$15)&lt;0),0),0)</f>
        <v>0</v>
      </c>
      <c r="D237" s="1" cm="1">
        <f t="array" ref="D237">IF(ISBLANK($E238),IF(ISNUMBER($E236),IF($C237&gt;0,IF(($E237=INDEX(_xlfn.ANCHORARRAY(Sintesi!$C$14),1,$C237))*(INDEX(_xlfn.ANCHORARRAY(Sintesi!$C$15),1,$C237)&gt;0),0,IF(($E237=INDEX(_xlfn.ANCHORARRAY(Sintesi!$C$14),1,$C237))*(INDEX(_xlfn.ANCHORARRAY(Sintesi!$C$15),1,$C237)&lt;0)+($E237&gt;=$E236)*($E237&lt;=INDEX($E:$E,MATCH(TRUE,INDEX((ISNUMBER($E:$E)),0),0)))*($E237&gt;INDEX(_xlfn.ANCHORARRAY(Sintesi!$C$14),1,$C237))*($E237&lt;=INDEX(_xlfn.ANCHORARRAY(Sintesi!$C$15),1,$C237))*(INDEX(_xlfn.ANCHORARRAY(Sintesi!$C$15),1,$C237)&gt;0),1,IF(($E237&gt;=$E236)*($E237&lt;=INDEX($E:$E,MATCH(TRUE,INDEX((ISNUMBER($E:$E)),0),0)))*($E237&gt;INDEX(_xlfn.ANCHORARRAY(Sintesi!$C$14),1,$C237))*($E237&lt;INDEX(_xlfn.ANCHORARRAY(Sintesi!$C$16),1,$C237))*(INDEX(_xlfn.ANCHORARRAY(Sintesi!$C$15),1,$C237)&lt;0)+($E237&gt;=$E236)*($E237&lt;=INDEX($E:$E,MATCH(TRUE,INDEX((ISNUMBER($E:$E)),0),0)))*($E237&gt;INDEX(_xlfn.ANCHORARRAY(Sintesi!$C$15),1,$C237))*($E237&lt;INDEX(_xlfn.ANCHORARRAY(Sintesi!$C$16),1,$C237))*(INDEX(_xlfn.ANCHORARRAY(Sintesi!$C$15),1,$C237)&gt;0),2,IF($E237=(INDEX(_xlfn.ANCHORARRAY(Sintesi!$C$16),1,$C237)),3,4)))),0),IF($C237&gt;0,IF(($E237=INDEX(_xlfn.ANCHORARRAY(Sintesi!$C$14),1,$C237))*(INDEX(_xlfn.ANCHORARRAY(Sintesi!$C$15),1,$C237)&gt;0),0,IF(($E237=INDEX(_xlfn.ANCHORARRAY(Sintesi!$C$14),1,$C237))*(INDEX(_xlfn.ANCHORARRAY(Sintesi!$C$15),1,$C237)&lt;0)+($E237&gt;=LOOKUP(2,1/($E:$E&lt;&gt;""),$E:$E))*($E237&lt;=INDEX($E:$E,MATCH(TRUE,INDEX((ISNUMBER($E:$E)),0),0)))*($E237&gt;INDEX(_xlfn.ANCHORARRAY(Sintesi!$C$14),1,$C237))*($E237&lt;=INDEX(_xlfn.ANCHORARRAY(Sintesi!$C$15),1,$C237))*(INDEX(_xlfn.ANCHORARRAY(Sintesi!$C$15),1,$C237)&gt;0),1,IF(($E237&gt;=LOOKUP(2,1/($E:$E&lt;&gt;""),$E:$E))*($E237&lt;=INDEX($E:$E,MATCH(TRUE,INDEX((ISNUMBER($E:$E)),0),0)))*($E237&gt;INDEX(_xlfn.ANCHORARRAY(Sintesi!$C$14),1,$C237))*($E237&lt;INDEX(_xlfn.ANCHORARRAY(Sintesi!$C$16),1,$C237))*(INDEX(_xlfn.ANCHORARRAY(Sintesi!$C$15),1,$C237)&lt;0)+($E237&gt;=LOOKUP(2,1/($E:$E&lt;&gt;""),$E:$E))*($E237&lt;=INDEX($E:$E,MATCH(TRUE,INDEX((ISNUMBER($E:$E)),0),0)))*($E237&gt;INDEX(_xlfn.ANCHORARRAY(Sintesi!$C$15),1,$C237))*($E237&lt;INDEX(_xlfn.ANCHORARRAY(Sintesi!$C$16),1,$C237))*(INDEX(_xlfn.ANCHORARRAY(Sintesi!$C$15),1,$C237)&gt;0),2,IF($E237=(INDEX(_xlfn.ANCHORARRAY(Sintesi!$C$16),1,$C237)),3,4)))),0)),IF(ISNUMBER($E236),IF($C237&gt;0,IF(($E237=INDEX(_xlfn.ANCHORARRAY(Sintesi!$C$14),1,$C237))*(INDEX(_xlfn.ANCHORARRAY(Sintesi!$C$15),1,$C237)&gt;0),0,IF(($E237=INDEX(_xlfn.ANCHORARRAY(Sintesi!$C$14),1,$C237))*(INDEX(_xlfn.ANCHORARRAY(Sintesi!$C$15),1,$C237)&lt;0)+($E237&gt;=$E236)*($E237&lt;=$E238)*($E237&gt;INDEX(_xlfn.ANCHORARRAY(Sintesi!$C$14),1,$C237))*($E237&lt;=INDEX(_xlfn.ANCHORARRAY(Sintesi!$C$15),1,$C237))*(INDEX(_xlfn.ANCHORARRAY(Sintesi!$C$15),1,$C237)&gt;0),1,IF(($E237&gt;=$E236)*($E237&lt;=$E238)*($E237&gt;INDEX(_xlfn.ANCHORARRAY(Sintesi!$C$14),1,$C237))*($E237&lt;INDEX(_xlfn.ANCHORARRAY(Sintesi!$C$16),1,$C237))*(INDEX(_xlfn.ANCHORARRAY(Sintesi!$C$15),1,$C237)&lt;0)+($E237&gt;=$E236)*($E237&lt;=$E238)*($E237&gt;INDEX(_xlfn.ANCHORARRAY(Sintesi!$C$15),1,$C237))*($E237&lt;INDEX(_xlfn.ANCHORARRAY(Sintesi!$C$16),1,$C237))*(INDEX(_xlfn.ANCHORARRAY(Sintesi!$C$15),1,$C237)&gt;0),2,IF($E237=(INDEX(_xlfn.ANCHORARRAY(Sintesi!$C$16),1,$C237)),3,4)))),0),IF($C237&gt;0,IF(($E237=INDEX(_xlfn.ANCHORARRAY(Sintesi!$C$14),1,$C237))*(INDEX(_xlfn.ANCHORARRAY(Sintesi!$C$15),1,$C237)&gt;0),0,IF(($E237=INDEX(_xlfn.ANCHORARRAY(Sintesi!$C$14),1,$C237))*(INDEX(_xlfn.ANCHORARRAY(Sintesi!$C$15),1,$C237)&lt;0)+($E237&gt;=LOOKUP(2,1/($E:$E&lt;&gt;""),$E:$E))*($E237&lt;=$E238)*($E237&gt;INDEX(_xlfn.ANCHORARRAY(Sintesi!$C$14),1,$C237))*($E237&lt;=INDEX(_xlfn.ANCHORARRAY(Sintesi!$C$15),1,$C237))*(INDEX(_xlfn.ANCHORARRAY(Sintesi!$C$15),1,$C237)&gt;0),1,IF(($E237&gt;=LOOKUP(2,1/($E:$E&lt;&gt;""),$E:$E))*($E237&lt;=$E238)*($E237&gt;INDEX(_xlfn.ANCHORARRAY(Sintesi!$C$14),1,$C237))*($E237&lt;INDEX(_xlfn.ANCHORARRAY(Sintesi!$C$16),1,$C237))*(INDEX(_xlfn.ANCHORARRAY(Sintesi!$C$15),1,$C237)&lt;0)+($E237&gt;=LOOKUP(2,1/($E:$E&lt;&gt;""),$E:$E))*($E237&lt;=$E238)*($E237&gt;INDEX(_xlfn.ANCHORARRAY(Sintesi!$C$15),1,$C237))*($E237&lt;INDEX(_xlfn.ANCHORARRAY(Sintesi!$C$16),1,$C237))*(INDEX(_xlfn.ANCHORARRAY(Sintesi!$C$15),1,$C237)&gt;0),2,IF($E237=(INDEX(_xlfn.ANCHORARRAY(Sintesi!$C$16),1,$C237)),3,4)))),0)))</f>
        <v>0</v>
      </c>
      <c r="E237" s="1">
        <f>'Paste cell here'!F237</f>
        <v>0</v>
      </c>
      <c r="F237" s="1">
        <f>'Paste cell here'!C237</f>
        <v>29.674543870000001</v>
      </c>
      <c r="G237" s="1">
        <f>'Paste cell here'!D237</f>
        <v>16.861249409999999</v>
      </c>
      <c r="H237" s="1">
        <f>'Paste cell here'!E237</f>
        <v>4.2446468169999996</v>
      </c>
      <c r="I237" s="1">
        <f>'Paste cell here'!X237</f>
        <v>0</v>
      </c>
      <c r="J237" s="1">
        <f>'Paste cell here'!Y237+'Paste cell here'!S237</f>
        <v>0</v>
      </c>
      <c r="K237" s="1">
        <f t="shared" si="7"/>
        <v>0</v>
      </c>
      <c r="L237" s="1">
        <f t="shared" si="6"/>
        <v>24.878778080247283</v>
      </c>
      <c r="M237" s="1" cm="1">
        <f t="array" ref="M237">IF(AND(A237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,A237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),IF(L237&lt;_xlfn.IFNA(INDEX(_xlfn.ANCHORARRAY(Sintesi!$C$17)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,1,IF(L237&gt;=_xlfn.IFNA(INDEX(_xlfn.ANCHORARRAY(Sintesi!$C$18)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,0,1-(L237-_xlfn.IFNA(INDEX(_xlfn.ANCHORARRAY(Sintesi!$C$17)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)/(_xlfn.IFNA(INDEX(_xlfn.ANCHORARRAY(Sintesi!$C$18)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-_xlfn.IFNA(INDEX(_xlfn.ANCHORARRAY(Sintesi!$C$17),1,MATCH(1,(_xlfn.ANCHORARRAY(Sintesi!$C$9)&gt;_xlfn.ANCHORARRAY(Sintesi!$C$10))*(A236&gt;=_xlfn.ANCHORARRAY(Sintesi!$C$9))+(_xlfn.ANCHORARRAY(Sintesi!$C$9)&gt;_xlfn.ANCHORARRAY(Sintesi!$C$10))*(A236&lt;=_xlfn.ANCHORARRAY(Sintesi!$C$10))+(_xlfn.ANCHORARRAY(Sintesi!$C$9)&lt;_xlfn.ANCHORARRAY(Sintesi!$C$10))*(A236&gt;=_xlfn.ANCHORARRAY(Sintesi!$C$9))*(A236&lt;=_xlfn.ANCHORARRAY(Sintesi!$C$10)),0)),0)))),0)</f>
        <v>0</v>
      </c>
    </row>
    <row r="238" spans="1:13">
      <c r="A238" s="1">
        <f>'Paste cell here'!A238</f>
        <v>237</v>
      </c>
      <c r="B238" s="2">
        <f>DATE(Sintesi!$C$4-1,12,31)+A238</f>
        <v>44433</v>
      </c>
      <c r="C238" s="34" cm="1">
        <f t="array" ref="C238">_xlfn.IFNA(MATCH(1,(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)*(_xlfn.ANCHORARRAY(Sintesi!$C$15)&gt;=0)+(_xlfn.ANCHORARRAY(Sintesi!$C$15)&lt;0),0),0)</f>
        <v>0</v>
      </c>
      <c r="D238" s="1" cm="1">
        <f t="array" ref="D238">IF(ISBLANK($E239),IF(ISNUMBER($E237),IF($C238&gt;0,IF(($E238=INDEX(_xlfn.ANCHORARRAY(Sintesi!$C$14),1,$C238))*(INDEX(_xlfn.ANCHORARRAY(Sintesi!$C$15),1,$C238)&gt;0),0,IF(($E238=INDEX(_xlfn.ANCHORARRAY(Sintesi!$C$14),1,$C238))*(INDEX(_xlfn.ANCHORARRAY(Sintesi!$C$15),1,$C238)&lt;0)+($E238&gt;=$E237)*($E238&lt;=INDEX($E:$E,MATCH(TRUE,INDEX((ISNUMBER($E:$E)),0),0)))*($E238&gt;INDEX(_xlfn.ANCHORARRAY(Sintesi!$C$14),1,$C238))*($E238&lt;=INDEX(_xlfn.ANCHORARRAY(Sintesi!$C$15),1,$C238))*(INDEX(_xlfn.ANCHORARRAY(Sintesi!$C$15),1,$C238)&gt;0),1,IF(($E238&gt;=$E237)*($E238&lt;=INDEX($E:$E,MATCH(TRUE,INDEX((ISNUMBER($E:$E)),0),0)))*($E238&gt;INDEX(_xlfn.ANCHORARRAY(Sintesi!$C$14),1,$C238))*($E238&lt;INDEX(_xlfn.ANCHORARRAY(Sintesi!$C$16),1,$C238))*(INDEX(_xlfn.ANCHORARRAY(Sintesi!$C$15),1,$C238)&lt;0)+($E238&gt;=$E237)*($E238&lt;=INDEX($E:$E,MATCH(TRUE,INDEX((ISNUMBER($E:$E)),0),0)))*($E238&gt;INDEX(_xlfn.ANCHORARRAY(Sintesi!$C$15),1,$C238))*($E238&lt;INDEX(_xlfn.ANCHORARRAY(Sintesi!$C$16),1,$C238))*(INDEX(_xlfn.ANCHORARRAY(Sintesi!$C$15),1,$C238)&gt;0),2,IF($E238=(INDEX(_xlfn.ANCHORARRAY(Sintesi!$C$16),1,$C238)),3,4)))),0),IF($C238&gt;0,IF(($E238=INDEX(_xlfn.ANCHORARRAY(Sintesi!$C$14),1,$C238))*(INDEX(_xlfn.ANCHORARRAY(Sintesi!$C$15),1,$C238)&gt;0),0,IF(($E238=INDEX(_xlfn.ANCHORARRAY(Sintesi!$C$14),1,$C238))*(INDEX(_xlfn.ANCHORARRAY(Sintesi!$C$15),1,$C238)&lt;0)+($E238&gt;=LOOKUP(2,1/($E:$E&lt;&gt;""),$E:$E))*($E238&lt;=INDEX($E:$E,MATCH(TRUE,INDEX((ISNUMBER($E:$E)),0),0)))*($E238&gt;INDEX(_xlfn.ANCHORARRAY(Sintesi!$C$14),1,$C238))*($E238&lt;=INDEX(_xlfn.ANCHORARRAY(Sintesi!$C$15),1,$C238))*(INDEX(_xlfn.ANCHORARRAY(Sintesi!$C$15),1,$C238)&gt;0),1,IF(($E238&gt;=LOOKUP(2,1/($E:$E&lt;&gt;""),$E:$E))*($E238&lt;=INDEX($E:$E,MATCH(TRUE,INDEX((ISNUMBER($E:$E)),0),0)))*($E238&gt;INDEX(_xlfn.ANCHORARRAY(Sintesi!$C$14),1,$C238))*($E238&lt;INDEX(_xlfn.ANCHORARRAY(Sintesi!$C$16),1,$C238))*(INDEX(_xlfn.ANCHORARRAY(Sintesi!$C$15),1,$C238)&lt;0)+($E238&gt;=LOOKUP(2,1/($E:$E&lt;&gt;""),$E:$E))*($E238&lt;=INDEX($E:$E,MATCH(TRUE,INDEX((ISNUMBER($E:$E)),0),0)))*($E238&gt;INDEX(_xlfn.ANCHORARRAY(Sintesi!$C$15),1,$C238))*($E238&lt;INDEX(_xlfn.ANCHORARRAY(Sintesi!$C$16),1,$C238))*(INDEX(_xlfn.ANCHORARRAY(Sintesi!$C$15),1,$C238)&gt;0),2,IF($E238=(INDEX(_xlfn.ANCHORARRAY(Sintesi!$C$16),1,$C238)),3,4)))),0)),IF(ISNUMBER($E237),IF($C238&gt;0,IF(($E238=INDEX(_xlfn.ANCHORARRAY(Sintesi!$C$14),1,$C238))*(INDEX(_xlfn.ANCHORARRAY(Sintesi!$C$15),1,$C238)&gt;0),0,IF(($E238=INDEX(_xlfn.ANCHORARRAY(Sintesi!$C$14),1,$C238))*(INDEX(_xlfn.ANCHORARRAY(Sintesi!$C$15),1,$C238)&lt;0)+($E238&gt;=$E237)*($E238&lt;=$E239)*($E238&gt;INDEX(_xlfn.ANCHORARRAY(Sintesi!$C$14),1,$C238))*($E238&lt;=INDEX(_xlfn.ANCHORARRAY(Sintesi!$C$15),1,$C238))*(INDEX(_xlfn.ANCHORARRAY(Sintesi!$C$15),1,$C238)&gt;0),1,IF(($E238&gt;=$E237)*($E238&lt;=$E239)*($E238&gt;INDEX(_xlfn.ANCHORARRAY(Sintesi!$C$14),1,$C238))*($E238&lt;INDEX(_xlfn.ANCHORARRAY(Sintesi!$C$16),1,$C238))*(INDEX(_xlfn.ANCHORARRAY(Sintesi!$C$15),1,$C238)&lt;0)+($E238&gt;=$E237)*($E238&lt;=$E239)*($E238&gt;INDEX(_xlfn.ANCHORARRAY(Sintesi!$C$15),1,$C238))*($E238&lt;INDEX(_xlfn.ANCHORARRAY(Sintesi!$C$16),1,$C238))*(INDEX(_xlfn.ANCHORARRAY(Sintesi!$C$15),1,$C238)&gt;0),2,IF($E238=(INDEX(_xlfn.ANCHORARRAY(Sintesi!$C$16),1,$C238)),3,4)))),0),IF($C238&gt;0,IF(($E238=INDEX(_xlfn.ANCHORARRAY(Sintesi!$C$14),1,$C238))*(INDEX(_xlfn.ANCHORARRAY(Sintesi!$C$15),1,$C238)&gt;0),0,IF(($E238=INDEX(_xlfn.ANCHORARRAY(Sintesi!$C$14),1,$C238))*(INDEX(_xlfn.ANCHORARRAY(Sintesi!$C$15),1,$C238)&lt;0)+($E238&gt;=LOOKUP(2,1/($E:$E&lt;&gt;""),$E:$E))*($E238&lt;=$E239)*($E238&gt;INDEX(_xlfn.ANCHORARRAY(Sintesi!$C$14),1,$C238))*($E238&lt;=INDEX(_xlfn.ANCHORARRAY(Sintesi!$C$15),1,$C238))*(INDEX(_xlfn.ANCHORARRAY(Sintesi!$C$15),1,$C238)&gt;0),1,IF(($E238&gt;=LOOKUP(2,1/($E:$E&lt;&gt;""),$E:$E))*($E238&lt;=$E239)*($E238&gt;INDEX(_xlfn.ANCHORARRAY(Sintesi!$C$14),1,$C238))*($E238&lt;INDEX(_xlfn.ANCHORARRAY(Sintesi!$C$16),1,$C238))*(INDEX(_xlfn.ANCHORARRAY(Sintesi!$C$15),1,$C238)&lt;0)+($E238&gt;=LOOKUP(2,1/($E:$E&lt;&gt;""),$E:$E))*($E238&lt;=$E239)*($E238&gt;INDEX(_xlfn.ANCHORARRAY(Sintesi!$C$15),1,$C238))*($E238&lt;INDEX(_xlfn.ANCHORARRAY(Sintesi!$C$16),1,$C238))*(INDEX(_xlfn.ANCHORARRAY(Sintesi!$C$15),1,$C238)&gt;0),2,IF($E238=(INDEX(_xlfn.ANCHORARRAY(Sintesi!$C$16),1,$C238)),3,4)))),0)))</f>
        <v>0</v>
      </c>
      <c r="E238" s="1">
        <f>'Paste cell here'!F238</f>
        <v>0</v>
      </c>
      <c r="F238" s="1">
        <f>'Paste cell here'!C238</f>
        <v>29.538750589999999</v>
      </c>
      <c r="G238" s="1">
        <f>'Paste cell here'!D238</f>
        <v>17.143394969999999</v>
      </c>
      <c r="H238" s="1">
        <f>'Paste cell here'!E238</f>
        <v>4.3958816819999997</v>
      </c>
      <c r="I238" s="1">
        <f>'Paste cell here'!X238</f>
        <v>0</v>
      </c>
      <c r="J238" s="1">
        <f>'Paste cell here'!Y238+'Paste cell here'!S238</f>
        <v>0</v>
      </c>
      <c r="K238" s="1">
        <f t="shared" si="7"/>
        <v>0</v>
      </c>
      <c r="L238" s="1">
        <f t="shared" si="6"/>
        <v>24.899411143006979</v>
      </c>
      <c r="M238" s="1" cm="1">
        <f t="array" ref="M238">IF(AND(A238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,A238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),IF(L238&lt;_xlfn.IFNA(INDEX(_xlfn.ANCHORARRAY(Sintesi!$C$17)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,1,IF(L238&gt;=_xlfn.IFNA(INDEX(_xlfn.ANCHORARRAY(Sintesi!$C$18)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,0,1-(L238-_xlfn.IFNA(INDEX(_xlfn.ANCHORARRAY(Sintesi!$C$17)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)/(_xlfn.IFNA(INDEX(_xlfn.ANCHORARRAY(Sintesi!$C$18)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-_xlfn.IFNA(INDEX(_xlfn.ANCHORARRAY(Sintesi!$C$17),1,MATCH(1,(_xlfn.ANCHORARRAY(Sintesi!$C$9)&gt;_xlfn.ANCHORARRAY(Sintesi!$C$10))*(A237&gt;=_xlfn.ANCHORARRAY(Sintesi!$C$9))+(_xlfn.ANCHORARRAY(Sintesi!$C$9)&gt;_xlfn.ANCHORARRAY(Sintesi!$C$10))*(A237&lt;=_xlfn.ANCHORARRAY(Sintesi!$C$10))+(_xlfn.ANCHORARRAY(Sintesi!$C$9)&lt;_xlfn.ANCHORARRAY(Sintesi!$C$10))*(A237&gt;=_xlfn.ANCHORARRAY(Sintesi!$C$9))*(A237&lt;=_xlfn.ANCHORARRAY(Sintesi!$C$10)),0)),0)))),0)</f>
        <v>0</v>
      </c>
    </row>
    <row r="239" spans="1:13">
      <c r="A239" s="1">
        <f>'Paste cell here'!A239</f>
        <v>238</v>
      </c>
      <c r="B239" s="2">
        <f>DATE(Sintesi!$C$4-1,12,31)+A239</f>
        <v>44434</v>
      </c>
      <c r="C239" s="34" cm="1">
        <f t="array" ref="C239">_xlfn.IFNA(MATCH(1,(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)*(_xlfn.ANCHORARRAY(Sintesi!$C$15)&gt;=0)+(_xlfn.ANCHORARRAY(Sintesi!$C$15)&lt;0),0),0)</f>
        <v>0</v>
      </c>
      <c r="D239" s="1" cm="1">
        <f t="array" ref="D239">IF(ISBLANK($E240),IF(ISNUMBER($E238),IF($C239&gt;0,IF(($E239=INDEX(_xlfn.ANCHORARRAY(Sintesi!$C$14),1,$C239))*(INDEX(_xlfn.ANCHORARRAY(Sintesi!$C$15),1,$C239)&gt;0),0,IF(($E239=INDEX(_xlfn.ANCHORARRAY(Sintesi!$C$14),1,$C239))*(INDEX(_xlfn.ANCHORARRAY(Sintesi!$C$15),1,$C239)&lt;0)+($E239&gt;=$E238)*($E239&lt;=INDEX($E:$E,MATCH(TRUE,INDEX((ISNUMBER($E:$E)),0),0)))*($E239&gt;INDEX(_xlfn.ANCHORARRAY(Sintesi!$C$14),1,$C239))*($E239&lt;=INDEX(_xlfn.ANCHORARRAY(Sintesi!$C$15),1,$C239))*(INDEX(_xlfn.ANCHORARRAY(Sintesi!$C$15),1,$C239)&gt;0),1,IF(($E239&gt;=$E238)*($E239&lt;=INDEX($E:$E,MATCH(TRUE,INDEX((ISNUMBER($E:$E)),0),0)))*($E239&gt;INDEX(_xlfn.ANCHORARRAY(Sintesi!$C$14),1,$C239))*($E239&lt;INDEX(_xlfn.ANCHORARRAY(Sintesi!$C$16),1,$C239))*(INDEX(_xlfn.ANCHORARRAY(Sintesi!$C$15),1,$C239)&lt;0)+($E239&gt;=$E238)*($E239&lt;=INDEX($E:$E,MATCH(TRUE,INDEX((ISNUMBER($E:$E)),0),0)))*($E239&gt;INDEX(_xlfn.ANCHORARRAY(Sintesi!$C$15),1,$C239))*($E239&lt;INDEX(_xlfn.ANCHORARRAY(Sintesi!$C$16),1,$C239))*(INDEX(_xlfn.ANCHORARRAY(Sintesi!$C$15),1,$C239)&gt;0),2,IF($E239=(INDEX(_xlfn.ANCHORARRAY(Sintesi!$C$16),1,$C239)),3,4)))),0),IF($C239&gt;0,IF(($E239=INDEX(_xlfn.ANCHORARRAY(Sintesi!$C$14),1,$C239))*(INDEX(_xlfn.ANCHORARRAY(Sintesi!$C$15),1,$C239)&gt;0),0,IF(($E239=INDEX(_xlfn.ANCHORARRAY(Sintesi!$C$14),1,$C239))*(INDEX(_xlfn.ANCHORARRAY(Sintesi!$C$15),1,$C239)&lt;0)+($E239&gt;=LOOKUP(2,1/($E:$E&lt;&gt;""),$E:$E))*($E239&lt;=INDEX($E:$E,MATCH(TRUE,INDEX((ISNUMBER($E:$E)),0),0)))*($E239&gt;INDEX(_xlfn.ANCHORARRAY(Sintesi!$C$14),1,$C239))*($E239&lt;=INDEX(_xlfn.ANCHORARRAY(Sintesi!$C$15),1,$C239))*(INDEX(_xlfn.ANCHORARRAY(Sintesi!$C$15),1,$C239)&gt;0),1,IF(($E239&gt;=LOOKUP(2,1/($E:$E&lt;&gt;""),$E:$E))*($E239&lt;=INDEX($E:$E,MATCH(TRUE,INDEX((ISNUMBER($E:$E)),0),0)))*($E239&gt;INDEX(_xlfn.ANCHORARRAY(Sintesi!$C$14),1,$C239))*($E239&lt;INDEX(_xlfn.ANCHORARRAY(Sintesi!$C$16),1,$C239))*(INDEX(_xlfn.ANCHORARRAY(Sintesi!$C$15),1,$C239)&lt;0)+($E239&gt;=LOOKUP(2,1/($E:$E&lt;&gt;""),$E:$E))*($E239&lt;=INDEX($E:$E,MATCH(TRUE,INDEX((ISNUMBER($E:$E)),0),0)))*($E239&gt;INDEX(_xlfn.ANCHORARRAY(Sintesi!$C$15),1,$C239))*($E239&lt;INDEX(_xlfn.ANCHORARRAY(Sintesi!$C$16),1,$C239))*(INDEX(_xlfn.ANCHORARRAY(Sintesi!$C$15),1,$C239)&gt;0),2,IF($E239=(INDEX(_xlfn.ANCHORARRAY(Sintesi!$C$16),1,$C239)),3,4)))),0)),IF(ISNUMBER($E238),IF($C239&gt;0,IF(($E239=INDEX(_xlfn.ANCHORARRAY(Sintesi!$C$14),1,$C239))*(INDEX(_xlfn.ANCHORARRAY(Sintesi!$C$15),1,$C239)&gt;0),0,IF(($E239=INDEX(_xlfn.ANCHORARRAY(Sintesi!$C$14),1,$C239))*(INDEX(_xlfn.ANCHORARRAY(Sintesi!$C$15),1,$C239)&lt;0)+($E239&gt;=$E238)*($E239&lt;=$E240)*($E239&gt;INDEX(_xlfn.ANCHORARRAY(Sintesi!$C$14),1,$C239))*($E239&lt;=INDEX(_xlfn.ANCHORARRAY(Sintesi!$C$15),1,$C239))*(INDEX(_xlfn.ANCHORARRAY(Sintesi!$C$15),1,$C239)&gt;0),1,IF(($E239&gt;=$E238)*($E239&lt;=$E240)*($E239&gt;INDEX(_xlfn.ANCHORARRAY(Sintesi!$C$14),1,$C239))*($E239&lt;INDEX(_xlfn.ANCHORARRAY(Sintesi!$C$16),1,$C239))*(INDEX(_xlfn.ANCHORARRAY(Sintesi!$C$15),1,$C239)&lt;0)+($E239&gt;=$E238)*($E239&lt;=$E240)*($E239&gt;INDEX(_xlfn.ANCHORARRAY(Sintesi!$C$15),1,$C239))*($E239&lt;INDEX(_xlfn.ANCHORARRAY(Sintesi!$C$16),1,$C239))*(INDEX(_xlfn.ANCHORARRAY(Sintesi!$C$15),1,$C239)&gt;0),2,IF($E239=(INDEX(_xlfn.ANCHORARRAY(Sintesi!$C$16),1,$C239)),3,4)))),0),IF($C239&gt;0,IF(($E239=INDEX(_xlfn.ANCHORARRAY(Sintesi!$C$14),1,$C239))*(INDEX(_xlfn.ANCHORARRAY(Sintesi!$C$15),1,$C239)&gt;0),0,IF(($E239=INDEX(_xlfn.ANCHORARRAY(Sintesi!$C$14),1,$C239))*(INDEX(_xlfn.ANCHORARRAY(Sintesi!$C$15),1,$C239)&lt;0)+($E239&gt;=LOOKUP(2,1/($E:$E&lt;&gt;""),$E:$E))*($E239&lt;=$E240)*($E239&gt;INDEX(_xlfn.ANCHORARRAY(Sintesi!$C$14),1,$C239))*($E239&lt;=INDEX(_xlfn.ANCHORARRAY(Sintesi!$C$15),1,$C239))*(INDEX(_xlfn.ANCHORARRAY(Sintesi!$C$15),1,$C239)&gt;0),1,IF(($E239&gt;=LOOKUP(2,1/($E:$E&lt;&gt;""),$E:$E))*($E239&lt;=$E240)*($E239&gt;INDEX(_xlfn.ANCHORARRAY(Sintesi!$C$14),1,$C239))*($E239&lt;INDEX(_xlfn.ANCHORARRAY(Sintesi!$C$16),1,$C239))*(INDEX(_xlfn.ANCHORARRAY(Sintesi!$C$15),1,$C239)&lt;0)+($E239&gt;=LOOKUP(2,1/($E:$E&lt;&gt;""),$E:$E))*($E239&lt;=$E240)*($E239&gt;INDEX(_xlfn.ANCHORARRAY(Sintesi!$C$15),1,$C239))*($E239&lt;INDEX(_xlfn.ANCHORARRAY(Sintesi!$C$16),1,$C239))*(INDEX(_xlfn.ANCHORARRAY(Sintesi!$C$15),1,$C239)&gt;0),2,IF($E239=(INDEX(_xlfn.ANCHORARRAY(Sintesi!$C$16),1,$C239)),3,4)))),0)))</f>
        <v>0</v>
      </c>
      <c r="E239" s="1">
        <f>'Paste cell here'!F239</f>
        <v>0</v>
      </c>
      <c r="F239" s="1">
        <f>'Paste cell here'!C239</f>
        <v>30.32798433</v>
      </c>
      <c r="G239" s="1">
        <f>'Paste cell here'!D239</f>
        <v>15.39732027</v>
      </c>
      <c r="H239" s="1">
        <f>'Paste cell here'!E239</f>
        <v>4.7089797669999998</v>
      </c>
      <c r="I239" s="1">
        <f>'Paste cell here'!X239</f>
        <v>0</v>
      </c>
      <c r="J239" s="1">
        <f>'Paste cell here'!Y239+'Paste cell here'!S239</f>
        <v>0</v>
      </c>
      <c r="K239" s="1">
        <f t="shared" si="7"/>
        <v>0</v>
      </c>
      <c r="L239" s="1">
        <f t="shared" si="6"/>
        <v>24.73972846490858</v>
      </c>
      <c r="M239" s="1" cm="1">
        <f t="array" ref="M239">IF(AND(A239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,A239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),IF(L239&lt;_xlfn.IFNA(INDEX(_xlfn.ANCHORARRAY(Sintesi!$C$17)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,1,IF(L239&gt;=_xlfn.IFNA(INDEX(_xlfn.ANCHORARRAY(Sintesi!$C$18)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,0,1-(L239-_xlfn.IFNA(INDEX(_xlfn.ANCHORARRAY(Sintesi!$C$17)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)/(_xlfn.IFNA(INDEX(_xlfn.ANCHORARRAY(Sintesi!$C$18)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-_xlfn.IFNA(INDEX(_xlfn.ANCHORARRAY(Sintesi!$C$17),1,MATCH(1,(_xlfn.ANCHORARRAY(Sintesi!$C$9)&gt;_xlfn.ANCHORARRAY(Sintesi!$C$10))*(A238&gt;=_xlfn.ANCHORARRAY(Sintesi!$C$9))+(_xlfn.ANCHORARRAY(Sintesi!$C$9)&gt;_xlfn.ANCHORARRAY(Sintesi!$C$10))*(A238&lt;=_xlfn.ANCHORARRAY(Sintesi!$C$10))+(_xlfn.ANCHORARRAY(Sintesi!$C$9)&lt;_xlfn.ANCHORARRAY(Sintesi!$C$10))*(A238&gt;=_xlfn.ANCHORARRAY(Sintesi!$C$9))*(A238&lt;=_xlfn.ANCHORARRAY(Sintesi!$C$10)),0)),0)))),0)</f>
        <v>0</v>
      </c>
    </row>
    <row r="240" spans="1:13">
      <c r="A240" s="1">
        <f>'Paste cell here'!A240</f>
        <v>239</v>
      </c>
      <c r="B240" s="2">
        <f>DATE(Sintesi!$C$4-1,12,31)+A240</f>
        <v>44435</v>
      </c>
      <c r="C240" s="34" cm="1">
        <f t="array" ref="C240">_xlfn.IFNA(MATCH(1,(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)*(_xlfn.ANCHORARRAY(Sintesi!$C$15)&gt;=0)+(_xlfn.ANCHORARRAY(Sintesi!$C$15)&lt;0),0),0)</f>
        <v>0</v>
      </c>
      <c r="D240" s="1" cm="1">
        <f t="array" ref="D240">IF(ISBLANK($E241),IF(ISNUMBER($E239),IF($C240&gt;0,IF(($E240=INDEX(_xlfn.ANCHORARRAY(Sintesi!$C$14),1,$C240))*(INDEX(_xlfn.ANCHORARRAY(Sintesi!$C$15),1,$C240)&gt;0),0,IF(($E240=INDEX(_xlfn.ANCHORARRAY(Sintesi!$C$14),1,$C240))*(INDEX(_xlfn.ANCHORARRAY(Sintesi!$C$15),1,$C240)&lt;0)+($E240&gt;=$E239)*($E240&lt;=INDEX($E:$E,MATCH(TRUE,INDEX((ISNUMBER($E:$E)),0),0)))*($E240&gt;INDEX(_xlfn.ANCHORARRAY(Sintesi!$C$14),1,$C240))*($E240&lt;=INDEX(_xlfn.ANCHORARRAY(Sintesi!$C$15),1,$C240))*(INDEX(_xlfn.ANCHORARRAY(Sintesi!$C$15),1,$C240)&gt;0),1,IF(($E240&gt;=$E239)*($E240&lt;=INDEX($E:$E,MATCH(TRUE,INDEX((ISNUMBER($E:$E)),0),0)))*($E240&gt;INDEX(_xlfn.ANCHORARRAY(Sintesi!$C$14),1,$C240))*($E240&lt;INDEX(_xlfn.ANCHORARRAY(Sintesi!$C$16),1,$C240))*(INDEX(_xlfn.ANCHORARRAY(Sintesi!$C$15),1,$C240)&lt;0)+($E240&gt;=$E239)*($E240&lt;=INDEX($E:$E,MATCH(TRUE,INDEX((ISNUMBER($E:$E)),0),0)))*($E240&gt;INDEX(_xlfn.ANCHORARRAY(Sintesi!$C$15),1,$C240))*($E240&lt;INDEX(_xlfn.ANCHORARRAY(Sintesi!$C$16),1,$C240))*(INDEX(_xlfn.ANCHORARRAY(Sintesi!$C$15),1,$C240)&gt;0),2,IF($E240=(INDEX(_xlfn.ANCHORARRAY(Sintesi!$C$16),1,$C240)),3,4)))),0),IF($C240&gt;0,IF(($E240=INDEX(_xlfn.ANCHORARRAY(Sintesi!$C$14),1,$C240))*(INDEX(_xlfn.ANCHORARRAY(Sintesi!$C$15),1,$C240)&gt;0),0,IF(($E240=INDEX(_xlfn.ANCHORARRAY(Sintesi!$C$14),1,$C240))*(INDEX(_xlfn.ANCHORARRAY(Sintesi!$C$15),1,$C240)&lt;0)+($E240&gt;=LOOKUP(2,1/($E:$E&lt;&gt;""),$E:$E))*($E240&lt;=INDEX($E:$E,MATCH(TRUE,INDEX((ISNUMBER($E:$E)),0),0)))*($E240&gt;INDEX(_xlfn.ANCHORARRAY(Sintesi!$C$14),1,$C240))*($E240&lt;=INDEX(_xlfn.ANCHORARRAY(Sintesi!$C$15),1,$C240))*(INDEX(_xlfn.ANCHORARRAY(Sintesi!$C$15),1,$C240)&gt;0),1,IF(($E240&gt;=LOOKUP(2,1/($E:$E&lt;&gt;""),$E:$E))*($E240&lt;=INDEX($E:$E,MATCH(TRUE,INDEX((ISNUMBER($E:$E)),0),0)))*($E240&gt;INDEX(_xlfn.ANCHORARRAY(Sintesi!$C$14),1,$C240))*($E240&lt;INDEX(_xlfn.ANCHORARRAY(Sintesi!$C$16),1,$C240))*(INDEX(_xlfn.ANCHORARRAY(Sintesi!$C$15),1,$C240)&lt;0)+($E240&gt;=LOOKUP(2,1/($E:$E&lt;&gt;""),$E:$E))*($E240&lt;=INDEX($E:$E,MATCH(TRUE,INDEX((ISNUMBER($E:$E)),0),0)))*($E240&gt;INDEX(_xlfn.ANCHORARRAY(Sintesi!$C$15),1,$C240))*($E240&lt;INDEX(_xlfn.ANCHORARRAY(Sintesi!$C$16),1,$C240))*(INDEX(_xlfn.ANCHORARRAY(Sintesi!$C$15),1,$C240)&gt;0),2,IF($E240=(INDEX(_xlfn.ANCHORARRAY(Sintesi!$C$16),1,$C240)),3,4)))),0)),IF(ISNUMBER($E239),IF($C240&gt;0,IF(($E240=INDEX(_xlfn.ANCHORARRAY(Sintesi!$C$14),1,$C240))*(INDEX(_xlfn.ANCHORARRAY(Sintesi!$C$15),1,$C240)&gt;0),0,IF(($E240=INDEX(_xlfn.ANCHORARRAY(Sintesi!$C$14),1,$C240))*(INDEX(_xlfn.ANCHORARRAY(Sintesi!$C$15),1,$C240)&lt;0)+($E240&gt;=$E239)*($E240&lt;=$E241)*($E240&gt;INDEX(_xlfn.ANCHORARRAY(Sintesi!$C$14),1,$C240))*($E240&lt;=INDEX(_xlfn.ANCHORARRAY(Sintesi!$C$15),1,$C240))*(INDEX(_xlfn.ANCHORARRAY(Sintesi!$C$15),1,$C240)&gt;0),1,IF(($E240&gt;=$E239)*($E240&lt;=$E241)*($E240&gt;INDEX(_xlfn.ANCHORARRAY(Sintesi!$C$14),1,$C240))*($E240&lt;INDEX(_xlfn.ANCHORARRAY(Sintesi!$C$16),1,$C240))*(INDEX(_xlfn.ANCHORARRAY(Sintesi!$C$15),1,$C240)&lt;0)+($E240&gt;=$E239)*($E240&lt;=$E241)*($E240&gt;INDEX(_xlfn.ANCHORARRAY(Sintesi!$C$15),1,$C240))*($E240&lt;INDEX(_xlfn.ANCHORARRAY(Sintesi!$C$16),1,$C240))*(INDEX(_xlfn.ANCHORARRAY(Sintesi!$C$15),1,$C240)&gt;0),2,IF($E240=(INDEX(_xlfn.ANCHORARRAY(Sintesi!$C$16),1,$C240)),3,4)))),0),IF($C240&gt;0,IF(($E240=INDEX(_xlfn.ANCHORARRAY(Sintesi!$C$14),1,$C240))*(INDEX(_xlfn.ANCHORARRAY(Sintesi!$C$15),1,$C240)&gt;0),0,IF(($E240=INDEX(_xlfn.ANCHORARRAY(Sintesi!$C$14),1,$C240))*(INDEX(_xlfn.ANCHORARRAY(Sintesi!$C$15),1,$C240)&lt;0)+($E240&gt;=LOOKUP(2,1/($E:$E&lt;&gt;""),$E:$E))*($E240&lt;=$E241)*($E240&gt;INDEX(_xlfn.ANCHORARRAY(Sintesi!$C$14),1,$C240))*($E240&lt;=INDEX(_xlfn.ANCHORARRAY(Sintesi!$C$15),1,$C240))*(INDEX(_xlfn.ANCHORARRAY(Sintesi!$C$15),1,$C240)&gt;0),1,IF(($E240&gt;=LOOKUP(2,1/($E:$E&lt;&gt;""),$E:$E))*($E240&lt;=$E241)*($E240&gt;INDEX(_xlfn.ANCHORARRAY(Sintesi!$C$14),1,$C240))*($E240&lt;INDEX(_xlfn.ANCHORARRAY(Sintesi!$C$16),1,$C240))*(INDEX(_xlfn.ANCHORARRAY(Sintesi!$C$15),1,$C240)&lt;0)+($E240&gt;=LOOKUP(2,1/($E:$E&lt;&gt;""),$E:$E))*($E240&lt;=$E241)*($E240&gt;INDEX(_xlfn.ANCHORARRAY(Sintesi!$C$15),1,$C240))*($E240&lt;INDEX(_xlfn.ANCHORARRAY(Sintesi!$C$16),1,$C240))*(INDEX(_xlfn.ANCHORARRAY(Sintesi!$C$15),1,$C240)&gt;0),2,IF($E240=(INDEX(_xlfn.ANCHORARRAY(Sintesi!$C$16),1,$C240)),3,4)))),0)))</f>
        <v>0</v>
      </c>
      <c r="E240" s="1">
        <f>'Paste cell here'!F240</f>
        <v>0</v>
      </c>
      <c r="F240" s="1">
        <f>'Paste cell here'!C240</f>
        <v>23.87454387</v>
      </c>
      <c r="G240" s="1">
        <f>'Paste cell here'!D240</f>
        <v>17.215284570000001</v>
      </c>
      <c r="H240" s="1">
        <f>'Paste cell here'!E240</f>
        <v>3.2258436449999999</v>
      </c>
      <c r="I240" s="1">
        <f>'Paste cell here'!X240</f>
        <v>0</v>
      </c>
      <c r="J240" s="1">
        <f>'Paste cell here'!Y240+'Paste cell here'!S240</f>
        <v>0</v>
      </c>
      <c r="K240" s="1">
        <f t="shared" si="7"/>
        <v>0</v>
      </c>
      <c r="L240" s="1">
        <f t="shared" si="6"/>
        <v>21.382113212472397</v>
      </c>
      <c r="M240" s="1" cm="1">
        <f t="array" ref="M240">IF(AND(A240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,A240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),IF(L240&lt;_xlfn.IFNA(INDEX(_xlfn.ANCHORARRAY(Sintesi!$C$17)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,1,IF(L240&gt;=_xlfn.IFNA(INDEX(_xlfn.ANCHORARRAY(Sintesi!$C$18)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,0,1-(L240-_xlfn.IFNA(INDEX(_xlfn.ANCHORARRAY(Sintesi!$C$17)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)/(_xlfn.IFNA(INDEX(_xlfn.ANCHORARRAY(Sintesi!$C$18)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-_xlfn.IFNA(INDEX(_xlfn.ANCHORARRAY(Sintesi!$C$17),1,MATCH(1,(_xlfn.ANCHORARRAY(Sintesi!$C$9)&gt;_xlfn.ANCHORARRAY(Sintesi!$C$10))*(A239&gt;=_xlfn.ANCHORARRAY(Sintesi!$C$9))+(_xlfn.ANCHORARRAY(Sintesi!$C$9)&gt;_xlfn.ANCHORARRAY(Sintesi!$C$10))*(A239&lt;=_xlfn.ANCHORARRAY(Sintesi!$C$10))+(_xlfn.ANCHORARRAY(Sintesi!$C$9)&lt;_xlfn.ANCHORARRAY(Sintesi!$C$10))*(A239&gt;=_xlfn.ANCHORARRAY(Sintesi!$C$9))*(A239&lt;=_xlfn.ANCHORARRAY(Sintesi!$C$10)),0)),0)))),0)</f>
        <v>0</v>
      </c>
    </row>
    <row r="241" spans="1:13">
      <c r="A241" s="1">
        <f>'Paste cell here'!A241</f>
        <v>240</v>
      </c>
      <c r="B241" s="2">
        <f>DATE(Sintesi!$C$4-1,12,31)+A241</f>
        <v>44436</v>
      </c>
      <c r="C241" s="34" cm="1">
        <f t="array" ref="C241">_xlfn.IFNA(MATCH(1,(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)*(_xlfn.ANCHORARRAY(Sintesi!$C$15)&gt;=0)+(_xlfn.ANCHORARRAY(Sintesi!$C$15)&lt;0),0),0)</f>
        <v>0</v>
      </c>
      <c r="D241" s="1" cm="1">
        <f t="array" ref="D241">IF(ISBLANK($E242),IF(ISNUMBER($E240),IF($C241&gt;0,IF(($E241=INDEX(_xlfn.ANCHORARRAY(Sintesi!$C$14),1,$C241))*(INDEX(_xlfn.ANCHORARRAY(Sintesi!$C$15),1,$C241)&gt;0),0,IF(($E241=INDEX(_xlfn.ANCHORARRAY(Sintesi!$C$14),1,$C241))*(INDEX(_xlfn.ANCHORARRAY(Sintesi!$C$15),1,$C241)&lt;0)+($E241&gt;=$E240)*($E241&lt;=INDEX($E:$E,MATCH(TRUE,INDEX((ISNUMBER($E:$E)),0),0)))*($E241&gt;INDEX(_xlfn.ANCHORARRAY(Sintesi!$C$14),1,$C241))*($E241&lt;=INDEX(_xlfn.ANCHORARRAY(Sintesi!$C$15),1,$C241))*(INDEX(_xlfn.ANCHORARRAY(Sintesi!$C$15),1,$C241)&gt;0),1,IF(($E241&gt;=$E240)*($E241&lt;=INDEX($E:$E,MATCH(TRUE,INDEX((ISNUMBER($E:$E)),0),0)))*($E241&gt;INDEX(_xlfn.ANCHORARRAY(Sintesi!$C$14),1,$C241))*($E241&lt;INDEX(_xlfn.ANCHORARRAY(Sintesi!$C$16),1,$C241))*(INDEX(_xlfn.ANCHORARRAY(Sintesi!$C$15),1,$C241)&lt;0)+($E241&gt;=$E240)*($E241&lt;=INDEX($E:$E,MATCH(TRUE,INDEX((ISNUMBER($E:$E)),0),0)))*($E241&gt;INDEX(_xlfn.ANCHORARRAY(Sintesi!$C$15),1,$C241))*($E241&lt;INDEX(_xlfn.ANCHORARRAY(Sintesi!$C$16),1,$C241))*(INDEX(_xlfn.ANCHORARRAY(Sintesi!$C$15),1,$C241)&gt;0),2,IF($E241=(INDEX(_xlfn.ANCHORARRAY(Sintesi!$C$16),1,$C241)),3,4)))),0),IF($C241&gt;0,IF(($E241=INDEX(_xlfn.ANCHORARRAY(Sintesi!$C$14),1,$C241))*(INDEX(_xlfn.ANCHORARRAY(Sintesi!$C$15),1,$C241)&gt;0),0,IF(($E241=INDEX(_xlfn.ANCHORARRAY(Sintesi!$C$14),1,$C241))*(INDEX(_xlfn.ANCHORARRAY(Sintesi!$C$15),1,$C241)&lt;0)+($E241&gt;=LOOKUP(2,1/($E:$E&lt;&gt;""),$E:$E))*($E241&lt;=INDEX($E:$E,MATCH(TRUE,INDEX((ISNUMBER($E:$E)),0),0)))*($E241&gt;INDEX(_xlfn.ANCHORARRAY(Sintesi!$C$14),1,$C241))*($E241&lt;=INDEX(_xlfn.ANCHORARRAY(Sintesi!$C$15),1,$C241))*(INDEX(_xlfn.ANCHORARRAY(Sintesi!$C$15),1,$C241)&gt;0),1,IF(($E241&gt;=LOOKUP(2,1/($E:$E&lt;&gt;""),$E:$E))*($E241&lt;=INDEX($E:$E,MATCH(TRUE,INDEX((ISNUMBER($E:$E)),0),0)))*($E241&gt;INDEX(_xlfn.ANCHORARRAY(Sintesi!$C$14),1,$C241))*($E241&lt;INDEX(_xlfn.ANCHORARRAY(Sintesi!$C$16),1,$C241))*(INDEX(_xlfn.ANCHORARRAY(Sintesi!$C$15),1,$C241)&lt;0)+($E241&gt;=LOOKUP(2,1/($E:$E&lt;&gt;""),$E:$E))*($E241&lt;=INDEX($E:$E,MATCH(TRUE,INDEX((ISNUMBER($E:$E)),0),0)))*($E241&gt;INDEX(_xlfn.ANCHORARRAY(Sintesi!$C$15),1,$C241))*($E241&lt;INDEX(_xlfn.ANCHORARRAY(Sintesi!$C$16),1,$C241))*(INDEX(_xlfn.ANCHORARRAY(Sintesi!$C$15),1,$C241)&gt;0),2,IF($E241=(INDEX(_xlfn.ANCHORARRAY(Sintesi!$C$16),1,$C241)),3,4)))),0)),IF(ISNUMBER($E240),IF($C241&gt;0,IF(($E241=INDEX(_xlfn.ANCHORARRAY(Sintesi!$C$14),1,$C241))*(INDEX(_xlfn.ANCHORARRAY(Sintesi!$C$15),1,$C241)&gt;0),0,IF(($E241=INDEX(_xlfn.ANCHORARRAY(Sintesi!$C$14),1,$C241))*(INDEX(_xlfn.ANCHORARRAY(Sintesi!$C$15),1,$C241)&lt;0)+($E241&gt;=$E240)*($E241&lt;=$E242)*($E241&gt;INDEX(_xlfn.ANCHORARRAY(Sintesi!$C$14),1,$C241))*($E241&lt;=INDEX(_xlfn.ANCHORARRAY(Sintesi!$C$15),1,$C241))*(INDEX(_xlfn.ANCHORARRAY(Sintesi!$C$15),1,$C241)&gt;0),1,IF(($E241&gt;=$E240)*($E241&lt;=$E242)*($E241&gt;INDEX(_xlfn.ANCHORARRAY(Sintesi!$C$14),1,$C241))*($E241&lt;INDEX(_xlfn.ANCHORARRAY(Sintesi!$C$16),1,$C241))*(INDEX(_xlfn.ANCHORARRAY(Sintesi!$C$15),1,$C241)&lt;0)+($E241&gt;=$E240)*($E241&lt;=$E242)*($E241&gt;INDEX(_xlfn.ANCHORARRAY(Sintesi!$C$15),1,$C241))*($E241&lt;INDEX(_xlfn.ANCHORARRAY(Sintesi!$C$16),1,$C241))*(INDEX(_xlfn.ANCHORARRAY(Sintesi!$C$15),1,$C241)&gt;0),2,IF($E241=(INDEX(_xlfn.ANCHORARRAY(Sintesi!$C$16),1,$C241)),3,4)))),0),IF($C241&gt;0,IF(($E241=INDEX(_xlfn.ANCHORARRAY(Sintesi!$C$14),1,$C241))*(INDEX(_xlfn.ANCHORARRAY(Sintesi!$C$15),1,$C241)&gt;0),0,IF(($E241=INDEX(_xlfn.ANCHORARRAY(Sintesi!$C$14),1,$C241))*(INDEX(_xlfn.ANCHORARRAY(Sintesi!$C$15),1,$C241)&lt;0)+($E241&gt;=LOOKUP(2,1/($E:$E&lt;&gt;""),$E:$E))*($E241&lt;=$E242)*($E241&gt;INDEX(_xlfn.ANCHORARRAY(Sintesi!$C$14),1,$C241))*($E241&lt;=INDEX(_xlfn.ANCHORARRAY(Sintesi!$C$15),1,$C241))*(INDEX(_xlfn.ANCHORARRAY(Sintesi!$C$15),1,$C241)&gt;0),1,IF(($E241&gt;=LOOKUP(2,1/($E:$E&lt;&gt;""),$E:$E))*($E241&lt;=$E242)*($E241&gt;INDEX(_xlfn.ANCHORARRAY(Sintesi!$C$14),1,$C241))*($E241&lt;INDEX(_xlfn.ANCHORARRAY(Sintesi!$C$16),1,$C241))*(INDEX(_xlfn.ANCHORARRAY(Sintesi!$C$15),1,$C241)&lt;0)+($E241&gt;=LOOKUP(2,1/($E:$E&lt;&gt;""),$E:$E))*($E241&lt;=$E242)*($E241&gt;INDEX(_xlfn.ANCHORARRAY(Sintesi!$C$15),1,$C241))*($E241&lt;INDEX(_xlfn.ANCHORARRAY(Sintesi!$C$16),1,$C241))*(INDEX(_xlfn.ANCHORARRAY(Sintesi!$C$15),1,$C241)&gt;0),2,IF($E241=(INDEX(_xlfn.ANCHORARRAY(Sintesi!$C$16),1,$C241)),3,4)))),0)))</f>
        <v>0</v>
      </c>
      <c r="E241" s="1">
        <f>'Paste cell here'!F241</f>
        <v>0</v>
      </c>
      <c r="F241" s="1">
        <f>'Paste cell here'!C241</f>
        <v>27.05660503</v>
      </c>
      <c r="G241" s="1">
        <f>'Paste cell here'!D241</f>
        <v>16.261249410000001</v>
      </c>
      <c r="H241" s="1">
        <f>'Paste cell here'!E241</f>
        <v>4.2265482179999996</v>
      </c>
      <c r="I241" s="1">
        <f>'Paste cell here'!X241</f>
        <v>0</v>
      </c>
      <c r="J241" s="1">
        <f>'Paste cell here'!Y241+'Paste cell here'!S241</f>
        <v>0</v>
      </c>
      <c r="K241" s="1">
        <f t="shared" si="7"/>
        <v>0</v>
      </c>
      <c r="L241" s="1">
        <f t="shared" si="6"/>
        <v>23.016114324644686</v>
      </c>
      <c r="M241" s="1" cm="1">
        <f t="array" ref="M241">IF(AND(A241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,A241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),IF(L241&lt;_xlfn.IFNA(INDEX(_xlfn.ANCHORARRAY(Sintesi!$C$17)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,1,IF(L241&gt;=_xlfn.IFNA(INDEX(_xlfn.ANCHORARRAY(Sintesi!$C$18)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,0,1-(L241-_xlfn.IFNA(INDEX(_xlfn.ANCHORARRAY(Sintesi!$C$17)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)/(_xlfn.IFNA(INDEX(_xlfn.ANCHORARRAY(Sintesi!$C$18)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-_xlfn.IFNA(INDEX(_xlfn.ANCHORARRAY(Sintesi!$C$17),1,MATCH(1,(_xlfn.ANCHORARRAY(Sintesi!$C$9)&gt;_xlfn.ANCHORARRAY(Sintesi!$C$10))*(A240&gt;=_xlfn.ANCHORARRAY(Sintesi!$C$9))+(_xlfn.ANCHORARRAY(Sintesi!$C$9)&gt;_xlfn.ANCHORARRAY(Sintesi!$C$10))*(A240&lt;=_xlfn.ANCHORARRAY(Sintesi!$C$10))+(_xlfn.ANCHORARRAY(Sintesi!$C$9)&lt;_xlfn.ANCHORARRAY(Sintesi!$C$10))*(A240&gt;=_xlfn.ANCHORARRAY(Sintesi!$C$9))*(A240&lt;=_xlfn.ANCHORARRAY(Sintesi!$C$10)),0)),0)))),0)</f>
        <v>0</v>
      </c>
    </row>
    <row r="242" spans="1:13">
      <c r="A242" s="1">
        <f>'Paste cell here'!A242</f>
        <v>241</v>
      </c>
      <c r="B242" s="2">
        <f>DATE(Sintesi!$C$4-1,12,31)+A242</f>
        <v>44437</v>
      </c>
      <c r="C242" s="34" cm="1">
        <f t="array" ref="C242">_xlfn.IFNA(MATCH(1,(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)*(_xlfn.ANCHORARRAY(Sintesi!$C$15)&gt;=0)+(_xlfn.ANCHORARRAY(Sintesi!$C$15)&lt;0),0),0)</f>
        <v>0</v>
      </c>
      <c r="D242" s="1" cm="1">
        <f t="array" ref="D242">IF(ISBLANK($E243),IF(ISNUMBER($E241),IF($C242&gt;0,IF(($E242=INDEX(_xlfn.ANCHORARRAY(Sintesi!$C$14),1,$C242))*(INDEX(_xlfn.ANCHORARRAY(Sintesi!$C$15),1,$C242)&gt;0),0,IF(($E242=INDEX(_xlfn.ANCHORARRAY(Sintesi!$C$14),1,$C242))*(INDEX(_xlfn.ANCHORARRAY(Sintesi!$C$15),1,$C242)&lt;0)+($E242&gt;=$E241)*($E242&lt;=INDEX($E:$E,MATCH(TRUE,INDEX((ISNUMBER($E:$E)),0),0)))*($E242&gt;INDEX(_xlfn.ANCHORARRAY(Sintesi!$C$14),1,$C242))*($E242&lt;=INDEX(_xlfn.ANCHORARRAY(Sintesi!$C$15),1,$C242))*(INDEX(_xlfn.ANCHORARRAY(Sintesi!$C$15),1,$C242)&gt;0),1,IF(($E242&gt;=$E241)*($E242&lt;=INDEX($E:$E,MATCH(TRUE,INDEX((ISNUMBER($E:$E)),0),0)))*($E242&gt;INDEX(_xlfn.ANCHORARRAY(Sintesi!$C$14),1,$C242))*($E242&lt;INDEX(_xlfn.ANCHORARRAY(Sintesi!$C$16),1,$C242))*(INDEX(_xlfn.ANCHORARRAY(Sintesi!$C$15),1,$C242)&lt;0)+($E242&gt;=$E241)*($E242&lt;=INDEX($E:$E,MATCH(TRUE,INDEX((ISNUMBER($E:$E)),0),0)))*($E242&gt;INDEX(_xlfn.ANCHORARRAY(Sintesi!$C$15),1,$C242))*($E242&lt;INDEX(_xlfn.ANCHORARRAY(Sintesi!$C$16),1,$C242))*(INDEX(_xlfn.ANCHORARRAY(Sintesi!$C$15),1,$C242)&gt;0),2,IF($E242=(INDEX(_xlfn.ANCHORARRAY(Sintesi!$C$16),1,$C242)),3,4)))),0),IF($C242&gt;0,IF(($E242=INDEX(_xlfn.ANCHORARRAY(Sintesi!$C$14),1,$C242))*(INDEX(_xlfn.ANCHORARRAY(Sintesi!$C$15),1,$C242)&gt;0),0,IF(($E242=INDEX(_xlfn.ANCHORARRAY(Sintesi!$C$14),1,$C242))*(INDEX(_xlfn.ANCHORARRAY(Sintesi!$C$15),1,$C242)&lt;0)+($E242&gt;=LOOKUP(2,1/($E:$E&lt;&gt;""),$E:$E))*($E242&lt;=INDEX($E:$E,MATCH(TRUE,INDEX((ISNUMBER($E:$E)),0),0)))*($E242&gt;INDEX(_xlfn.ANCHORARRAY(Sintesi!$C$14),1,$C242))*($E242&lt;=INDEX(_xlfn.ANCHORARRAY(Sintesi!$C$15),1,$C242))*(INDEX(_xlfn.ANCHORARRAY(Sintesi!$C$15),1,$C242)&gt;0),1,IF(($E242&gt;=LOOKUP(2,1/($E:$E&lt;&gt;""),$E:$E))*($E242&lt;=INDEX($E:$E,MATCH(TRUE,INDEX((ISNUMBER($E:$E)),0),0)))*($E242&gt;INDEX(_xlfn.ANCHORARRAY(Sintesi!$C$14),1,$C242))*($E242&lt;INDEX(_xlfn.ANCHORARRAY(Sintesi!$C$16),1,$C242))*(INDEX(_xlfn.ANCHORARRAY(Sintesi!$C$15),1,$C242)&lt;0)+($E242&gt;=LOOKUP(2,1/($E:$E&lt;&gt;""),$E:$E))*($E242&lt;=INDEX($E:$E,MATCH(TRUE,INDEX((ISNUMBER($E:$E)),0),0)))*($E242&gt;INDEX(_xlfn.ANCHORARRAY(Sintesi!$C$15),1,$C242))*($E242&lt;INDEX(_xlfn.ANCHORARRAY(Sintesi!$C$16),1,$C242))*(INDEX(_xlfn.ANCHORARRAY(Sintesi!$C$15),1,$C242)&gt;0),2,IF($E242=(INDEX(_xlfn.ANCHORARRAY(Sintesi!$C$16),1,$C242)),3,4)))),0)),IF(ISNUMBER($E241),IF($C242&gt;0,IF(($E242=INDEX(_xlfn.ANCHORARRAY(Sintesi!$C$14),1,$C242))*(INDEX(_xlfn.ANCHORARRAY(Sintesi!$C$15),1,$C242)&gt;0),0,IF(($E242=INDEX(_xlfn.ANCHORARRAY(Sintesi!$C$14),1,$C242))*(INDEX(_xlfn.ANCHORARRAY(Sintesi!$C$15),1,$C242)&lt;0)+($E242&gt;=$E241)*($E242&lt;=$E243)*($E242&gt;INDEX(_xlfn.ANCHORARRAY(Sintesi!$C$14),1,$C242))*($E242&lt;=INDEX(_xlfn.ANCHORARRAY(Sintesi!$C$15),1,$C242))*(INDEX(_xlfn.ANCHORARRAY(Sintesi!$C$15),1,$C242)&gt;0),1,IF(($E242&gt;=$E241)*($E242&lt;=$E243)*($E242&gt;INDEX(_xlfn.ANCHORARRAY(Sintesi!$C$14),1,$C242))*($E242&lt;INDEX(_xlfn.ANCHORARRAY(Sintesi!$C$16),1,$C242))*(INDEX(_xlfn.ANCHORARRAY(Sintesi!$C$15),1,$C242)&lt;0)+($E242&gt;=$E241)*($E242&lt;=$E243)*($E242&gt;INDEX(_xlfn.ANCHORARRAY(Sintesi!$C$15),1,$C242))*($E242&lt;INDEX(_xlfn.ANCHORARRAY(Sintesi!$C$16),1,$C242))*(INDEX(_xlfn.ANCHORARRAY(Sintesi!$C$15),1,$C242)&gt;0),2,IF($E242=(INDEX(_xlfn.ANCHORARRAY(Sintesi!$C$16),1,$C242)),3,4)))),0),IF($C242&gt;0,IF(($E242=INDEX(_xlfn.ANCHORARRAY(Sintesi!$C$14),1,$C242))*(INDEX(_xlfn.ANCHORARRAY(Sintesi!$C$15),1,$C242)&gt;0),0,IF(($E242=INDEX(_xlfn.ANCHORARRAY(Sintesi!$C$14),1,$C242))*(INDEX(_xlfn.ANCHORARRAY(Sintesi!$C$15),1,$C242)&lt;0)+($E242&gt;=LOOKUP(2,1/($E:$E&lt;&gt;""),$E:$E))*($E242&lt;=$E243)*($E242&gt;INDEX(_xlfn.ANCHORARRAY(Sintesi!$C$14),1,$C242))*($E242&lt;=INDEX(_xlfn.ANCHORARRAY(Sintesi!$C$15),1,$C242))*(INDEX(_xlfn.ANCHORARRAY(Sintesi!$C$15),1,$C242)&gt;0),1,IF(($E242&gt;=LOOKUP(2,1/($E:$E&lt;&gt;""),$E:$E))*($E242&lt;=$E243)*($E242&gt;INDEX(_xlfn.ANCHORARRAY(Sintesi!$C$14),1,$C242))*($E242&lt;INDEX(_xlfn.ANCHORARRAY(Sintesi!$C$16),1,$C242))*(INDEX(_xlfn.ANCHORARRAY(Sintesi!$C$15),1,$C242)&lt;0)+($E242&gt;=LOOKUP(2,1/($E:$E&lt;&gt;""),$E:$E))*($E242&lt;=$E243)*($E242&gt;INDEX(_xlfn.ANCHORARRAY(Sintesi!$C$15),1,$C242))*($E242&lt;INDEX(_xlfn.ANCHORARRAY(Sintesi!$C$16),1,$C242))*(INDEX(_xlfn.ANCHORARRAY(Sintesi!$C$15),1,$C242)&gt;0),2,IF($E242=(INDEX(_xlfn.ANCHORARRAY(Sintesi!$C$16),1,$C242)),3,4)))),0)))</f>
        <v>0</v>
      </c>
      <c r="E242" s="1">
        <f>'Paste cell here'!F242</f>
        <v>0</v>
      </c>
      <c r="F242" s="1">
        <f>'Paste cell here'!C242</f>
        <v>28.274543869999999</v>
      </c>
      <c r="G242" s="1">
        <f>'Paste cell here'!D242</f>
        <v>12.243394970000001</v>
      </c>
      <c r="H242" s="1">
        <f>'Paste cell here'!E242</f>
        <v>4.2722704189999998</v>
      </c>
      <c r="I242" s="1">
        <f>'Paste cell here'!X242</f>
        <v>0</v>
      </c>
      <c r="J242" s="1">
        <f>'Paste cell here'!Y242+'Paste cell here'!S242</f>
        <v>0</v>
      </c>
      <c r="K242" s="1">
        <f t="shared" si="7"/>
        <v>0</v>
      </c>
      <c r="L242" s="1">
        <f t="shared" si="6"/>
        <v>22.274398028892726</v>
      </c>
      <c r="M242" s="1" cm="1">
        <f t="array" ref="M242">IF(AND(A242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,A242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),IF(L242&lt;_xlfn.IFNA(INDEX(_xlfn.ANCHORARRAY(Sintesi!$C$17)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,1,IF(L242&gt;=_xlfn.IFNA(INDEX(_xlfn.ANCHORARRAY(Sintesi!$C$18)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,0,1-(L242-_xlfn.IFNA(INDEX(_xlfn.ANCHORARRAY(Sintesi!$C$17)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)/(_xlfn.IFNA(INDEX(_xlfn.ANCHORARRAY(Sintesi!$C$18)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-_xlfn.IFNA(INDEX(_xlfn.ANCHORARRAY(Sintesi!$C$17),1,MATCH(1,(_xlfn.ANCHORARRAY(Sintesi!$C$9)&gt;_xlfn.ANCHORARRAY(Sintesi!$C$10))*(A241&gt;=_xlfn.ANCHORARRAY(Sintesi!$C$9))+(_xlfn.ANCHORARRAY(Sintesi!$C$9)&gt;_xlfn.ANCHORARRAY(Sintesi!$C$10))*(A241&lt;=_xlfn.ANCHORARRAY(Sintesi!$C$10))+(_xlfn.ANCHORARRAY(Sintesi!$C$9)&lt;_xlfn.ANCHORARRAY(Sintesi!$C$10))*(A241&gt;=_xlfn.ANCHORARRAY(Sintesi!$C$9))*(A241&lt;=_xlfn.ANCHORARRAY(Sintesi!$C$10)),0)),0)))),0)</f>
        <v>0</v>
      </c>
    </row>
    <row r="243" spans="1:13">
      <c r="A243" s="1">
        <f>'Paste cell here'!A243</f>
        <v>242</v>
      </c>
      <c r="B243" s="2">
        <f>DATE(Sintesi!$C$4-1,12,31)+A243</f>
        <v>44438</v>
      </c>
      <c r="C243" s="34" cm="1">
        <f t="array" ref="C243">_xlfn.IFNA(MATCH(1,(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)*(_xlfn.ANCHORARRAY(Sintesi!$C$15)&gt;=0)+(_xlfn.ANCHORARRAY(Sintesi!$C$15)&lt;0),0),0)</f>
        <v>0</v>
      </c>
      <c r="D243" s="1" cm="1">
        <f t="array" ref="D243">IF(ISBLANK($E244),IF(ISNUMBER($E242),IF($C243&gt;0,IF(($E243=INDEX(_xlfn.ANCHORARRAY(Sintesi!$C$14),1,$C243))*(INDEX(_xlfn.ANCHORARRAY(Sintesi!$C$15),1,$C243)&gt;0),0,IF(($E243=INDEX(_xlfn.ANCHORARRAY(Sintesi!$C$14),1,$C243))*(INDEX(_xlfn.ANCHORARRAY(Sintesi!$C$15),1,$C243)&lt;0)+($E243&gt;=$E242)*($E243&lt;=INDEX($E:$E,MATCH(TRUE,INDEX((ISNUMBER($E:$E)),0),0)))*($E243&gt;INDEX(_xlfn.ANCHORARRAY(Sintesi!$C$14),1,$C243))*($E243&lt;=INDEX(_xlfn.ANCHORARRAY(Sintesi!$C$15),1,$C243))*(INDEX(_xlfn.ANCHORARRAY(Sintesi!$C$15),1,$C243)&gt;0),1,IF(($E243&gt;=$E242)*($E243&lt;=INDEX($E:$E,MATCH(TRUE,INDEX((ISNUMBER($E:$E)),0),0)))*($E243&gt;INDEX(_xlfn.ANCHORARRAY(Sintesi!$C$14),1,$C243))*($E243&lt;INDEX(_xlfn.ANCHORARRAY(Sintesi!$C$16),1,$C243))*(INDEX(_xlfn.ANCHORARRAY(Sintesi!$C$15),1,$C243)&lt;0)+($E243&gt;=$E242)*($E243&lt;=INDEX($E:$E,MATCH(TRUE,INDEX((ISNUMBER($E:$E)),0),0)))*($E243&gt;INDEX(_xlfn.ANCHORARRAY(Sintesi!$C$15),1,$C243))*($E243&lt;INDEX(_xlfn.ANCHORARRAY(Sintesi!$C$16),1,$C243))*(INDEX(_xlfn.ANCHORARRAY(Sintesi!$C$15),1,$C243)&gt;0),2,IF($E243=(INDEX(_xlfn.ANCHORARRAY(Sintesi!$C$16),1,$C243)),3,4)))),0),IF($C243&gt;0,IF(($E243=INDEX(_xlfn.ANCHORARRAY(Sintesi!$C$14),1,$C243))*(INDEX(_xlfn.ANCHORARRAY(Sintesi!$C$15),1,$C243)&gt;0),0,IF(($E243=INDEX(_xlfn.ANCHORARRAY(Sintesi!$C$14),1,$C243))*(INDEX(_xlfn.ANCHORARRAY(Sintesi!$C$15),1,$C243)&lt;0)+($E243&gt;=LOOKUP(2,1/($E:$E&lt;&gt;""),$E:$E))*($E243&lt;=INDEX($E:$E,MATCH(TRUE,INDEX((ISNUMBER($E:$E)),0),0)))*($E243&gt;INDEX(_xlfn.ANCHORARRAY(Sintesi!$C$14),1,$C243))*($E243&lt;=INDEX(_xlfn.ANCHORARRAY(Sintesi!$C$15),1,$C243))*(INDEX(_xlfn.ANCHORARRAY(Sintesi!$C$15),1,$C243)&gt;0),1,IF(($E243&gt;=LOOKUP(2,1/($E:$E&lt;&gt;""),$E:$E))*($E243&lt;=INDEX($E:$E,MATCH(TRUE,INDEX((ISNUMBER($E:$E)),0),0)))*($E243&gt;INDEX(_xlfn.ANCHORARRAY(Sintesi!$C$14),1,$C243))*($E243&lt;INDEX(_xlfn.ANCHORARRAY(Sintesi!$C$16),1,$C243))*(INDEX(_xlfn.ANCHORARRAY(Sintesi!$C$15),1,$C243)&lt;0)+($E243&gt;=LOOKUP(2,1/($E:$E&lt;&gt;""),$E:$E))*($E243&lt;=INDEX($E:$E,MATCH(TRUE,INDEX((ISNUMBER($E:$E)),0),0)))*($E243&gt;INDEX(_xlfn.ANCHORARRAY(Sintesi!$C$15),1,$C243))*($E243&lt;INDEX(_xlfn.ANCHORARRAY(Sintesi!$C$16),1,$C243))*(INDEX(_xlfn.ANCHORARRAY(Sintesi!$C$15),1,$C243)&gt;0),2,IF($E243=(INDEX(_xlfn.ANCHORARRAY(Sintesi!$C$16),1,$C243)),3,4)))),0)),IF(ISNUMBER($E242),IF($C243&gt;0,IF(($E243=INDEX(_xlfn.ANCHORARRAY(Sintesi!$C$14),1,$C243))*(INDEX(_xlfn.ANCHORARRAY(Sintesi!$C$15),1,$C243)&gt;0),0,IF(($E243=INDEX(_xlfn.ANCHORARRAY(Sintesi!$C$14),1,$C243))*(INDEX(_xlfn.ANCHORARRAY(Sintesi!$C$15),1,$C243)&lt;0)+($E243&gt;=$E242)*($E243&lt;=$E244)*($E243&gt;INDEX(_xlfn.ANCHORARRAY(Sintesi!$C$14),1,$C243))*($E243&lt;=INDEX(_xlfn.ANCHORARRAY(Sintesi!$C$15),1,$C243))*(INDEX(_xlfn.ANCHORARRAY(Sintesi!$C$15),1,$C243)&gt;0),1,IF(($E243&gt;=$E242)*($E243&lt;=$E244)*($E243&gt;INDEX(_xlfn.ANCHORARRAY(Sintesi!$C$14),1,$C243))*($E243&lt;INDEX(_xlfn.ANCHORARRAY(Sintesi!$C$16),1,$C243))*(INDEX(_xlfn.ANCHORARRAY(Sintesi!$C$15),1,$C243)&lt;0)+($E243&gt;=$E242)*($E243&lt;=$E244)*($E243&gt;INDEX(_xlfn.ANCHORARRAY(Sintesi!$C$15),1,$C243))*($E243&lt;INDEX(_xlfn.ANCHORARRAY(Sintesi!$C$16),1,$C243))*(INDEX(_xlfn.ANCHORARRAY(Sintesi!$C$15),1,$C243)&gt;0),2,IF($E243=(INDEX(_xlfn.ANCHORARRAY(Sintesi!$C$16),1,$C243)),3,4)))),0),IF($C243&gt;0,IF(($E243=INDEX(_xlfn.ANCHORARRAY(Sintesi!$C$14),1,$C243))*(INDEX(_xlfn.ANCHORARRAY(Sintesi!$C$15),1,$C243)&gt;0),0,IF(($E243=INDEX(_xlfn.ANCHORARRAY(Sintesi!$C$14),1,$C243))*(INDEX(_xlfn.ANCHORARRAY(Sintesi!$C$15),1,$C243)&lt;0)+($E243&gt;=LOOKUP(2,1/($E:$E&lt;&gt;""),$E:$E))*($E243&lt;=$E244)*($E243&gt;INDEX(_xlfn.ANCHORARRAY(Sintesi!$C$14),1,$C243))*($E243&lt;=INDEX(_xlfn.ANCHORARRAY(Sintesi!$C$15),1,$C243))*(INDEX(_xlfn.ANCHORARRAY(Sintesi!$C$15),1,$C243)&gt;0),1,IF(($E243&gt;=LOOKUP(2,1/($E:$E&lt;&gt;""),$E:$E))*($E243&lt;=$E244)*($E243&gt;INDEX(_xlfn.ANCHORARRAY(Sintesi!$C$14),1,$C243))*($E243&lt;INDEX(_xlfn.ANCHORARRAY(Sintesi!$C$16),1,$C243))*(INDEX(_xlfn.ANCHORARRAY(Sintesi!$C$15),1,$C243)&lt;0)+($E243&gt;=LOOKUP(2,1/($E:$E&lt;&gt;""),$E:$E))*($E243&lt;=$E244)*($E243&gt;INDEX(_xlfn.ANCHORARRAY(Sintesi!$C$15),1,$C243))*($E243&lt;INDEX(_xlfn.ANCHORARRAY(Sintesi!$C$16),1,$C243))*(INDEX(_xlfn.ANCHORARRAY(Sintesi!$C$15),1,$C243)&gt;0),2,IF($E243=(INDEX(_xlfn.ANCHORARRAY(Sintesi!$C$16),1,$C243)),3,4)))),0)))</f>
        <v>0</v>
      </c>
      <c r="E243" s="1">
        <f>'Paste cell here'!F243</f>
        <v>0</v>
      </c>
      <c r="F243" s="1">
        <f>'Paste cell here'!C243</f>
        <v>28.927984330000001</v>
      </c>
      <c r="G243" s="1">
        <f>'Paste cell here'!D243</f>
        <v>13.63815892</v>
      </c>
      <c r="H243" s="1">
        <f>'Paste cell here'!E243</f>
        <v>4.2261074729999999</v>
      </c>
      <c r="I243" s="1">
        <f>'Paste cell here'!X243</f>
        <v>0</v>
      </c>
      <c r="J243" s="1">
        <f>'Paste cell here'!Y243+'Paste cell here'!S243</f>
        <v>0</v>
      </c>
      <c r="K243" s="1">
        <f t="shared" si="7"/>
        <v>0</v>
      </c>
      <c r="L243" s="1">
        <f t="shared" si="6"/>
        <v>23.205301388350836</v>
      </c>
      <c r="M243" s="1" cm="1">
        <f t="array" ref="M243">IF(AND(A243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,A243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),IF(L243&lt;_xlfn.IFNA(INDEX(_xlfn.ANCHORARRAY(Sintesi!$C$17)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,1,IF(L243&gt;=_xlfn.IFNA(INDEX(_xlfn.ANCHORARRAY(Sintesi!$C$18)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,0,1-(L243-_xlfn.IFNA(INDEX(_xlfn.ANCHORARRAY(Sintesi!$C$17)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)/(_xlfn.IFNA(INDEX(_xlfn.ANCHORARRAY(Sintesi!$C$18)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-_xlfn.IFNA(INDEX(_xlfn.ANCHORARRAY(Sintesi!$C$17),1,MATCH(1,(_xlfn.ANCHORARRAY(Sintesi!$C$9)&gt;_xlfn.ANCHORARRAY(Sintesi!$C$10))*(A242&gt;=_xlfn.ANCHORARRAY(Sintesi!$C$9))+(_xlfn.ANCHORARRAY(Sintesi!$C$9)&gt;_xlfn.ANCHORARRAY(Sintesi!$C$10))*(A242&lt;=_xlfn.ANCHORARRAY(Sintesi!$C$10))+(_xlfn.ANCHORARRAY(Sintesi!$C$9)&lt;_xlfn.ANCHORARRAY(Sintesi!$C$10))*(A242&gt;=_xlfn.ANCHORARRAY(Sintesi!$C$9))*(A242&lt;=_xlfn.ANCHORARRAY(Sintesi!$C$10)),0)),0)))),0)</f>
        <v>0</v>
      </c>
    </row>
    <row r="244" spans="1:13">
      <c r="A244" s="1">
        <f>'Paste cell here'!A244</f>
        <v>243</v>
      </c>
      <c r="B244" s="2">
        <f>DATE(Sintesi!$C$4-1,12,31)+A244</f>
        <v>44439</v>
      </c>
      <c r="C244" s="34" cm="1">
        <f t="array" ref="C244">_xlfn.IFNA(MATCH(1,(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)*(_xlfn.ANCHORARRAY(Sintesi!$C$15)&gt;=0)+(_xlfn.ANCHORARRAY(Sintesi!$C$15)&lt;0),0),0)</f>
        <v>0</v>
      </c>
      <c r="D244" s="1" cm="1">
        <f t="array" ref="D244">IF(ISBLANK($E245),IF(ISNUMBER($E243),IF($C244&gt;0,IF(($E244=INDEX(_xlfn.ANCHORARRAY(Sintesi!$C$14),1,$C244))*(INDEX(_xlfn.ANCHORARRAY(Sintesi!$C$15),1,$C244)&gt;0),0,IF(($E244=INDEX(_xlfn.ANCHORARRAY(Sintesi!$C$14),1,$C244))*(INDEX(_xlfn.ANCHORARRAY(Sintesi!$C$15),1,$C244)&lt;0)+($E244&gt;=$E243)*($E244&lt;=INDEX($E:$E,MATCH(TRUE,INDEX((ISNUMBER($E:$E)),0),0)))*($E244&gt;INDEX(_xlfn.ANCHORARRAY(Sintesi!$C$14),1,$C244))*($E244&lt;=INDEX(_xlfn.ANCHORARRAY(Sintesi!$C$15),1,$C244))*(INDEX(_xlfn.ANCHORARRAY(Sintesi!$C$15),1,$C244)&gt;0),1,IF(($E244&gt;=$E243)*($E244&lt;=INDEX($E:$E,MATCH(TRUE,INDEX((ISNUMBER($E:$E)),0),0)))*($E244&gt;INDEX(_xlfn.ANCHORARRAY(Sintesi!$C$14),1,$C244))*($E244&lt;INDEX(_xlfn.ANCHORARRAY(Sintesi!$C$16),1,$C244))*(INDEX(_xlfn.ANCHORARRAY(Sintesi!$C$15),1,$C244)&lt;0)+($E244&gt;=$E243)*($E244&lt;=INDEX($E:$E,MATCH(TRUE,INDEX((ISNUMBER($E:$E)),0),0)))*($E244&gt;INDEX(_xlfn.ANCHORARRAY(Sintesi!$C$15),1,$C244))*($E244&lt;INDEX(_xlfn.ANCHORARRAY(Sintesi!$C$16),1,$C244))*(INDEX(_xlfn.ANCHORARRAY(Sintesi!$C$15),1,$C244)&gt;0),2,IF($E244=(INDEX(_xlfn.ANCHORARRAY(Sintesi!$C$16),1,$C244)),3,4)))),0),IF($C244&gt;0,IF(($E244=INDEX(_xlfn.ANCHORARRAY(Sintesi!$C$14),1,$C244))*(INDEX(_xlfn.ANCHORARRAY(Sintesi!$C$15),1,$C244)&gt;0),0,IF(($E244=INDEX(_xlfn.ANCHORARRAY(Sintesi!$C$14),1,$C244))*(INDEX(_xlfn.ANCHORARRAY(Sintesi!$C$15),1,$C244)&lt;0)+($E244&gt;=LOOKUP(2,1/($E:$E&lt;&gt;""),$E:$E))*($E244&lt;=INDEX($E:$E,MATCH(TRUE,INDEX((ISNUMBER($E:$E)),0),0)))*($E244&gt;INDEX(_xlfn.ANCHORARRAY(Sintesi!$C$14),1,$C244))*($E244&lt;=INDEX(_xlfn.ANCHORARRAY(Sintesi!$C$15),1,$C244))*(INDEX(_xlfn.ANCHORARRAY(Sintesi!$C$15),1,$C244)&gt;0),1,IF(($E244&gt;=LOOKUP(2,1/($E:$E&lt;&gt;""),$E:$E))*($E244&lt;=INDEX($E:$E,MATCH(TRUE,INDEX((ISNUMBER($E:$E)),0),0)))*($E244&gt;INDEX(_xlfn.ANCHORARRAY(Sintesi!$C$14),1,$C244))*($E244&lt;INDEX(_xlfn.ANCHORARRAY(Sintesi!$C$16),1,$C244))*(INDEX(_xlfn.ANCHORARRAY(Sintesi!$C$15),1,$C244)&lt;0)+($E244&gt;=LOOKUP(2,1/($E:$E&lt;&gt;""),$E:$E))*($E244&lt;=INDEX($E:$E,MATCH(TRUE,INDEX((ISNUMBER($E:$E)),0),0)))*($E244&gt;INDEX(_xlfn.ANCHORARRAY(Sintesi!$C$15),1,$C244))*($E244&lt;INDEX(_xlfn.ANCHORARRAY(Sintesi!$C$16),1,$C244))*(INDEX(_xlfn.ANCHORARRAY(Sintesi!$C$15),1,$C244)&gt;0),2,IF($E244=(INDEX(_xlfn.ANCHORARRAY(Sintesi!$C$16),1,$C244)),3,4)))),0)),IF(ISNUMBER($E243),IF($C244&gt;0,IF(($E244=INDEX(_xlfn.ANCHORARRAY(Sintesi!$C$14),1,$C244))*(INDEX(_xlfn.ANCHORARRAY(Sintesi!$C$15),1,$C244)&gt;0),0,IF(($E244=INDEX(_xlfn.ANCHORARRAY(Sintesi!$C$14),1,$C244))*(INDEX(_xlfn.ANCHORARRAY(Sintesi!$C$15),1,$C244)&lt;0)+($E244&gt;=$E243)*($E244&lt;=$E245)*($E244&gt;INDEX(_xlfn.ANCHORARRAY(Sintesi!$C$14),1,$C244))*($E244&lt;=INDEX(_xlfn.ANCHORARRAY(Sintesi!$C$15),1,$C244))*(INDEX(_xlfn.ANCHORARRAY(Sintesi!$C$15),1,$C244)&gt;0),1,IF(($E244&gt;=$E243)*($E244&lt;=$E245)*($E244&gt;INDEX(_xlfn.ANCHORARRAY(Sintesi!$C$14),1,$C244))*($E244&lt;INDEX(_xlfn.ANCHORARRAY(Sintesi!$C$16),1,$C244))*(INDEX(_xlfn.ANCHORARRAY(Sintesi!$C$15),1,$C244)&lt;0)+($E244&gt;=$E243)*($E244&lt;=$E245)*($E244&gt;INDEX(_xlfn.ANCHORARRAY(Sintesi!$C$15),1,$C244))*($E244&lt;INDEX(_xlfn.ANCHORARRAY(Sintesi!$C$16),1,$C244))*(INDEX(_xlfn.ANCHORARRAY(Sintesi!$C$15),1,$C244)&gt;0),2,IF($E244=(INDEX(_xlfn.ANCHORARRAY(Sintesi!$C$16),1,$C244)),3,4)))),0),IF($C244&gt;0,IF(($E244=INDEX(_xlfn.ANCHORARRAY(Sintesi!$C$14),1,$C244))*(INDEX(_xlfn.ANCHORARRAY(Sintesi!$C$15),1,$C244)&gt;0),0,IF(($E244=INDEX(_xlfn.ANCHORARRAY(Sintesi!$C$14),1,$C244))*(INDEX(_xlfn.ANCHORARRAY(Sintesi!$C$15),1,$C244)&lt;0)+($E244&gt;=LOOKUP(2,1/($E:$E&lt;&gt;""),$E:$E))*($E244&lt;=$E245)*($E244&gt;INDEX(_xlfn.ANCHORARRAY(Sintesi!$C$14),1,$C244))*($E244&lt;=INDEX(_xlfn.ANCHORARRAY(Sintesi!$C$15),1,$C244))*(INDEX(_xlfn.ANCHORARRAY(Sintesi!$C$15),1,$C244)&gt;0),1,IF(($E244&gt;=LOOKUP(2,1/($E:$E&lt;&gt;""),$E:$E))*($E244&lt;=$E245)*($E244&gt;INDEX(_xlfn.ANCHORARRAY(Sintesi!$C$14),1,$C244))*($E244&lt;INDEX(_xlfn.ANCHORARRAY(Sintesi!$C$16),1,$C244))*(INDEX(_xlfn.ANCHORARRAY(Sintesi!$C$15),1,$C244)&lt;0)+($E244&gt;=LOOKUP(2,1/($E:$E&lt;&gt;""),$E:$E))*($E244&lt;=$E245)*($E244&gt;INDEX(_xlfn.ANCHORARRAY(Sintesi!$C$15),1,$C244))*($E244&lt;INDEX(_xlfn.ANCHORARRAY(Sintesi!$C$16),1,$C244))*(INDEX(_xlfn.ANCHORARRAY(Sintesi!$C$15),1,$C244)&gt;0),2,IF($E244=(INDEX(_xlfn.ANCHORARRAY(Sintesi!$C$16),1,$C244)),3,4)))),0)))</f>
        <v>0</v>
      </c>
      <c r="E244" s="1">
        <f>'Paste cell here'!F244</f>
        <v>0</v>
      </c>
      <c r="F244" s="1">
        <f>'Paste cell here'!C244</f>
        <v>28.4460747</v>
      </c>
      <c r="G244" s="1">
        <f>'Paste cell here'!D244</f>
        <v>16.604795899999999</v>
      </c>
      <c r="H244" s="1">
        <f>'Paste cell here'!E244</f>
        <v>3.994686615</v>
      </c>
      <c r="I244" s="1">
        <f>'Paste cell here'!X244</f>
        <v>0</v>
      </c>
      <c r="J244" s="1">
        <f>'Paste cell here'!Y244+'Paste cell here'!S244</f>
        <v>0</v>
      </c>
      <c r="K244" s="1">
        <f t="shared" si="7"/>
        <v>0</v>
      </c>
      <c r="L244" s="1">
        <f t="shared" si="6"/>
        <v>24.014115382024244</v>
      </c>
      <c r="M244" s="1" cm="1">
        <f t="array" ref="M244">IF(AND(A244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,A244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),IF(L244&lt;_xlfn.IFNA(INDEX(_xlfn.ANCHORARRAY(Sintesi!$C$17)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,1,IF(L244&gt;=_xlfn.IFNA(INDEX(_xlfn.ANCHORARRAY(Sintesi!$C$18)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,0,1-(L244-_xlfn.IFNA(INDEX(_xlfn.ANCHORARRAY(Sintesi!$C$17)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)/(_xlfn.IFNA(INDEX(_xlfn.ANCHORARRAY(Sintesi!$C$18)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-_xlfn.IFNA(INDEX(_xlfn.ANCHORARRAY(Sintesi!$C$17),1,MATCH(1,(_xlfn.ANCHORARRAY(Sintesi!$C$9)&gt;_xlfn.ANCHORARRAY(Sintesi!$C$10))*(A243&gt;=_xlfn.ANCHORARRAY(Sintesi!$C$9))+(_xlfn.ANCHORARRAY(Sintesi!$C$9)&gt;_xlfn.ANCHORARRAY(Sintesi!$C$10))*(A243&lt;=_xlfn.ANCHORARRAY(Sintesi!$C$10))+(_xlfn.ANCHORARRAY(Sintesi!$C$9)&lt;_xlfn.ANCHORARRAY(Sintesi!$C$10))*(A243&gt;=_xlfn.ANCHORARRAY(Sintesi!$C$9))*(A243&lt;=_xlfn.ANCHORARRAY(Sintesi!$C$10)),0)),0)))),0)</f>
        <v>0</v>
      </c>
    </row>
    <row r="245" spans="1:13">
      <c r="A245" s="1">
        <f>'Paste cell here'!A245</f>
        <v>244</v>
      </c>
      <c r="B245" s="2">
        <f>DATE(Sintesi!$C$4-1,12,31)+A245</f>
        <v>44440</v>
      </c>
      <c r="C245" s="34" cm="1">
        <f t="array" ref="C245">_xlfn.IFNA(MATCH(1,(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)*(_xlfn.ANCHORARRAY(Sintesi!$C$15)&gt;=0)+(_xlfn.ANCHORARRAY(Sintesi!$C$15)&lt;0),0),0)</f>
        <v>0</v>
      </c>
      <c r="D245" s="1" cm="1">
        <f t="array" ref="D245">IF(ISBLANK($E246),IF(ISNUMBER($E244),IF($C245&gt;0,IF(($E245=INDEX(_xlfn.ANCHORARRAY(Sintesi!$C$14),1,$C245))*(INDEX(_xlfn.ANCHORARRAY(Sintesi!$C$15),1,$C245)&gt;0),0,IF(($E245=INDEX(_xlfn.ANCHORARRAY(Sintesi!$C$14),1,$C245))*(INDEX(_xlfn.ANCHORARRAY(Sintesi!$C$15),1,$C245)&lt;0)+($E245&gt;=$E244)*($E245&lt;=INDEX($E:$E,MATCH(TRUE,INDEX((ISNUMBER($E:$E)),0),0)))*($E245&gt;INDEX(_xlfn.ANCHORARRAY(Sintesi!$C$14),1,$C245))*($E245&lt;=INDEX(_xlfn.ANCHORARRAY(Sintesi!$C$15),1,$C245))*(INDEX(_xlfn.ANCHORARRAY(Sintesi!$C$15),1,$C245)&gt;0),1,IF(($E245&gt;=$E244)*($E245&lt;=INDEX($E:$E,MATCH(TRUE,INDEX((ISNUMBER($E:$E)),0),0)))*($E245&gt;INDEX(_xlfn.ANCHORARRAY(Sintesi!$C$14),1,$C245))*($E245&lt;INDEX(_xlfn.ANCHORARRAY(Sintesi!$C$16),1,$C245))*(INDEX(_xlfn.ANCHORARRAY(Sintesi!$C$15),1,$C245)&lt;0)+($E245&gt;=$E244)*($E245&lt;=INDEX($E:$E,MATCH(TRUE,INDEX((ISNUMBER($E:$E)),0),0)))*($E245&gt;INDEX(_xlfn.ANCHORARRAY(Sintesi!$C$15),1,$C245))*($E245&lt;INDEX(_xlfn.ANCHORARRAY(Sintesi!$C$16),1,$C245))*(INDEX(_xlfn.ANCHORARRAY(Sintesi!$C$15),1,$C245)&gt;0),2,IF($E245=(INDEX(_xlfn.ANCHORARRAY(Sintesi!$C$16),1,$C245)),3,4)))),0),IF($C245&gt;0,IF(($E245=INDEX(_xlfn.ANCHORARRAY(Sintesi!$C$14),1,$C245))*(INDEX(_xlfn.ANCHORARRAY(Sintesi!$C$15),1,$C245)&gt;0),0,IF(($E245=INDEX(_xlfn.ANCHORARRAY(Sintesi!$C$14),1,$C245))*(INDEX(_xlfn.ANCHORARRAY(Sintesi!$C$15),1,$C245)&lt;0)+($E245&gt;=LOOKUP(2,1/($E:$E&lt;&gt;""),$E:$E))*($E245&lt;=INDEX($E:$E,MATCH(TRUE,INDEX((ISNUMBER($E:$E)),0),0)))*($E245&gt;INDEX(_xlfn.ANCHORARRAY(Sintesi!$C$14),1,$C245))*($E245&lt;=INDEX(_xlfn.ANCHORARRAY(Sintesi!$C$15),1,$C245))*(INDEX(_xlfn.ANCHORARRAY(Sintesi!$C$15),1,$C245)&gt;0),1,IF(($E245&gt;=LOOKUP(2,1/($E:$E&lt;&gt;""),$E:$E))*($E245&lt;=INDEX($E:$E,MATCH(TRUE,INDEX((ISNUMBER($E:$E)),0),0)))*($E245&gt;INDEX(_xlfn.ANCHORARRAY(Sintesi!$C$14),1,$C245))*($E245&lt;INDEX(_xlfn.ANCHORARRAY(Sintesi!$C$16),1,$C245))*(INDEX(_xlfn.ANCHORARRAY(Sintesi!$C$15),1,$C245)&lt;0)+($E245&gt;=LOOKUP(2,1/($E:$E&lt;&gt;""),$E:$E))*($E245&lt;=INDEX($E:$E,MATCH(TRUE,INDEX((ISNUMBER($E:$E)),0),0)))*($E245&gt;INDEX(_xlfn.ANCHORARRAY(Sintesi!$C$15),1,$C245))*($E245&lt;INDEX(_xlfn.ANCHORARRAY(Sintesi!$C$16),1,$C245))*(INDEX(_xlfn.ANCHORARRAY(Sintesi!$C$15),1,$C245)&gt;0),2,IF($E245=(INDEX(_xlfn.ANCHORARRAY(Sintesi!$C$16),1,$C245)),3,4)))),0)),IF(ISNUMBER($E244),IF($C245&gt;0,IF(($E245=INDEX(_xlfn.ANCHORARRAY(Sintesi!$C$14),1,$C245))*(INDEX(_xlfn.ANCHORARRAY(Sintesi!$C$15),1,$C245)&gt;0),0,IF(($E245=INDEX(_xlfn.ANCHORARRAY(Sintesi!$C$14),1,$C245))*(INDEX(_xlfn.ANCHORARRAY(Sintesi!$C$15),1,$C245)&lt;0)+($E245&gt;=$E244)*($E245&lt;=$E246)*($E245&gt;INDEX(_xlfn.ANCHORARRAY(Sintesi!$C$14),1,$C245))*($E245&lt;=INDEX(_xlfn.ANCHORARRAY(Sintesi!$C$15),1,$C245))*(INDEX(_xlfn.ANCHORARRAY(Sintesi!$C$15),1,$C245)&gt;0),1,IF(($E245&gt;=$E244)*($E245&lt;=$E246)*($E245&gt;INDEX(_xlfn.ANCHORARRAY(Sintesi!$C$14),1,$C245))*($E245&lt;INDEX(_xlfn.ANCHORARRAY(Sintesi!$C$16),1,$C245))*(INDEX(_xlfn.ANCHORARRAY(Sintesi!$C$15),1,$C245)&lt;0)+($E245&gt;=$E244)*($E245&lt;=$E246)*($E245&gt;INDEX(_xlfn.ANCHORARRAY(Sintesi!$C$15),1,$C245))*($E245&lt;INDEX(_xlfn.ANCHORARRAY(Sintesi!$C$16),1,$C245))*(INDEX(_xlfn.ANCHORARRAY(Sintesi!$C$15),1,$C245)&gt;0),2,IF($E245=(INDEX(_xlfn.ANCHORARRAY(Sintesi!$C$16),1,$C245)),3,4)))),0),IF($C245&gt;0,IF(($E245=INDEX(_xlfn.ANCHORARRAY(Sintesi!$C$14),1,$C245))*(INDEX(_xlfn.ANCHORARRAY(Sintesi!$C$15),1,$C245)&gt;0),0,IF(($E245=INDEX(_xlfn.ANCHORARRAY(Sintesi!$C$14),1,$C245))*(INDEX(_xlfn.ANCHORARRAY(Sintesi!$C$15),1,$C245)&lt;0)+($E245&gt;=LOOKUP(2,1/($E:$E&lt;&gt;""),$E:$E))*($E245&lt;=$E246)*($E245&gt;INDEX(_xlfn.ANCHORARRAY(Sintesi!$C$14),1,$C245))*($E245&lt;=INDEX(_xlfn.ANCHORARRAY(Sintesi!$C$15),1,$C245))*(INDEX(_xlfn.ANCHORARRAY(Sintesi!$C$15),1,$C245)&gt;0),1,IF(($E245&gt;=LOOKUP(2,1/($E:$E&lt;&gt;""),$E:$E))*($E245&lt;=$E246)*($E245&gt;INDEX(_xlfn.ANCHORARRAY(Sintesi!$C$14),1,$C245))*($E245&lt;INDEX(_xlfn.ANCHORARRAY(Sintesi!$C$16),1,$C245))*(INDEX(_xlfn.ANCHORARRAY(Sintesi!$C$15),1,$C245)&lt;0)+($E245&gt;=LOOKUP(2,1/($E:$E&lt;&gt;""),$E:$E))*($E245&lt;=$E246)*($E245&gt;INDEX(_xlfn.ANCHORARRAY(Sintesi!$C$15),1,$C245))*($E245&lt;INDEX(_xlfn.ANCHORARRAY(Sintesi!$C$16),1,$C245))*(INDEX(_xlfn.ANCHORARRAY(Sintesi!$C$15),1,$C245)&gt;0),2,IF($E245=(INDEX(_xlfn.ANCHORARRAY(Sintesi!$C$16),1,$C245)),3,4)))),0)))</f>
        <v>0</v>
      </c>
      <c r="E245" s="1">
        <f>'Paste cell here'!F245</f>
        <v>0</v>
      </c>
      <c r="F245" s="1">
        <f>'Paste cell here'!C245</f>
        <v>30.138750590000001</v>
      </c>
      <c r="G245" s="1">
        <f>'Paste cell here'!D245</f>
        <v>14.23326507</v>
      </c>
      <c r="H245" s="1">
        <f>'Paste cell here'!E245</f>
        <v>4.284630634</v>
      </c>
      <c r="I245" s="1">
        <f>'Paste cell here'!X245</f>
        <v>0</v>
      </c>
      <c r="J245" s="1">
        <f>'Paste cell here'!Y245+'Paste cell here'!S245</f>
        <v>0</v>
      </c>
      <c r="K245" s="1">
        <f t="shared" si="7"/>
        <v>0</v>
      </c>
      <c r="L245" s="1">
        <f t="shared" si="6"/>
        <v>24.185638097007061</v>
      </c>
      <c r="M245" s="1" cm="1">
        <f t="array" ref="M245">IF(AND(A245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,A245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),IF(L245&lt;_xlfn.IFNA(INDEX(_xlfn.ANCHORARRAY(Sintesi!$C$17)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,1,IF(L245&gt;=_xlfn.IFNA(INDEX(_xlfn.ANCHORARRAY(Sintesi!$C$18)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,0,1-(L245-_xlfn.IFNA(INDEX(_xlfn.ANCHORARRAY(Sintesi!$C$17)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)/(_xlfn.IFNA(INDEX(_xlfn.ANCHORARRAY(Sintesi!$C$18)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-_xlfn.IFNA(INDEX(_xlfn.ANCHORARRAY(Sintesi!$C$17),1,MATCH(1,(_xlfn.ANCHORARRAY(Sintesi!$C$9)&gt;_xlfn.ANCHORARRAY(Sintesi!$C$10))*(A244&gt;=_xlfn.ANCHORARRAY(Sintesi!$C$9))+(_xlfn.ANCHORARRAY(Sintesi!$C$9)&gt;_xlfn.ANCHORARRAY(Sintesi!$C$10))*(A244&lt;=_xlfn.ANCHORARRAY(Sintesi!$C$10))+(_xlfn.ANCHORARRAY(Sintesi!$C$9)&lt;_xlfn.ANCHORARRAY(Sintesi!$C$10))*(A244&gt;=_xlfn.ANCHORARRAY(Sintesi!$C$9))*(A244&lt;=_xlfn.ANCHORARRAY(Sintesi!$C$10)),0)),0)))),0)</f>
        <v>0</v>
      </c>
    </row>
    <row r="246" spans="1:13">
      <c r="A246" s="1">
        <f>'Paste cell here'!A246</f>
        <v>245</v>
      </c>
      <c r="B246" s="2">
        <f>DATE(Sintesi!$C$4-1,12,31)+A246</f>
        <v>44441</v>
      </c>
      <c r="C246" s="34" cm="1">
        <f t="array" ref="C246">_xlfn.IFNA(MATCH(1,(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)*(_xlfn.ANCHORARRAY(Sintesi!$C$15)&gt;=0)+(_xlfn.ANCHORARRAY(Sintesi!$C$15)&lt;0),0),0)</f>
        <v>0</v>
      </c>
      <c r="D246" s="1" cm="1">
        <f t="array" ref="D246">IF(ISBLANK($E247),IF(ISNUMBER($E245),IF($C246&gt;0,IF(($E246=INDEX(_xlfn.ANCHORARRAY(Sintesi!$C$14),1,$C246))*(INDEX(_xlfn.ANCHORARRAY(Sintesi!$C$15),1,$C246)&gt;0),0,IF(($E246=INDEX(_xlfn.ANCHORARRAY(Sintesi!$C$14),1,$C246))*(INDEX(_xlfn.ANCHORARRAY(Sintesi!$C$15),1,$C246)&lt;0)+($E246&gt;=$E245)*($E246&lt;=INDEX($E:$E,MATCH(TRUE,INDEX((ISNUMBER($E:$E)),0),0)))*($E246&gt;INDEX(_xlfn.ANCHORARRAY(Sintesi!$C$14),1,$C246))*($E246&lt;=INDEX(_xlfn.ANCHORARRAY(Sintesi!$C$15),1,$C246))*(INDEX(_xlfn.ANCHORARRAY(Sintesi!$C$15),1,$C246)&gt;0),1,IF(($E246&gt;=$E245)*($E246&lt;=INDEX($E:$E,MATCH(TRUE,INDEX((ISNUMBER($E:$E)),0),0)))*($E246&gt;INDEX(_xlfn.ANCHORARRAY(Sintesi!$C$14),1,$C246))*($E246&lt;INDEX(_xlfn.ANCHORARRAY(Sintesi!$C$16),1,$C246))*(INDEX(_xlfn.ANCHORARRAY(Sintesi!$C$15),1,$C246)&lt;0)+($E246&gt;=$E245)*($E246&lt;=INDEX($E:$E,MATCH(TRUE,INDEX((ISNUMBER($E:$E)),0),0)))*($E246&gt;INDEX(_xlfn.ANCHORARRAY(Sintesi!$C$15),1,$C246))*($E246&lt;INDEX(_xlfn.ANCHORARRAY(Sintesi!$C$16),1,$C246))*(INDEX(_xlfn.ANCHORARRAY(Sintesi!$C$15),1,$C246)&gt;0),2,IF($E246=(INDEX(_xlfn.ANCHORARRAY(Sintesi!$C$16),1,$C246)),3,4)))),0),IF($C246&gt;0,IF(($E246=INDEX(_xlfn.ANCHORARRAY(Sintesi!$C$14),1,$C246))*(INDEX(_xlfn.ANCHORARRAY(Sintesi!$C$15),1,$C246)&gt;0),0,IF(($E246=INDEX(_xlfn.ANCHORARRAY(Sintesi!$C$14),1,$C246))*(INDEX(_xlfn.ANCHORARRAY(Sintesi!$C$15),1,$C246)&lt;0)+($E246&gt;=LOOKUP(2,1/($E:$E&lt;&gt;""),$E:$E))*($E246&lt;=INDEX($E:$E,MATCH(TRUE,INDEX((ISNUMBER($E:$E)),0),0)))*($E246&gt;INDEX(_xlfn.ANCHORARRAY(Sintesi!$C$14),1,$C246))*($E246&lt;=INDEX(_xlfn.ANCHORARRAY(Sintesi!$C$15),1,$C246))*(INDEX(_xlfn.ANCHORARRAY(Sintesi!$C$15),1,$C246)&gt;0),1,IF(($E246&gt;=LOOKUP(2,1/($E:$E&lt;&gt;""),$E:$E))*($E246&lt;=INDEX($E:$E,MATCH(TRUE,INDEX((ISNUMBER($E:$E)),0),0)))*($E246&gt;INDEX(_xlfn.ANCHORARRAY(Sintesi!$C$14),1,$C246))*($E246&lt;INDEX(_xlfn.ANCHORARRAY(Sintesi!$C$16),1,$C246))*(INDEX(_xlfn.ANCHORARRAY(Sintesi!$C$15),1,$C246)&lt;0)+($E246&gt;=LOOKUP(2,1/($E:$E&lt;&gt;""),$E:$E))*($E246&lt;=INDEX($E:$E,MATCH(TRUE,INDEX((ISNUMBER($E:$E)),0),0)))*($E246&gt;INDEX(_xlfn.ANCHORARRAY(Sintesi!$C$15),1,$C246))*($E246&lt;INDEX(_xlfn.ANCHORARRAY(Sintesi!$C$16),1,$C246))*(INDEX(_xlfn.ANCHORARRAY(Sintesi!$C$15),1,$C246)&gt;0),2,IF($E246=(INDEX(_xlfn.ANCHORARRAY(Sintesi!$C$16),1,$C246)),3,4)))),0)),IF(ISNUMBER($E245),IF($C246&gt;0,IF(($E246=INDEX(_xlfn.ANCHORARRAY(Sintesi!$C$14),1,$C246))*(INDEX(_xlfn.ANCHORARRAY(Sintesi!$C$15),1,$C246)&gt;0),0,IF(($E246=INDEX(_xlfn.ANCHORARRAY(Sintesi!$C$14),1,$C246))*(INDEX(_xlfn.ANCHORARRAY(Sintesi!$C$15),1,$C246)&lt;0)+($E246&gt;=$E245)*($E246&lt;=$E247)*($E246&gt;INDEX(_xlfn.ANCHORARRAY(Sintesi!$C$14),1,$C246))*($E246&lt;=INDEX(_xlfn.ANCHORARRAY(Sintesi!$C$15),1,$C246))*(INDEX(_xlfn.ANCHORARRAY(Sintesi!$C$15),1,$C246)&gt;0),1,IF(($E246&gt;=$E245)*($E246&lt;=$E247)*($E246&gt;INDEX(_xlfn.ANCHORARRAY(Sintesi!$C$14),1,$C246))*($E246&lt;INDEX(_xlfn.ANCHORARRAY(Sintesi!$C$16),1,$C246))*(INDEX(_xlfn.ANCHORARRAY(Sintesi!$C$15),1,$C246)&lt;0)+($E246&gt;=$E245)*($E246&lt;=$E247)*($E246&gt;INDEX(_xlfn.ANCHORARRAY(Sintesi!$C$15),1,$C246))*($E246&lt;INDEX(_xlfn.ANCHORARRAY(Sintesi!$C$16),1,$C246))*(INDEX(_xlfn.ANCHORARRAY(Sintesi!$C$15),1,$C246)&gt;0),2,IF($E246=(INDEX(_xlfn.ANCHORARRAY(Sintesi!$C$16),1,$C246)),3,4)))),0),IF($C246&gt;0,IF(($E246=INDEX(_xlfn.ANCHORARRAY(Sintesi!$C$14),1,$C246))*(INDEX(_xlfn.ANCHORARRAY(Sintesi!$C$15),1,$C246)&gt;0),0,IF(($E246=INDEX(_xlfn.ANCHORARRAY(Sintesi!$C$14),1,$C246))*(INDEX(_xlfn.ANCHORARRAY(Sintesi!$C$15),1,$C246)&lt;0)+($E246&gt;=LOOKUP(2,1/($E:$E&lt;&gt;""),$E:$E))*($E246&lt;=$E247)*($E246&gt;INDEX(_xlfn.ANCHORARRAY(Sintesi!$C$14),1,$C246))*($E246&lt;=INDEX(_xlfn.ANCHORARRAY(Sintesi!$C$15),1,$C246))*(INDEX(_xlfn.ANCHORARRAY(Sintesi!$C$15),1,$C246)&gt;0),1,IF(($E246&gt;=LOOKUP(2,1/($E:$E&lt;&gt;""),$E:$E))*($E246&lt;=$E247)*($E246&gt;INDEX(_xlfn.ANCHORARRAY(Sintesi!$C$14),1,$C246))*($E246&lt;INDEX(_xlfn.ANCHORARRAY(Sintesi!$C$16),1,$C246))*(INDEX(_xlfn.ANCHORARRAY(Sintesi!$C$15),1,$C246)&lt;0)+($E246&gt;=LOOKUP(2,1/($E:$E&lt;&gt;""),$E:$E))*($E246&lt;=$E247)*($E246&gt;INDEX(_xlfn.ANCHORARRAY(Sintesi!$C$15),1,$C246))*($E246&lt;INDEX(_xlfn.ANCHORARRAY(Sintesi!$C$16),1,$C246))*(INDEX(_xlfn.ANCHORARRAY(Sintesi!$C$15),1,$C246)&gt;0),2,IF($E246=(INDEX(_xlfn.ANCHORARRAY(Sintesi!$C$16),1,$C246)),3,4)))),0)))</f>
        <v>0</v>
      </c>
      <c r="E246" s="1">
        <f>'Paste cell here'!F246</f>
        <v>0</v>
      </c>
      <c r="F246" s="1">
        <f>'Paste cell here'!C246</f>
        <v>29.346074699999999</v>
      </c>
      <c r="G246" s="1">
        <f>'Paste cell here'!D246</f>
        <v>16.24058917</v>
      </c>
      <c r="H246" s="1">
        <f>'Paste cell here'!E246</f>
        <v>4.6028521720000004</v>
      </c>
      <c r="I246" s="1">
        <f>'Paste cell here'!X246</f>
        <v>0</v>
      </c>
      <c r="J246" s="1">
        <f>'Paste cell here'!Y246+'Paste cell here'!S246</f>
        <v>0</v>
      </c>
      <c r="K246" s="1">
        <f t="shared" si="7"/>
        <v>0</v>
      </c>
      <c r="L246" s="1">
        <f t="shared" si="6"/>
        <v>24.440947501130236</v>
      </c>
      <c r="M246" s="1" cm="1">
        <f t="array" ref="M246">IF(AND(A246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,A246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),IF(L246&lt;_xlfn.IFNA(INDEX(_xlfn.ANCHORARRAY(Sintesi!$C$17)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,1,IF(L246&gt;=_xlfn.IFNA(INDEX(_xlfn.ANCHORARRAY(Sintesi!$C$18)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,0,1-(L246-_xlfn.IFNA(INDEX(_xlfn.ANCHORARRAY(Sintesi!$C$17)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)/(_xlfn.IFNA(INDEX(_xlfn.ANCHORARRAY(Sintesi!$C$18)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-_xlfn.IFNA(INDEX(_xlfn.ANCHORARRAY(Sintesi!$C$17),1,MATCH(1,(_xlfn.ANCHORARRAY(Sintesi!$C$9)&gt;_xlfn.ANCHORARRAY(Sintesi!$C$10))*(A245&gt;=_xlfn.ANCHORARRAY(Sintesi!$C$9))+(_xlfn.ANCHORARRAY(Sintesi!$C$9)&gt;_xlfn.ANCHORARRAY(Sintesi!$C$10))*(A245&lt;=_xlfn.ANCHORARRAY(Sintesi!$C$10))+(_xlfn.ANCHORARRAY(Sintesi!$C$9)&lt;_xlfn.ANCHORARRAY(Sintesi!$C$10))*(A245&gt;=_xlfn.ANCHORARRAY(Sintesi!$C$9))*(A245&lt;=_xlfn.ANCHORARRAY(Sintesi!$C$10)),0)),0)))),0)</f>
        <v>0</v>
      </c>
    </row>
    <row r="247" spans="1:13">
      <c r="A247" s="1">
        <f>'Paste cell here'!A247</f>
        <v>246</v>
      </c>
      <c r="B247" s="2">
        <f>DATE(Sintesi!$C$4-1,12,31)+A247</f>
        <v>44442</v>
      </c>
      <c r="C247" s="34" cm="1">
        <f t="array" ref="C247">_xlfn.IFNA(MATCH(1,(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)*(_xlfn.ANCHORARRAY(Sintesi!$C$15)&gt;=0)+(_xlfn.ANCHORARRAY(Sintesi!$C$15)&lt;0),0),0)</f>
        <v>0</v>
      </c>
      <c r="D247" s="1" cm="1">
        <f t="array" ref="D247">IF(ISBLANK($E248),IF(ISNUMBER($E246),IF($C247&gt;0,IF(($E247=INDEX(_xlfn.ANCHORARRAY(Sintesi!$C$14),1,$C247))*(INDEX(_xlfn.ANCHORARRAY(Sintesi!$C$15),1,$C247)&gt;0),0,IF(($E247=INDEX(_xlfn.ANCHORARRAY(Sintesi!$C$14),1,$C247))*(INDEX(_xlfn.ANCHORARRAY(Sintesi!$C$15),1,$C247)&lt;0)+($E247&gt;=$E246)*($E247&lt;=INDEX($E:$E,MATCH(TRUE,INDEX((ISNUMBER($E:$E)),0),0)))*($E247&gt;INDEX(_xlfn.ANCHORARRAY(Sintesi!$C$14),1,$C247))*($E247&lt;=INDEX(_xlfn.ANCHORARRAY(Sintesi!$C$15),1,$C247))*(INDEX(_xlfn.ANCHORARRAY(Sintesi!$C$15),1,$C247)&gt;0),1,IF(($E247&gt;=$E246)*($E247&lt;=INDEX($E:$E,MATCH(TRUE,INDEX((ISNUMBER($E:$E)),0),0)))*($E247&gt;INDEX(_xlfn.ANCHORARRAY(Sintesi!$C$14),1,$C247))*($E247&lt;INDEX(_xlfn.ANCHORARRAY(Sintesi!$C$16),1,$C247))*(INDEX(_xlfn.ANCHORARRAY(Sintesi!$C$15),1,$C247)&lt;0)+($E247&gt;=$E246)*($E247&lt;=INDEX($E:$E,MATCH(TRUE,INDEX((ISNUMBER($E:$E)),0),0)))*($E247&gt;INDEX(_xlfn.ANCHORARRAY(Sintesi!$C$15),1,$C247))*($E247&lt;INDEX(_xlfn.ANCHORARRAY(Sintesi!$C$16),1,$C247))*(INDEX(_xlfn.ANCHORARRAY(Sintesi!$C$15),1,$C247)&gt;0),2,IF($E247=(INDEX(_xlfn.ANCHORARRAY(Sintesi!$C$16),1,$C247)),3,4)))),0),IF($C247&gt;0,IF(($E247=INDEX(_xlfn.ANCHORARRAY(Sintesi!$C$14),1,$C247))*(INDEX(_xlfn.ANCHORARRAY(Sintesi!$C$15),1,$C247)&gt;0),0,IF(($E247=INDEX(_xlfn.ANCHORARRAY(Sintesi!$C$14),1,$C247))*(INDEX(_xlfn.ANCHORARRAY(Sintesi!$C$15),1,$C247)&lt;0)+($E247&gt;=LOOKUP(2,1/($E:$E&lt;&gt;""),$E:$E))*($E247&lt;=INDEX($E:$E,MATCH(TRUE,INDEX((ISNUMBER($E:$E)),0),0)))*($E247&gt;INDEX(_xlfn.ANCHORARRAY(Sintesi!$C$14),1,$C247))*($E247&lt;=INDEX(_xlfn.ANCHORARRAY(Sintesi!$C$15),1,$C247))*(INDEX(_xlfn.ANCHORARRAY(Sintesi!$C$15),1,$C247)&gt;0),1,IF(($E247&gt;=LOOKUP(2,1/($E:$E&lt;&gt;""),$E:$E))*($E247&lt;=INDEX($E:$E,MATCH(TRUE,INDEX((ISNUMBER($E:$E)),0),0)))*($E247&gt;INDEX(_xlfn.ANCHORARRAY(Sintesi!$C$14),1,$C247))*($E247&lt;INDEX(_xlfn.ANCHORARRAY(Sintesi!$C$16),1,$C247))*(INDEX(_xlfn.ANCHORARRAY(Sintesi!$C$15),1,$C247)&lt;0)+($E247&gt;=LOOKUP(2,1/($E:$E&lt;&gt;""),$E:$E))*($E247&lt;=INDEX($E:$E,MATCH(TRUE,INDEX((ISNUMBER($E:$E)),0),0)))*($E247&gt;INDEX(_xlfn.ANCHORARRAY(Sintesi!$C$15),1,$C247))*($E247&lt;INDEX(_xlfn.ANCHORARRAY(Sintesi!$C$16),1,$C247))*(INDEX(_xlfn.ANCHORARRAY(Sintesi!$C$15),1,$C247)&gt;0),2,IF($E247=(INDEX(_xlfn.ANCHORARRAY(Sintesi!$C$16),1,$C247)),3,4)))),0)),IF(ISNUMBER($E246),IF($C247&gt;0,IF(($E247=INDEX(_xlfn.ANCHORARRAY(Sintesi!$C$14),1,$C247))*(INDEX(_xlfn.ANCHORARRAY(Sintesi!$C$15),1,$C247)&gt;0),0,IF(($E247=INDEX(_xlfn.ANCHORARRAY(Sintesi!$C$14),1,$C247))*(INDEX(_xlfn.ANCHORARRAY(Sintesi!$C$15),1,$C247)&lt;0)+($E247&gt;=$E246)*($E247&lt;=$E248)*($E247&gt;INDEX(_xlfn.ANCHORARRAY(Sintesi!$C$14),1,$C247))*($E247&lt;=INDEX(_xlfn.ANCHORARRAY(Sintesi!$C$15),1,$C247))*(INDEX(_xlfn.ANCHORARRAY(Sintesi!$C$15),1,$C247)&gt;0),1,IF(($E247&gt;=$E246)*($E247&lt;=$E248)*($E247&gt;INDEX(_xlfn.ANCHORARRAY(Sintesi!$C$14),1,$C247))*($E247&lt;INDEX(_xlfn.ANCHORARRAY(Sintesi!$C$16),1,$C247))*(INDEX(_xlfn.ANCHORARRAY(Sintesi!$C$15),1,$C247)&lt;0)+($E247&gt;=$E246)*($E247&lt;=$E248)*($E247&gt;INDEX(_xlfn.ANCHORARRAY(Sintesi!$C$15),1,$C247))*($E247&lt;INDEX(_xlfn.ANCHORARRAY(Sintesi!$C$16),1,$C247))*(INDEX(_xlfn.ANCHORARRAY(Sintesi!$C$15),1,$C247)&gt;0),2,IF($E247=(INDEX(_xlfn.ANCHORARRAY(Sintesi!$C$16),1,$C247)),3,4)))),0),IF($C247&gt;0,IF(($E247=INDEX(_xlfn.ANCHORARRAY(Sintesi!$C$14),1,$C247))*(INDEX(_xlfn.ANCHORARRAY(Sintesi!$C$15),1,$C247)&gt;0),0,IF(($E247=INDEX(_xlfn.ANCHORARRAY(Sintesi!$C$14),1,$C247))*(INDEX(_xlfn.ANCHORARRAY(Sintesi!$C$15),1,$C247)&lt;0)+($E247&gt;=LOOKUP(2,1/($E:$E&lt;&gt;""),$E:$E))*($E247&lt;=$E248)*($E247&gt;INDEX(_xlfn.ANCHORARRAY(Sintesi!$C$14),1,$C247))*($E247&lt;=INDEX(_xlfn.ANCHORARRAY(Sintesi!$C$15),1,$C247))*(INDEX(_xlfn.ANCHORARRAY(Sintesi!$C$15),1,$C247)&gt;0),1,IF(($E247&gt;=LOOKUP(2,1/($E:$E&lt;&gt;""),$E:$E))*($E247&lt;=$E248)*($E247&gt;INDEX(_xlfn.ANCHORARRAY(Sintesi!$C$14),1,$C247))*($E247&lt;INDEX(_xlfn.ANCHORARRAY(Sintesi!$C$16),1,$C247))*(INDEX(_xlfn.ANCHORARRAY(Sintesi!$C$15),1,$C247)&lt;0)+($E247&gt;=LOOKUP(2,1/($E:$E&lt;&gt;""),$E:$E))*($E247&lt;=$E248)*($E247&gt;INDEX(_xlfn.ANCHORARRAY(Sintesi!$C$15),1,$C247))*($E247&lt;INDEX(_xlfn.ANCHORARRAY(Sintesi!$C$16),1,$C247))*(INDEX(_xlfn.ANCHORARRAY(Sintesi!$C$15),1,$C247)&gt;0),2,IF($E247=(INDEX(_xlfn.ANCHORARRAY(Sintesi!$C$16),1,$C247)),3,4)))),0)))</f>
        <v>0</v>
      </c>
      <c r="E247" s="1">
        <f>'Paste cell here'!F247</f>
        <v>0</v>
      </c>
      <c r="F247" s="1">
        <f>'Paste cell here'!C247</f>
        <v>29.0926759</v>
      </c>
      <c r="G247" s="1">
        <f>'Paste cell here'!D247</f>
        <v>16.586663869999999</v>
      </c>
      <c r="H247" s="1">
        <f>'Paste cell here'!E247</f>
        <v>4.0890851350000004</v>
      </c>
      <c r="I247" s="1">
        <f>'Paste cell here'!X247</f>
        <v>0</v>
      </c>
      <c r="J247" s="1">
        <f>'Paste cell here'!Y247+'Paste cell here'!S247</f>
        <v>0</v>
      </c>
      <c r="K247" s="1">
        <f t="shared" si="7"/>
        <v>0</v>
      </c>
      <c r="L247" s="1">
        <f t="shared" si="6"/>
        <v>24.411919920580324</v>
      </c>
      <c r="M247" s="1" cm="1">
        <f t="array" ref="M247">IF(AND(A247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,A247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),IF(L247&lt;_xlfn.IFNA(INDEX(_xlfn.ANCHORARRAY(Sintesi!$C$17)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,1,IF(L247&gt;=_xlfn.IFNA(INDEX(_xlfn.ANCHORARRAY(Sintesi!$C$18)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,0,1-(L247-_xlfn.IFNA(INDEX(_xlfn.ANCHORARRAY(Sintesi!$C$17)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)/(_xlfn.IFNA(INDEX(_xlfn.ANCHORARRAY(Sintesi!$C$18)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-_xlfn.IFNA(INDEX(_xlfn.ANCHORARRAY(Sintesi!$C$17),1,MATCH(1,(_xlfn.ANCHORARRAY(Sintesi!$C$9)&gt;_xlfn.ANCHORARRAY(Sintesi!$C$10))*(A246&gt;=_xlfn.ANCHORARRAY(Sintesi!$C$9))+(_xlfn.ANCHORARRAY(Sintesi!$C$9)&gt;_xlfn.ANCHORARRAY(Sintesi!$C$10))*(A246&lt;=_xlfn.ANCHORARRAY(Sintesi!$C$10))+(_xlfn.ANCHORARRAY(Sintesi!$C$9)&lt;_xlfn.ANCHORARRAY(Sintesi!$C$10))*(A246&gt;=_xlfn.ANCHORARRAY(Sintesi!$C$9))*(A246&lt;=_xlfn.ANCHORARRAY(Sintesi!$C$10)),0)),0)))),0)</f>
        <v>0</v>
      </c>
    </row>
    <row r="248" spans="1:13">
      <c r="A248" s="1">
        <f>'Paste cell here'!A248</f>
        <v>247</v>
      </c>
      <c r="B248" s="2">
        <f>DATE(Sintesi!$C$4-1,12,31)+A248</f>
        <v>44443</v>
      </c>
      <c r="C248" s="34" cm="1">
        <f t="array" ref="C248">_xlfn.IFNA(MATCH(1,(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)*(_xlfn.ANCHORARRAY(Sintesi!$C$15)&gt;=0)+(_xlfn.ANCHORARRAY(Sintesi!$C$15)&lt;0),0),0)</f>
        <v>0</v>
      </c>
      <c r="D248" s="1" cm="1">
        <f t="array" ref="D248">IF(ISBLANK($E249),IF(ISNUMBER($E247),IF($C248&gt;0,IF(($E248=INDEX(_xlfn.ANCHORARRAY(Sintesi!$C$14),1,$C248))*(INDEX(_xlfn.ANCHORARRAY(Sintesi!$C$15),1,$C248)&gt;0),0,IF(($E248=INDEX(_xlfn.ANCHORARRAY(Sintesi!$C$14),1,$C248))*(INDEX(_xlfn.ANCHORARRAY(Sintesi!$C$15),1,$C248)&lt;0)+($E248&gt;=$E247)*($E248&lt;=INDEX($E:$E,MATCH(TRUE,INDEX((ISNUMBER($E:$E)),0),0)))*($E248&gt;INDEX(_xlfn.ANCHORARRAY(Sintesi!$C$14),1,$C248))*($E248&lt;=INDEX(_xlfn.ANCHORARRAY(Sintesi!$C$15),1,$C248))*(INDEX(_xlfn.ANCHORARRAY(Sintesi!$C$15),1,$C248)&gt;0),1,IF(($E248&gt;=$E247)*($E248&lt;=INDEX($E:$E,MATCH(TRUE,INDEX((ISNUMBER($E:$E)),0),0)))*($E248&gt;INDEX(_xlfn.ANCHORARRAY(Sintesi!$C$14),1,$C248))*($E248&lt;INDEX(_xlfn.ANCHORARRAY(Sintesi!$C$16),1,$C248))*(INDEX(_xlfn.ANCHORARRAY(Sintesi!$C$15),1,$C248)&lt;0)+($E248&gt;=$E247)*($E248&lt;=INDEX($E:$E,MATCH(TRUE,INDEX((ISNUMBER($E:$E)),0),0)))*($E248&gt;INDEX(_xlfn.ANCHORARRAY(Sintesi!$C$15),1,$C248))*($E248&lt;INDEX(_xlfn.ANCHORARRAY(Sintesi!$C$16),1,$C248))*(INDEX(_xlfn.ANCHORARRAY(Sintesi!$C$15),1,$C248)&gt;0),2,IF($E248=(INDEX(_xlfn.ANCHORARRAY(Sintesi!$C$16),1,$C248)),3,4)))),0),IF($C248&gt;0,IF(($E248=INDEX(_xlfn.ANCHORARRAY(Sintesi!$C$14),1,$C248))*(INDEX(_xlfn.ANCHORARRAY(Sintesi!$C$15),1,$C248)&gt;0),0,IF(($E248=INDEX(_xlfn.ANCHORARRAY(Sintesi!$C$14),1,$C248))*(INDEX(_xlfn.ANCHORARRAY(Sintesi!$C$15),1,$C248)&lt;0)+($E248&gt;=LOOKUP(2,1/($E:$E&lt;&gt;""),$E:$E))*($E248&lt;=INDEX($E:$E,MATCH(TRUE,INDEX((ISNUMBER($E:$E)),0),0)))*($E248&gt;INDEX(_xlfn.ANCHORARRAY(Sintesi!$C$14),1,$C248))*($E248&lt;=INDEX(_xlfn.ANCHORARRAY(Sintesi!$C$15),1,$C248))*(INDEX(_xlfn.ANCHORARRAY(Sintesi!$C$15),1,$C248)&gt;0),1,IF(($E248&gt;=LOOKUP(2,1/($E:$E&lt;&gt;""),$E:$E))*($E248&lt;=INDEX($E:$E,MATCH(TRUE,INDEX((ISNUMBER($E:$E)),0),0)))*($E248&gt;INDEX(_xlfn.ANCHORARRAY(Sintesi!$C$14),1,$C248))*($E248&lt;INDEX(_xlfn.ANCHORARRAY(Sintesi!$C$16),1,$C248))*(INDEX(_xlfn.ANCHORARRAY(Sintesi!$C$15),1,$C248)&lt;0)+($E248&gt;=LOOKUP(2,1/($E:$E&lt;&gt;""),$E:$E))*($E248&lt;=INDEX($E:$E,MATCH(TRUE,INDEX((ISNUMBER($E:$E)),0),0)))*($E248&gt;INDEX(_xlfn.ANCHORARRAY(Sintesi!$C$15),1,$C248))*($E248&lt;INDEX(_xlfn.ANCHORARRAY(Sintesi!$C$16),1,$C248))*(INDEX(_xlfn.ANCHORARRAY(Sintesi!$C$15),1,$C248)&gt;0),2,IF($E248=(INDEX(_xlfn.ANCHORARRAY(Sintesi!$C$16),1,$C248)),3,4)))),0)),IF(ISNUMBER($E247),IF($C248&gt;0,IF(($E248=INDEX(_xlfn.ANCHORARRAY(Sintesi!$C$14),1,$C248))*(INDEX(_xlfn.ANCHORARRAY(Sintesi!$C$15),1,$C248)&gt;0),0,IF(($E248=INDEX(_xlfn.ANCHORARRAY(Sintesi!$C$14),1,$C248))*(INDEX(_xlfn.ANCHORARRAY(Sintesi!$C$15),1,$C248)&lt;0)+($E248&gt;=$E247)*($E248&lt;=$E249)*($E248&gt;INDEX(_xlfn.ANCHORARRAY(Sintesi!$C$14),1,$C248))*($E248&lt;=INDEX(_xlfn.ANCHORARRAY(Sintesi!$C$15),1,$C248))*(INDEX(_xlfn.ANCHORARRAY(Sintesi!$C$15),1,$C248)&gt;0),1,IF(($E248&gt;=$E247)*($E248&lt;=$E249)*($E248&gt;INDEX(_xlfn.ANCHORARRAY(Sintesi!$C$14),1,$C248))*($E248&lt;INDEX(_xlfn.ANCHORARRAY(Sintesi!$C$16),1,$C248))*(INDEX(_xlfn.ANCHORARRAY(Sintesi!$C$15),1,$C248)&lt;0)+($E248&gt;=$E247)*($E248&lt;=$E249)*($E248&gt;INDEX(_xlfn.ANCHORARRAY(Sintesi!$C$15),1,$C248))*($E248&lt;INDEX(_xlfn.ANCHORARRAY(Sintesi!$C$16),1,$C248))*(INDEX(_xlfn.ANCHORARRAY(Sintesi!$C$15),1,$C248)&gt;0),2,IF($E248=(INDEX(_xlfn.ANCHORARRAY(Sintesi!$C$16),1,$C248)),3,4)))),0),IF($C248&gt;0,IF(($E248=INDEX(_xlfn.ANCHORARRAY(Sintesi!$C$14),1,$C248))*(INDEX(_xlfn.ANCHORARRAY(Sintesi!$C$15),1,$C248)&gt;0),0,IF(($E248=INDEX(_xlfn.ANCHORARRAY(Sintesi!$C$14),1,$C248))*(INDEX(_xlfn.ANCHORARRAY(Sintesi!$C$15),1,$C248)&lt;0)+($E248&gt;=LOOKUP(2,1/($E:$E&lt;&gt;""),$E:$E))*($E248&lt;=$E249)*($E248&gt;INDEX(_xlfn.ANCHORARRAY(Sintesi!$C$14),1,$C248))*($E248&lt;=INDEX(_xlfn.ANCHORARRAY(Sintesi!$C$15),1,$C248))*(INDEX(_xlfn.ANCHORARRAY(Sintesi!$C$15),1,$C248)&gt;0),1,IF(($E248&gt;=LOOKUP(2,1/($E:$E&lt;&gt;""),$E:$E))*($E248&lt;=$E249)*($E248&gt;INDEX(_xlfn.ANCHORARRAY(Sintesi!$C$14),1,$C248))*($E248&lt;INDEX(_xlfn.ANCHORARRAY(Sintesi!$C$16),1,$C248))*(INDEX(_xlfn.ANCHORARRAY(Sintesi!$C$15),1,$C248)&lt;0)+($E248&gt;=LOOKUP(2,1/($E:$E&lt;&gt;""),$E:$E))*($E248&lt;=$E249)*($E248&gt;INDEX(_xlfn.ANCHORARRAY(Sintesi!$C$15),1,$C248))*($E248&lt;INDEX(_xlfn.ANCHORARRAY(Sintesi!$C$16),1,$C248))*(INDEX(_xlfn.ANCHORARRAY(Sintesi!$C$15),1,$C248)&gt;0),2,IF($E248=(INDEX(_xlfn.ANCHORARRAY(Sintesi!$C$16),1,$C248)),3,4)))),0)))</f>
        <v>0</v>
      </c>
      <c r="E248" s="1">
        <f>'Paste cell here'!F248</f>
        <v>0</v>
      </c>
      <c r="F248" s="1">
        <f>'Paste cell here'!C248</f>
        <v>29.574543869999999</v>
      </c>
      <c r="G248" s="1">
        <f>'Paste cell here'!D248</f>
        <v>16.317980510000002</v>
      </c>
      <c r="H248" s="1">
        <f>'Paste cell here'!E248</f>
        <v>3.8986622350000002</v>
      </c>
      <c r="I248" s="1">
        <f>'Paste cell here'!X248</f>
        <v>0</v>
      </c>
      <c r="J248" s="1">
        <f>'Paste cell here'!Y248+'Paste cell here'!S248</f>
        <v>0</v>
      </c>
      <c r="K248" s="1">
        <f t="shared" si="7"/>
        <v>0</v>
      </c>
      <c r="L248" s="1">
        <f t="shared" si="6"/>
        <v>24.612871190889702</v>
      </c>
      <c r="M248" s="1" cm="1">
        <f t="array" ref="M248">IF(AND(A248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,A248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),IF(L248&lt;_xlfn.IFNA(INDEX(_xlfn.ANCHORARRAY(Sintesi!$C$17)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,1,IF(L248&gt;=_xlfn.IFNA(INDEX(_xlfn.ANCHORARRAY(Sintesi!$C$18)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,0,1-(L248-_xlfn.IFNA(INDEX(_xlfn.ANCHORARRAY(Sintesi!$C$17)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)/(_xlfn.IFNA(INDEX(_xlfn.ANCHORARRAY(Sintesi!$C$18)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-_xlfn.IFNA(INDEX(_xlfn.ANCHORARRAY(Sintesi!$C$17),1,MATCH(1,(_xlfn.ANCHORARRAY(Sintesi!$C$9)&gt;_xlfn.ANCHORARRAY(Sintesi!$C$10))*(A247&gt;=_xlfn.ANCHORARRAY(Sintesi!$C$9))+(_xlfn.ANCHORARRAY(Sintesi!$C$9)&gt;_xlfn.ANCHORARRAY(Sintesi!$C$10))*(A247&lt;=_xlfn.ANCHORARRAY(Sintesi!$C$10))+(_xlfn.ANCHORARRAY(Sintesi!$C$9)&lt;_xlfn.ANCHORARRAY(Sintesi!$C$10))*(A247&gt;=_xlfn.ANCHORARRAY(Sintesi!$C$9))*(A247&lt;=_xlfn.ANCHORARRAY(Sintesi!$C$10)),0)),0)))),0)</f>
        <v>0</v>
      </c>
    </row>
    <row r="249" spans="1:13">
      <c r="A249" s="1">
        <f>'Paste cell here'!A249</f>
        <v>248</v>
      </c>
      <c r="B249" s="2">
        <f>DATE(Sintesi!$C$4-1,12,31)+A249</f>
        <v>44444</v>
      </c>
      <c r="C249" s="34" cm="1">
        <f t="array" ref="C249">_xlfn.IFNA(MATCH(1,(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)*(_xlfn.ANCHORARRAY(Sintesi!$C$15)&gt;=0)+(_xlfn.ANCHORARRAY(Sintesi!$C$15)&lt;0),0),0)</f>
        <v>0</v>
      </c>
      <c r="D249" s="1" cm="1">
        <f t="array" ref="D249">IF(ISBLANK($E250),IF(ISNUMBER($E248),IF($C249&gt;0,IF(($E249=INDEX(_xlfn.ANCHORARRAY(Sintesi!$C$14),1,$C249))*(INDEX(_xlfn.ANCHORARRAY(Sintesi!$C$15),1,$C249)&gt;0),0,IF(($E249=INDEX(_xlfn.ANCHORARRAY(Sintesi!$C$14),1,$C249))*(INDEX(_xlfn.ANCHORARRAY(Sintesi!$C$15),1,$C249)&lt;0)+($E249&gt;=$E248)*($E249&lt;=INDEX($E:$E,MATCH(TRUE,INDEX((ISNUMBER($E:$E)),0),0)))*($E249&gt;INDEX(_xlfn.ANCHORARRAY(Sintesi!$C$14),1,$C249))*($E249&lt;=INDEX(_xlfn.ANCHORARRAY(Sintesi!$C$15),1,$C249))*(INDEX(_xlfn.ANCHORARRAY(Sintesi!$C$15),1,$C249)&gt;0),1,IF(($E249&gt;=$E248)*($E249&lt;=INDEX($E:$E,MATCH(TRUE,INDEX((ISNUMBER($E:$E)),0),0)))*($E249&gt;INDEX(_xlfn.ANCHORARRAY(Sintesi!$C$14),1,$C249))*($E249&lt;INDEX(_xlfn.ANCHORARRAY(Sintesi!$C$16),1,$C249))*(INDEX(_xlfn.ANCHORARRAY(Sintesi!$C$15),1,$C249)&lt;0)+($E249&gt;=$E248)*($E249&lt;=INDEX($E:$E,MATCH(TRUE,INDEX((ISNUMBER($E:$E)),0),0)))*($E249&gt;INDEX(_xlfn.ANCHORARRAY(Sintesi!$C$15),1,$C249))*($E249&lt;INDEX(_xlfn.ANCHORARRAY(Sintesi!$C$16),1,$C249))*(INDEX(_xlfn.ANCHORARRAY(Sintesi!$C$15),1,$C249)&gt;0),2,IF($E249=(INDEX(_xlfn.ANCHORARRAY(Sintesi!$C$16),1,$C249)),3,4)))),0),IF($C249&gt;0,IF(($E249=INDEX(_xlfn.ANCHORARRAY(Sintesi!$C$14),1,$C249))*(INDEX(_xlfn.ANCHORARRAY(Sintesi!$C$15),1,$C249)&gt;0),0,IF(($E249=INDEX(_xlfn.ANCHORARRAY(Sintesi!$C$14),1,$C249))*(INDEX(_xlfn.ANCHORARRAY(Sintesi!$C$15),1,$C249)&lt;0)+($E249&gt;=LOOKUP(2,1/($E:$E&lt;&gt;""),$E:$E))*($E249&lt;=INDEX($E:$E,MATCH(TRUE,INDEX((ISNUMBER($E:$E)),0),0)))*($E249&gt;INDEX(_xlfn.ANCHORARRAY(Sintesi!$C$14),1,$C249))*($E249&lt;=INDEX(_xlfn.ANCHORARRAY(Sintesi!$C$15),1,$C249))*(INDEX(_xlfn.ANCHORARRAY(Sintesi!$C$15),1,$C249)&gt;0),1,IF(($E249&gt;=LOOKUP(2,1/($E:$E&lt;&gt;""),$E:$E))*($E249&lt;=INDEX($E:$E,MATCH(TRUE,INDEX((ISNUMBER($E:$E)),0),0)))*($E249&gt;INDEX(_xlfn.ANCHORARRAY(Sintesi!$C$14),1,$C249))*($E249&lt;INDEX(_xlfn.ANCHORARRAY(Sintesi!$C$16),1,$C249))*(INDEX(_xlfn.ANCHORARRAY(Sintesi!$C$15),1,$C249)&lt;0)+($E249&gt;=LOOKUP(2,1/($E:$E&lt;&gt;""),$E:$E))*($E249&lt;=INDEX($E:$E,MATCH(TRUE,INDEX((ISNUMBER($E:$E)),0),0)))*($E249&gt;INDEX(_xlfn.ANCHORARRAY(Sintesi!$C$15),1,$C249))*($E249&lt;INDEX(_xlfn.ANCHORARRAY(Sintesi!$C$16),1,$C249))*(INDEX(_xlfn.ANCHORARRAY(Sintesi!$C$15),1,$C249)&gt;0),2,IF($E249=(INDEX(_xlfn.ANCHORARRAY(Sintesi!$C$16),1,$C249)),3,4)))),0)),IF(ISNUMBER($E248),IF($C249&gt;0,IF(($E249=INDEX(_xlfn.ANCHORARRAY(Sintesi!$C$14),1,$C249))*(INDEX(_xlfn.ANCHORARRAY(Sintesi!$C$15),1,$C249)&gt;0),0,IF(($E249=INDEX(_xlfn.ANCHORARRAY(Sintesi!$C$14),1,$C249))*(INDEX(_xlfn.ANCHORARRAY(Sintesi!$C$15),1,$C249)&lt;0)+($E249&gt;=$E248)*($E249&lt;=$E250)*($E249&gt;INDEX(_xlfn.ANCHORARRAY(Sintesi!$C$14),1,$C249))*($E249&lt;=INDEX(_xlfn.ANCHORARRAY(Sintesi!$C$15),1,$C249))*(INDEX(_xlfn.ANCHORARRAY(Sintesi!$C$15),1,$C249)&gt;0),1,IF(($E249&gt;=$E248)*($E249&lt;=$E250)*($E249&gt;INDEX(_xlfn.ANCHORARRAY(Sintesi!$C$14),1,$C249))*($E249&lt;INDEX(_xlfn.ANCHORARRAY(Sintesi!$C$16),1,$C249))*(INDEX(_xlfn.ANCHORARRAY(Sintesi!$C$15),1,$C249)&lt;0)+($E249&gt;=$E248)*($E249&lt;=$E250)*($E249&gt;INDEX(_xlfn.ANCHORARRAY(Sintesi!$C$15),1,$C249))*($E249&lt;INDEX(_xlfn.ANCHORARRAY(Sintesi!$C$16),1,$C249))*(INDEX(_xlfn.ANCHORARRAY(Sintesi!$C$15),1,$C249)&gt;0),2,IF($E249=(INDEX(_xlfn.ANCHORARRAY(Sintesi!$C$16),1,$C249)),3,4)))),0),IF($C249&gt;0,IF(($E249=INDEX(_xlfn.ANCHORARRAY(Sintesi!$C$14),1,$C249))*(INDEX(_xlfn.ANCHORARRAY(Sintesi!$C$15),1,$C249)&gt;0),0,IF(($E249=INDEX(_xlfn.ANCHORARRAY(Sintesi!$C$14),1,$C249))*(INDEX(_xlfn.ANCHORARRAY(Sintesi!$C$15),1,$C249)&lt;0)+($E249&gt;=LOOKUP(2,1/($E:$E&lt;&gt;""),$E:$E))*($E249&lt;=$E250)*($E249&gt;INDEX(_xlfn.ANCHORARRAY(Sintesi!$C$14),1,$C249))*($E249&lt;=INDEX(_xlfn.ANCHORARRAY(Sintesi!$C$15),1,$C249))*(INDEX(_xlfn.ANCHORARRAY(Sintesi!$C$15),1,$C249)&gt;0),1,IF(($E249&gt;=LOOKUP(2,1/($E:$E&lt;&gt;""),$E:$E))*($E249&lt;=$E250)*($E249&gt;INDEX(_xlfn.ANCHORARRAY(Sintesi!$C$14),1,$C249))*($E249&lt;INDEX(_xlfn.ANCHORARRAY(Sintesi!$C$16),1,$C249))*(INDEX(_xlfn.ANCHORARRAY(Sintesi!$C$15),1,$C249)&lt;0)+($E249&gt;=LOOKUP(2,1/($E:$E&lt;&gt;""),$E:$E))*($E249&lt;=$E250)*($E249&gt;INDEX(_xlfn.ANCHORARRAY(Sintesi!$C$15),1,$C249))*($E249&lt;INDEX(_xlfn.ANCHORARRAY(Sintesi!$C$16),1,$C249))*(INDEX(_xlfn.ANCHORARRAY(Sintesi!$C$15),1,$C249)&gt;0),2,IF($E249=(INDEX(_xlfn.ANCHORARRAY(Sintesi!$C$16),1,$C249)),3,4)))),0)))</f>
        <v>0</v>
      </c>
      <c r="E249" s="1">
        <f>'Paste cell here'!F249</f>
        <v>0</v>
      </c>
      <c r="F249" s="1">
        <f>'Paste cell here'!C249</f>
        <v>30.320660230000001</v>
      </c>
      <c r="G249" s="1">
        <f>'Paste cell here'!D249</f>
        <v>15.461249410000001</v>
      </c>
      <c r="H249" s="1">
        <f>'Paste cell here'!E249</f>
        <v>4.0495228719999998</v>
      </c>
      <c r="I249" s="1">
        <f>'Paste cell here'!X249</f>
        <v>0</v>
      </c>
      <c r="J249" s="1">
        <f>'Paste cell here'!Y249+'Paste cell here'!S249</f>
        <v>0</v>
      </c>
      <c r="K249" s="1">
        <f t="shared" si="7"/>
        <v>0</v>
      </c>
      <c r="L249" s="1">
        <f t="shared" si="6"/>
        <v>24.759073060603335</v>
      </c>
      <c r="M249" s="1" cm="1">
        <f t="array" ref="M249">IF(AND(A249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,A249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),IF(L249&lt;_xlfn.IFNA(INDEX(_xlfn.ANCHORARRAY(Sintesi!$C$17)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,1,IF(L249&gt;=_xlfn.IFNA(INDEX(_xlfn.ANCHORARRAY(Sintesi!$C$18)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,0,1-(L249-_xlfn.IFNA(INDEX(_xlfn.ANCHORARRAY(Sintesi!$C$17)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)/(_xlfn.IFNA(INDEX(_xlfn.ANCHORARRAY(Sintesi!$C$18)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-_xlfn.IFNA(INDEX(_xlfn.ANCHORARRAY(Sintesi!$C$17),1,MATCH(1,(_xlfn.ANCHORARRAY(Sintesi!$C$9)&gt;_xlfn.ANCHORARRAY(Sintesi!$C$10))*(A248&gt;=_xlfn.ANCHORARRAY(Sintesi!$C$9))+(_xlfn.ANCHORARRAY(Sintesi!$C$9)&gt;_xlfn.ANCHORARRAY(Sintesi!$C$10))*(A248&lt;=_xlfn.ANCHORARRAY(Sintesi!$C$10))+(_xlfn.ANCHORARRAY(Sintesi!$C$9)&lt;_xlfn.ANCHORARRAY(Sintesi!$C$10))*(A248&gt;=_xlfn.ANCHORARRAY(Sintesi!$C$9))*(A248&lt;=_xlfn.ANCHORARRAY(Sintesi!$C$10)),0)),0)))),0)</f>
        <v>0</v>
      </c>
    </row>
    <row r="250" spans="1:13">
      <c r="A250" s="1">
        <f>'Paste cell here'!A250</f>
        <v>249</v>
      </c>
      <c r="B250" s="2">
        <f>DATE(Sintesi!$C$4-1,12,31)+A250</f>
        <v>44445</v>
      </c>
      <c r="C250" s="34" cm="1">
        <f t="array" ref="C250">_xlfn.IFNA(MATCH(1,(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)*(_xlfn.ANCHORARRAY(Sintesi!$C$15)&gt;=0)+(_xlfn.ANCHORARRAY(Sintesi!$C$15)&lt;0),0),0)</f>
        <v>0</v>
      </c>
      <c r="D250" s="1" cm="1">
        <f t="array" ref="D250">IF(ISBLANK($E251),IF(ISNUMBER($E249),IF($C250&gt;0,IF(($E250=INDEX(_xlfn.ANCHORARRAY(Sintesi!$C$14),1,$C250))*(INDEX(_xlfn.ANCHORARRAY(Sintesi!$C$15),1,$C250)&gt;0),0,IF(($E250=INDEX(_xlfn.ANCHORARRAY(Sintesi!$C$14),1,$C250))*(INDEX(_xlfn.ANCHORARRAY(Sintesi!$C$15),1,$C250)&lt;0)+($E250&gt;=$E249)*($E250&lt;=INDEX($E:$E,MATCH(TRUE,INDEX((ISNUMBER($E:$E)),0),0)))*($E250&gt;INDEX(_xlfn.ANCHORARRAY(Sintesi!$C$14),1,$C250))*($E250&lt;=INDEX(_xlfn.ANCHORARRAY(Sintesi!$C$15),1,$C250))*(INDEX(_xlfn.ANCHORARRAY(Sintesi!$C$15),1,$C250)&gt;0),1,IF(($E250&gt;=$E249)*($E250&lt;=INDEX($E:$E,MATCH(TRUE,INDEX((ISNUMBER($E:$E)),0),0)))*($E250&gt;INDEX(_xlfn.ANCHORARRAY(Sintesi!$C$14),1,$C250))*($E250&lt;INDEX(_xlfn.ANCHORARRAY(Sintesi!$C$16),1,$C250))*(INDEX(_xlfn.ANCHORARRAY(Sintesi!$C$15),1,$C250)&lt;0)+($E250&gt;=$E249)*($E250&lt;=INDEX($E:$E,MATCH(TRUE,INDEX((ISNUMBER($E:$E)),0),0)))*($E250&gt;INDEX(_xlfn.ANCHORARRAY(Sintesi!$C$15),1,$C250))*($E250&lt;INDEX(_xlfn.ANCHORARRAY(Sintesi!$C$16),1,$C250))*(INDEX(_xlfn.ANCHORARRAY(Sintesi!$C$15),1,$C250)&gt;0),2,IF($E250=(INDEX(_xlfn.ANCHORARRAY(Sintesi!$C$16),1,$C250)),3,4)))),0),IF($C250&gt;0,IF(($E250=INDEX(_xlfn.ANCHORARRAY(Sintesi!$C$14),1,$C250))*(INDEX(_xlfn.ANCHORARRAY(Sintesi!$C$15),1,$C250)&gt;0),0,IF(($E250=INDEX(_xlfn.ANCHORARRAY(Sintesi!$C$14),1,$C250))*(INDEX(_xlfn.ANCHORARRAY(Sintesi!$C$15),1,$C250)&lt;0)+($E250&gt;=LOOKUP(2,1/($E:$E&lt;&gt;""),$E:$E))*($E250&lt;=INDEX($E:$E,MATCH(TRUE,INDEX((ISNUMBER($E:$E)),0),0)))*($E250&gt;INDEX(_xlfn.ANCHORARRAY(Sintesi!$C$14),1,$C250))*($E250&lt;=INDEX(_xlfn.ANCHORARRAY(Sintesi!$C$15),1,$C250))*(INDEX(_xlfn.ANCHORARRAY(Sintesi!$C$15),1,$C250)&gt;0),1,IF(($E250&gt;=LOOKUP(2,1/($E:$E&lt;&gt;""),$E:$E))*($E250&lt;=INDEX($E:$E,MATCH(TRUE,INDEX((ISNUMBER($E:$E)),0),0)))*($E250&gt;INDEX(_xlfn.ANCHORARRAY(Sintesi!$C$14),1,$C250))*($E250&lt;INDEX(_xlfn.ANCHORARRAY(Sintesi!$C$16),1,$C250))*(INDEX(_xlfn.ANCHORARRAY(Sintesi!$C$15),1,$C250)&lt;0)+($E250&gt;=LOOKUP(2,1/($E:$E&lt;&gt;""),$E:$E))*($E250&lt;=INDEX($E:$E,MATCH(TRUE,INDEX((ISNUMBER($E:$E)),0),0)))*($E250&gt;INDEX(_xlfn.ANCHORARRAY(Sintesi!$C$15),1,$C250))*($E250&lt;INDEX(_xlfn.ANCHORARRAY(Sintesi!$C$16),1,$C250))*(INDEX(_xlfn.ANCHORARRAY(Sintesi!$C$15),1,$C250)&gt;0),2,IF($E250=(INDEX(_xlfn.ANCHORARRAY(Sintesi!$C$16),1,$C250)),3,4)))),0)),IF(ISNUMBER($E249),IF($C250&gt;0,IF(($E250=INDEX(_xlfn.ANCHORARRAY(Sintesi!$C$14),1,$C250))*(INDEX(_xlfn.ANCHORARRAY(Sintesi!$C$15),1,$C250)&gt;0),0,IF(($E250=INDEX(_xlfn.ANCHORARRAY(Sintesi!$C$14),1,$C250))*(INDEX(_xlfn.ANCHORARRAY(Sintesi!$C$15),1,$C250)&lt;0)+($E250&gt;=$E249)*($E250&lt;=$E251)*($E250&gt;INDEX(_xlfn.ANCHORARRAY(Sintesi!$C$14),1,$C250))*($E250&lt;=INDEX(_xlfn.ANCHORARRAY(Sintesi!$C$15),1,$C250))*(INDEX(_xlfn.ANCHORARRAY(Sintesi!$C$15),1,$C250)&gt;0),1,IF(($E250&gt;=$E249)*($E250&lt;=$E251)*($E250&gt;INDEX(_xlfn.ANCHORARRAY(Sintesi!$C$14),1,$C250))*($E250&lt;INDEX(_xlfn.ANCHORARRAY(Sintesi!$C$16),1,$C250))*(INDEX(_xlfn.ANCHORARRAY(Sintesi!$C$15),1,$C250)&lt;0)+($E250&gt;=$E249)*($E250&lt;=$E251)*($E250&gt;INDEX(_xlfn.ANCHORARRAY(Sintesi!$C$15),1,$C250))*($E250&lt;INDEX(_xlfn.ANCHORARRAY(Sintesi!$C$16),1,$C250))*(INDEX(_xlfn.ANCHORARRAY(Sintesi!$C$15),1,$C250)&gt;0),2,IF($E250=(INDEX(_xlfn.ANCHORARRAY(Sintesi!$C$16),1,$C250)),3,4)))),0),IF($C250&gt;0,IF(($E250=INDEX(_xlfn.ANCHORARRAY(Sintesi!$C$14),1,$C250))*(INDEX(_xlfn.ANCHORARRAY(Sintesi!$C$15),1,$C250)&gt;0),0,IF(($E250=INDEX(_xlfn.ANCHORARRAY(Sintesi!$C$14),1,$C250))*(INDEX(_xlfn.ANCHORARRAY(Sintesi!$C$15),1,$C250)&lt;0)+($E250&gt;=LOOKUP(2,1/($E:$E&lt;&gt;""),$E:$E))*($E250&lt;=$E251)*($E250&gt;INDEX(_xlfn.ANCHORARRAY(Sintesi!$C$14),1,$C250))*($E250&lt;=INDEX(_xlfn.ANCHORARRAY(Sintesi!$C$15),1,$C250))*(INDEX(_xlfn.ANCHORARRAY(Sintesi!$C$15),1,$C250)&gt;0),1,IF(($E250&gt;=LOOKUP(2,1/($E:$E&lt;&gt;""),$E:$E))*($E250&lt;=$E251)*($E250&gt;INDEX(_xlfn.ANCHORARRAY(Sintesi!$C$14),1,$C250))*($E250&lt;INDEX(_xlfn.ANCHORARRAY(Sintesi!$C$16),1,$C250))*(INDEX(_xlfn.ANCHORARRAY(Sintesi!$C$15),1,$C250)&lt;0)+($E250&gt;=LOOKUP(2,1/($E:$E&lt;&gt;""),$E:$E))*($E250&lt;=$E251)*($E250&gt;INDEX(_xlfn.ANCHORARRAY(Sintesi!$C$15),1,$C250))*($E250&lt;INDEX(_xlfn.ANCHORARRAY(Sintesi!$C$16),1,$C250))*(INDEX(_xlfn.ANCHORARRAY(Sintesi!$C$15),1,$C250)&gt;0),2,IF($E250=(INDEX(_xlfn.ANCHORARRAY(Sintesi!$C$16),1,$C250)),3,4)))),0)))</f>
        <v>0</v>
      </c>
      <c r="E250" s="1">
        <f>'Paste cell here'!F250</f>
        <v>0</v>
      </c>
      <c r="F250" s="1">
        <f>'Paste cell here'!C250</f>
        <v>30.36673493</v>
      </c>
      <c r="G250" s="1">
        <f>'Paste cell here'!D250</f>
        <v>17.486663870000001</v>
      </c>
      <c r="H250" s="1">
        <f>'Paste cell here'!E250</f>
        <v>4.1899579400000002</v>
      </c>
      <c r="I250" s="1">
        <f>'Paste cell here'!X250</f>
        <v>0</v>
      </c>
      <c r="J250" s="1">
        <f>'Paste cell here'!Y250+'Paste cell here'!S250</f>
        <v>0</v>
      </c>
      <c r="K250" s="1">
        <f t="shared" si="7"/>
        <v>0</v>
      </c>
      <c r="L250" s="1">
        <f t="shared" si="6"/>
        <v>25.545975963446757</v>
      </c>
      <c r="M250" s="1" cm="1">
        <f t="array" ref="M250">IF(AND(A250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,A250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),IF(L250&lt;_xlfn.IFNA(INDEX(_xlfn.ANCHORARRAY(Sintesi!$C$17)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,1,IF(L250&gt;=_xlfn.IFNA(INDEX(_xlfn.ANCHORARRAY(Sintesi!$C$18)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,0,1-(L250-_xlfn.IFNA(INDEX(_xlfn.ANCHORARRAY(Sintesi!$C$17)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)/(_xlfn.IFNA(INDEX(_xlfn.ANCHORARRAY(Sintesi!$C$18)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-_xlfn.IFNA(INDEX(_xlfn.ANCHORARRAY(Sintesi!$C$17),1,MATCH(1,(_xlfn.ANCHORARRAY(Sintesi!$C$9)&gt;_xlfn.ANCHORARRAY(Sintesi!$C$10))*(A249&gt;=_xlfn.ANCHORARRAY(Sintesi!$C$9))+(_xlfn.ANCHORARRAY(Sintesi!$C$9)&gt;_xlfn.ANCHORARRAY(Sintesi!$C$10))*(A249&lt;=_xlfn.ANCHORARRAY(Sintesi!$C$10))+(_xlfn.ANCHORARRAY(Sintesi!$C$9)&lt;_xlfn.ANCHORARRAY(Sintesi!$C$10))*(A249&gt;=_xlfn.ANCHORARRAY(Sintesi!$C$9))*(A249&lt;=_xlfn.ANCHORARRAY(Sintesi!$C$10)),0)),0)))),0)</f>
        <v>0</v>
      </c>
    </row>
    <row r="251" spans="1:13">
      <c r="A251" s="1">
        <f>'Paste cell here'!A251</f>
        <v>250</v>
      </c>
      <c r="B251" s="2">
        <f>DATE(Sintesi!$C$4-1,12,31)+A251</f>
        <v>44446</v>
      </c>
      <c r="C251" s="34" cm="1">
        <f t="array" ref="C251">_xlfn.IFNA(MATCH(1,(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)*(_xlfn.ANCHORARRAY(Sintesi!$C$15)&gt;=0)+(_xlfn.ANCHORARRAY(Sintesi!$C$15)&lt;0),0),0)</f>
        <v>0</v>
      </c>
      <c r="D251" s="1" cm="1">
        <f t="array" ref="D251">IF(ISBLANK($E252),IF(ISNUMBER($E250),IF($C251&gt;0,IF(($E251=INDEX(_xlfn.ANCHORARRAY(Sintesi!$C$14),1,$C251))*(INDEX(_xlfn.ANCHORARRAY(Sintesi!$C$15),1,$C251)&gt;0),0,IF(($E251=INDEX(_xlfn.ANCHORARRAY(Sintesi!$C$14),1,$C251))*(INDEX(_xlfn.ANCHORARRAY(Sintesi!$C$15),1,$C251)&lt;0)+($E251&gt;=$E250)*($E251&lt;=INDEX($E:$E,MATCH(TRUE,INDEX((ISNUMBER($E:$E)),0),0)))*($E251&gt;INDEX(_xlfn.ANCHORARRAY(Sintesi!$C$14),1,$C251))*($E251&lt;=INDEX(_xlfn.ANCHORARRAY(Sintesi!$C$15),1,$C251))*(INDEX(_xlfn.ANCHORARRAY(Sintesi!$C$15),1,$C251)&gt;0),1,IF(($E251&gt;=$E250)*($E251&lt;=INDEX($E:$E,MATCH(TRUE,INDEX((ISNUMBER($E:$E)),0),0)))*($E251&gt;INDEX(_xlfn.ANCHORARRAY(Sintesi!$C$14),1,$C251))*($E251&lt;INDEX(_xlfn.ANCHORARRAY(Sintesi!$C$16),1,$C251))*(INDEX(_xlfn.ANCHORARRAY(Sintesi!$C$15),1,$C251)&lt;0)+($E251&gt;=$E250)*($E251&lt;=INDEX($E:$E,MATCH(TRUE,INDEX((ISNUMBER($E:$E)),0),0)))*($E251&gt;INDEX(_xlfn.ANCHORARRAY(Sintesi!$C$15),1,$C251))*($E251&lt;INDEX(_xlfn.ANCHORARRAY(Sintesi!$C$16),1,$C251))*(INDEX(_xlfn.ANCHORARRAY(Sintesi!$C$15),1,$C251)&gt;0),2,IF($E251=(INDEX(_xlfn.ANCHORARRAY(Sintesi!$C$16),1,$C251)),3,4)))),0),IF($C251&gt;0,IF(($E251=INDEX(_xlfn.ANCHORARRAY(Sintesi!$C$14),1,$C251))*(INDEX(_xlfn.ANCHORARRAY(Sintesi!$C$15),1,$C251)&gt;0),0,IF(($E251=INDEX(_xlfn.ANCHORARRAY(Sintesi!$C$14),1,$C251))*(INDEX(_xlfn.ANCHORARRAY(Sintesi!$C$15),1,$C251)&lt;0)+($E251&gt;=LOOKUP(2,1/($E:$E&lt;&gt;""),$E:$E))*($E251&lt;=INDEX($E:$E,MATCH(TRUE,INDEX((ISNUMBER($E:$E)),0),0)))*($E251&gt;INDEX(_xlfn.ANCHORARRAY(Sintesi!$C$14),1,$C251))*($E251&lt;=INDEX(_xlfn.ANCHORARRAY(Sintesi!$C$15),1,$C251))*(INDEX(_xlfn.ANCHORARRAY(Sintesi!$C$15),1,$C251)&gt;0),1,IF(($E251&gt;=LOOKUP(2,1/($E:$E&lt;&gt;""),$E:$E))*($E251&lt;=INDEX($E:$E,MATCH(TRUE,INDEX((ISNUMBER($E:$E)),0),0)))*($E251&gt;INDEX(_xlfn.ANCHORARRAY(Sintesi!$C$14),1,$C251))*($E251&lt;INDEX(_xlfn.ANCHORARRAY(Sintesi!$C$16),1,$C251))*(INDEX(_xlfn.ANCHORARRAY(Sintesi!$C$15),1,$C251)&lt;0)+($E251&gt;=LOOKUP(2,1/($E:$E&lt;&gt;""),$E:$E))*($E251&lt;=INDEX($E:$E,MATCH(TRUE,INDEX((ISNUMBER($E:$E)),0),0)))*($E251&gt;INDEX(_xlfn.ANCHORARRAY(Sintesi!$C$15),1,$C251))*($E251&lt;INDEX(_xlfn.ANCHORARRAY(Sintesi!$C$16),1,$C251))*(INDEX(_xlfn.ANCHORARRAY(Sintesi!$C$15),1,$C251)&gt;0),2,IF($E251=(INDEX(_xlfn.ANCHORARRAY(Sintesi!$C$16),1,$C251)),3,4)))),0)),IF(ISNUMBER($E250),IF($C251&gt;0,IF(($E251=INDEX(_xlfn.ANCHORARRAY(Sintesi!$C$14),1,$C251))*(INDEX(_xlfn.ANCHORARRAY(Sintesi!$C$15),1,$C251)&gt;0),0,IF(($E251=INDEX(_xlfn.ANCHORARRAY(Sintesi!$C$14),1,$C251))*(INDEX(_xlfn.ANCHORARRAY(Sintesi!$C$15),1,$C251)&lt;0)+($E251&gt;=$E250)*($E251&lt;=$E252)*($E251&gt;INDEX(_xlfn.ANCHORARRAY(Sintesi!$C$14),1,$C251))*($E251&lt;=INDEX(_xlfn.ANCHORARRAY(Sintesi!$C$15),1,$C251))*(INDEX(_xlfn.ANCHORARRAY(Sintesi!$C$15),1,$C251)&gt;0),1,IF(($E251&gt;=$E250)*($E251&lt;=$E252)*($E251&gt;INDEX(_xlfn.ANCHORARRAY(Sintesi!$C$14),1,$C251))*($E251&lt;INDEX(_xlfn.ANCHORARRAY(Sintesi!$C$16),1,$C251))*(INDEX(_xlfn.ANCHORARRAY(Sintesi!$C$15),1,$C251)&lt;0)+($E251&gt;=$E250)*($E251&lt;=$E252)*($E251&gt;INDEX(_xlfn.ANCHORARRAY(Sintesi!$C$15),1,$C251))*($E251&lt;INDEX(_xlfn.ANCHORARRAY(Sintesi!$C$16),1,$C251))*(INDEX(_xlfn.ANCHORARRAY(Sintesi!$C$15),1,$C251)&gt;0),2,IF($E251=(INDEX(_xlfn.ANCHORARRAY(Sintesi!$C$16),1,$C251)),3,4)))),0),IF($C251&gt;0,IF(($E251=INDEX(_xlfn.ANCHORARRAY(Sintesi!$C$14),1,$C251))*(INDEX(_xlfn.ANCHORARRAY(Sintesi!$C$15),1,$C251)&gt;0),0,IF(($E251=INDEX(_xlfn.ANCHORARRAY(Sintesi!$C$14),1,$C251))*(INDEX(_xlfn.ANCHORARRAY(Sintesi!$C$15),1,$C251)&lt;0)+($E251&gt;=LOOKUP(2,1/($E:$E&lt;&gt;""),$E:$E))*($E251&lt;=$E252)*($E251&gt;INDEX(_xlfn.ANCHORARRAY(Sintesi!$C$14),1,$C251))*($E251&lt;=INDEX(_xlfn.ANCHORARRAY(Sintesi!$C$15),1,$C251))*(INDEX(_xlfn.ANCHORARRAY(Sintesi!$C$15),1,$C251)&gt;0),1,IF(($E251&gt;=LOOKUP(2,1/($E:$E&lt;&gt;""),$E:$E))*($E251&lt;=$E252)*($E251&gt;INDEX(_xlfn.ANCHORARRAY(Sintesi!$C$14),1,$C251))*($E251&lt;INDEX(_xlfn.ANCHORARRAY(Sintesi!$C$16),1,$C251))*(INDEX(_xlfn.ANCHORARRAY(Sintesi!$C$15),1,$C251)&lt;0)+($E251&gt;=LOOKUP(2,1/($E:$E&lt;&gt;""),$E:$E))*($E251&lt;=$E252)*($E251&gt;INDEX(_xlfn.ANCHORARRAY(Sintesi!$C$15),1,$C251))*($E251&lt;INDEX(_xlfn.ANCHORARRAY(Sintesi!$C$16),1,$C251))*(INDEX(_xlfn.ANCHORARRAY(Sintesi!$C$15),1,$C251)&gt;0),2,IF($E251=(INDEX(_xlfn.ANCHORARRAY(Sintesi!$C$16),1,$C251)),3,4)))),0)))</f>
        <v>0</v>
      </c>
      <c r="E251" s="1">
        <f>'Paste cell here'!F251</f>
        <v>0</v>
      </c>
      <c r="F251" s="1">
        <f>'Paste cell here'!C251</f>
        <v>30.12798433</v>
      </c>
      <c r="G251" s="1">
        <f>'Paste cell here'!D251</f>
        <v>15.986663869999999</v>
      </c>
      <c r="H251" s="1">
        <f>'Paste cell here'!E251</f>
        <v>4.0354131210000004</v>
      </c>
      <c r="I251" s="1">
        <f>'Paste cell here'!X251</f>
        <v>0</v>
      </c>
      <c r="J251" s="1">
        <f>'Paste cell here'!Y251+'Paste cell here'!S251</f>
        <v>0</v>
      </c>
      <c r="K251" s="1">
        <f t="shared" si="7"/>
        <v>0</v>
      </c>
      <c r="L251" s="1">
        <f t="shared" si="6"/>
        <v>24.835164353395935</v>
      </c>
      <c r="M251" s="1" cm="1">
        <f t="array" ref="M251">IF(AND(A251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,A251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),IF(L251&lt;_xlfn.IFNA(INDEX(_xlfn.ANCHORARRAY(Sintesi!$C$17)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,1,IF(L251&gt;=_xlfn.IFNA(INDEX(_xlfn.ANCHORARRAY(Sintesi!$C$18)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,0,1-(L251-_xlfn.IFNA(INDEX(_xlfn.ANCHORARRAY(Sintesi!$C$17)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)/(_xlfn.IFNA(INDEX(_xlfn.ANCHORARRAY(Sintesi!$C$18)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-_xlfn.IFNA(INDEX(_xlfn.ANCHORARRAY(Sintesi!$C$17),1,MATCH(1,(_xlfn.ANCHORARRAY(Sintesi!$C$9)&gt;_xlfn.ANCHORARRAY(Sintesi!$C$10))*(A250&gt;=_xlfn.ANCHORARRAY(Sintesi!$C$9))+(_xlfn.ANCHORARRAY(Sintesi!$C$9)&gt;_xlfn.ANCHORARRAY(Sintesi!$C$10))*(A250&lt;=_xlfn.ANCHORARRAY(Sintesi!$C$10))+(_xlfn.ANCHORARRAY(Sintesi!$C$9)&lt;_xlfn.ANCHORARRAY(Sintesi!$C$10))*(A250&gt;=_xlfn.ANCHORARRAY(Sintesi!$C$9))*(A250&lt;=_xlfn.ANCHORARRAY(Sintesi!$C$10)),0)),0)))),0)</f>
        <v>0</v>
      </c>
    </row>
    <row r="252" spans="1:13">
      <c r="A252" s="1">
        <f>'Paste cell here'!A252</f>
        <v>251</v>
      </c>
      <c r="B252" s="2">
        <f>DATE(Sintesi!$C$4-1,12,31)+A252</f>
        <v>44447</v>
      </c>
      <c r="C252" s="34" cm="1">
        <f t="array" ref="C252">_xlfn.IFNA(MATCH(1,(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)*(_xlfn.ANCHORARRAY(Sintesi!$C$15)&gt;=0)+(_xlfn.ANCHORARRAY(Sintesi!$C$15)&lt;0),0),0)</f>
        <v>0</v>
      </c>
      <c r="D252" s="1" cm="1">
        <f t="array" ref="D252">IF(ISBLANK($E253),IF(ISNUMBER($E251),IF($C252&gt;0,IF(($E252=INDEX(_xlfn.ANCHORARRAY(Sintesi!$C$14),1,$C252))*(INDEX(_xlfn.ANCHORARRAY(Sintesi!$C$15),1,$C252)&gt;0),0,IF(($E252=INDEX(_xlfn.ANCHORARRAY(Sintesi!$C$14),1,$C252))*(INDEX(_xlfn.ANCHORARRAY(Sintesi!$C$15),1,$C252)&lt;0)+($E252&gt;=$E251)*($E252&lt;=INDEX($E:$E,MATCH(TRUE,INDEX((ISNUMBER($E:$E)),0),0)))*($E252&gt;INDEX(_xlfn.ANCHORARRAY(Sintesi!$C$14),1,$C252))*($E252&lt;=INDEX(_xlfn.ANCHORARRAY(Sintesi!$C$15),1,$C252))*(INDEX(_xlfn.ANCHORARRAY(Sintesi!$C$15),1,$C252)&gt;0),1,IF(($E252&gt;=$E251)*($E252&lt;=INDEX($E:$E,MATCH(TRUE,INDEX((ISNUMBER($E:$E)),0),0)))*($E252&gt;INDEX(_xlfn.ANCHORARRAY(Sintesi!$C$14),1,$C252))*($E252&lt;INDEX(_xlfn.ANCHORARRAY(Sintesi!$C$16),1,$C252))*(INDEX(_xlfn.ANCHORARRAY(Sintesi!$C$15),1,$C252)&lt;0)+($E252&gt;=$E251)*($E252&lt;=INDEX($E:$E,MATCH(TRUE,INDEX((ISNUMBER($E:$E)),0),0)))*($E252&gt;INDEX(_xlfn.ANCHORARRAY(Sintesi!$C$15),1,$C252))*($E252&lt;INDEX(_xlfn.ANCHORARRAY(Sintesi!$C$16),1,$C252))*(INDEX(_xlfn.ANCHORARRAY(Sintesi!$C$15),1,$C252)&gt;0),2,IF($E252=(INDEX(_xlfn.ANCHORARRAY(Sintesi!$C$16),1,$C252)),3,4)))),0),IF($C252&gt;0,IF(($E252=INDEX(_xlfn.ANCHORARRAY(Sintesi!$C$14),1,$C252))*(INDEX(_xlfn.ANCHORARRAY(Sintesi!$C$15),1,$C252)&gt;0),0,IF(($E252=INDEX(_xlfn.ANCHORARRAY(Sintesi!$C$14),1,$C252))*(INDEX(_xlfn.ANCHORARRAY(Sintesi!$C$15),1,$C252)&lt;0)+($E252&gt;=LOOKUP(2,1/($E:$E&lt;&gt;""),$E:$E))*($E252&lt;=INDEX($E:$E,MATCH(TRUE,INDEX((ISNUMBER($E:$E)),0),0)))*($E252&gt;INDEX(_xlfn.ANCHORARRAY(Sintesi!$C$14),1,$C252))*($E252&lt;=INDEX(_xlfn.ANCHORARRAY(Sintesi!$C$15),1,$C252))*(INDEX(_xlfn.ANCHORARRAY(Sintesi!$C$15),1,$C252)&gt;0),1,IF(($E252&gt;=LOOKUP(2,1/($E:$E&lt;&gt;""),$E:$E))*($E252&lt;=INDEX($E:$E,MATCH(TRUE,INDEX((ISNUMBER($E:$E)),0),0)))*($E252&gt;INDEX(_xlfn.ANCHORARRAY(Sintesi!$C$14),1,$C252))*($E252&lt;INDEX(_xlfn.ANCHORARRAY(Sintesi!$C$16),1,$C252))*(INDEX(_xlfn.ANCHORARRAY(Sintesi!$C$15),1,$C252)&lt;0)+($E252&gt;=LOOKUP(2,1/($E:$E&lt;&gt;""),$E:$E))*($E252&lt;=INDEX($E:$E,MATCH(TRUE,INDEX((ISNUMBER($E:$E)),0),0)))*($E252&gt;INDEX(_xlfn.ANCHORARRAY(Sintesi!$C$15),1,$C252))*($E252&lt;INDEX(_xlfn.ANCHORARRAY(Sintesi!$C$16),1,$C252))*(INDEX(_xlfn.ANCHORARRAY(Sintesi!$C$15),1,$C252)&gt;0),2,IF($E252=(INDEX(_xlfn.ANCHORARRAY(Sintesi!$C$16),1,$C252)),3,4)))),0)),IF(ISNUMBER($E251),IF($C252&gt;0,IF(($E252=INDEX(_xlfn.ANCHORARRAY(Sintesi!$C$14),1,$C252))*(INDEX(_xlfn.ANCHORARRAY(Sintesi!$C$15),1,$C252)&gt;0),0,IF(($E252=INDEX(_xlfn.ANCHORARRAY(Sintesi!$C$14),1,$C252))*(INDEX(_xlfn.ANCHORARRAY(Sintesi!$C$15),1,$C252)&lt;0)+($E252&gt;=$E251)*($E252&lt;=$E253)*($E252&gt;INDEX(_xlfn.ANCHORARRAY(Sintesi!$C$14),1,$C252))*($E252&lt;=INDEX(_xlfn.ANCHORARRAY(Sintesi!$C$15),1,$C252))*(INDEX(_xlfn.ANCHORARRAY(Sintesi!$C$15),1,$C252)&gt;0),1,IF(($E252&gt;=$E251)*($E252&lt;=$E253)*($E252&gt;INDEX(_xlfn.ANCHORARRAY(Sintesi!$C$14),1,$C252))*($E252&lt;INDEX(_xlfn.ANCHORARRAY(Sintesi!$C$16),1,$C252))*(INDEX(_xlfn.ANCHORARRAY(Sintesi!$C$15),1,$C252)&lt;0)+($E252&gt;=$E251)*($E252&lt;=$E253)*($E252&gt;INDEX(_xlfn.ANCHORARRAY(Sintesi!$C$15),1,$C252))*($E252&lt;INDEX(_xlfn.ANCHORARRAY(Sintesi!$C$16),1,$C252))*(INDEX(_xlfn.ANCHORARRAY(Sintesi!$C$15),1,$C252)&gt;0),2,IF($E252=(INDEX(_xlfn.ANCHORARRAY(Sintesi!$C$16),1,$C252)),3,4)))),0),IF($C252&gt;0,IF(($E252=INDEX(_xlfn.ANCHORARRAY(Sintesi!$C$14),1,$C252))*(INDEX(_xlfn.ANCHORARRAY(Sintesi!$C$15),1,$C252)&gt;0),0,IF(($E252=INDEX(_xlfn.ANCHORARRAY(Sintesi!$C$14),1,$C252))*(INDEX(_xlfn.ANCHORARRAY(Sintesi!$C$15),1,$C252)&lt;0)+($E252&gt;=LOOKUP(2,1/($E:$E&lt;&gt;""),$E:$E))*($E252&lt;=$E253)*($E252&gt;INDEX(_xlfn.ANCHORARRAY(Sintesi!$C$14),1,$C252))*($E252&lt;=INDEX(_xlfn.ANCHORARRAY(Sintesi!$C$15),1,$C252))*(INDEX(_xlfn.ANCHORARRAY(Sintesi!$C$15),1,$C252)&gt;0),1,IF(($E252&gt;=LOOKUP(2,1/($E:$E&lt;&gt;""),$E:$E))*($E252&lt;=$E253)*($E252&gt;INDEX(_xlfn.ANCHORARRAY(Sintesi!$C$14),1,$C252))*($E252&lt;INDEX(_xlfn.ANCHORARRAY(Sintesi!$C$16),1,$C252))*(INDEX(_xlfn.ANCHORARRAY(Sintesi!$C$15),1,$C252)&lt;0)+($E252&gt;=LOOKUP(2,1/($E:$E&lt;&gt;""),$E:$E))*($E252&lt;=$E253)*($E252&gt;INDEX(_xlfn.ANCHORARRAY(Sintesi!$C$15),1,$C252))*($E252&lt;INDEX(_xlfn.ANCHORARRAY(Sintesi!$C$16),1,$C252))*(INDEX(_xlfn.ANCHORARRAY(Sintesi!$C$15),1,$C252)&gt;0),2,IF($E252=(INDEX(_xlfn.ANCHORARRAY(Sintesi!$C$16),1,$C252)),3,4)))),0)))</f>
        <v>0</v>
      </c>
      <c r="E252" s="1">
        <f>'Paste cell here'!F252</f>
        <v>0</v>
      </c>
      <c r="F252" s="1">
        <f>'Paste cell here'!C252</f>
        <v>29.856605030000001</v>
      </c>
      <c r="G252" s="1">
        <f>'Paste cell here'!D252</f>
        <v>16.719928939999999</v>
      </c>
      <c r="H252" s="1">
        <f>'Paste cell here'!E252</f>
        <v>4.2061407920000002</v>
      </c>
      <c r="I252" s="1">
        <f>'Paste cell here'!X252</f>
        <v>0</v>
      </c>
      <c r="J252" s="1">
        <f>'Paste cell here'!Y252+'Paste cell here'!S252</f>
        <v>0</v>
      </c>
      <c r="K252" s="1">
        <f t="shared" si="7"/>
        <v>0</v>
      </c>
      <c r="L252" s="1">
        <f t="shared" si="6"/>
        <v>24.939803813875873</v>
      </c>
      <c r="M252" s="1" cm="1">
        <f t="array" ref="M252">IF(AND(A252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,A252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),IF(L252&lt;_xlfn.IFNA(INDEX(_xlfn.ANCHORARRAY(Sintesi!$C$17)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,1,IF(L252&gt;=_xlfn.IFNA(INDEX(_xlfn.ANCHORARRAY(Sintesi!$C$18)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,0,1-(L252-_xlfn.IFNA(INDEX(_xlfn.ANCHORARRAY(Sintesi!$C$17)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)/(_xlfn.IFNA(INDEX(_xlfn.ANCHORARRAY(Sintesi!$C$18)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-_xlfn.IFNA(INDEX(_xlfn.ANCHORARRAY(Sintesi!$C$17),1,MATCH(1,(_xlfn.ANCHORARRAY(Sintesi!$C$9)&gt;_xlfn.ANCHORARRAY(Sintesi!$C$10))*(A251&gt;=_xlfn.ANCHORARRAY(Sintesi!$C$9))+(_xlfn.ANCHORARRAY(Sintesi!$C$9)&gt;_xlfn.ANCHORARRAY(Sintesi!$C$10))*(A251&lt;=_xlfn.ANCHORARRAY(Sintesi!$C$10))+(_xlfn.ANCHORARRAY(Sintesi!$C$9)&lt;_xlfn.ANCHORARRAY(Sintesi!$C$10))*(A251&gt;=_xlfn.ANCHORARRAY(Sintesi!$C$9))*(A251&lt;=_xlfn.ANCHORARRAY(Sintesi!$C$10)),0)),0)))),0)</f>
        <v>0</v>
      </c>
    </row>
    <row r="253" spans="1:13">
      <c r="A253" s="1">
        <f>'Paste cell here'!A253</f>
        <v>252</v>
      </c>
      <c r="B253" s="2">
        <f>DATE(Sintesi!$C$4-1,12,31)+A253</f>
        <v>44448</v>
      </c>
      <c r="C253" s="34" cm="1">
        <f t="array" ref="C253">_xlfn.IFNA(MATCH(1,(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)*(_xlfn.ANCHORARRAY(Sintesi!$C$15)&gt;=0)+(_xlfn.ANCHORARRAY(Sintesi!$C$15)&lt;0),0),0)</f>
        <v>0</v>
      </c>
      <c r="D253" s="1" cm="1">
        <f t="array" ref="D253">IF(ISBLANK($E254),IF(ISNUMBER($E252),IF($C253&gt;0,IF(($E253=INDEX(_xlfn.ANCHORARRAY(Sintesi!$C$14),1,$C253))*(INDEX(_xlfn.ANCHORARRAY(Sintesi!$C$15),1,$C253)&gt;0),0,IF(($E253=INDEX(_xlfn.ANCHORARRAY(Sintesi!$C$14),1,$C253))*(INDEX(_xlfn.ANCHORARRAY(Sintesi!$C$15),1,$C253)&lt;0)+($E253&gt;=$E252)*($E253&lt;=INDEX($E:$E,MATCH(TRUE,INDEX((ISNUMBER($E:$E)),0),0)))*($E253&gt;INDEX(_xlfn.ANCHORARRAY(Sintesi!$C$14),1,$C253))*($E253&lt;=INDEX(_xlfn.ANCHORARRAY(Sintesi!$C$15),1,$C253))*(INDEX(_xlfn.ANCHORARRAY(Sintesi!$C$15),1,$C253)&gt;0),1,IF(($E253&gt;=$E252)*($E253&lt;=INDEX($E:$E,MATCH(TRUE,INDEX((ISNUMBER($E:$E)),0),0)))*($E253&gt;INDEX(_xlfn.ANCHORARRAY(Sintesi!$C$14),1,$C253))*($E253&lt;INDEX(_xlfn.ANCHORARRAY(Sintesi!$C$16),1,$C253))*(INDEX(_xlfn.ANCHORARRAY(Sintesi!$C$15),1,$C253)&lt;0)+($E253&gt;=$E252)*($E253&lt;=INDEX($E:$E,MATCH(TRUE,INDEX((ISNUMBER($E:$E)),0),0)))*($E253&gt;INDEX(_xlfn.ANCHORARRAY(Sintesi!$C$15),1,$C253))*($E253&lt;INDEX(_xlfn.ANCHORARRAY(Sintesi!$C$16),1,$C253))*(INDEX(_xlfn.ANCHORARRAY(Sintesi!$C$15),1,$C253)&gt;0),2,IF($E253=(INDEX(_xlfn.ANCHORARRAY(Sintesi!$C$16),1,$C253)),3,4)))),0),IF($C253&gt;0,IF(($E253=INDEX(_xlfn.ANCHORARRAY(Sintesi!$C$14),1,$C253))*(INDEX(_xlfn.ANCHORARRAY(Sintesi!$C$15),1,$C253)&gt;0),0,IF(($E253=INDEX(_xlfn.ANCHORARRAY(Sintesi!$C$14),1,$C253))*(INDEX(_xlfn.ANCHORARRAY(Sintesi!$C$15),1,$C253)&lt;0)+($E253&gt;=LOOKUP(2,1/($E:$E&lt;&gt;""),$E:$E))*($E253&lt;=INDEX($E:$E,MATCH(TRUE,INDEX((ISNUMBER($E:$E)),0),0)))*($E253&gt;INDEX(_xlfn.ANCHORARRAY(Sintesi!$C$14),1,$C253))*($E253&lt;=INDEX(_xlfn.ANCHORARRAY(Sintesi!$C$15),1,$C253))*(INDEX(_xlfn.ANCHORARRAY(Sintesi!$C$15),1,$C253)&gt;0),1,IF(($E253&gt;=LOOKUP(2,1/($E:$E&lt;&gt;""),$E:$E))*($E253&lt;=INDEX($E:$E,MATCH(TRUE,INDEX((ISNUMBER($E:$E)),0),0)))*($E253&gt;INDEX(_xlfn.ANCHORARRAY(Sintesi!$C$14),1,$C253))*($E253&lt;INDEX(_xlfn.ANCHORARRAY(Sintesi!$C$16),1,$C253))*(INDEX(_xlfn.ANCHORARRAY(Sintesi!$C$15),1,$C253)&lt;0)+($E253&gt;=LOOKUP(2,1/($E:$E&lt;&gt;""),$E:$E))*($E253&lt;=INDEX($E:$E,MATCH(TRUE,INDEX((ISNUMBER($E:$E)),0),0)))*($E253&gt;INDEX(_xlfn.ANCHORARRAY(Sintesi!$C$15),1,$C253))*($E253&lt;INDEX(_xlfn.ANCHORARRAY(Sintesi!$C$16),1,$C253))*(INDEX(_xlfn.ANCHORARRAY(Sintesi!$C$15),1,$C253)&gt;0),2,IF($E253=(INDEX(_xlfn.ANCHORARRAY(Sintesi!$C$16),1,$C253)),3,4)))),0)),IF(ISNUMBER($E252),IF($C253&gt;0,IF(($E253=INDEX(_xlfn.ANCHORARRAY(Sintesi!$C$14),1,$C253))*(INDEX(_xlfn.ANCHORARRAY(Sintesi!$C$15),1,$C253)&gt;0),0,IF(($E253=INDEX(_xlfn.ANCHORARRAY(Sintesi!$C$14),1,$C253))*(INDEX(_xlfn.ANCHORARRAY(Sintesi!$C$15),1,$C253)&lt;0)+($E253&gt;=$E252)*($E253&lt;=$E254)*($E253&gt;INDEX(_xlfn.ANCHORARRAY(Sintesi!$C$14),1,$C253))*($E253&lt;=INDEX(_xlfn.ANCHORARRAY(Sintesi!$C$15),1,$C253))*(INDEX(_xlfn.ANCHORARRAY(Sintesi!$C$15),1,$C253)&gt;0),1,IF(($E253&gt;=$E252)*($E253&lt;=$E254)*($E253&gt;INDEX(_xlfn.ANCHORARRAY(Sintesi!$C$14),1,$C253))*($E253&lt;INDEX(_xlfn.ANCHORARRAY(Sintesi!$C$16),1,$C253))*(INDEX(_xlfn.ANCHORARRAY(Sintesi!$C$15),1,$C253)&lt;0)+($E253&gt;=$E252)*($E253&lt;=$E254)*($E253&gt;INDEX(_xlfn.ANCHORARRAY(Sintesi!$C$15),1,$C253))*($E253&lt;INDEX(_xlfn.ANCHORARRAY(Sintesi!$C$16),1,$C253))*(INDEX(_xlfn.ANCHORARRAY(Sintesi!$C$15),1,$C253)&gt;0),2,IF($E253=(INDEX(_xlfn.ANCHORARRAY(Sintesi!$C$16),1,$C253)),3,4)))),0),IF($C253&gt;0,IF(($E253=INDEX(_xlfn.ANCHORARRAY(Sintesi!$C$14),1,$C253))*(INDEX(_xlfn.ANCHORARRAY(Sintesi!$C$15),1,$C253)&gt;0),0,IF(($E253=INDEX(_xlfn.ANCHORARRAY(Sintesi!$C$14),1,$C253))*(INDEX(_xlfn.ANCHORARRAY(Sintesi!$C$15),1,$C253)&lt;0)+($E253&gt;=LOOKUP(2,1/($E:$E&lt;&gt;""),$E:$E))*($E253&lt;=$E254)*($E253&gt;INDEX(_xlfn.ANCHORARRAY(Sintesi!$C$14),1,$C253))*($E253&lt;=INDEX(_xlfn.ANCHORARRAY(Sintesi!$C$15),1,$C253))*(INDEX(_xlfn.ANCHORARRAY(Sintesi!$C$15),1,$C253)&gt;0),1,IF(($E253&gt;=LOOKUP(2,1/($E:$E&lt;&gt;""),$E:$E))*($E253&lt;=$E254)*($E253&gt;INDEX(_xlfn.ANCHORARRAY(Sintesi!$C$14),1,$C253))*($E253&lt;INDEX(_xlfn.ANCHORARRAY(Sintesi!$C$16),1,$C253))*(INDEX(_xlfn.ANCHORARRAY(Sintesi!$C$15),1,$C253)&lt;0)+($E253&gt;=LOOKUP(2,1/($E:$E&lt;&gt;""),$E:$E))*($E253&lt;=$E254)*($E253&gt;INDEX(_xlfn.ANCHORARRAY(Sintesi!$C$15),1,$C253))*($E253&lt;INDEX(_xlfn.ANCHORARRAY(Sintesi!$C$16),1,$C253))*(INDEX(_xlfn.ANCHORARRAY(Sintesi!$C$15),1,$C253)&gt;0),2,IF($E253=(INDEX(_xlfn.ANCHORARRAY(Sintesi!$C$16),1,$C253)),3,4)))),0)))</f>
        <v>0</v>
      </c>
      <c r="E253" s="1">
        <f>'Paste cell here'!F253</f>
        <v>0</v>
      </c>
      <c r="F253" s="1">
        <f>'Paste cell here'!C253</f>
        <v>29.656605030000001</v>
      </c>
      <c r="G253" s="1">
        <f>'Paste cell here'!D253</f>
        <v>16.376660040000001</v>
      </c>
      <c r="H253" s="1">
        <f>'Paste cell here'!E253</f>
        <v>3.783521489</v>
      </c>
      <c r="I253" s="1">
        <f>'Paste cell here'!X253</f>
        <v>0</v>
      </c>
      <c r="J253" s="1">
        <f>'Paste cell here'!Y253+'Paste cell here'!S253</f>
        <v>0</v>
      </c>
      <c r="K253" s="1">
        <f t="shared" si="7"/>
        <v>0</v>
      </c>
      <c r="L253" s="1">
        <f t="shared" si="6"/>
        <v>24.686181063575365</v>
      </c>
      <c r="M253" s="1" cm="1">
        <f t="array" ref="M253">IF(AND(A253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,A253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),IF(L253&lt;_xlfn.IFNA(INDEX(_xlfn.ANCHORARRAY(Sintesi!$C$17)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,1,IF(L253&gt;=_xlfn.IFNA(INDEX(_xlfn.ANCHORARRAY(Sintesi!$C$18)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,0,1-(L253-_xlfn.IFNA(INDEX(_xlfn.ANCHORARRAY(Sintesi!$C$17)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)/(_xlfn.IFNA(INDEX(_xlfn.ANCHORARRAY(Sintesi!$C$18)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-_xlfn.IFNA(INDEX(_xlfn.ANCHORARRAY(Sintesi!$C$17),1,MATCH(1,(_xlfn.ANCHORARRAY(Sintesi!$C$9)&gt;_xlfn.ANCHORARRAY(Sintesi!$C$10))*(A252&gt;=_xlfn.ANCHORARRAY(Sintesi!$C$9))+(_xlfn.ANCHORARRAY(Sintesi!$C$9)&gt;_xlfn.ANCHORARRAY(Sintesi!$C$10))*(A252&lt;=_xlfn.ANCHORARRAY(Sintesi!$C$10))+(_xlfn.ANCHORARRAY(Sintesi!$C$9)&lt;_xlfn.ANCHORARRAY(Sintesi!$C$10))*(A252&gt;=_xlfn.ANCHORARRAY(Sintesi!$C$9))*(A252&lt;=_xlfn.ANCHORARRAY(Sintesi!$C$10)),0)),0)))),0)</f>
        <v>0</v>
      </c>
    </row>
    <row r="254" spans="1:13">
      <c r="A254" s="1">
        <f>'Paste cell here'!A254</f>
        <v>253</v>
      </c>
      <c r="B254" s="2">
        <f>DATE(Sintesi!$C$4-1,12,31)+A254</f>
        <v>44449</v>
      </c>
      <c r="C254" s="34" cm="1">
        <f t="array" ref="C254">_xlfn.IFNA(MATCH(1,(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)*(_xlfn.ANCHORARRAY(Sintesi!$C$15)&gt;=0)+(_xlfn.ANCHORARRAY(Sintesi!$C$15)&lt;0),0),0)</f>
        <v>0</v>
      </c>
      <c r="D254" s="1" cm="1">
        <f t="array" ref="D254">IF(ISBLANK($E255),IF(ISNUMBER($E253),IF($C254&gt;0,IF(($E254=INDEX(_xlfn.ANCHORARRAY(Sintesi!$C$14),1,$C254))*(INDEX(_xlfn.ANCHORARRAY(Sintesi!$C$15),1,$C254)&gt;0),0,IF(($E254=INDEX(_xlfn.ANCHORARRAY(Sintesi!$C$14),1,$C254))*(INDEX(_xlfn.ANCHORARRAY(Sintesi!$C$15),1,$C254)&lt;0)+($E254&gt;=$E253)*($E254&lt;=INDEX($E:$E,MATCH(TRUE,INDEX((ISNUMBER($E:$E)),0),0)))*($E254&gt;INDEX(_xlfn.ANCHORARRAY(Sintesi!$C$14),1,$C254))*($E254&lt;=INDEX(_xlfn.ANCHORARRAY(Sintesi!$C$15),1,$C254))*(INDEX(_xlfn.ANCHORARRAY(Sintesi!$C$15),1,$C254)&gt;0),1,IF(($E254&gt;=$E253)*($E254&lt;=INDEX($E:$E,MATCH(TRUE,INDEX((ISNUMBER($E:$E)),0),0)))*($E254&gt;INDEX(_xlfn.ANCHORARRAY(Sintesi!$C$14),1,$C254))*($E254&lt;INDEX(_xlfn.ANCHORARRAY(Sintesi!$C$16),1,$C254))*(INDEX(_xlfn.ANCHORARRAY(Sintesi!$C$15),1,$C254)&lt;0)+($E254&gt;=$E253)*($E254&lt;=INDEX($E:$E,MATCH(TRUE,INDEX((ISNUMBER($E:$E)),0),0)))*($E254&gt;INDEX(_xlfn.ANCHORARRAY(Sintesi!$C$15),1,$C254))*($E254&lt;INDEX(_xlfn.ANCHORARRAY(Sintesi!$C$16),1,$C254))*(INDEX(_xlfn.ANCHORARRAY(Sintesi!$C$15),1,$C254)&gt;0),2,IF($E254=(INDEX(_xlfn.ANCHORARRAY(Sintesi!$C$16),1,$C254)),3,4)))),0),IF($C254&gt;0,IF(($E254=INDEX(_xlfn.ANCHORARRAY(Sintesi!$C$14),1,$C254))*(INDEX(_xlfn.ANCHORARRAY(Sintesi!$C$15),1,$C254)&gt;0),0,IF(($E254=INDEX(_xlfn.ANCHORARRAY(Sintesi!$C$14),1,$C254))*(INDEX(_xlfn.ANCHORARRAY(Sintesi!$C$15),1,$C254)&lt;0)+($E254&gt;=LOOKUP(2,1/($E:$E&lt;&gt;""),$E:$E))*($E254&lt;=INDEX($E:$E,MATCH(TRUE,INDEX((ISNUMBER($E:$E)),0),0)))*($E254&gt;INDEX(_xlfn.ANCHORARRAY(Sintesi!$C$14),1,$C254))*($E254&lt;=INDEX(_xlfn.ANCHORARRAY(Sintesi!$C$15),1,$C254))*(INDEX(_xlfn.ANCHORARRAY(Sintesi!$C$15),1,$C254)&gt;0),1,IF(($E254&gt;=LOOKUP(2,1/($E:$E&lt;&gt;""),$E:$E))*($E254&lt;=INDEX($E:$E,MATCH(TRUE,INDEX((ISNUMBER($E:$E)),0),0)))*($E254&gt;INDEX(_xlfn.ANCHORARRAY(Sintesi!$C$14),1,$C254))*($E254&lt;INDEX(_xlfn.ANCHORARRAY(Sintesi!$C$16),1,$C254))*(INDEX(_xlfn.ANCHORARRAY(Sintesi!$C$15),1,$C254)&lt;0)+($E254&gt;=LOOKUP(2,1/($E:$E&lt;&gt;""),$E:$E))*($E254&lt;=INDEX($E:$E,MATCH(TRUE,INDEX((ISNUMBER($E:$E)),0),0)))*($E254&gt;INDEX(_xlfn.ANCHORARRAY(Sintesi!$C$15),1,$C254))*($E254&lt;INDEX(_xlfn.ANCHORARRAY(Sintesi!$C$16),1,$C254))*(INDEX(_xlfn.ANCHORARRAY(Sintesi!$C$15),1,$C254)&gt;0),2,IF($E254=(INDEX(_xlfn.ANCHORARRAY(Sintesi!$C$16),1,$C254)),3,4)))),0)),IF(ISNUMBER($E253),IF($C254&gt;0,IF(($E254=INDEX(_xlfn.ANCHORARRAY(Sintesi!$C$14),1,$C254))*(INDEX(_xlfn.ANCHORARRAY(Sintesi!$C$15),1,$C254)&gt;0),0,IF(($E254=INDEX(_xlfn.ANCHORARRAY(Sintesi!$C$14),1,$C254))*(INDEX(_xlfn.ANCHORARRAY(Sintesi!$C$15),1,$C254)&lt;0)+($E254&gt;=$E253)*($E254&lt;=$E255)*($E254&gt;INDEX(_xlfn.ANCHORARRAY(Sintesi!$C$14),1,$C254))*($E254&lt;=INDEX(_xlfn.ANCHORARRAY(Sintesi!$C$15),1,$C254))*(INDEX(_xlfn.ANCHORARRAY(Sintesi!$C$15),1,$C254)&gt;0),1,IF(($E254&gt;=$E253)*($E254&lt;=$E255)*($E254&gt;INDEX(_xlfn.ANCHORARRAY(Sintesi!$C$14),1,$C254))*($E254&lt;INDEX(_xlfn.ANCHORARRAY(Sintesi!$C$16),1,$C254))*(INDEX(_xlfn.ANCHORARRAY(Sintesi!$C$15),1,$C254)&lt;0)+($E254&gt;=$E253)*($E254&lt;=$E255)*($E254&gt;INDEX(_xlfn.ANCHORARRAY(Sintesi!$C$15),1,$C254))*($E254&lt;INDEX(_xlfn.ANCHORARRAY(Sintesi!$C$16),1,$C254))*(INDEX(_xlfn.ANCHORARRAY(Sintesi!$C$15),1,$C254)&gt;0),2,IF($E254=(INDEX(_xlfn.ANCHORARRAY(Sintesi!$C$16),1,$C254)),3,4)))),0),IF($C254&gt;0,IF(($E254=INDEX(_xlfn.ANCHORARRAY(Sintesi!$C$14),1,$C254))*(INDEX(_xlfn.ANCHORARRAY(Sintesi!$C$15),1,$C254)&gt;0),0,IF(($E254=INDEX(_xlfn.ANCHORARRAY(Sintesi!$C$14),1,$C254))*(INDEX(_xlfn.ANCHORARRAY(Sintesi!$C$15),1,$C254)&lt;0)+($E254&gt;=LOOKUP(2,1/($E:$E&lt;&gt;""),$E:$E))*($E254&lt;=$E255)*($E254&gt;INDEX(_xlfn.ANCHORARRAY(Sintesi!$C$14),1,$C254))*($E254&lt;=INDEX(_xlfn.ANCHORARRAY(Sintesi!$C$15),1,$C254))*(INDEX(_xlfn.ANCHORARRAY(Sintesi!$C$15),1,$C254)&gt;0),1,IF(($E254&gt;=LOOKUP(2,1/($E:$E&lt;&gt;""),$E:$E))*($E254&lt;=$E255)*($E254&gt;INDEX(_xlfn.ANCHORARRAY(Sintesi!$C$14),1,$C254))*($E254&lt;INDEX(_xlfn.ANCHORARRAY(Sintesi!$C$16),1,$C254))*(INDEX(_xlfn.ANCHORARRAY(Sintesi!$C$15),1,$C254)&lt;0)+($E254&gt;=LOOKUP(2,1/($E:$E&lt;&gt;""),$E:$E))*($E254&lt;=$E255)*($E254&gt;INDEX(_xlfn.ANCHORARRAY(Sintesi!$C$15),1,$C254))*($E254&lt;INDEX(_xlfn.ANCHORARRAY(Sintesi!$C$16),1,$C254))*(INDEX(_xlfn.ANCHORARRAY(Sintesi!$C$15),1,$C254)&gt;0),2,IF($E254=(INDEX(_xlfn.ANCHORARRAY(Sintesi!$C$16),1,$C254)),3,4)))),0)))</f>
        <v>0</v>
      </c>
      <c r="E254" s="1">
        <f>'Paste cell here'!F254</f>
        <v>0</v>
      </c>
      <c r="F254" s="1">
        <f>'Paste cell here'!C254</f>
        <v>29.974543870000002</v>
      </c>
      <c r="G254" s="1">
        <f>'Paste cell here'!D254</f>
        <v>16.34819087</v>
      </c>
      <c r="H254" s="1">
        <f>'Paste cell here'!E254</f>
        <v>3.2778447399999999</v>
      </c>
      <c r="I254" s="1">
        <f>'Paste cell here'!X254</f>
        <v>0</v>
      </c>
      <c r="J254" s="1">
        <f>'Paste cell here'!Y254+'Paste cell here'!S254</f>
        <v>0</v>
      </c>
      <c r="K254" s="1">
        <f t="shared" si="7"/>
        <v>0</v>
      </c>
      <c r="L254" s="1">
        <f t="shared" si="6"/>
        <v>24.87446615302429</v>
      </c>
      <c r="M254" s="1" cm="1">
        <f t="array" ref="M254">IF(AND(A254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,A254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),IF(L254&lt;_xlfn.IFNA(INDEX(_xlfn.ANCHORARRAY(Sintesi!$C$17)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,1,IF(L254&gt;=_xlfn.IFNA(INDEX(_xlfn.ANCHORARRAY(Sintesi!$C$18)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,0,1-(L254-_xlfn.IFNA(INDEX(_xlfn.ANCHORARRAY(Sintesi!$C$17)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)/(_xlfn.IFNA(INDEX(_xlfn.ANCHORARRAY(Sintesi!$C$18)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-_xlfn.IFNA(INDEX(_xlfn.ANCHORARRAY(Sintesi!$C$17),1,MATCH(1,(_xlfn.ANCHORARRAY(Sintesi!$C$9)&gt;_xlfn.ANCHORARRAY(Sintesi!$C$10))*(A253&gt;=_xlfn.ANCHORARRAY(Sintesi!$C$9))+(_xlfn.ANCHORARRAY(Sintesi!$C$9)&gt;_xlfn.ANCHORARRAY(Sintesi!$C$10))*(A253&lt;=_xlfn.ANCHORARRAY(Sintesi!$C$10))+(_xlfn.ANCHORARRAY(Sintesi!$C$9)&lt;_xlfn.ANCHORARRAY(Sintesi!$C$10))*(A253&gt;=_xlfn.ANCHORARRAY(Sintesi!$C$9))*(A253&lt;=_xlfn.ANCHORARRAY(Sintesi!$C$10)),0)),0)))),0)</f>
        <v>0</v>
      </c>
    </row>
    <row r="255" spans="1:13">
      <c r="A255" s="1">
        <f>'Paste cell here'!A255</f>
        <v>254</v>
      </c>
      <c r="B255" s="2">
        <f>DATE(Sintesi!$C$4-1,12,31)+A255</f>
        <v>44450</v>
      </c>
      <c r="C255" s="34" cm="1">
        <f t="array" ref="C255">_xlfn.IFNA(MATCH(1,(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)*(_xlfn.ANCHORARRAY(Sintesi!$C$15)&gt;=0)+(_xlfn.ANCHORARRAY(Sintesi!$C$15)&lt;0),0),0)</f>
        <v>0</v>
      </c>
      <c r="D255" s="1" cm="1">
        <f t="array" ref="D255">IF(ISBLANK($E256),IF(ISNUMBER($E254),IF($C255&gt;0,IF(($E255=INDEX(_xlfn.ANCHORARRAY(Sintesi!$C$14),1,$C255))*(INDEX(_xlfn.ANCHORARRAY(Sintesi!$C$15),1,$C255)&gt;0),0,IF(($E255=INDEX(_xlfn.ANCHORARRAY(Sintesi!$C$14),1,$C255))*(INDEX(_xlfn.ANCHORARRAY(Sintesi!$C$15),1,$C255)&lt;0)+($E255&gt;=$E254)*($E255&lt;=INDEX($E:$E,MATCH(TRUE,INDEX((ISNUMBER($E:$E)),0),0)))*($E255&gt;INDEX(_xlfn.ANCHORARRAY(Sintesi!$C$14),1,$C255))*($E255&lt;=INDEX(_xlfn.ANCHORARRAY(Sintesi!$C$15),1,$C255))*(INDEX(_xlfn.ANCHORARRAY(Sintesi!$C$15),1,$C255)&gt;0),1,IF(($E255&gt;=$E254)*($E255&lt;=INDEX($E:$E,MATCH(TRUE,INDEX((ISNUMBER($E:$E)),0),0)))*($E255&gt;INDEX(_xlfn.ANCHORARRAY(Sintesi!$C$14),1,$C255))*($E255&lt;INDEX(_xlfn.ANCHORARRAY(Sintesi!$C$16),1,$C255))*(INDEX(_xlfn.ANCHORARRAY(Sintesi!$C$15),1,$C255)&lt;0)+($E255&gt;=$E254)*($E255&lt;=INDEX($E:$E,MATCH(TRUE,INDEX((ISNUMBER($E:$E)),0),0)))*($E255&gt;INDEX(_xlfn.ANCHORARRAY(Sintesi!$C$15),1,$C255))*($E255&lt;INDEX(_xlfn.ANCHORARRAY(Sintesi!$C$16),1,$C255))*(INDEX(_xlfn.ANCHORARRAY(Sintesi!$C$15),1,$C255)&gt;0),2,IF($E255=(INDEX(_xlfn.ANCHORARRAY(Sintesi!$C$16),1,$C255)),3,4)))),0),IF($C255&gt;0,IF(($E255=INDEX(_xlfn.ANCHORARRAY(Sintesi!$C$14),1,$C255))*(INDEX(_xlfn.ANCHORARRAY(Sintesi!$C$15),1,$C255)&gt;0),0,IF(($E255=INDEX(_xlfn.ANCHORARRAY(Sintesi!$C$14),1,$C255))*(INDEX(_xlfn.ANCHORARRAY(Sintesi!$C$15),1,$C255)&lt;0)+($E255&gt;=LOOKUP(2,1/($E:$E&lt;&gt;""),$E:$E))*($E255&lt;=INDEX($E:$E,MATCH(TRUE,INDEX((ISNUMBER($E:$E)),0),0)))*($E255&gt;INDEX(_xlfn.ANCHORARRAY(Sintesi!$C$14),1,$C255))*($E255&lt;=INDEX(_xlfn.ANCHORARRAY(Sintesi!$C$15),1,$C255))*(INDEX(_xlfn.ANCHORARRAY(Sintesi!$C$15),1,$C255)&gt;0),1,IF(($E255&gt;=LOOKUP(2,1/($E:$E&lt;&gt;""),$E:$E))*($E255&lt;=INDEX($E:$E,MATCH(TRUE,INDEX((ISNUMBER($E:$E)),0),0)))*($E255&gt;INDEX(_xlfn.ANCHORARRAY(Sintesi!$C$14),1,$C255))*($E255&lt;INDEX(_xlfn.ANCHORARRAY(Sintesi!$C$16),1,$C255))*(INDEX(_xlfn.ANCHORARRAY(Sintesi!$C$15),1,$C255)&lt;0)+($E255&gt;=LOOKUP(2,1/($E:$E&lt;&gt;""),$E:$E))*($E255&lt;=INDEX($E:$E,MATCH(TRUE,INDEX((ISNUMBER($E:$E)),0),0)))*($E255&gt;INDEX(_xlfn.ANCHORARRAY(Sintesi!$C$15),1,$C255))*($E255&lt;INDEX(_xlfn.ANCHORARRAY(Sintesi!$C$16),1,$C255))*(INDEX(_xlfn.ANCHORARRAY(Sintesi!$C$15),1,$C255)&gt;0),2,IF($E255=(INDEX(_xlfn.ANCHORARRAY(Sintesi!$C$16),1,$C255)),3,4)))),0)),IF(ISNUMBER($E254),IF($C255&gt;0,IF(($E255=INDEX(_xlfn.ANCHORARRAY(Sintesi!$C$14),1,$C255))*(INDEX(_xlfn.ANCHORARRAY(Sintesi!$C$15),1,$C255)&gt;0),0,IF(($E255=INDEX(_xlfn.ANCHORARRAY(Sintesi!$C$14),1,$C255))*(INDEX(_xlfn.ANCHORARRAY(Sintesi!$C$15),1,$C255)&lt;0)+($E255&gt;=$E254)*($E255&lt;=$E256)*($E255&gt;INDEX(_xlfn.ANCHORARRAY(Sintesi!$C$14),1,$C255))*($E255&lt;=INDEX(_xlfn.ANCHORARRAY(Sintesi!$C$15),1,$C255))*(INDEX(_xlfn.ANCHORARRAY(Sintesi!$C$15),1,$C255)&gt;0),1,IF(($E255&gt;=$E254)*($E255&lt;=$E256)*($E255&gt;INDEX(_xlfn.ANCHORARRAY(Sintesi!$C$14),1,$C255))*($E255&lt;INDEX(_xlfn.ANCHORARRAY(Sintesi!$C$16),1,$C255))*(INDEX(_xlfn.ANCHORARRAY(Sintesi!$C$15),1,$C255)&lt;0)+($E255&gt;=$E254)*($E255&lt;=$E256)*($E255&gt;INDEX(_xlfn.ANCHORARRAY(Sintesi!$C$15),1,$C255))*($E255&lt;INDEX(_xlfn.ANCHORARRAY(Sintesi!$C$16),1,$C255))*(INDEX(_xlfn.ANCHORARRAY(Sintesi!$C$15),1,$C255)&gt;0),2,IF($E255=(INDEX(_xlfn.ANCHORARRAY(Sintesi!$C$16),1,$C255)),3,4)))),0),IF($C255&gt;0,IF(($E255=INDEX(_xlfn.ANCHORARRAY(Sintesi!$C$14),1,$C255))*(INDEX(_xlfn.ANCHORARRAY(Sintesi!$C$15),1,$C255)&gt;0),0,IF(($E255=INDEX(_xlfn.ANCHORARRAY(Sintesi!$C$14),1,$C255))*(INDEX(_xlfn.ANCHORARRAY(Sintesi!$C$15),1,$C255)&lt;0)+($E255&gt;=LOOKUP(2,1/($E:$E&lt;&gt;""),$E:$E))*($E255&lt;=$E256)*($E255&gt;INDEX(_xlfn.ANCHORARRAY(Sintesi!$C$14),1,$C255))*($E255&lt;=INDEX(_xlfn.ANCHORARRAY(Sintesi!$C$15),1,$C255))*(INDEX(_xlfn.ANCHORARRAY(Sintesi!$C$15),1,$C255)&gt;0),1,IF(($E255&gt;=LOOKUP(2,1/($E:$E&lt;&gt;""),$E:$E))*($E255&lt;=$E256)*($E255&gt;INDEX(_xlfn.ANCHORARRAY(Sintesi!$C$14),1,$C255))*($E255&lt;INDEX(_xlfn.ANCHORARRAY(Sintesi!$C$16),1,$C255))*(INDEX(_xlfn.ANCHORARRAY(Sintesi!$C$15),1,$C255)&lt;0)+($E255&gt;=LOOKUP(2,1/($E:$E&lt;&gt;""),$E:$E))*($E255&lt;=$E256)*($E255&gt;INDEX(_xlfn.ANCHORARRAY(Sintesi!$C$15),1,$C255))*($E255&lt;INDEX(_xlfn.ANCHORARRAY(Sintesi!$C$16),1,$C255))*(INDEX(_xlfn.ANCHORARRAY(Sintesi!$C$15),1,$C255)&gt;0),2,IF($E255=(INDEX(_xlfn.ANCHORARRAY(Sintesi!$C$16),1,$C255)),3,4)))),0)))</f>
        <v>0</v>
      </c>
      <c r="E255" s="1">
        <f>'Paste cell here'!F255</f>
        <v>0</v>
      </c>
      <c r="F255" s="1">
        <f>'Paste cell here'!C255</f>
        <v>30.94928093</v>
      </c>
      <c r="G255" s="1">
        <f>'Paste cell here'!D255</f>
        <v>18.37201567</v>
      </c>
      <c r="H255" s="1">
        <f>'Paste cell here'!E255</f>
        <v>3.7339503600000001</v>
      </c>
      <c r="I255" s="1">
        <f>'Paste cell here'!X255</f>
        <v>0</v>
      </c>
      <c r="J255" s="1">
        <f>'Paste cell here'!Y255+'Paste cell here'!S255</f>
        <v>0</v>
      </c>
      <c r="K255" s="1">
        <f t="shared" si="7"/>
        <v>0</v>
      </c>
      <c r="L255" s="1">
        <f t="shared" si="6"/>
        <v>26.241856258628378</v>
      </c>
      <c r="M255" s="1" cm="1">
        <f t="array" ref="M255">IF(AND(A255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,A255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),IF(L255&lt;_xlfn.IFNA(INDEX(_xlfn.ANCHORARRAY(Sintesi!$C$17)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,1,IF(L255&gt;=_xlfn.IFNA(INDEX(_xlfn.ANCHORARRAY(Sintesi!$C$18)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,0,1-(L255-_xlfn.IFNA(INDEX(_xlfn.ANCHORARRAY(Sintesi!$C$17)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)/(_xlfn.IFNA(INDEX(_xlfn.ANCHORARRAY(Sintesi!$C$18)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-_xlfn.IFNA(INDEX(_xlfn.ANCHORARRAY(Sintesi!$C$17),1,MATCH(1,(_xlfn.ANCHORARRAY(Sintesi!$C$9)&gt;_xlfn.ANCHORARRAY(Sintesi!$C$10))*(A254&gt;=_xlfn.ANCHORARRAY(Sintesi!$C$9))+(_xlfn.ANCHORARRAY(Sintesi!$C$9)&gt;_xlfn.ANCHORARRAY(Sintesi!$C$10))*(A254&lt;=_xlfn.ANCHORARRAY(Sintesi!$C$10))+(_xlfn.ANCHORARRAY(Sintesi!$C$9)&lt;_xlfn.ANCHORARRAY(Sintesi!$C$10))*(A254&gt;=_xlfn.ANCHORARRAY(Sintesi!$C$9))*(A254&lt;=_xlfn.ANCHORARRAY(Sintesi!$C$10)),0)),0)))),0)</f>
        <v>0</v>
      </c>
    </row>
    <row r="256" spans="1:13">
      <c r="A256" s="1">
        <f>'Paste cell here'!A256</f>
        <v>255</v>
      </c>
      <c r="B256" s="2">
        <f>DATE(Sintesi!$C$4-1,12,31)+A256</f>
        <v>44451</v>
      </c>
      <c r="C256" s="34" cm="1">
        <f t="array" ref="C256">_xlfn.IFNA(MATCH(1,(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)*(_xlfn.ANCHORARRAY(Sintesi!$C$15)&gt;=0)+(_xlfn.ANCHORARRAY(Sintesi!$C$15)&lt;0),0),0)</f>
        <v>0</v>
      </c>
      <c r="D256" s="1" cm="1">
        <f t="array" ref="D256">IF(ISBLANK($E257),IF(ISNUMBER($E255),IF($C256&gt;0,IF(($E256=INDEX(_xlfn.ANCHORARRAY(Sintesi!$C$14),1,$C256))*(INDEX(_xlfn.ANCHORARRAY(Sintesi!$C$15),1,$C256)&gt;0),0,IF(($E256=INDEX(_xlfn.ANCHORARRAY(Sintesi!$C$14),1,$C256))*(INDEX(_xlfn.ANCHORARRAY(Sintesi!$C$15),1,$C256)&lt;0)+($E256&gt;=$E255)*($E256&lt;=INDEX($E:$E,MATCH(TRUE,INDEX((ISNUMBER($E:$E)),0),0)))*($E256&gt;INDEX(_xlfn.ANCHORARRAY(Sintesi!$C$14),1,$C256))*($E256&lt;=INDEX(_xlfn.ANCHORARRAY(Sintesi!$C$15),1,$C256))*(INDEX(_xlfn.ANCHORARRAY(Sintesi!$C$15),1,$C256)&gt;0),1,IF(($E256&gt;=$E255)*($E256&lt;=INDEX($E:$E,MATCH(TRUE,INDEX((ISNUMBER($E:$E)),0),0)))*($E256&gt;INDEX(_xlfn.ANCHORARRAY(Sintesi!$C$14),1,$C256))*($E256&lt;INDEX(_xlfn.ANCHORARRAY(Sintesi!$C$16),1,$C256))*(INDEX(_xlfn.ANCHORARRAY(Sintesi!$C$15),1,$C256)&lt;0)+($E256&gt;=$E255)*($E256&lt;=INDEX($E:$E,MATCH(TRUE,INDEX((ISNUMBER($E:$E)),0),0)))*($E256&gt;INDEX(_xlfn.ANCHORARRAY(Sintesi!$C$15),1,$C256))*($E256&lt;INDEX(_xlfn.ANCHORARRAY(Sintesi!$C$16),1,$C256))*(INDEX(_xlfn.ANCHORARRAY(Sintesi!$C$15),1,$C256)&gt;0),2,IF($E256=(INDEX(_xlfn.ANCHORARRAY(Sintesi!$C$16),1,$C256)),3,4)))),0),IF($C256&gt;0,IF(($E256=INDEX(_xlfn.ANCHORARRAY(Sintesi!$C$14),1,$C256))*(INDEX(_xlfn.ANCHORARRAY(Sintesi!$C$15),1,$C256)&gt;0),0,IF(($E256=INDEX(_xlfn.ANCHORARRAY(Sintesi!$C$14),1,$C256))*(INDEX(_xlfn.ANCHORARRAY(Sintesi!$C$15),1,$C256)&lt;0)+($E256&gt;=LOOKUP(2,1/($E:$E&lt;&gt;""),$E:$E))*($E256&lt;=INDEX($E:$E,MATCH(TRUE,INDEX((ISNUMBER($E:$E)),0),0)))*($E256&gt;INDEX(_xlfn.ANCHORARRAY(Sintesi!$C$14),1,$C256))*($E256&lt;=INDEX(_xlfn.ANCHORARRAY(Sintesi!$C$15),1,$C256))*(INDEX(_xlfn.ANCHORARRAY(Sintesi!$C$15),1,$C256)&gt;0),1,IF(($E256&gt;=LOOKUP(2,1/($E:$E&lt;&gt;""),$E:$E))*($E256&lt;=INDEX($E:$E,MATCH(TRUE,INDEX((ISNUMBER($E:$E)),0),0)))*($E256&gt;INDEX(_xlfn.ANCHORARRAY(Sintesi!$C$14),1,$C256))*($E256&lt;INDEX(_xlfn.ANCHORARRAY(Sintesi!$C$16),1,$C256))*(INDEX(_xlfn.ANCHORARRAY(Sintesi!$C$15),1,$C256)&lt;0)+($E256&gt;=LOOKUP(2,1/($E:$E&lt;&gt;""),$E:$E))*($E256&lt;=INDEX($E:$E,MATCH(TRUE,INDEX((ISNUMBER($E:$E)),0),0)))*($E256&gt;INDEX(_xlfn.ANCHORARRAY(Sintesi!$C$15),1,$C256))*($E256&lt;INDEX(_xlfn.ANCHORARRAY(Sintesi!$C$16),1,$C256))*(INDEX(_xlfn.ANCHORARRAY(Sintesi!$C$15),1,$C256)&gt;0),2,IF($E256=(INDEX(_xlfn.ANCHORARRAY(Sintesi!$C$16),1,$C256)),3,4)))),0)),IF(ISNUMBER($E255),IF($C256&gt;0,IF(($E256=INDEX(_xlfn.ANCHORARRAY(Sintesi!$C$14),1,$C256))*(INDEX(_xlfn.ANCHORARRAY(Sintesi!$C$15),1,$C256)&gt;0),0,IF(($E256=INDEX(_xlfn.ANCHORARRAY(Sintesi!$C$14),1,$C256))*(INDEX(_xlfn.ANCHORARRAY(Sintesi!$C$15),1,$C256)&lt;0)+($E256&gt;=$E255)*($E256&lt;=$E257)*($E256&gt;INDEX(_xlfn.ANCHORARRAY(Sintesi!$C$14),1,$C256))*($E256&lt;=INDEX(_xlfn.ANCHORARRAY(Sintesi!$C$15),1,$C256))*(INDEX(_xlfn.ANCHORARRAY(Sintesi!$C$15),1,$C256)&gt;0),1,IF(($E256&gt;=$E255)*($E256&lt;=$E257)*($E256&gt;INDEX(_xlfn.ANCHORARRAY(Sintesi!$C$14),1,$C256))*($E256&lt;INDEX(_xlfn.ANCHORARRAY(Sintesi!$C$16),1,$C256))*(INDEX(_xlfn.ANCHORARRAY(Sintesi!$C$15),1,$C256)&lt;0)+($E256&gt;=$E255)*($E256&lt;=$E257)*($E256&gt;INDEX(_xlfn.ANCHORARRAY(Sintesi!$C$15),1,$C256))*($E256&lt;INDEX(_xlfn.ANCHORARRAY(Sintesi!$C$16),1,$C256))*(INDEX(_xlfn.ANCHORARRAY(Sintesi!$C$15),1,$C256)&gt;0),2,IF($E256=(INDEX(_xlfn.ANCHORARRAY(Sintesi!$C$16),1,$C256)),3,4)))),0),IF($C256&gt;0,IF(($E256=INDEX(_xlfn.ANCHORARRAY(Sintesi!$C$14),1,$C256))*(INDEX(_xlfn.ANCHORARRAY(Sintesi!$C$15),1,$C256)&gt;0),0,IF(($E256=INDEX(_xlfn.ANCHORARRAY(Sintesi!$C$14),1,$C256))*(INDEX(_xlfn.ANCHORARRAY(Sintesi!$C$15),1,$C256)&lt;0)+($E256&gt;=LOOKUP(2,1/($E:$E&lt;&gt;""),$E:$E))*($E256&lt;=$E257)*($E256&gt;INDEX(_xlfn.ANCHORARRAY(Sintesi!$C$14),1,$C256))*($E256&lt;=INDEX(_xlfn.ANCHORARRAY(Sintesi!$C$15),1,$C256))*(INDEX(_xlfn.ANCHORARRAY(Sintesi!$C$15),1,$C256)&gt;0),1,IF(($E256&gt;=LOOKUP(2,1/($E:$E&lt;&gt;""),$E:$E))*($E256&lt;=$E257)*($E256&gt;INDEX(_xlfn.ANCHORARRAY(Sintesi!$C$14),1,$C256))*($E256&lt;INDEX(_xlfn.ANCHORARRAY(Sintesi!$C$16),1,$C256))*(INDEX(_xlfn.ANCHORARRAY(Sintesi!$C$15),1,$C256)&lt;0)+($E256&gt;=LOOKUP(2,1/($E:$E&lt;&gt;""),$E:$E))*($E256&lt;=$E257)*($E256&gt;INDEX(_xlfn.ANCHORARRAY(Sintesi!$C$15),1,$C256))*($E256&lt;INDEX(_xlfn.ANCHORARRAY(Sintesi!$C$16),1,$C256))*(INDEX(_xlfn.ANCHORARRAY(Sintesi!$C$15),1,$C256)&gt;0),2,IF($E256=(INDEX(_xlfn.ANCHORARRAY(Sintesi!$C$16),1,$C256)),3,4)))),0)))</f>
        <v>0</v>
      </c>
      <c r="E256" s="1">
        <f>'Paste cell here'!F256</f>
        <v>0</v>
      </c>
      <c r="F256" s="1">
        <f>'Paste cell here'!C256</f>
        <v>31.21048867</v>
      </c>
      <c r="G256" s="1">
        <f>'Paste cell here'!D256</f>
        <v>15.807324100000001</v>
      </c>
      <c r="H256" s="1">
        <f>'Paste cell here'!E256</f>
        <v>3.7401812799999998</v>
      </c>
      <c r="I256" s="1">
        <f>'Paste cell here'!X256</f>
        <v>0</v>
      </c>
      <c r="J256" s="1">
        <f>'Paste cell here'!Y256+'Paste cell here'!S256</f>
        <v>0</v>
      </c>
      <c r="K256" s="1">
        <f t="shared" si="7"/>
        <v>0</v>
      </c>
      <c r="L256" s="1">
        <f t="shared" si="6"/>
        <v>25.445385095010657</v>
      </c>
      <c r="M256" s="1" cm="1">
        <f t="array" ref="M256">IF(AND(A256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,A256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),IF(L256&lt;_xlfn.IFNA(INDEX(_xlfn.ANCHORARRAY(Sintesi!$C$17)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,1,IF(L256&gt;=_xlfn.IFNA(INDEX(_xlfn.ANCHORARRAY(Sintesi!$C$18)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,0,1-(L256-_xlfn.IFNA(INDEX(_xlfn.ANCHORARRAY(Sintesi!$C$17)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)/(_xlfn.IFNA(INDEX(_xlfn.ANCHORARRAY(Sintesi!$C$18)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-_xlfn.IFNA(INDEX(_xlfn.ANCHORARRAY(Sintesi!$C$17),1,MATCH(1,(_xlfn.ANCHORARRAY(Sintesi!$C$9)&gt;_xlfn.ANCHORARRAY(Sintesi!$C$10))*(A255&gt;=_xlfn.ANCHORARRAY(Sintesi!$C$9))+(_xlfn.ANCHORARRAY(Sintesi!$C$9)&gt;_xlfn.ANCHORARRAY(Sintesi!$C$10))*(A255&lt;=_xlfn.ANCHORARRAY(Sintesi!$C$10))+(_xlfn.ANCHORARRAY(Sintesi!$C$9)&lt;_xlfn.ANCHORARRAY(Sintesi!$C$10))*(A255&gt;=_xlfn.ANCHORARRAY(Sintesi!$C$9))*(A255&lt;=_xlfn.ANCHORARRAY(Sintesi!$C$10)),0)),0)))),0)</f>
        <v>0</v>
      </c>
    </row>
    <row r="257" spans="1:13">
      <c r="A257" s="1">
        <f>'Paste cell here'!A257</f>
        <v>256</v>
      </c>
      <c r="B257" s="2">
        <f>DATE(Sintesi!$C$4-1,12,31)+A257</f>
        <v>44452</v>
      </c>
      <c r="C257" s="34" cm="1">
        <f t="array" ref="C257">_xlfn.IFNA(MATCH(1,(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)*(_xlfn.ANCHORARRAY(Sintesi!$C$15)&gt;=0)+(_xlfn.ANCHORARRAY(Sintesi!$C$15)&lt;0),0),0)</f>
        <v>0</v>
      </c>
      <c r="D257" s="1" cm="1">
        <f t="array" ref="D257">IF(ISBLANK($E258),IF(ISNUMBER($E256),IF($C257&gt;0,IF(($E257=INDEX(_xlfn.ANCHORARRAY(Sintesi!$C$14),1,$C257))*(INDEX(_xlfn.ANCHORARRAY(Sintesi!$C$15),1,$C257)&gt;0),0,IF(($E257=INDEX(_xlfn.ANCHORARRAY(Sintesi!$C$14),1,$C257))*(INDEX(_xlfn.ANCHORARRAY(Sintesi!$C$15),1,$C257)&lt;0)+($E257&gt;=$E256)*($E257&lt;=INDEX($E:$E,MATCH(TRUE,INDEX((ISNUMBER($E:$E)),0),0)))*($E257&gt;INDEX(_xlfn.ANCHORARRAY(Sintesi!$C$14),1,$C257))*($E257&lt;=INDEX(_xlfn.ANCHORARRAY(Sintesi!$C$15),1,$C257))*(INDEX(_xlfn.ANCHORARRAY(Sintesi!$C$15),1,$C257)&gt;0),1,IF(($E257&gt;=$E256)*($E257&lt;=INDEX($E:$E,MATCH(TRUE,INDEX((ISNUMBER($E:$E)),0),0)))*($E257&gt;INDEX(_xlfn.ANCHORARRAY(Sintesi!$C$14),1,$C257))*($E257&lt;INDEX(_xlfn.ANCHORARRAY(Sintesi!$C$16),1,$C257))*(INDEX(_xlfn.ANCHORARRAY(Sintesi!$C$15),1,$C257)&lt;0)+($E257&gt;=$E256)*($E257&lt;=INDEX($E:$E,MATCH(TRUE,INDEX((ISNUMBER($E:$E)),0),0)))*($E257&gt;INDEX(_xlfn.ANCHORARRAY(Sintesi!$C$15),1,$C257))*($E257&lt;INDEX(_xlfn.ANCHORARRAY(Sintesi!$C$16),1,$C257))*(INDEX(_xlfn.ANCHORARRAY(Sintesi!$C$15),1,$C257)&gt;0),2,IF($E257=(INDEX(_xlfn.ANCHORARRAY(Sintesi!$C$16),1,$C257)),3,4)))),0),IF($C257&gt;0,IF(($E257=INDEX(_xlfn.ANCHORARRAY(Sintesi!$C$14),1,$C257))*(INDEX(_xlfn.ANCHORARRAY(Sintesi!$C$15),1,$C257)&gt;0),0,IF(($E257=INDEX(_xlfn.ANCHORARRAY(Sintesi!$C$14),1,$C257))*(INDEX(_xlfn.ANCHORARRAY(Sintesi!$C$15),1,$C257)&lt;0)+($E257&gt;=LOOKUP(2,1/($E:$E&lt;&gt;""),$E:$E))*($E257&lt;=INDEX($E:$E,MATCH(TRUE,INDEX((ISNUMBER($E:$E)),0),0)))*($E257&gt;INDEX(_xlfn.ANCHORARRAY(Sintesi!$C$14),1,$C257))*($E257&lt;=INDEX(_xlfn.ANCHORARRAY(Sintesi!$C$15),1,$C257))*(INDEX(_xlfn.ANCHORARRAY(Sintesi!$C$15),1,$C257)&gt;0),1,IF(($E257&gt;=LOOKUP(2,1/($E:$E&lt;&gt;""),$E:$E))*($E257&lt;=INDEX($E:$E,MATCH(TRUE,INDEX((ISNUMBER($E:$E)),0),0)))*($E257&gt;INDEX(_xlfn.ANCHORARRAY(Sintesi!$C$14),1,$C257))*($E257&lt;INDEX(_xlfn.ANCHORARRAY(Sintesi!$C$16),1,$C257))*(INDEX(_xlfn.ANCHORARRAY(Sintesi!$C$15),1,$C257)&lt;0)+($E257&gt;=LOOKUP(2,1/($E:$E&lt;&gt;""),$E:$E))*($E257&lt;=INDEX($E:$E,MATCH(TRUE,INDEX((ISNUMBER($E:$E)),0),0)))*($E257&gt;INDEX(_xlfn.ANCHORARRAY(Sintesi!$C$15),1,$C257))*($E257&lt;INDEX(_xlfn.ANCHORARRAY(Sintesi!$C$16),1,$C257))*(INDEX(_xlfn.ANCHORARRAY(Sintesi!$C$15),1,$C257)&gt;0),2,IF($E257=(INDEX(_xlfn.ANCHORARRAY(Sintesi!$C$16),1,$C257)),3,4)))),0)),IF(ISNUMBER($E256),IF($C257&gt;0,IF(($E257=INDEX(_xlfn.ANCHORARRAY(Sintesi!$C$14),1,$C257))*(INDEX(_xlfn.ANCHORARRAY(Sintesi!$C$15),1,$C257)&gt;0),0,IF(($E257=INDEX(_xlfn.ANCHORARRAY(Sintesi!$C$14),1,$C257))*(INDEX(_xlfn.ANCHORARRAY(Sintesi!$C$15),1,$C257)&lt;0)+($E257&gt;=$E256)*($E257&lt;=$E258)*($E257&gt;INDEX(_xlfn.ANCHORARRAY(Sintesi!$C$14),1,$C257))*($E257&lt;=INDEX(_xlfn.ANCHORARRAY(Sintesi!$C$15),1,$C257))*(INDEX(_xlfn.ANCHORARRAY(Sintesi!$C$15),1,$C257)&gt;0),1,IF(($E257&gt;=$E256)*($E257&lt;=$E258)*($E257&gt;INDEX(_xlfn.ANCHORARRAY(Sintesi!$C$14),1,$C257))*($E257&lt;INDEX(_xlfn.ANCHORARRAY(Sintesi!$C$16),1,$C257))*(INDEX(_xlfn.ANCHORARRAY(Sintesi!$C$15),1,$C257)&lt;0)+($E257&gt;=$E256)*($E257&lt;=$E258)*($E257&gt;INDEX(_xlfn.ANCHORARRAY(Sintesi!$C$15),1,$C257))*($E257&lt;INDEX(_xlfn.ANCHORARRAY(Sintesi!$C$16),1,$C257))*(INDEX(_xlfn.ANCHORARRAY(Sintesi!$C$15),1,$C257)&gt;0),2,IF($E257=(INDEX(_xlfn.ANCHORARRAY(Sintesi!$C$16),1,$C257)),3,4)))),0),IF($C257&gt;0,IF(($E257=INDEX(_xlfn.ANCHORARRAY(Sintesi!$C$14),1,$C257))*(INDEX(_xlfn.ANCHORARRAY(Sintesi!$C$15),1,$C257)&gt;0),0,IF(($E257=INDEX(_xlfn.ANCHORARRAY(Sintesi!$C$14),1,$C257))*(INDEX(_xlfn.ANCHORARRAY(Sintesi!$C$15),1,$C257)&lt;0)+($E257&gt;=LOOKUP(2,1/($E:$E&lt;&gt;""),$E:$E))*($E257&lt;=$E258)*($E257&gt;INDEX(_xlfn.ANCHORARRAY(Sintesi!$C$14),1,$C257))*($E257&lt;=INDEX(_xlfn.ANCHORARRAY(Sintesi!$C$15),1,$C257))*(INDEX(_xlfn.ANCHORARRAY(Sintesi!$C$15),1,$C257)&gt;0),1,IF(($E257&gt;=LOOKUP(2,1/($E:$E&lt;&gt;""),$E:$E))*($E257&lt;=$E258)*($E257&gt;INDEX(_xlfn.ANCHORARRAY(Sintesi!$C$14),1,$C257))*($E257&lt;INDEX(_xlfn.ANCHORARRAY(Sintesi!$C$16),1,$C257))*(INDEX(_xlfn.ANCHORARRAY(Sintesi!$C$15),1,$C257)&lt;0)+($E257&gt;=LOOKUP(2,1/($E:$E&lt;&gt;""),$E:$E))*($E257&lt;=$E258)*($E257&gt;INDEX(_xlfn.ANCHORARRAY(Sintesi!$C$15),1,$C257))*($E257&lt;INDEX(_xlfn.ANCHORARRAY(Sintesi!$C$16),1,$C257))*(INDEX(_xlfn.ANCHORARRAY(Sintesi!$C$15),1,$C257)&gt;0),2,IF($E257=(INDEX(_xlfn.ANCHORARRAY(Sintesi!$C$16),1,$C257)),3,4)))),0)))</f>
        <v>0</v>
      </c>
      <c r="E257" s="1">
        <f>'Paste cell here'!F257</f>
        <v>0</v>
      </c>
      <c r="F257" s="1">
        <f>'Paste cell here'!C257</f>
        <v>32.22066023</v>
      </c>
      <c r="G257" s="1">
        <f>'Paste cell here'!D257</f>
        <v>14.5688511</v>
      </c>
      <c r="H257" s="1">
        <f>'Paste cell here'!E257</f>
        <v>3.8312975580000002</v>
      </c>
      <c r="I257" s="1">
        <f>'Paste cell here'!X257</f>
        <v>0</v>
      </c>
      <c r="J257" s="1">
        <f>'Paste cell here'!Y257+'Paste cell here'!S257</f>
        <v>0</v>
      </c>
      <c r="K257" s="1">
        <f t="shared" si="7"/>
        <v>0</v>
      </c>
      <c r="L257" s="1">
        <f t="shared" si="6"/>
        <v>25.613932926794117</v>
      </c>
      <c r="M257" s="1" cm="1">
        <f t="array" ref="M257">IF(AND(A257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,A257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),IF(L257&lt;_xlfn.IFNA(INDEX(_xlfn.ANCHORARRAY(Sintesi!$C$17)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,1,IF(L257&gt;=_xlfn.IFNA(INDEX(_xlfn.ANCHORARRAY(Sintesi!$C$18)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,0,1-(L257-_xlfn.IFNA(INDEX(_xlfn.ANCHORARRAY(Sintesi!$C$17)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)/(_xlfn.IFNA(INDEX(_xlfn.ANCHORARRAY(Sintesi!$C$18)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-_xlfn.IFNA(INDEX(_xlfn.ANCHORARRAY(Sintesi!$C$17),1,MATCH(1,(_xlfn.ANCHORARRAY(Sintesi!$C$9)&gt;_xlfn.ANCHORARRAY(Sintesi!$C$10))*(A256&gt;=_xlfn.ANCHORARRAY(Sintesi!$C$9))+(_xlfn.ANCHORARRAY(Sintesi!$C$9)&gt;_xlfn.ANCHORARRAY(Sintesi!$C$10))*(A256&lt;=_xlfn.ANCHORARRAY(Sintesi!$C$10))+(_xlfn.ANCHORARRAY(Sintesi!$C$9)&lt;_xlfn.ANCHORARRAY(Sintesi!$C$10))*(A256&gt;=_xlfn.ANCHORARRAY(Sintesi!$C$9))*(A256&lt;=_xlfn.ANCHORARRAY(Sintesi!$C$10)),0)),0)))),0)</f>
        <v>0</v>
      </c>
    </row>
    <row r="258" spans="1:13">
      <c r="A258" s="1">
        <f>'Paste cell here'!A258</f>
        <v>257</v>
      </c>
      <c r="B258" s="2">
        <f>DATE(Sintesi!$C$4-1,12,31)+A258</f>
        <v>44453</v>
      </c>
      <c r="C258" s="34" cm="1">
        <f t="array" ref="C258">_xlfn.IFNA(MATCH(1,(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)*(_xlfn.ANCHORARRAY(Sintesi!$C$15)&gt;=0)+(_xlfn.ANCHORARRAY(Sintesi!$C$15)&lt;0),0),0)</f>
        <v>0</v>
      </c>
      <c r="D258" s="1" cm="1">
        <f t="array" ref="D258">IF(ISBLANK($E259),IF(ISNUMBER($E257),IF($C258&gt;0,IF(($E258=INDEX(_xlfn.ANCHORARRAY(Sintesi!$C$14),1,$C258))*(INDEX(_xlfn.ANCHORARRAY(Sintesi!$C$15),1,$C258)&gt;0),0,IF(($E258=INDEX(_xlfn.ANCHORARRAY(Sintesi!$C$14),1,$C258))*(INDEX(_xlfn.ANCHORARRAY(Sintesi!$C$15),1,$C258)&lt;0)+($E258&gt;=$E257)*($E258&lt;=INDEX($E:$E,MATCH(TRUE,INDEX((ISNUMBER($E:$E)),0),0)))*($E258&gt;INDEX(_xlfn.ANCHORARRAY(Sintesi!$C$14),1,$C258))*($E258&lt;=INDEX(_xlfn.ANCHORARRAY(Sintesi!$C$15),1,$C258))*(INDEX(_xlfn.ANCHORARRAY(Sintesi!$C$15),1,$C258)&gt;0),1,IF(($E258&gt;=$E257)*($E258&lt;=INDEX($E:$E,MATCH(TRUE,INDEX((ISNUMBER($E:$E)),0),0)))*($E258&gt;INDEX(_xlfn.ANCHORARRAY(Sintesi!$C$14),1,$C258))*($E258&lt;INDEX(_xlfn.ANCHORARRAY(Sintesi!$C$16),1,$C258))*(INDEX(_xlfn.ANCHORARRAY(Sintesi!$C$15),1,$C258)&lt;0)+($E258&gt;=$E257)*($E258&lt;=INDEX($E:$E,MATCH(TRUE,INDEX((ISNUMBER($E:$E)),0),0)))*($E258&gt;INDEX(_xlfn.ANCHORARRAY(Sintesi!$C$15),1,$C258))*($E258&lt;INDEX(_xlfn.ANCHORARRAY(Sintesi!$C$16),1,$C258))*(INDEX(_xlfn.ANCHORARRAY(Sintesi!$C$15),1,$C258)&gt;0),2,IF($E258=(INDEX(_xlfn.ANCHORARRAY(Sintesi!$C$16),1,$C258)),3,4)))),0),IF($C258&gt;0,IF(($E258=INDEX(_xlfn.ANCHORARRAY(Sintesi!$C$14),1,$C258))*(INDEX(_xlfn.ANCHORARRAY(Sintesi!$C$15),1,$C258)&gt;0),0,IF(($E258=INDEX(_xlfn.ANCHORARRAY(Sintesi!$C$14),1,$C258))*(INDEX(_xlfn.ANCHORARRAY(Sintesi!$C$15),1,$C258)&lt;0)+($E258&gt;=LOOKUP(2,1/($E:$E&lt;&gt;""),$E:$E))*($E258&lt;=INDEX($E:$E,MATCH(TRUE,INDEX((ISNUMBER($E:$E)),0),0)))*($E258&gt;INDEX(_xlfn.ANCHORARRAY(Sintesi!$C$14),1,$C258))*($E258&lt;=INDEX(_xlfn.ANCHORARRAY(Sintesi!$C$15),1,$C258))*(INDEX(_xlfn.ANCHORARRAY(Sintesi!$C$15),1,$C258)&gt;0),1,IF(($E258&gt;=LOOKUP(2,1/($E:$E&lt;&gt;""),$E:$E))*($E258&lt;=INDEX($E:$E,MATCH(TRUE,INDEX((ISNUMBER($E:$E)),0),0)))*($E258&gt;INDEX(_xlfn.ANCHORARRAY(Sintesi!$C$14),1,$C258))*($E258&lt;INDEX(_xlfn.ANCHORARRAY(Sintesi!$C$16),1,$C258))*(INDEX(_xlfn.ANCHORARRAY(Sintesi!$C$15),1,$C258)&lt;0)+($E258&gt;=LOOKUP(2,1/($E:$E&lt;&gt;""),$E:$E))*($E258&lt;=INDEX($E:$E,MATCH(TRUE,INDEX((ISNUMBER($E:$E)),0),0)))*($E258&gt;INDEX(_xlfn.ANCHORARRAY(Sintesi!$C$15),1,$C258))*($E258&lt;INDEX(_xlfn.ANCHORARRAY(Sintesi!$C$16),1,$C258))*(INDEX(_xlfn.ANCHORARRAY(Sintesi!$C$15),1,$C258)&gt;0),2,IF($E258=(INDEX(_xlfn.ANCHORARRAY(Sintesi!$C$16),1,$C258)),3,4)))),0)),IF(ISNUMBER($E257),IF($C258&gt;0,IF(($E258=INDEX(_xlfn.ANCHORARRAY(Sintesi!$C$14),1,$C258))*(INDEX(_xlfn.ANCHORARRAY(Sintesi!$C$15),1,$C258)&gt;0),0,IF(($E258=INDEX(_xlfn.ANCHORARRAY(Sintesi!$C$14),1,$C258))*(INDEX(_xlfn.ANCHORARRAY(Sintesi!$C$15),1,$C258)&lt;0)+($E258&gt;=$E257)*($E258&lt;=$E259)*($E258&gt;INDEX(_xlfn.ANCHORARRAY(Sintesi!$C$14),1,$C258))*($E258&lt;=INDEX(_xlfn.ANCHORARRAY(Sintesi!$C$15),1,$C258))*(INDEX(_xlfn.ANCHORARRAY(Sintesi!$C$15),1,$C258)&gt;0),1,IF(($E258&gt;=$E257)*($E258&lt;=$E259)*($E258&gt;INDEX(_xlfn.ANCHORARRAY(Sintesi!$C$14),1,$C258))*($E258&lt;INDEX(_xlfn.ANCHORARRAY(Sintesi!$C$16),1,$C258))*(INDEX(_xlfn.ANCHORARRAY(Sintesi!$C$15),1,$C258)&lt;0)+($E258&gt;=$E257)*($E258&lt;=$E259)*($E258&gt;INDEX(_xlfn.ANCHORARRAY(Sintesi!$C$15),1,$C258))*($E258&lt;INDEX(_xlfn.ANCHORARRAY(Sintesi!$C$16),1,$C258))*(INDEX(_xlfn.ANCHORARRAY(Sintesi!$C$15),1,$C258)&gt;0),2,IF($E258=(INDEX(_xlfn.ANCHORARRAY(Sintesi!$C$16),1,$C258)),3,4)))),0),IF($C258&gt;0,IF(($E258=INDEX(_xlfn.ANCHORARRAY(Sintesi!$C$14),1,$C258))*(INDEX(_xlfn.ANCHORARRAY(Sintesi!$C$15),1,$C258)&gt;0),0,IF(($E258=INDEX(_xlfn.ANCHORARRAY(Sintesi!$C$14),1,$C258))*(INDEX(_xlfn.ANCHORARRAY(Sintesi!$C$15),1,$C258)&lt;0)+($E258&gt;=LOOKUP(2,1/($E:$E&lt;&gt;""),$E:$E))*($E258&lt;=$E259)*($E258&gt;INDEX(_xlfn.ANCHORARRAY(Sintesi!$C$14),1,$C258))*($E258&lt;=INDEX(_xlfn.ANCHORARRAY(Sintesi!$C$15),1,$C258))*(INDEX(_xlfn.ANCHORARRAY(Sintesi!$C$15),1,$C258)&gt;0),1,IF(($E258&gt;=LOOKUP(2,1/($E:$E&lt;&gt;""),$E:$E))*($E258&lt;=$E259)*($E258&gt;INDEX(_xlfn.ANCHORARRAY(Sintesi!$C$14),1,$C258))*($E258&lt;INDEX(_xlfn.ANCHORARRAY(Sintesi!$C$16),1,$C258))*(INDEX(_xlfn.ANCHORARRAY(Sintesi!$C$15),1,$C258)&lt;0)+($E258&gt;=LOOKUP(2,1/($E:$E&lt;&gt;""),$E:$E))*($E258&lt;=$E259)*($E258&gt;INDEX(_xlfn.ANCHORARRAY(Sintesi!$C$15),1,$C258))*($E258&lt;INDEX(_xlfn.ANCHORARRAY(Sintesi!$C$16),1,$C258))*(INDEX(_xlfn.ANCHORARRAY(Sintesi!$C$15),1,$C258)&gt;0),2,IF($E258=(INDEX(_xlfn.ANCHORARRAY(Sintesi!$C$16),1,$C258)),3,4)))),0)))</f>
        <v>0</v>
      </c>
      <c r="E258" s="1">
        <f>'Paste cell here'!F258</f>
        <v>0</v>
      </c>
      <c r="F258" s="1">
        <f>'Paste cell here'!C258</f>
        <v>29.20267973</v>
      </c>
      <c r="G258" s="1">
        <f>'Paste cell here'!D258</f>
        <v>15.986663869999999</v>
      </c>
      <c r="H258" s="1">
        <f>'Paste cell here'!E258</f>
        <v>2.8937038730000002</v>
      </c>
      <c r="I258" s="1">
        <f>'Paste cell here'!X258</f>
        <v>0</v>
      </c>
      <c r="J258" s="1">
        <f>'Paste cell here'!Y258+'Paste cell here'!S258</f>
        <v>0</v>
      </c>
      <c r="K258" s="1">
        <f t="shared" si="7"/>
        <v>0</v>
      </c>
      <c r="L258" s="1">
        <f t="shared" ref="L258:L321" si="8">AVERAGE(($F258+$G258)/2-($F258-$G258)/2*COS(PI()*(8-VLOOKUP(MONTH(B258),$O$1:$Q$13,3))/(VLOOKUP(MONTH(B258),$O$1:$Q$13,2)-VLOOKUP(MONTH(B258),$O$1:$Q$13,3))),($F258+$G258)/2-($F258-$G258)/2*COS(PI()*(9-VLOOKUP(MONTH(B258),$O$1:$Q$13,3))/(VLOOKUP(MONTH(B258),$O$1:$Q$13,2)-VLOOKUP(MONTH(B258),$O$1:$Q$13,3))),($F258+$G258)/2-($F258-$G258)/2*COS(PI()*(10-VLOOKUP(MONTH(B258),$O$1:$Q$13,3))/(VLOOKUP(MONTH(B258),$O$1:$Q$13,2)-VLOOKUP(MONTH(B258),$O$1:$Q$13,3))),($F258+$G258)/2-($F258-$G258)/2*COS(PI()*(11-VLOOKUP(MONTH(B258),$O$1:$Q$13,3))/(VLOOKUP(MONTH(B258),$O$1:$Q$13,2)-VLOOKUP(MONTH(B258),$O$1:$Q$13,3))),($F258+$G258)/2-($F258-$G258)/2*COS(PI()*(12-VLOOKUP(MONTH(B258),$O$1:$Q$13,3))/(VLOOKUP(MONTH(B258),$O$1:$Q$13,2)-VLOOKUP(MONTH(B258),$O$1:$Q$13,3))),($F258+$G258)/2-($F258-$G258)/2*COS(PI()*(13-VLOOKUP(MONTH(B258),$O$1:$Q$13,3))/(VLOOKUP(MONTH(B258),$O$1:$Q$13,2)-VLOOKUP(MONTH(B258),$O$1:$Q$13,3))),($F258+$G258)/2-($F258-$G258)/2*COS(PI()*(14-VLOOKUP(MONTH(B258),$O$1:$Q$13,3))/(VLOOKUP(MONTH(B258),$O$1:$Q$13,2)-VLOOKUP(MONTH(B258),$O$1:$Q$13,3))))</f>
        <v>24.256183187984423</v>
      </c>
      <c r="M258" s="1" cm="1">
        <f t="array" ref="M258">IF(AND(A258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,A258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),IF(L258&lt;_xlfn.IFNA(INDEX(_xlfn.ANCHORARRAY(Sintesi!$C$17)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,1,IF(L258&gt;=_xlfn.IFNA(INDEX(_xlfn.ANCHORARRAY(Sintesi!$C$18)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,0,1-(L258-_xlfn.IFNA(INDEX(_xlfn.ANCHORARRAY(Sintesi!$C$17)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)/(_xlfn.IFNA(INDEX(_xlfn.ANCHORARRAY(Sintesi!$C$18)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-_xlfn.IFNA(INDEX(_xlfn.ANCHORARRAY(Sintesi!$C$17),1,MATCH(1,(_xlfn.ANCHORARRAY(Sintesi!$C$9)&gt;_xlfn.ANCHORARRAY(Sintesi!$C$10))*(A257&gt;=_xlfn.ANCHORARRAY(Sintesi!$C$9))+(_xlfn.ANCHORARRAY(Sintesi!$C$9)&gt;_xlfn.ANCHORARRAY(Sintesi!$C$10))*(A257&lt;=_xlfn.ANCHORARRAY(Sintesi!$C$10))+(_xlfn.ANCHORARRAY(Sintesi!$C$9)&lt;_xlfn.ANCHORARRAY(Sintesi!$C$10))*(A257&gt;=_xlfn.ANCHORARRAY(Sintesi!$C$9))*(A257&lt;=_xlfn.ANCHORARRAY(Sintesi!$C$10)),0)),0)))),0)</f>
        <v>0</v>
      </c>
    </row>
    <row r="259" spans="1:13">
      <c r="A259" s="1">
        <f>'Paste cell here'!A259</f>
        <v>258</v>
      </c>
      <c r="B259" s="2">
        <f>DATE(Sintesi!$C$4-1,12,31)+A259</f>
        <v>44454</v>
      </c>
      <c r="C259" s="34" cm="1">
        <f t="array" ref="C259">_xlfn.IFNA(MATCH(1,(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)*(_xlfn.ANCHORARRAY(Sintesi!$C$15)&gt;=0)+(_xlfn.ANCHORARRAY(Sintesi!$C$15)&lt;0),0),0)</f>
        <v>0</v>
      </c>
      <c r="D259" s="1" cm="1">
        <f t="array" ref="D259">IF(ISBLANK($E260),IF(ISNUMBER($E258),IF($C259&gt;0,IF(($E259=INDEX(_xlfn.ANCHORARRAY(Sintesi!$C$14),1,$C259))*(INDEX(_xlfn.ANCHORARRAY(Sintesi!$C$15),1,$C259)&gt;0),0,IF(($E259=INDEX(_xlfn.ANCHORARRAY(Sintesi!$C$14),1,$C259))*(INDEX(_xlfn.ANCHORARRAY(Sintesi!$C$15),1,$C259)&lt;0)+($E259&gt;=$E258)*($E259&lt;=INDEX($E:$E,MATCH(TRUE,INDEX((ISNUMBER($E:$E)),0),0)))*($E259&gt;INDEX(_xlfn.ANCHORARRAY(Sintesi!$C$14),1,$C259))*($E259&lt;=INDEX(_xlfn.ANCHORARRAY(Sintesi!$C$15),1,$C259))*(INDEX(_xlfn.ANCHORARRAY(Sintesi!$C$15),1,$C259)&gt;0),1,IF(($E259&gt;=$E258)*($E259&lt;=INDEX($E:$E,MATCH(TRUE,INDEX((ISNUMBER($E:$E)),0),0)))*($E259&gt;INDEX(_xlfn.ANCHORARRAY(Sintesi!$C$14),1,$C259))*($E259&lt;INDEX(_xlfn.ANCHORARRAY(Sintesi!$C$16),1,$C259))*(INDEX(_xlfn.ANCHORARRAY(Sintesi!$C$15),1,$C259)&lt;0)+($E259&gt;=$E258)*($E259&lt;=INDEX($E:$E,MATCH(TRUE,INDEX((ISNUMBER($E:$E)),0),0)))*($E259&gt;INDEX(_xlfn.ANCHORARRAY(Sintesi!$C$15),1,$C259))*($E259&lt;INDEX(_xlfn.ANCHORARRAY(Sintesi!$C$16),1,$C259))*(INDEX(_xlfn.ANCHORARRAY(Sintesi!$C$15),1,$C259)&gt;0),2,IF($E259=(INDEX(_xlfn.ANCHORARRAY(Sintesi!$C$16),1,$C259)),3,4)))),0),IF($C259&gt;0,IF(($E259=INDEX(_xlfn.ANCHORARRAY(Sintesi!$C$14),1,$C259))*(INDEX(_xlfn.ANCHORARRAY(Sintesi!$C$15),1,$C259)&gt;0),0,IF(($E259=INDEX(_xlfn.ANCHORARRAY(Sintesi!$C$14),1,$C259))*(INDEX(_xlfn.ANCHORARRAY(Sintesi!$C$15),1,$C259)&lt;0)+($E259&gt;=LOOKUP(2,1/($E:$E&lt;&gt;""),$E:$E))*($E259&lt;=INDEX($E:$E,MATCH(TRUE,INDEX((ISNUMBER($E:$E)),0),0)))*($E259&gt;INDEX(_xlfn.ANCHORARRAY(Sintesi!$C$14),1,$C259))*($E259&lt;=INDEX(_xlfn.ANCHORARRAY(Sintesi!$C$15),1,$C259))*(INDEX(_xlfn.ANCHORARRAY(Sintesi!$C$15),1,$C259)&gt;0),1,IF(($E259&gt;=LOOKUP(2,1/($E:$E&lt;&gt;""),$E:$E))*($E259&lt;=INDEX($E:$E,MATCH(TRUE,INDEX((ISNUMBER($E:$E)),0),0)))*($E259&gt;INDEX(_xlfn.ANCHORARRAY(Sintesi!$C$14),1,$C259))*($E259&lt;INDEX(_xlfn.ANCHORARRAY(Sintesi!$C$16),1,$C259))*(INDEX(_xlfn.ANCHORARRAY(Sintesi!$C$15),1,$C259)&lt;0)+($E259&gt;=LOOKUP(2,1/($E:$E&lt;&gt;""),$E:$E))*($E259&lt;=INDEX($E:$E,MATCH(TRUE,INDEX((ISNUMBER($E:$E)),0),0)))*($E259&gt;INDEX(_xlfn.ANCHORARRAY(Sintesi!$C$15),1,$C259))*($E259&lt;INDEX(_xlfn.ANCHORARRAY(Sintesi!$C$16),1,$C259))*(INDEX(_xlfn.ANCHORARRAY(Sintesi!$C$15),1,$C259)&gt;0),2,IF($E259=(INDEX(_xlfn.ANCHORARRAY(Sintesi!$C$16),1,$C259)),3,4)))),0)),IF(ISNUMBER($E258),IF($C259&gt;0,IF(($E259=INDEX(_xlfn.ANCHORARRAY(Sintesi!$C$14),1,$C259))*(INDEX(_xlfn.ANCHORARRAY(Sintesi!$C$15),1,$C259)&gt;0),0,IF(($E259=INDEX(_xlfn.ANCHORARRAY(Sintesi!$C$14),1,$C259))*(INDEX(_xlfn.ANCHORARRAY(Sintesi!$C$15),1,$C259)&lt;0)+($E259&gt;=$E258)*($E259&lt;=$E260)*($E259&gt;INDEX(_xlfn.ANCHORARRAY(Sintesi!$C$14),1,$C259))*($E259&lt;=INDEX(_xlfn.ANCHORARRAY(Sintesi!$C$15),1,$C259))*(INDEX(_xlfn.ANCHORARRAY(Sintesi!$C$15),1,$C259)&gt;0),1,IF(($E259&gt;=$E258)*($E259&lt;=$E260)*($E259&gt;INDEX(_xlfn.ANCHORARRAY(Sintesi!$C$14),1,$C259))*($E259&lt;INDEX(_xlfn.ANCHORARRAY(Sintesi!$C$16),1,$C259))*(INDEX(_xlfn.ANCHORARRAY(Sintesi!$C$15),1,$C259)&lt;0)+($E259&gt;=$E258)*($E259&lt;=$E260)*($E259&gt;INDEX(_xlfn.ANCHORARRAY(Sintesi!$C$15),1,$C259))*($E259&lt;INDEX(_xlfn.ANCHORARRAY(Sintesi!$C$16),1,$C259))*(INDEX(_xlfn.ANCHORARRAY(Sintesi!$C$15),1,$C259)&gt;0),2,IF($E259=(INDEX(_xlfn.ANCHORARRAY(Sintesi!$C$16),1,$C259)),3,4)))),0),IF($C259&gt;0,IF(($E259=INDEX(_xlfn.ANCHORARRAY(Sintesi!$C$14),1,$C259))*(INDEX(_xlfn.ANCHORARRAY(Sintesi!$C$15),1,$C259)&gt;0),0,IF(($E259=INDEX(_xlfn.ANCHORARRAY(Sintesi!$C$14),1,$C259))*(INDEX(_xlfn.ANCHORARRAY(Sintesi!$C$15),1,$C259)&lt;0)+($E259&gt;=LOOKUP(2,1/($E:$E&lt;&gt;""),$E:$E))*($E259&lt;=$E260)*($E259&gt;INDEX(_xlfn.ANCHORARRAY(Sintesi!$C$14),1,$C259))*($E259&lt;=INDEX(_xlfn.ANCHORARRAY(Sintesi!$C$15),1,$C259))*(INDEX(_xlfn.ANCHORARRAY(Sintesi!$C$15),1,$C259)&gt;0),1,IF(($E259&gt;=LOOKUP(2,1/($E:$E&lt;&gt;""),$E:$E))*($E259&lt;=$E260)*($E259&gt;INDEX(_xlfn.ANCHORARRAY(Sintesi!$C$14),1,$C259))*($E259&lt;INDEX(_xlfn.ANCHORARRAY(Sintesi!$C$16),1,$C259))*(INDEX(_xlfn.ANCHORARRAY(Sintesi!$C$15),1,$C259)&lt;0)+($E259&gt;=LOOKUP(2,1/($E:$E&lt;&gt;""),$E:$E))*($E259&lt;=$E260)*($E259&gt;INDEX(_xlfn.ANCHORARRAY(Sintesi!$C$15),1,$C259))*($E259&lt;INDEX(_xlfn.ANCHORARRAY(Sintesi!$C$16),1,$C259))*(INDEX(_xlfn.ANCHORARRAY(Sintesi!$C$15),1,$C259)&gt;0),2,IF($E259=(INDEX(_xlfn.ANCHORARRAY(Sintesi!$C$16),1,$C259)),3,4)))),0)))</f>
        <v>0</v>
      </c>
      <c r="E259" s="1">
        <f>'Paste cell here'!F259</f>
        <v>0</v>
      </c>
      <c r="F259" s="1">
        <f>'Paste cell here'!C259</f>
        <v>29.502679730000001</v>
      </c>
      <c r="G259" s="1">
        <f>'Paste cell here'!D259</f>
        <v>18.694624340000001</v>
      </c>
      <c r="H259" s="1">
        <f>'Paste cell here'!E259</f>
        <v>2.6978517200000001</v>
      </c>
      <c r="I259" s="1">
        <f>'Paste cell here'!X259</f>
        <v>0</v>
      </c>
      <c r="J259" s="1">
        <f>'Paste cell here'!Y259+'Paste cell here'!S259</f>
        <v>0</v>
      </c>
      <c r="K259" s="1">
        <f t="shared" ref="K259:K322" si="9">I259/H259</f>
        <v>0</v>
      </c>
      <c r="L259" s="1">
        <f t="shared" si="8"/>
        <v>25.457435748842443</v>
      </c>
      <c r="M259" s="1" cm="1">
        <f t="array" ref="M259">IF(AND(A259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,A259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),IF(L259&lt;_xlfn.IFNA(INDEX(_xlfn.ANCHORARRAY(Sintesi!$C$17)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,1,IF(L259&gt;=_xlfn.IFNA(INDEX(_xlfn.ANCHORARRAY(Sintesi!$C$18)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,0,1-(L259-_xlfn.IFNA(INDEX(_xlfn.ANCHORARRAY(Sintesi!$C$17)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)/(_xlfn.IFNA(INDEX(_xlfn.ANCHORARRAY(Sintesi!$C$18)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-_xlfn.IFNA(INDEX(_xlfn.ANCHORARRAY(Sintesi!$C$17),1,MATCH(1,(_xlfn.ANCHORARRAY(Sintesi!$C$9)&gt;_xlfn.ANCHORARRAY(Sintesi!$C$10))*(A258&gt;=_xlfn.ANCHORARRAY(Sintesi!$C$9))+(_xlfn.ANCHORARRAY(Sintesi!$C$9)&gt;_xlfn.ANCHORARRAY(Sintesi!$C$10))*(A258&lt;=_xlfn.ANCHORARRAY(Sintesi!$C$10))+(_xlfn.ANCHORARRAY(Sintesi!$C$9)&lt;_xlfn.ANCHORARRAY(Sintesi!$C$10))*(A258&gt;=_xlfn.ANCHORARRAY(Sintesi!$C$9))*(A258&lt;=_xlfn.ANCHORARRAY(Sintesi!$C$10)),0)),0)))),0)</f>
        <v>0</v>
      </c>
    </row>
    <row r="260" spans="1:13">
      <c r="A260" s="1">
        <f>'Paste cell here'!A260</f>
        <v>259</v>
      </c>
      <c r="B260" s="2">
        <f>DATE(Sintesi!$C$4-1,12,31)+A260</f>
        <v>44455</v>
      </c>
      <c r="C260" s="34" cm="1">
        <f t="array" ref="C260">_xlfn.IFNA(MATCH(1,(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)*(_xlfn.ANCHORARRAY(Sintesi!$C$15)&gt;=0)+(_xlfn.ANCHORARRAY(Sintesi!$C$15)&lt;0),0),0)</f>
        <v>0</v>
      </c>
      <c r="D260" s="1" cm="1">
        <f t="array" ref="D260">IF(ISBLANK($E261),IF(ISNUMBER($E259),IF($C260&gt;0,IF(($E260=INDEX(_xlfn.ANCHORARRAY(Sintesi!$C$14),1,$C260))*(INDEX(_xlfn.ANCHORARRAY(Sintesi!$C$15),1,$C260)&gt;0),0,IF(($E260=INDEX(_xlfn.ANCHORARRAY(Sintesi!$C$14),1,$C260))*(INDEX(_xlfn.ANCHORARRAY(Sintesi!$C$15),1,$C260)&lt;0)+($E260&gt;=$E259)*($E260&lt;=INDEX($E:$E,MATCH(TRUE,INDEX((ISNUMBER($E:$E)),0),0)))*($E260&gt;INDEX(_xlfn.ANCHORARRAY(Sintesi!$C$14),1,$C260))*($E260&lt;=INDEX(_xlfn.ANCHORARRAY(Sintesi!$C$15),1,$C260))*(INDEX(_xlfn.ANCHORARRAY(Sintesi!$C$15),1,$C260)&gt;0),1,IF(($E260&gt;=$E259)*($E260&lt;=INDEX($E:$E,MATCH(TRUE,INDEX((ISNUMBER($E:$E)),0),0)))*($E260&gt;INDEX(_xlfn.ANCHORARRAY(Sintesi!$C$14),1,$C260))*($E260&lt;INDEX(_xlfn.ANCHORARRAY(Sintesi!$C$16),1,$C260))*(INDEX(_xlfn.ANCHORARRAY(Sintesi!$C$15),1,$C260)&lt;0)+($E260&gt;=$E259)*($E260&lt;=INDEX($E:$E,MATCH(TRUE,INDEX((ISNUMBER($E:$E)),0),0)))*($E260&gt;INDEX(_xlfn.ANCHORARRAY(Sintesi!$C$15),1,$C260))*($E260&lt;INDEX(_xlfn.ANCHORARRAY(Sintesi!$C$16),1,$C260))*(INDEX(_xlfn.ANCHORARRAY(Sintesi!$C$15),1,$C260)&gt;0),2,IF($E260=(INDEX(_xlfn.ANCHORARRAY(Sintesi!$C$16),1,$C260)),3,4)))),0),IF($C260&gt;0,IF(($E260=INDEX(_xlfn.ANCHORARRAY(Sintesi!$C$14),1,$C260))*(INDEX(_xlfn.ANCHORARRAY(Sintesi!$C$15),1,$C260)&gt;0),0,IF(($E260=INDEX(_xlfn.ANCHORARRAY(Sintesi!$C$14),1,$C260))*(INDEX(_xlfn.ANCHORARRAY(Sintesi!$C$15),1,$C260)&lt;0)+($E260&gt;=LOOKUP(2,1/($E:$E&lt;&gt;""),$E:$E))*($E260&lt;=INDEX($E:$E,MATCH(TRUE,INDEX((ISNUMBER($E:$E)),0),0)))*($E260&gt;INDEX(_xlfn.ANCHORARRAY(Sintesi!$C$14),1,$C260))*($E260&lt;=INDEX(_xlfn.ANCHORARRAY(Sintesi!$C$15),1,$C260))*(INDEX(_xlfn.ANCHORARRAY(Sintesi!$C$15),1,$C260)&gt;0),1,IF(($E260&gt;=LOOKUP(2,1/($E:$E&lt;&gt;""),$E:$E))*($E260&lt;=INDEX($E:$E,MATCH(TRUE,INDEX((ISNUMBER($E:$E)),0),0)))*($E260&gt;INDEX(_xlfn.ANCHORARRAY(Sintesi!$C$14),1,$C260))*($E260&lt;INDEX(_xlfn.ANCHORARRAY(Sintesi!$C$16),1,$C260))*(INDEX(_xlfn.ANCHORARRAY(Sintesi!$C$15),1,$C260)&lt;0)+($E260&gt;=LOOKUP(2,1/($E:$E&lt;&gt;""),$E:$E))*($E260&lt;=INDEX($E:$E,MATCH(TRUE,INDEX((ISNUMBER($E:$E)),0),0)))*($E260&gt;INDEX(_xlfn.ANCHORARRAY(Sintesi!$C$15),1,$C260))*($E260&lt;INDEX(_xlfn.ANCHORARRAY(Sintesi!$C$16),1,$C260))*(INDEX(_xlfn.ANCHORARRAY(Sintesi!$C$15),1,$C260)&gt;0),2,IF($E260=(INDEX(_xlfn.ANCHORARRAY(Sintesi!$C$16),1,$C260)),3,4)))),0)),IF(ISNUMBER($E259),IF($C260&gt;0,IF(($E260=INDEX(_xlfn.ANCHORARRAY(Sintesi!$C$14),1,$C260))*(INDEX(_xlfn.ANCHORARRAY(Sintesi!$C$15),1,$C260)&gt;0),0,IF(($E260=INDEX(_xlfn.ANCHORARRAY(Sintesi!$C$14),1,$C260))*(INDEX(_xlfn.ANCHORARRAY(Sintesi!$C$15),1,$C260)&lt;0)+($E260&gt;=$E259)*($E260&lt;=$E261)*($E260&gt;INDEX(_xlfn.ANCHORARRAY(Sintesi!$C$14),1,$C260))*($E260&lt;=INDEX(_xlfn.ANCHORARRAY(Sintesi!$C$15),1,$C260))*(INDEX(_xlfn.ANCHORARRAY(Sintesi!$C$15),1,$C260)&gt;0),1,IF(($E260&gt;=$E259)*($E260&lt;=$E261)*($E260&gt;INDEX(_xlfn.ANCHORARRAY(Sintesi!$C$14),1,$C260))*($E260&lt;INDEX(_xlfn.ANCHORARRAY(Sintesi!$C$16),1,$C260))*(INDEX(_xlfn.ANCHORARRAY(Sintesi!$C$15),1,$C260)&lt;0)+($E260&gt;=$E259)*($E260&lt;=$E261)*($E260&gt;INDEX(_xlfn.ANCHORARRAY(Sintesi!$C$15),1,$C260))*($E260&lt;INDEX(_xlfn.ANCHORARRAY(Sintesi!$C$16),1,$C260))*(INDEX(_xlfn.ANCHORARRAY(Sintesi!$C$15),1,$C260)&gt;0),2,IF($E260=(INDEX(_xlfn.ANCHORARRAY(Sintesi!$C$16),1,$C260)),3,4)))),0),IF($C260&gt;0,IF(($E260=INDEX(_xlfn.ANCHORARRAY(Sintesi!$C$14),1,$C260))*(INDEX(_xlfn.ANCHORARRAY(Sintesi!$C$15),1,$C260)&gt;0),0,IF(($E260=INDEX(_xlfn.ANCHORARRAY(Sintesi!$C$14),1,$C260))*(INDEX(_xlfn.ANCHORARRAY(Sintesi!$C$15),1,$C260)&lt;0)+($E260&gt;=LOOKUP(2,1/($E:$E&lt;&gt;""),$E:$E))*($E260&lt;=$E261)*($E260&gt;INDEX(_xlfn.ANCHORARRAY(Sintesi!$C$14),1,$C260))*($E260&lt;=INDEX(_xlfn.ANCHORARRAY(Sintesi!$C$15),1,$C260))*(INDEX(_xlfn.ANCHORARRAY(Sintesi!$C$15),1,$C260)&gt;0),1,IF(($E260&gt;=LOOKUP(2,1/($E:$E&lt;&gt;""),$E:$E))*($E260&lt;=$E261)*($E260&gt;INDEX(_xlfn.ANCHORARRAY(Sintesi!$C$14),1,$C260))*($E260&lt;INDEX(_xlfn.ANCHORARRAY(Sintesi!$C$16),1,$C260))*(INDEX(_xlfn.ANCHORARRAY(Sintesi!$C$15),1,$C260)&lt;0)+($E260&gt;=LOOKUP(2,1/($E:$E&lt;&gt;""),$E:$E))*($E260&lt;=$E261)*($E260&gt;INDEX(_xlfn.ANCHORARRAY(Sintesi!$C$15),1,$C260))*($E260&lt;INDEX(_xlfn.ANCHORARRAY(Sintesi!$C$16),1,$C260))*(INDEX(_xlfn.ANCHORARRAY(Sintesi!$C$15),1,$C260)&gt;0),2,IF($E260=(INDEX(_xlfn.ANCHORARRAY(Sintesi!$C$16),1,$C260)),3,4)))),0)))</f>
        <v>0</v>
      </c>
      <c r="E260" s="1">
        <f>'Paste cell here'!F260</f>
        <v>0</v>
      </c>
      <c r="F260" s="1">
        <f>'Paste cell here'!C260</f>
        <v>28.787880000000001</v>
      </c>
      <c r="G260" s="1">
        <f>'Paste cell here'!D260</f>
        <v>18.37454387</v>
      </c>
      <c r="H260" s="1">
        <f>'Paste cell here'!E260</f>
        <v>2.4468163349999998</v>
      </c>
      <c r="I260" s="1">
        <f>'Paste cell here'!X260</f>
        <v>0</v>
      </c>
      <c r="J260" s="1">
        <f>'Paste cell here'!Y260+'Paste cell here'!S260</f>
        <v>0</v>
      </c>
      <c r="K260" s="1">
        <f t="shared" si="9"/>
        <v>0</v>
      </c>
      <c r="L260" s="1">
        <f t="shared" si="8"/>
        <v>24.890371726436918</v>
      </c>
      <c r="M260" s="1" cm="1">
        <f t="array" ref="M260">IF(AND(A260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,A260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),IF(L260&lt;_xlfn.IFNA(INDEX(_xlfn.ANCHORARRAY(Sintesi!$C$17)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,1,IF(L260&gt;=_xlfn.IFNA(INDEX(_xlfn.ANCHORARRAY(Sintesi!$C$18)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,0,1-(L260-_xlfn.IFNA(INDEX(_xlfn.ANCHORARRAY(Sintesi!$C$17)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)/(_xlfn.IFNA(INDEX(_xlfn.ANCHORARRAY(Sintesi!$C$18)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-_xlfn.IFNA(INDEX(_xlfn.ANCHORARRAY(Sintesi!$C$17),1,MATCH(1,(_xlfn.ANCHORARRAY(Sintesi!$C$9)&gt;_xlfn.ANCHORARRAY(Sintesi!$C$10))*(A259&gt;=_xlfn.ANCHORARRAY(Sintesi!$C$9))+(_xlfn.ANCHORARRAY(Sintesi!$C$9)&gt;_xlfn.ANCHORARRAY(Sintesi!$C$10))*(A259&lt;=_xlfn.ANCHORARRAY(Sintesi!$C$10))+(_xlfn.ANCHORARRAY(Sintesi!$C$9)&lt;_xlfn.ANCHORARRAY(Sintesi!$C$10))*(A259&gt;=_xlfn.ANCHORARRAY(Sintesi!$C$9))*(A259&lt;=_xlfn.ANCHORARRAY(Sintesi!$C$10)),0)),0)))),0)</f>
        <v>0</v>
      </c>
    </row>
    <row r="261" spans="1:13">
      <c r="A261" s="1">
        <f>'Paste cell here'!A261</f>
        <v>260</v>
      </c>
      <c r="B261" s="2">
        <f>DATE(Sintesi!$C$4-1,12,31)+A261</f>
        <v>44456</v>
      </c>
      <c r="C261" s="34" cm="1">
        <f t="array" ref="C261">_xlfn.IFNA(MATCH(1,(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)*(_xlfn.ANCHORARRAY(Sintesi!$C$15)&gt;=0)+(_xlfn.ANCHORARRAY(Sintesi!$C$15)&lt;0),0),0)</f>
        <v>0</v>
      </c>
      <c r="D261" s="1" cm="1">
        <f t="array" ref="D261">IF(ISBLANK($E262),IF(ISNUMBER($E260),IF($C261&gt;0,IF(($E261=INDEX(_xlfn.ANCHORARRAY(Sintesi!$C$14),1,$C261))*(INDEX(_xlfn.ANCHORARRAY(Sintesi!$C$15),1,$C261)&gt;0),0,IF(($E261=INDEX(_xlfn.ANCHORARRAY(Sintesi!$C$14),1,$C261))*(INDEX(_xlfn.ANCHORARRAY(Sintesi!$C$15),1,$C261)&lt;0)+($E261&gt;=$E260)*($E261&lt;=INDEX($E:$E,MATCH(TRUE,INDEX((ISNUMBER($E:$E)),0),0)))*($E261&gt;INDEX(_xlfn.ANCHORARRAY(Sintesi!$C$14),1,$C261))*($E261&lt;=INDEX(_xlfn.ANCHORARRAY(Sintesi!$C$15),1,$C261))*(INDEX(_xlfn.ANCHORARRAY(Sintesi!$C$15),1,$C261)&gt;0),1,IF(($E261&gt;=$E260)*($E261&lt;=INDEX($E:$E,MATCH(TRUE,INDEX((ISNUMBER($E:$E)),0),0)))*($E261&gt;INDEX(_xlfn.ANCHORARRAY(Sintesi!$C$14),1,$C261))*($E261&lt;INDEX(_xlfn.ANCHORARRAY(Sintesi!$C$16),1,$C261))*(INDEX(_xlfn.ANCHORARRAY(Sintesi!$C$15),1,$C261)&lt;0)+($E261&gt;=$E260)*($E261&lt;=INDEX($E:$E,MATCH(TRUE,INDEX((ISNUMBER($E:$E)),0),0)))*($E261&gt;INDEX(_xlfn.ANCHORARRAY(Sintesi!$C$15),1,$C261))*($E261&lt;INDEX(_xlfn.ANCHORARRAY(Sintesi!$C$16),1,$C261))*(INDEX(_xlfn.ANCHORARRAY(Sintesi!$C$15),1,$C261)&gt;0),2,IF($E261=(INDEX(_xlfn.ANCHORARRAY(Sintesi!$C$16),1,$C261)),3,4)))),0),IF($C261&gt;0,IF(($E261=INDEX(_xlfn.ANCHORARRAY(Sintesi!$C$14),1,$C261))*(INDEX(_xlfn.ANCHORARRAY(Sintesi!$C$15),1,$C261)&gt;0),0,IF(($E261=INDEX(_xlfn.ANCHORARRAY(Sintesi!$C$14),1,$C261))*(INDEX(_xlfn.ANCHORARRAY(Sintesi!$C$15),1,$C261)&lt;0)+($E261&gt;=LOOKUP(2,1/($E:$E&lt;&gt;""),$E:$E))*($E261&lt;=INDEX($E:$E,MATCH(TRUE,INDEX((ISNUMBER($E:$E)),0),0)))*($E261&gt;INDEX(_xlfn.ANCHORARRAY(Sintesi!$C$14),1,$C261))*($E261&lt;=INDEX(_xlfn.ANCHORARRAY(Sintesi!$C$15),1,$C261))*(INDEX(_xlfn.ANCHORARRAY(Sintesi!$C$15),1,$C261)&gt;0),1,IF(($E261&gt;=LOOKUP(2,1/($E:$E&lt;&gt;""),$E:$E))*($E261&lt;=INDEX($E:$E,MATCH(TRUE,INDEX((ISNUMBER($E:$E)),0),0)))*($E261&gt;INDEX(_xlfn.ANCHORARRAY(Sintesi!$C$14),1,$C261))*($E261&lt;INDEX(_xlfn.ANCHORARRAY(Sintesi!$C$16),1,$C261))*(INDEX(_xlfn.ANCHORARRAY(Sintesi!$C$15),1,$C261)&lt;0)+($E261&gt;=LOOKUP(2,1/($E:$E&lt;&gt;""),$E:$E))*($E261&lt;=INDEX($E:$E,MATCH(TRUE,INDEX((ISNUMBER($E:$E)),0),0)))*($E261&gt;INDEX(_xlfn.ANCHORARRAY(Sintesi!$C$15),1,$C261))*($E261&lt;INDEX(_xlfn.ANCHORARRAY(Sintesi!$C$16),1,$C261))*(INDEX(_xlfn.ANCHORARRAY(Sintesi!$C$15),1,$C261)&gt;0),2,IF($E261=(INDEX(_xlfn.ANCHORARRAY(Sintesi!$C$16),1,$C261)),3,4)))),0)),IF(ISNUMBER($E260),IF($C261&gt;0,IF(($E261=INDEX(_xlfn.ANCHORARRAY(Sintesi!$C$14),1,$C261))*(INDEX(_xlfn.ANCHORARRAY(Sintesi!$C$15),1,$C261)&gt;0),0,IF(($E261=INDEX(_xlfn.ANCHORARRAY(Sintesi!$C$14),1,$C261))*(INDEX(_xlfn.ANCHORARRAY(Sintesi!$C$15),1,$C261)&lt;0)+($E261&gt;=$E260)*($E261&lt;=$E262)*($E261&gt;INDEX(_xlfn.ANCHORARRAY(Sintesi!$C$14),1,$C261))*($E261&lt;=INDEX(_xlfn.ANCHORARRAY(Sintesi!$C$15),1,$C261))*(INDEX(_xlfn.ANCHORARRAY(Sintesi!$C$15),1,$C261)&gt;0),1,IF(($E261&gt;=$E260)*($E261&lt;=$E262)*($E261&gt;INDEX(_xlfn.ANCHORARRAY(Sintesi!$C$14),1,$C261))*($E261&lt;INDEX(_xlfn.ANCHORARRAY(Sintesi!$C$16),1,$C261))*(INDEX(_xlfn.ANCHORARRAY(Sintesi!$C$15),1,$C261)&lt;0)+($E261&gt;=$E260)*($E261&lt;=$E262)*($E261&gt;INDEX(_xlfn.ANCHORARRAY(Sintesi!$C$15),1,$C261))*($E261&lt;INDEX(_xlfn.ANCHORARRAY(Sintesi!$C$16),1,$C261))*(INDEX(_xlfn.ANCHORARRAY(Sintesi!$C$15),1,$C261)&gt;0),2,IF($E261=(INDEX(_xlfn.ANCHORARRAY(Sintesi!$C$16),1,$C261)),3,4)))),0),IF($C261&gt;0,IF(($E261=INDEX(_xlfn.ANCHORARRAY(Sintesi!$C$14),1,$C261))*(INDEX(_xlfn.ANCHORARRAY(Sintesi!$C$15),1,$C261)&gt;0),0,IF(($E261=INDEX(_xlfn.ANCHORARRAY(Sintesi!$C$14),1,$C261))*(INDEX(_xlfn.ANCHORARRAY(Sintesi!$C$15),1,$C261)&lt;0)+($E261&gt;=LOOKUP(2,1/($E:$E&lt;&gt;""),$E:$E))*($E261&lt;=$E262)*($E261&gt;INDEX(_xlfn.ANCHORARRAY(Sintesi!$C$14),1,$C261))*($E261&lt;=INDEX(_xlfn.ANCHORARRAY(Sintesi!$C$15),1,$C261))*(INDEX(_xlfn.ANCHORARRAY(Sintesi!$C$15),1,$C261)&gt;0),1,IF(($E261&gt;=LOOKUP(2,1/($E:$E&lt;&gt;""),$E:$E))*($E261&lt;=$E262)*($E261&gt;INDEX(_xlfn.ANCHORARRAY(Sintesi!$C$14),1,$C261))*($E261&lt;INDEX(_xlfn.ANCHORARRAY(Sintesi!$C$16),1,$C261))*(INDEX(_xlfn.ANCHORARRAY(Sintesi!$C$15),1,$C261)&lt;0)+($E261&gt;=LOOKUP(2,1/($E:$E&lt;&gt;""),$E:$E))*($E261&lt;=$E262)*($E261&gt;INDEX(_xlfn.ANCHORARRAY(Sintesi!$C$15),1,$C261))*($E261&lt;INDEX(_xlfn.ANCHORARRAY(Sintesi!$C$16),1,$C261))*(INDEX(_xlfn.ANCHORARRAY(Sintesi!$C$15),1,$C261)&gt;0),2,IF($E261=(INDEX(_xlfn.ANCHORARRAY(Sintesi!$C$16),1,$C261)),3,4)))),0)))</f>
        <v>0</v>
      </c>
      <c r="E261" s="1">
        <f>'Paste cell here'!F261</f>
        <v>0</v>
      </c>
      <c r="F261" s="1">
        <f>'Paste cell here'!C261</f>
        <v>28.274543869999999</v>
      </c>
      <c r="G261" s="1">
        <f>'Paste cell here'!D261</f>
        <v>18.08201949</v>
      </c>
      <c r="H261" s="1">
        <f>'Paste cell here'!E261</f>
        <v>3.0692150549999999</v>
      </c>
      <c r="I261" s="1">
        <f>'Paste cell here'!X261</f>
        <v>0</v>
      </c>
      <c r="J261" s="1">
        <f>'Paste cell here'!Y261+'Paste cell here'!S261</f>
        <v>0</v>
      </c>
      <c r="K261" s="1">
        <f t="shared" si="9"/>
        <v>0</v>
      </c>
      <c r="L261" s="1">
        <f t="shared" si="8"/>
        <v>24.45968112057837</v>
      </c>
      <c r="M261" s="1" cm="1">
        <f t="array" ref="M261">IF(AND(A261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,A261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),IF(L261&lt;_xlfn.IFNA(INDEX(_xlfn.ANCHORARRAY(Sintesi!$C$17)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,1,IF(L261&gt;=_xlfn.IFNA(INDEX(_xlfn.ANCHORARRAY(Sintesi!$C$18)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,0,1-(L261-_xlfn.IFNA(INDEX(_xlfn.ANCHORARRAY(Sintesi!$C$17)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)/(_xlfn.IFNA(INDEX(_xlfn.ANCHORARRAY(Sintesi!$C$18)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-_xlfn.IFNA(INDEX(_xlfn.ANCHORARRAY(Sintesi!$C$17),1,MATCH(1,(_xlfn.ANCHORARRAY(Sintesi!$C$9)&gt;_xlfn.ANCHORARRAY(Sintesi!$C$10))*(A260&gt;=_xlfn.ANCHORARRAY(Sintesi!$C$9))+(_xlfn.ANCHORARRAY(Sintesi!$C$9)&gt;_xlfn.ANCHORARRAY(Sintesi!$C$10))*(A260&lt;=_xlfn.ANCHORARRAY(Sintesi!$C$10))+(_xlfn.ANCHORARRAY(Sintesi!$C$9)&lt;_xlfn.ANCHORARRAY(Sintesi!$C$10))*(A260&gt;=_xlfn.ANCHORARRAY(Sintesi!$C$9))*(A260&lt;=_xlfn.ANCHORARRAY(Sintesi!$C$10)),0)),0)))),0)</f>
        <v>0</v>
      </c>
    </row>
    <row r="262" spans="1:13">
      <c r="A262" s="1">
        <f>'Paste cell here'!A262</f>
        <v>261</v>
      </c>
      <c r="B262" s="2">
        <f>DATE(Sintesi!$C$4-1,12,31)+A262</f>
        <v>44457</v>
      </c>
      <c r="C262" s="34" cm="1">
        <f t="array" ref="C262">_xlfn.IFNA(MATCH(1,(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)*(_xlfn.ANCHORARRAY(Sintesi!$C$15)&gt;=0)+(_xlfn.ANCHORARRAY(Sintesi!$C$15)&lt;0),0),0)</f>
        <v>0</v>
      </c>
      <c r="D262" s="1" cm="1">
        <f t="array" ref="D262">IF(ISBLANK($E263),IF(ISNUMBER($E261),IF($C262&gt;0,IF(($E262=INDEX(_xlfn.ANCHORARRAY(Sintesi!$C$14),1,$C262))*(INDEX(_xlfn.ANCHORARRAY(Sintesi!$C$15),1,$C262)&gt;0),0,IF(($E262=INDEX(_xlfn.ANCHORARRAY(Sintesi!$C$14),1,$C262))*(INDEX(_xlfn.ANCHORARRAY(Sintesi!$C$15),1,$C262)&lt;0)+($E262&gt;=$E261)*($E262&lt;=INDEX($E:$E,MATCH(TRUE,INDEX((ISNUMBER($E:$E)),0),0)))*($E262&gt;INDEX(_xlfn.ANCHORARRAY(Sintesi!$C$14),1,$C262))*($E262&lt;=INDEX(_xlfn.ANCHORARRAY(Sintesi!$C$15),1,$C262))*(INDEX(_xlfn.ANCHORARRAY(Sintesi!$C$15),1,$C262)&gt;0),1,IF(($E262&gt;=$E261)*($E262&lt;=INDEX($E:$E,MATCH(TRUE,INDEX((ISNUMBER($E:$E)),0),0)))*($E262&gt;INDEX(_xlfn.ANCHORARRAY(Sintesi!$C$14),1,$C262))*($E262&lt;INDEX(_xlfn.ANCHORARRAY(Sintesi!$C$16),1,$C262))*(INDEX(_xlfn.ANCHORARRAY(Sintesi!$C$15),1,$C262)&lt;0)+($E262&gt;=$E261)*($E262&lt;=INDEX($E:$E,MATCH(TRUE,INDEX((ISNUMBER($E:$E)),0),0)))*($E262&gt;INDEX(_xlfn.ANCHORARRAY(Sintesi!$C$15),1,$C262))*($E262&lt;INDEX(_xlfn.ANCHORARRAY(Sintesi!$C$16),1,$C262))*(INDEX(_xlfn.ANCHORARRAY(Sintesi!$C$15),1,$C262)&gt;0),2,IF($E262=(INDEX(_xlfn.ANCHORARRAY(Sintesi!$C$16),1,$C262)),3,4)))),0),IF($C262&gt;0,IF(($E262=INDEX(_xlfn.ANCHORARRAY(Sintesi!$C$14),1,$C262))*(INDEX(_xlfn.ANCHORARRAY(Sintesi!$C$15),1,$C262)&gt;0),0,IF(($E262=INDEX(_xlfn.ANCHORARRAY(Sintesi!$C$14),1,$C262))*(INDEX(_xlfn.ANCHORARRAY(Sintesi!$C$15),1,$C262)&lt;0)+($E262&gt;=LOOKUP(2,1/($E:$E&lt;&gt;""),$E:$E))*($E262&lt;=INDEX($E:$E,MATCH(TRUE,INDEX((ISNUMBER($E:$E)),0),0)))*($E262&gt;INDEX(_xlfn.ANCHORARRAY(Sintesi!$C$14),1,$C262))*($E262&lt;=INDEX(_xlfn.ANCHORARRAY(Sintesi!$C$15),1,$C262))*(INDEX(_xlfn.ANCHORARRAY(Sintesi!$C$15),1,$C262)&gt;0),1,IF(($E262&gt;=LOOKUP(2,1/($E:$E&lt;&gt;""),$E:$E))*($E262&lt;=INDEX($E:$E,MATCH(TRUE,INDEX((ISNUMBER($E:$E)),0),0)))*($E262&gt;INDEX(_xlfn.ANCHORARRAY(Sintesi!$C$14),1,$C262))*($E262&lt;INDEX(_xlfn.ANCHORARRAY(Sintesi!$C$16),1,$C262))*(INDEX(_xlfn.ANCHORARRAY(Sintesi!$C$15),1,$C262)&lt;0)+($E262&gt;=LOOKUP(2,1/($E:$E&lt;&gt;""),$E:$E))*($E262&lt;=INDEX($E:$E,MATCH(TRUE,INDEX((ISNUMBER($E:$E)),0),0)))*($E262&gt;INDEX(_xlfn.ANCHORARRAY(Sintesi!$C$15),1,$C262))*($E262&lt;INDEX(_xlfn.ANCHORARRAY(Sintesi!$C$16),1,$C262))*(INDEX(_xlfn.ANCHORARRAY(Sintesi!$C$15),1,$C262)&gt;0),2,IF($E262=(INDEX(_xlfn.ANCHORARRAY(Sintesi!$C$16),1,$C262)),3,4)))),0)),IF(ISNUMBER($E261),IF($C262&gt;0,IF(($E262=INDEX(_xlfn.ANCHORARRAY(Sintesi!$C$14),1,$C262))*(INDEX(_xlfn.ANCHORARRAY(Sintesi!$C$15),1,$C262)&gt;0),0,IF(($E262=INDEX(_xlfn.ANCHORARRAY(Sintesi!$C$14),1,$C262))*(INDEX(_xlfn.ANCHORARRAY(Sintesi!$C$15),1,$C262)&lt;0)+($E262&gt;=$E261)*($E262&lt;=$E263)*($E262&gt;INDEX(_xlfn.ANCHORARRAY(Sintesi!$C$14),1,$C262))*($E262&lt;=INDEX(_xlfn.ANCHORARRAY(Sintesi!$C$15),1,$C262))*(INDEX(_xlfn.ANCHORARRAY(Sintesi!$C$15),1,$C262)&gt;0),1,IF(($E262&gt;=$E261)*($E262&lt;=$E263)*($E262&gt;INDEX(_xlfn.ANCHORARRAY(Sintesi!$C$14),1,$C262))*($E262&lt;INDEX(_xlfn.ANCHORARRAY(Sintesi!$C$16),1,$C262))*(INDEX(_xlfn.ANCHORARRAY(Sintesi!$C$15),1,$C262)&lt;0)+($E262&gt;=$E261)*($E262&lt;=$E263)*($E262&gt;INDEX(_xlfn.ANCHORARRAY(Sintesi!$C$15),1,$C262))*($E262&lt;INDEX(_xlfn.ANCHORARRAY(Sintesi!$C$16),1,$C262))*(INDEX(_xlfn.ANCHORARRAY(Sintesi!$C$15),1,$C262)&gt;0),2,IF($E262=(INDEX(_xlfn.ANCHORARRAY(Sintesi!$C$16),1,$C262)),3,4)))),0),IF($C262&gt;0,IF(($E262=INDEX(_xlfn.ANCHORARRAY(Sintesi!$C$14),1,$C262))*(INDEX(_xlfn.ANCHORARRAY(Sintesi!$C$15),1,$C262)&gt;0),0,IF(($E262=INDEX(_xlfn.ANCHORARRAY(Sintesi!$C$14),1,$C262))*(INDEX(_xlfn.ANCHORARRAY(Sintesi!$C$15),1,$C262)&lt;0)+($E262&gt;=LOOKUP(2,1/($E:$E&lt;&gt;""),$E:$E))*($E262&lt;=$E263)*($E262&gt;INDEX(_xlfn.ANCHORARRAY(Sintesi!$C$14),1,$C262))*($E262&lt;=INDEX(_xlfn.ANCHORARRAY(Sintesi!$C$15),1,$C262))*(INDEX(_xlfn.ANCHORARRAY(Sintesi!$C$15),1,$C262)&gt;0),1,IF(($E262&gt;=LOOKUP(2,1/($E:$E&lt;&gt;""),$E:$E))*($E262&lt;=$E263)*($E262&gt;INDEX(_xlfn.ANCHORARRAY(Sintesi!$C$14),1,$C262))*($E262&lt;INDEX(_xlfn.ANCHORARRAY(Sintesi!$C$16),1,$C262))*(INDEX(_xlfn.ANCHORARRAY(Sintesi!$C$15),1,$C262)&lt;0)+($E262&gt;=LOOKUP(2,1/($E:$E&lt;&gt;""),$E:$E))*($E262&lt;=$E263)*($E262&gt;INDEX(_xlfn.ANCHORARRAY(Sintesi!$C$15),1,$C262))*($E262&lt;INDEX(_xlfn.ANCHORARRAY(Sintesi!$C$16),1,$C262))*(INDEX(_xlfn.ANCHORARRAY(Sintesi!$C$15),1,$C262)&gt;0),2,IF($E262=(INDEX(_xlfn.ANCHORARRAY(Sintesi!$C$16),1,$C262)),3,4)))),0)))</f>
        <v>0</v>
      </c>
      <c r="E262" s="1">
        <f>'Paste cell here'!F262</f>
        <v>0</v>
      </c>
      <c r="F262" s="1">
        <f>'Paste cell here'!C262</f>
        <v>27.5926759</v>
      </c>
      <c r="G262" s="1">
        <f>'Paste cell here'!D262</f>
        <v>18.743394970000001</v>
      </c>
      <c r="H262" s="1">
        <f>'Paste cell here'!E262</f>
        <v>2.8183691639999999</v>
      </c>
      <c r="I262" s="1">
        <f>'Paste cell here'!X262</f>
        <v>0</v>
      </c>
      <c r="J262" s="1">
        <f>'Paste cell here'!Y262+'Paste cell here'!S262</f>
        <v>0</v>
      </c>
      <c r="K262" s="1">
        <f t="shared" si="9"/>
        <v>0</v>
      </c>
      <c r="L262" s="1">
        <f t="shared" si="8"/>
        <v>24.280562931669358</v>
      </c>
      <c r="M262" s="1" cm="1">
        <f t="array" ref="M262">IF(AND(A262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,A262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),IF(L262&lt;_xlfn.IFNA(INDEX(_xlfn.ANCHORARRAY(Sintesi!$C$17)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,1,IF(L262&gt;=_xlfn.IFNA(INDEX(_xlfn.ANCHORARRAY(Sintesi!$C$18)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,0,1-(L262-_xlfn.IFNA(INDEX(_xlfn.ANCHORARRAY(Sintesi!$C$17)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)/(_xlfn.IFNA(INDEX(_xlfn.ANCHORARRAY(Sintesi!$C$18)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-_xlfn.IFNA(INDEX(_xlfn.ANCHORARRAY(Sintesi!$C$17),1,MATCH(1,(_xlfn.ANCHORARRAY(Sintesi!$C$9)&gt;_xlfn.ANCHORARRAY(Sintesi!$C$10))*(A261&gt;=_xlfn.ANCHORARRAY(Sintesi!$C$9))+(_xlfn.ANCHORARRAY(Sintesi!$C$9)&gt;_xlfn.ANCHORARRAY(Sintesi!$C$10))*(A261&lt;=_xlfn.ANCHORARRAY(Sintesi!$C$10))+(_xlfn.ANCHORARRAY(Sintesi!$C$9)&lt;_xlfn.ANCHORARRAY(Sintesi!$C$10))*(A261&gt;=_xlfn.ANCHORARRAY(Sintesi!$C$9))*(A261&lt;=_xlfn.ANCHORARRAY(Sintesi!$C$10)),0)),0)))),0)</f>
        <v>0</v>
      </c>
    </row>
    <row r="263" spans="1:13">
      <c r="A263" s="1">
        <f>'Paste cell here'!A263</f>
        <v>262</v>
      </c>
      <c r="B263" s="2">
        <f>DATE(Sintesi!$C$4-1,12,31)+A263</f>
        <v>44458</v>
      </c>
      <c r="C263" s="34" cm="1">
        <f t="array" ref="C263">_xlfn.IFNA(MATCH(1,(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)*(_xlfn.ANCHORARRAY(Sintesi!$C$15)&gt;=0)+(_xlfn.ANCHORARRAY(Sintesi!$C$15)&lt;0),0),0)</f>
        <v>0</v>
      </c>
      <c r="D263" s="1" cm="1">
        <f t="array" ref="D263">IF(ISBLANK($E264),IF(ISNUMBER($E262),IF($C263&gt;0,IF(($E263=INDEX(_xlfn.ANCHORARRAY(Sintesi!$C$14),1,$C263))*(INDEX(_xlfn.ANCHORARRAY(Sintesi!$C$15),1,$C263)&gt;0),0,IF(($E263=INDEX(_xlfn.ANCHORARRAY(Sintesi!$C$14),1,$C263))*(INDEX(_xlfn.ANCHORARRAY(Sintesi!$C$15),1,$C263)&lt;0)+($E263&gt;=$E262)*($E263&lt;=INDEX($E:$E,MATCH(TRUE,INDEX((ISNUMBER($E:$E)),0),0)))*($E263&gt;INDEX(_xlfn.ANCHORARRAY(Sintesi!$C$14),1,$C263))*($E263&lt;=INDEX(_xlfn.ANCHORARRAY(Sintesi!$C$15),1,$C263))*(INDEX(_xlfn.ANCHORARRAY(Sintesi!$C$15),1,$C263)&gt;0),1,IF(($E263&gt;=$E262)*($E263&lt;=INDEX($E:$E,MATCH(TRUE,INDEX((ISNUMBER($E:$E)),0),0)))*($E263&gt;INDEX(_xlfn.ANCHORARRAY(Sintesi!$C$14),1,$C263))*($E263&lt;INDEX(_xlfn.ANCHORARRAY(Sintesi!$C$16),1,$C263))*(INDEX(_xlfn.ANCHORARRAY(Sintesi!$C$15),1,$C263)&lt;0)+($E263&gt;=$E262)*($E263&lt;=INDEX($E:$E,MATCH(TRUE,INDEX((ISNUMBER($E:$E)),0),0)))*($E263&gt;INDEX(_xlfn.ANCHORARRAY(Sintesi!$C$15),1,$C263))*($E263&lt;INDEX(_xlfn.ANCHORARRAY(Sintesi!$C$16),1,$C263))*(INDEX(_xlfn.ANCHORARRAY(Sintesi!$C$15),1,$C263)&gt;0),2,IF($E263=(INDEX(_xlfn.ANCHORARRAY(Sintesi!$C$16),1,$C263)),3,4)))),0),IF($C263&gt;0,IF(($E263=INDEX(_xlfn.ANCHORARRAY(Sintesi!$C$14),1,$C263))*(INDEX(_xlfn.ANCHORARRAY(Sintesi!$C$15),1,$C263)&gt;0),0,IF(($E263=INDEX(_xlfn.ANCHORARRAY(Sintesi!$C$14),1,$C263))*(INDEX(_xlfn.ANCHORARRAY(Sintesi!$C$15),1,$C263)&lt;0)+($E263&gt;=LOOKUP(2,1/($E:$E&lt;&gt;""),$E:$E))*($E263&lt;=INDEX($E:$E,MATCH(TRUE,INDEX((ISNUMBER($E:$E)),0),0)))*($E263&gt;INDEX(_xlfn.ANCHORARRAY(Sintesi!$C$14),1,$C263))*($E263&lt;=INDEX(_xlfn.ANCHORARRAY(Sintesi!$C$15),1,$C263))*(INDEX(_xlfn.ANCHORARRAY(Sintesi!$C$15),1,$C263)&gt;0),1,IF(($E263&gt;=LOOKUP(2,1/($E:$E&lt;&gt;""),$E:$E))*($E263&lt;=INDEX($E:$E,MATCH(TRUE,INDEX((ISNUMBER($E:$E)),0),0)))*($E263&gt;INDEX(_xlfn.ANCHORARRAY(Sintesi!$C$14),1,$C263))*($E263&lt;INDEX(_xlfn.ANCHORARRAY(Sintesi!$C$16),1,$C263))*(INDEX(_xlfn.ANCHORARRAY(Sintesi!$C$15),1,$C263)&lt;0)+($E263&gt;=LOOKUP(2,1/($E:$E&lt;&gt;""),$E:$E))*($E263&lt;=INDEX($E:$E,MATCH(TRUE,INDEX((ISNUMBER($E:$E)),0),0)))*($E263&gt;INDEX(_xlfn.ANCHORARRAY(Sintesi!$C$15),1,$C263))*($E263&lt;INDEX(_xlfn.ANCHORARRAY(Sintesi!$C$16),1,$C263))*(INDEX(_xlfn.ANCHORARRAY(Sintesi!$C$15),1,$C263)&gt;0),2,IF($E263=(INDEX(_xlfn.ANCHORARRAY(Sintesi!$C$16),1,$C263)),3,4)))),0)),IF(ISNUMBER($E262),IF($C263&gt;0,IF(($E263=INDEX(_xlfn.ANCHORARRAY(Sintesi!$C$14),1,$C263))*(INDEX(_xlfn.ANCHORARRAY(Sintesi!$C$15),1,$C263)&gt;0),0,IF(($E263=INDEX(_xlfn.ANCHORARRAY(Sintesi!$C$14),1,$C263))*(INDEX(_xlfn.ANCHORARRAY(Sintesi!$C$15),1,$C263)&lt;0)+($E263&gt;=$E262)*($E263&lt;=$E264)*($E263&gt;INDEX(_xlfn.ANCHORARRAY(Sintesi!$C$14),1,$C263))*($E263&lt;=INDEX(_xlfn.ANCHORARRAY(Sintesi!$C$15),1,$C263))*(INDEX(_xlfn.ANCHORARRAY(Sintesi!$C$15),1,$C263)&gt;0),1,IF(($E263&gt;=$E262)*($E263&lt;=$E264)*($E263&gt;INDEX(_xlfn.ANCHORARRAY(Sintesi!$C$14),1,$C263))*($E263&lt;INDEX(_xlfn.ANCHORARRAY(Sintesi!$C$16),1,$C263))*(INDEX(_xlfn.ANCHORARRAY(Sintesi!$C$15),1,$C263)&lt;0)+($E263&gt;=$E262)*($E263&lt;=$E264)*($E263&gt;INDEX(_xlfn.ANCHORARRAY(Sintesi!$C$15),1,$C263))*($E263&lt;INDEX(_xlfn.ANCHORARRAY(Sintesi!$C$16),1,$C263))*(INDEX(_xlfn.ANCHORARRAY(Sintesi!$C$15),1,$C263)&gt;0),2,IF($E263=(INDEX(_xlfn.ANCHORARRAY(Sintesi!$C$16),1,$C263)),3,4)))),0),IF($C263&gt;0,IF(($E263=INDEX(_xlfn.ANCHORARRAY(Sintesi!$C$14),1,$C263))*(INDEX(_xlfn.ANCHORARRAY(Sintesi!$C$15),1,$C263)&gt;0),0,IF(($E263=INDEX(_xlfn.ANCHORARRAY(Sintesi!$C$14),1,$C263))*(INDEX(_xlfn.ANCHORARRAY(Sintesi!$C$15),1,$C263)&lt;0)+($E263&gt;=LOOKUP(2,1/($E:$E&lt;&gt;""),$E:$E))*($E263&lt;=$E264)*($E263&gt;INDEX(_xlfn.ANCHORARRAY(Sintesi!$C$14),1,$C263))*($E263&lt;=INDEX(_xlfn.ANCHORARRAY(Sintesi!$C$15),1,$C263))*(INDEX(_xlfn.ANCHORARRAY(Sintesi!$C$15),1,$C263)&gt;0),1,IF(($E263&gt;=LOOKUP(2,1/($E:$E&lt;&gt;""),$E:$E))*($E263&lt;=$E264)*($E263&gt;INDEX(_xlfn.ANCHORARRAY(Sintesi!$C$14),1,$C263))*($E263&lt;INDEX(_xlfn.ANCHORARRAY(Sintesi!$C$16),1,$C263))*(INDEX(_xlfn.ANCHORARRAY(Sintesi!$C$15),1,$C263)&lt;0)+($E263&gt;=LOOKUP(2,1/($E:$E&lt;&gt;""),$E:$E))*($E263&lt;=$E264)*($E263&gt;INDEX(_xlfn.ANCHORARRAY(Sintesi!$C$15),1,$C263))*($E263&lt;INDEX(_xlfn.ANCHORARRAY(Sintesi!$C$16),1,$C263))*(INDEX(_xlfn.ANCHORARRAY(Sintesi!$C$15),1,$C263)&gt;0),2,IF($E263=(INDEX(_xlfn.ANCHORARRAY(Sintesi!$C$16),1,$C263)),3,4)))),0)))</f>
        <v>0</v>
      </c>
      <c r="E263" s="1">
        <f>'Paste cell here'!F263</f>
        <v>0</v>
      </c>
      <c r="F263" s="1">
        <f>'Paste cell here'!C263</f>
        <v>23.584715429999999</v>
      </c>
      <c r="G263" s="1">
        <f>'Paste cell here'!D263</f>
        <v>14.02545613</v>
      </c>
      <c r="H263" s="1">
        <f>'Paste cell here'!E263</f>
        <v>2.7317328779999999</v>
      </c>
      <c r="I263" s="1">
        <f>'Paste cell here'!X263</f>
        <v>0</v>
      </c>
      <c r="J263" s="1">
        <f>'Paste cell here'!Y263+'Paste cell here'!S263</f>
        <v>0</v>
      </c>
      <c r="K263" s="1">
        <f t="shared" si="9"/>
        <v>0</v>
      </c>
      <c r="L263" s="1">
        <f t="shared" si="8"/>
        <v>20.006871428254055</v>
      </c>
      <c r="M263" s="1" cm="1">
        <f t="array" ref="M263">IF(AND(A263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,A263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),IF(L263&lt;_xlfn.IFNA(INDEX(_xlfn.ANCHORARRAY(Sintesi!$C$17)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,1,IF(L263&gt;=_xlfn.IFNA(INDEX(_xlfn.ANCHORARRAY(Sintesi!$C$18)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,0,1-(L263-_xlfn.IFNA(INDEX(_xlfn.ANCHORARRAY(Sintesi!$C$17)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)/(_xlfn.IFNA(INDEX(_xlfn.ANCHORARRAY(Sintesi!$C$18)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-_xlfn.IFNA(INDEX(_xlfn.ANCHORARRAY(Sintesi!$C$17),1,MATCH(1,(_xlfn.ANCHORARRAY(Sintesi!$C$9)&gt;_xlfn.ANCHORARRAY(Sintesi!$C$10))*(A262&gt;=_xlfn.ANCHORARRAY(Sintesi!$C$9))+(_xlfn.ANCHORARRAY(Sintesi!$C$9)&gt;_xlfn.ANCHORARRAY(Sintesi!$C$10))*(A262&lt;=_xlfn.ANCHORARRAY(Sintesi!$C$10))+(_xlfn.ANCHORARRAY(Sintesi!$C$9)&lt;_xlfn.ANCHORARRAY(Sintesi!$C$10))*(A262&gt;=_xlfn.ANCHORARRAY(Sintesi!$C$9))*(A262&lt;=_xlfn.ANCHORARRAY(Sintesi!$C$10)),0)),0)))),0)</f>
        <v>0</v>
      </c>
    </row>
    <row r="264" spans="1:13">
      <c r="A264" s="1">
        <f>'Paste cell here'!A264</f>
        <v>263</v>
      </c>
      <c r="B264" s="2">
        <f>DATE(Sintesi!$C$4-1,12,31)+A264</f>
        <v>44459</v>
      </c>
      <c r="C264" s="34" cm="1">
        <f t="array" ref="C264">_xlfn.IFNA(MATCH(1,(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)*(_xlfn.ANCHORARRAY(Sintesi!$C$15)&gt;=0)+(_xlfn.ANCHORARRAY(Sintesi!$C$15)&lt;0),0),0)</f>
        <v>0</v>
      </c>
      <c r="D264" s="1" cm="1">
        <f t="array" ref="D264">IF(ISBLANK($E265),IF(ISNUMBER($E263),IF($C264&gt;0,IF(($E264=INDEX(_xlfn.ANCHORARRAY(Sintesi!$C$14),1,$C264))*(INDEX(_xlfn.ANCHORARRAY(Sintesi!$C$15),1,$C264)&gt;0),0,IF(($E264=INDEX(_xlfn.ANCHORARRAY(Sintesi!$C$14),1,$C264))*(INDEX(_xlfn.ANCHORARRAY(Sintesi!$C$15),1,$C264)&lt;0)+($E264&gt;=$E263)*($E264&lt;=INDEX($E:$E,MATCH(TRUE,INDEX((ISNUMBER($E:$E)),0),0)))*($E264&gt;INDEX(_xlfn.ANCHORARRAY(Sintesi!$C$14),1,$C264))*($E264&lt;=INDEX(_xlfn.ANCHORARRAY(Sintesi!$C$15),1,$C264))*(INDEX(_xlfn.ANCHORARRAY(Sintesi!$C$15),1,$C264)&gt;0),1,IF(($E264&gt;=$E263)*($E264&lt;=INDEX($E:$E,MATCH(TRUE,INDEX((ISNUMBER($E:$E)),0),0)))*($E264&gt;INDEX(_xlfn.ANCHORARRAY(Sintesi!$C$14),1,$C264))*($E264&lt;INDEX(_xlfn.ANCHORARRAY(Sintesi!$C$16),1,$C264))*(INDEX(_xlfn.ANCHORARRAY(Sintesi!$C$15),1,$C264)&lt;0)+($E264&gt;=$E263)*($E264&lt;=INDEX($E:$E,MATCH(TRUE,INDEX((ISNUMBER($E:$E)),0),0)))*($E264&gt;INDEX(_xlfn.ANCHORARRAY(Sintesi!$C$15),1,$C264))*($E264&lt;INDEX(_xlfn.ANCHORARRAY(Sintesi!$C$16),1,$C264))*(INDEX(_xlfn.ANCHORARRAY(Sintesi!$C$15),1,$C264)&gt;0),2,IF($E264=(INDEX(_xlfn.ANCHORARRAY(Sintesi!$C$16),1,$C264)),3,4)))),0),IF($C264&gt;0,IF(($E264=INDEX(_xlfn.ANCHORARRAY(Sintesi!$C$14),1,$C264))*(INDEX(_xlfn.ANCHORARRAY(Sintesi!$C$15),1,$C264)&gt;0),0,IF(($E264=INDEX(_xlfn.ANCHORARRAY(Sintesi!$C$14),1,$C264))*(INDEX(_xlfn.ANCHORARRAY(Sintesi!$C$15),1,$C264)&lt;0)+($E264&gt;=LOOKUP(2,1/($E:$E&lt;&gt;""),$E:$E))*($E264&lt;=INDEX($E:$E,MATCH(TRUE,INDEX((ISNUMBER($E:$E)),0),0)))*($E264&gt;INDEX(_xlfn.ANCHORARRAY(Sintesi!$C$14),1,$C264))*($E264&lt;=INDEX(_xlfn.ANCHORARRAY(Sintesi!$C$15),1,$C264))*(INDEX(_xlfn.ANCHORARRAY(Sintesi!$C$15),1,$C264)&gt;0),1,IF(($E264&gt;=LOOKUP(2,1/($E:$E&lt;&gt;""),$E:$E))*($E264&lt;=INDEX($E:$E,MATCH(TRUE,INDEX((ISNUMBER($E:$E)),0),0)))*($E264&gt;INDEX(_xlfn.ANCHORARRAY(Sintesi!$C$14),1,$C264))*($E264&lt;INDEX(_xlfn.ANCHORARRAY(Sintesi!$C$16),1,$C264))*(INDEX(_xlfn.ANCHORARRAY(Sintesi!$C$15),1,$C264)&lt;0)+($E264&gt;=LOOKUP(2,1/($E:$E&lt;&gt;""),$E:$E))*($E264&lt;=INDEX($E:$E,MATCH(TRUE,INDEX((ISNUMBER($E:$E)),0),0)))*($E264&gt;INDEX(_xlfn.ANCHORARRAY(Sintesi!$C$15),1,$C264))*($E264&lt;INDEX(_xlfn.ANCHORARRAY(Sintesi!$C$16),1,$C264))*(INDEX(_xlfn.ANCHORARRAY(Sintesi!$C$15),1,$C264)&gt;0),2,IF($E264=(INDEX(_xlfn.ANCHORARRAY(Sintesi!$C$16),1,$C264)),3,4)))),0)),IF(ISNUMBER($E263),IF($C264&gt;0,IF(($E264=INDEX(_xlfn.ANCHORARRAY(Sintesi!$C$14),1,$C264))*(INDEX(_xlfn.ANCHORARRAY(Sintesi!$C$15),1,$C264)&gt;0),0,IF(($E264=INDEX(_xlfn.ANCHORARRAY(Sintesi!$C$14),1,$C264))*(INDEX(_xlfn.ANCHORARRAY(Sintesi!$C$15),1,$C264)&lt;0)+($E264&gt;=$E263)*($E264&lt;=$E265)*($E264&gt;INDEX(_xlfn.ANCHORARRAY(Sintesi!$C$14),1,$C264))*($E264&lt;=INDEX(_xlfn.ANCHORARRAY(Sintesi!$C$15),1,$C264))*(INDEX(_xlfn.ANCHORARRAY(Sintesi!$C$15),1,$C264)&gt;0),1,IF(($E264&gt;=$E263)*($E264&lt;=$E265)*($E264&gt;INDEX(_xlfn.ANCHORARRAY(Sintesi!$C$14),1,$C264))*($E264&lt;INDEX(_xlfn.ANCHORARRAY(Sintesi!$C$16),1,$C264))*(INDEX(_xlfn.ANCHORARRAY(Sintesi!$C$15),1,$C264)&lt;0)+($E264&gt;=$E263)*($E264&lt;=$E265)*($E264&gt;INDEX(_xlfn.ANCHORARRAY(Sintesi!$C$15),1,$C264))*($E264&lt;INDEX(_xlfn.ANCHORARRAY(Sintesi!$C$16),1,$C264))*(INDEX(_xlfn.ANCHORARRAY(Sintesi!$C$15),1,$C264)&gt;0),2,IF($E264=(INDEX(_xlfn.ANCHORARRAY(Sintesi!$C$16),1,$C264)),3,4)))),0),IF($C264&gt;0,IF(($E264=INDEX(_xlfn.ANCHORARRAY(Sintesi!$C$14),1,$C264))*(INDEX(_xlfn.ANCHORARRAY(Sintesi!$C$15),1,$C264)&gt;0),0,IF(($E264=INDEX(_xlfn.ANCHORARRAY(Sintesi!$C$14),1,$C264))*(INDEX(_xlfn.ANCHORARRAY(Sintesi!$C$15),1,$C264)&lt;0)+($E264&gt;=LOOKUP(2,1/($E:$E&lt;&gt;""),$E:$E))*($E264&lt;=$E265)*($E264&gt;INDEX(_xlfn.ANCHORARRAY(Sintesi!$C$14),1,$C264))*($E264&lt;=INDEX(_xlfn.ANCHORARRAY(Sintesi!$C$15),1,$C264))*(INDEX(_xlfn.ANCHORARRAY(Sintesi!$C$15),1,$C264)&gt;0),1,IF(($E264&gt;=LOOKUP(2,1/($E:$E&lt;&gt;""),$E:$E))*($E264&lt;=$E265)*($E264&gt;INDEX(_xlfn.ANCHORARRAY(Sintesi!$C$14),1,$C264))*($E264&lt;INDEX(_xlfn.ANCHORARRAY(Sintesi!$C$16),1,$C264))*(INDEX(_xlfn.ANCHORARRAY(Sintesi!$C$15),1,$C264)&lt;0)+($E264&gt;=LOOKUP(2,1/($E:$E&lt;&gt;""),$E:$E))*($E264&lt;=$E265)*($E264&gt;INDEX(_xlfn.ANCHORARRAY(Sintesi!$C$15),1,$C264))*($E264&lt;INDEX(_xlfn.ANCHORARRAY(Sintesi!$C$16),1,$C264))*(INDEX(_xlfn.ANCHORARRAY(Sintesi!$C$15),1,$C264)&gt;0),2,IF($E264=(INDEX(_xlfn.ANCHORARRAY(Sintesi!$C$16),1,$C264)),3,4)))),0)))</f>
        <v>0</v>
      </c>
      <c r="E264" s="1">
        <f>'Paste cell here'!F264</f>
        <v>0</v>
      </c>
      <c r="F264" s="1">
        <f>'Paste cell here'!C264</f>
        <v>24.510488670000001</v>
      </c>
      <c r="G264" s="1">
        <f>'Paste cell here'!D264</f>
        <v>11.207324099999999</v>
      </c>
      <c r="H264" s="1">
        <f>'Paste cell here'!E264</f>
        <v>2.978346621</v>
      </c>
      <c r="I264" s="1">
        <f>'Paste cell here'!X264</f>
        <v>0</v>
      </c>
      <c r="J264" s="1">
        <f>'Paste cell here'!Y264+'Paste cell here'!S264</f>
        <v>0</v>
      </c>
      <c r="K264" s="1">
        <f t="shared" si="9"/>
        <v>0</v>
      </c>
      <c r="L264" s="1">
        <f t="shared" si="8"/>
        <v>19.531374068410145</v>
      </c>
      <c r="M264" s="1" cm="1">
        <f t="array" ref="M264">IF(AND(A264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,A264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),IF(L264&lt;_xlfn.IFNA(INDEX(_xlfn.ANCHORARRAY(Sintesi!$C$17)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,1,IF(L264&gt;=_xlfn.IFNA(INDEX(_xlfn.ANCHORARRAY(Sintesi!$C$18)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,0,1-(L264-_xlfn.IFNA(INDEX(_xlfn.ANCHORARRAY(Sintesi!$C$17)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)/(_xlfn.IFNA(INDEX(_xlfn.ANCHORARRAY(Sintesi!$C$18)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-_xlfn.IFNA(INDEX(_xlfn.ANCHORARRAY(Sintesi!$C$17),1,MATCH(1,(_xlfn.ANCHORARRAY(Sintesi!$C$9)&gt;_xlfn.ANCHORARRAY(Sintesi!$C$10))*(A263&gt;=_xlfn.ANCHORARRAY(Sintesi!$C$9))+(_xlfn.ANCHORARRAY(Sintesi!$C$9)&gt;_xlfn.ANCHORARRAY(Sintesi!$C$10))*(A263&lt;=_xlfn.ANCHORARRAY(Sintesi!$C$10))+(_xlfn.ANCHORARRAY(Sintesi!$C$9)&lt;_xlfn.ANCHORARRAY(Sintesi!$C$10))*(A263&gt;=_xlfn.ANCHORARRAY(Sintesi!$C$9))*(A263&lt;=_xlfn.ANCHORARRAY(Sintesi!$C$10)),0)),0)))),0)</f>
        <v>0</v>
      </c>
    </row>
    <row r="265" spans="1:13">
      <c r="A265" s="1">
        <f>'Paste cell here'!A265</f>
        <v>264</v>
      </c>
      <c r="B265" s="2">
        <f>DATE(Sintesi!$C$4-1,12,31)+A265</f>
        <v>44460</v>
      </c>
      <c r="C265" s="34" cm="1">
        <f t="array" ref="C265">_xlfn.IFNA(MATCH(1,(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)*(_xlfn.ANCHORARRAY(Sintesi!$C$15)&gt;=0)+(_xlfn.ANCHORARRAY(Sintesi!$C$15)&lt;0),0),0)</f>
        <v>0</v>
      </c>
      <c r="D265" s="1" cm="1">
        <f t="array" ref="D265">IF(ISBLANK($E266),IF(ISNUMBER($E264),IF($C265&gt;0,IF(($E265=INDEX(_xlfn.ANCHORARRAY(Sintesi!$C$14),1,$C265))*(INDEX(_xlfn.ANCHORARRAY(Sintesi!$C$15),1,$C265)&gt;0),0,IF(($E265=INDEX(_xlfn.ANCHORARRAY(Sintesi!$C$14),1,$C265))*(INDEX(_xlfn.ANCHORARRAY(Sintesi!$C$15),1,$C265)&lt;0)+($E265&gt;=$E264)*($E265&lt;=INDEX($E:$E,MATCH(TRUE,INDEX((ISNUMBER($E:$E)),0),0)))*($E265&gt;INDEX(_xlfn.ANCHORARRAY(Sintesi!$C$14),1,$C265))*($E265&lt;=INDEX(_xlfn.ANCHORARRAY(Sintesi!$C$15),1,$C265))*(INDEX(_xlfn.ANCHORARRAY(Sintesi!$C$15),1,$C265)&gt;0),1,IF(($E265&gt;=$E264)*($E265&lt;=INDEX($E:$E,MATCH(TRUE,INDEX((ISNUMBER($E:$E)),0),0)))*($E265&gt;INDEX(_xlfn.ANCHORARRAY(Sintesi!$C$14),1,$C265))*($E265&lt;INDEX(_xlfn.ANCHORARRAY(Sintesi!$C$16),1,$C265))*(INDEX(_xlfn.ANCHORARRAY(Sintesi!$C$15),1,$C265)&lt;0)+($E265&gt;=$E264)*($E265&lt;=INDEX($E:$E,MATCH(TRUE,INDEX((ISNUMBER($E:$E)),0),0)))*($E265&gt;INDEX(_xlfn.ANCHORARRAY(Sintesi!$C$15),1,$C265))*($E265&lt;INDEX(_xlfn.ANCHORARRAY(Sintesi!$C$16),1,$C265))*(INDEX(_xlfn.ANCHORARRAY(Sintesi!$C$15),1,$C265)&gt;0),2,IF($E265=(INDEX(_xlfn.ANCHORARRAY(Sintesi!$C$16),1,$C265)),3,4)))),0),IF($C265&gt;0,IF(($E265=INDEX(_xlfn.ANCHORARRAY(Sintesi!$C$14),1,$C265))*(INDEX(_xlfn.ANCHORARRAY(Sintesi!$C$15),1,$C265)&gt;0),0,IF(($E265=INDEX(_xlfn.ANCHORARRAY(Sintesi!$C$14),1,$C265))*(INDEX(_xlfn.ANCHORARRAY(Sintesi!$C$15),1,$C265)&lt;0)+($E265&gt;=LOOKUP(2,1/($E:$E&lt;&gt;""),$E:$E))*($E265&lt;=INDEX($E:$E,MATCH(TRUE,INDEX((ISNUMBER($E:$E)),0),0)))*($E265&gt;INDEX(_xlfn.ANCHORARRAY(Sintesi!$C$14),1,$C265))*($E265&lt;=INDEX(_xlfn.ANCHORARRAY(Sintesi!$C$15),1,$C265))*(INDEX(_xlfn.ANCHORARRAY(Sintesi!$C$15),1,$C265)&gt;0),1,IF(($E265&gt;=LOOKUP(2,1/($E:$E&lt;&gt;""),$E:$E))*($E265&lt;=INDEX($E:$E,MATCH(TRUE,INDEX((ISNUMBER($E:$E)),0),0)))*($E265&gt;INDEX(_xlfn.ANCHORARRAY(Sintesi!$C$14),1,$C265))*($E265&lt;INDEX(_xlfn.ANCHORARRAY(Sintesi!$C$16),1,$C265))*(INDEX(_xlfn.ANCHORARRAY(Sintesi!$C$15),1,$C265)&lt;0)+($E265&gt;=LOOKUP(2,1/($E:$E&lt;&gt;""),$E:$E))*($E265&lt;=INDEX($E:$E,MATCH(TRUE,INDEX((ISNUMBER($E:$E)),0),0)))*($E265&gt;INDEX(_xlfn.ANCHORARRAY(Sintesi!$C$15),1,$C265))*($E265&lt;INDEX(_xlfn.ANCHORARRAY(Sintesi!$C$16),1,$C265))*(INDEX(_xlfn.ANCHORARRAY(Sintesi!$C$15),1,$C265)&gt;0),2,IF($E265=(INDEX(_xlfn.ANCHORARRAY(Sintesi!$C$16),1,$C265)),3,4)))),0)),IF(ISNUMBER($E264),IF($C265&gt;0,IF(($E265=INDEX(_xlfn.ANCHORARRAY(Sintesi!$C$14),1,$C265))*(INDEX(_xlfn.ANCHORARRAY(Sintesi!$C$15),1,$C265)&gt;0),0,IF(($E265=INDEX(_xlfn.ANCHORARRAY(Sintesi!$C$14),1,$C265))*(INDEX(_xlfn.ANCHORARRAY(Sintesi!$C$15),1,$C265)&lt;0)+($E265&gt;=$E264)*($E265&lt;=$E266)*($E265&gt;INDEX(_xlfn.ANCHORARRAY(Sintesi!$C$14),1,$C265))*($E265&lt;=INDEX(_xlfn.ANCHORARRAY(Sintesi!$C$15),1,$C265))*(INDEX(_xlfn.ANCHORARRAY(Sintesi!$C$15),1,$C265)&gt;0),1,IF(($E265&gt;=$E264)*($E265&lt;=$E266)*($E265&gt;INDEX(_xlfn.ANCHORARRAY(Sintesi!$C$14),1,$C265))*($E265&lt;INDEX(_xlfn.ANCHORARRAY(Sintesi!$C$16),1,$C265))*(INDEX(_xlfn.ANCHORARRAY(Sintesi!$C$15),1,$C265)&lt;0)+($E265&gt;=$E264)*($E265&lt;=$E266)*($E265&gt;INDEX(_xlfn.ANCHORARRAY(Sintesi!$C$15),1,$C265))*($E265&lt;INDEX(_xlfn.ANCHORARRAY(Sintesi!$C$16),1,$C265))*(INDEX(_xlfn.ANCHORARRAY(Sintesi!$C$15),1,$C265)&gt;0),2,IF($E265=(INDEX(_xlfn.ANCHORARRAY(Sintesi!$C$16),1,$C265)),3,4)))),0),IF($C265&gt;0,IF(($E265=INDEX(_xlfn.ANCHORARRAY(Sintesi!$C$14),1,$C265))*(INDEX(_xlfn.ANCHORARRAY(Sintesi!$C$15),1,$C265)&gt;0),0,IF(($E265=INDEX(_xlfn.ANCHORARRAY(Sintesi!$C$14),1,$C265))*(INDEX(_xlfn.ANCHORARRAY(Sintesi!$C$15),1,$C265)&lt;0)+($E265&gt;=LOOKUP(2,1/($E:$E&lt;&gt;""),$E:$E))*($E265&lt;=$E266)*($E265&gt;INDEX(_xlfn.ANCHORARRAY(Sintesi!$C$14),1,$C265))*($E265&lt;=INDEX(_xlfn.ANCHORARRAY(Sintesi!$C$15),1,$C265))*(INDEX(_xlfn.ANCHORARRAY(Sintesi!$C$15),1,$C265)&gt;0),1,IF(($E265&gt;=LOOKUP(2,1/($E:$E&lt;&gt;""),$E:$E))*($E265&lt;=$E266)*($E265&gt;INDEX(_xlfn.ANCHORARRAY(Sintesi!$C$14),1,$C265))*($E265&lt;INDEX(_xlfn.ANCHORARRAY(Sintesi!$C$16),1,$C265))*(INDEX(_xlfn.ANCHORARRAY(Sintesi!$C$15),1,$C265)&lt;0)+($E265&gt;=LOOKUP(2,1/($E:$E&lt;&gt;""),$E:$E))*($E265&lt;=$E266)*($E265&gt;INDEX(_xlfn.ANCHORARRAY(Sintesi!$C$15),1,$C265))*($E265&lt;INDEX(_xlfn.ANCHORARRAY(Sintesi!$C$16),1,$C265))*(INDEX(_xlfn.ANCHORARRAY(Sintesi!$C$15),1,$C265)&gt;0),2,IF($E265=(INDEX(_xlfn.ANCHORARRAY(Sintesi!$C$16),1,$C265)),3,4)))),0)))</f>
        <v>0</v>
      </c>
      <c r="E265" s="1">
        <f>'Paste cell here'!F265</f>
        <v>0</v>
      </c>
      <c r="F265" s="1">
        <f>'Paste cell here'!C265</f>
        <v>25.120660229999999</v>
      </c>
      <c r="G265" s="1">
        <f>'Paste cell here'!D265</f>
        <v>14.5539253</v>
      </c>
      <c r="H265" s="1">
        <f>'Paste cell here'!E265</f>
        <v>2.800257362</v>
      </c>
      <c r="I265" s="1">
        <f>'Paste cell here'!X265</f>
        <v>0</v>
      </c>
      <c r="J265" s="1">
        <f>'Paste cell here'!Y265+'Paste cell here'!S265</f>
        <v>0</v>
      </c>
      <c r="K265" s="1">
        <f t="shared" si="9"/>
        <v>0</v>
      </c>
      <c r="L265" s="1">
        <f t="shared" si="8"/>
        <v>21.165737782468963</v>
      </c>
      <c r="M265" s="1" cm="1">
        <f t="array" ref="M265">IF(AND(A265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,A265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),IF(L265&lt;_xlfn.IFNA(INDEX(_xlfn.ANCHORARRAY(Sintesi!$C$17)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,1,IF(L265&gt;=_xlfn.IFNA(INDEX(_xlfn.ANCHORARRAY(Sintesi!$C$18)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,0,1-(L265-_xlfn.IFNA(INDEX(_xlfn.ANCHORARRAY(Sintesi!$C$17)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)/(_xlfn.IFNA(INDEX(_xlfn.ANCHORARRAY(Sintesi!$C$18)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-_xlfn.IFNA(INDEX(_xlfn.ANCHORARRAY(Sintesi!$C$17),1,MATCH(1,(_xlfn.ANCHORARRAY(Sintesi!$C$9)&gt;_xlfn.ANCHORARRAY(Sintesi!$C$10))*(A264&gt;=_xlfn.ANCHORARRAY(Sintesi!$C$9))+(_xlfn.ANCHORARRAY(Sintesi!$C$9)&gt;_xlfn.ANCHORARRAY(Sintesi!$C$10))*(A264&lt;=_xlfn.ANCHORARRAY(Sintesi!$C$10))+(_xlfn.ANCHORARRAY(Sintesi!$C$9)&lt;_xlfn.ANCHORARRAY(Sintesi!$C$10))*(A264&gt;=_xlfn.ANCHORARRAY(Sintesi!$C$9))*(A264&lt;=_xlfn.ANCHORARRAY(Sintesi!$C$10)),0)),0)))),0)</f>
        <v>0</v>
      </c>
    </row>
    <row r="266" spans="1:13">
      <c r="A266" s="1">
        <f>'Paste cell here'!A266</f>
        <v>265</v>
      </c>
      <c r="B266" s="2">
        <f>DATE(Sintesi!$C$4-1,12,31)+A266</f>
        <v>44461</v>
      </c>
      <c r="C266" s="34" cm="1">
        <f t="array" ref="C266">_xlfn.IFNA(MATCH(1,(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)*(_xlfn.ANCHORARRAY(Sintesi!$C$15)&gt;=0)+(_xlfn.ANCHORARRAY(Sintesi!$C$15)&lt;0),0),0)</f>
        <v>0</v>
      </c>
      <c r="D266" s="1" cm="1">
        <f t="array" ref="D266">IF(ISBLANK($E267),IF(ISNUMBER($E265),IF($C266&gt;0,IF(($E266=INDEX(_xlfn.ANCHORARRAY(Sintesi!$C$14),1,$C266))*(INDEX(_xlfn.ANCHORARRAY(Sintesi!$C$15),1,$C266)&gt;0),0,IF(($E266=INDEX(_xlfn.ANCHORARRAY(Sintesi!$C$14),1,$C266))*(INDEX(_xlfn.ANCHORARRAY(Sintesi!$C$15),1,$C266)&lt;0)+($E266&gt;=$E265)*($E266&lt;=INDEX($E:$E,MATCH(TRUE,INDEX((ISNUMBER($E:$E)),0),0)))*($E266&gt;INDEX(_xlfn.ANCHORARRAY(Sintesi!$C$14),1,$C266))*($E266&lt;=INDEX(_xlfn.ANCHORARRAY(Sintesi!$C$15),1,$C266))*(INDEX(_xlfn.ANCHORARRAY(Sintesi!$C$15),1,$C266)&gt;0),1,IF(($E266&gt;=$E265)*($E266&lt;=INDEX($E:$E,MATCH(TRUE,INDEX((ISNUMBER($E:$E)),0),0)))*($E266&gt;INDEX(_xlfn.ANCHORARRAY(Sintesi!$C$14),1,$C266))*($E266&lt;INDEX(_xlfn.ANCHORARRAY(Sintesi!$C$16),1,$C266))*(INDEX(_xlfn.ANCHORARRAY(Sintesi!$C$15),1,$C266)&lt;0)+($E266&gt;=$E265)*($E266&lt;=INDEX($E:$E,MATCH(TRUE,INDEX((ISNUMBER($E:$E)),0),0)))*($E266&gt;INDEX(_xlfn.ANCHORARRAY(Sintesi!$C$15),1,$C266))*($E266&lt;INDEX(_xlfn.ANCHORARRAY(Sintesi!$C$16),1,$C266))*(INDEX(_xlfn.ANCHORARRAY(Sintesi!$C$15),1,$C266)&gt;0),2,IF($E266=(INDEX(_xlfn.ANCHORARRAY(Sintesi!$C$16),1,$C266)),3,4)))),0),IF($C266&gt;0,IF(($E266=INDEX(_xlfn.ANCHORARRAY(Sintesi!$C$14),1,$C266))*(INDEX(_xlfn.ANCHORARRAY(Sintesi!$C$15),1,$C266)&gt;0),0,IF(($E266=INDEX(_xlfn.ANCHORARRAY(Sintesi!$C$14),1,$C266))*(INDEX(_xlfn.ANCHORARRAY(Sintesi!$C$15),1,$C266)&lt;0)+($E266&gt;=LOOKUP(2,1/($E:$E&lt;&gt;""),$E:$E))*($E266&lt;=INDEX($E:$E,MATCH(TRUE,INDEX((ISNUMBER($E:$E)),0),0)))*($E266&gt;INDEX(_xlfn.ANCHORARRAY(Sintesi!$C$14),1,$C266))*($E266&lt;=INDEX(_xlfn.ANCHORARRAY(Sintesi!$C$15),1,$C266))*(INDEX(_xlfn.ANCHORARRAY(Sintesi!$C$15),1,$C266)&gt;0),1,IF(($E266&gt;=LOOKUP(2,1/($E:$E&lt;&gt;""),$E:$E))*($E266&lt;=INDEX($E:$E,MATCH(TRUE,INDEX((ISNUMBER($E:$E)),0),0)))*($E266&gt;INDEX(_xlfn.ANCHORARRAY(Sintesi!$C$14),1,$C266))*($E266&lt;INDEX(_xlfn.ANCHORARRAY(Sintesi!$C$16),1,$C266))*(INDEX(_xlfn.ANCHORARRAY(Sintesi!$C$15),1,$C266)&lt;0)+($E266&gt;=LOOKUP(2,1/($E:$E&lt;&gt;""),$E:$E))*($E266&lt;=INDEX($E:$E,MATCH(TRUE,INDEX((ISNUMBER($E:$E)),0),0)))*($E266&gt;INDEX(_xlfn.ANCHORARRAY(Sintesi!$C$15),1,$C266))*($E266&lt;INDEX(_xlfn.ANCHORARRAY(Sintesi!$C$16),1,$C266))*(INDEX(_xlfn.ANCHORARRAY(Sintesi!$C$15),1,$C266)&gt;0),2,IF($E266=(INDEX(_xlfn.ANCHORARRAY(Sintesi!$C$16),1,$C266)),3,4)))),0)),IF(ISNUMBER($E265),IF($C266&gt;0,IF(($E266=INDEX(_xlfn.ANCHORARRAY(Sintesi!$C$14),1,$C266))*(INDEX(_xlfn.ANCHORARRAY(Sintesi!$C$15),1,$C266)&gt;0),0,IF(($E266=INDEX(_xlfn.ANCHORARRAY(Sintesi!$C$14),1,$C266))*(INDEX(_xlfn.ANCHORARRAY(Sintesi!$C$15),1,$C266)&lt;0)+($E266&gt;=$E265)*($E266&lt;=$E267)*($E266&gt;INDEX(_xlfn.ANCHORARRAY(Sintesi!$C$14),1,$C266))*($E266&lt;=INDEX(_xlfn.ANCHORARRAY(Sintesi!$C$15),1,$C266))*(INDEX(_xlfn.ANCHORARRAY(Sintesi!$C$15),1,$C266)&gt;0),1,IF(($E266&gt;=$E265)*($E266&lt;=$E267)*($E266&gt;INDEX(_xlfn.ANCHORARRAY(Sintesi!$C$14),1,$C266))*($E266&lt;INDEX(_xlfn.ANCHORARRAY(Sintesi!$C$16),1,$C266))*(INDEX(_xlfn.ANCHORARRAY(Sintesi!$C$15),1,$C266)&lt;0)+($E266&gt;=$E265)*($E266&lt;=$E267)*($E266&gt;INDEX(_xlfn.ANCHORARRAY(Sintesi!$C$15),1,$C266))*($E266&lt;INDEX(_xlfn.ANCHORARRAY(Sintesi!$C$16),1,$C266))*(INDEX(_xlfn.ANCHORARRAY(Sintesi!$C$15),1,$C266)&gt;0),2,IF($E266=(INDEX(_xlfn.ANCHORARRAY(Sintesi!$C$16),1,$C266)),3,4)))),0),IF($C266&gt;0,IF(($E266=INDEX(_xlfn.ANCHORARRAY(Sintesi!$C$14),1,$C266))*(INDEX(_xlfn.ANCHORARRAY(Sintesi!$C$15),1,$C266)&gt;0),0,IF(($E266=INDEX(_xlfn.ANCHORARRAY(Sintesi!$C$14),1,$C266))*(INDEX(_xlfn.ANCHORARRAY(Sintesi!$C$15),1,$C266)&lt;0)+($E266&gt;=LOOKUP(2,1/($E:$E&lt;&gt;""),$E:$E))*($E266&lt;=$E267)*($E266&gt;INDEX(_xlfn.ANCHORARRAY(Sintesi!$C$14),1,$C266))*($E266&lt;=INDEX(_xlfn.ANCHORARRAY(Sintesi!$C$15),1,$C266))*(INDEX(_xlfn.ANCHORARRAY(Sintesi!$C$15),1,$C266)&gt;0),1,IF(($E266&gt;=LOOKUP(2,1/($E:$E&lt;&gt;""),$E:$E))*($E266&lt;=$E267)*($E266&gt;INDEX(_xlfn.ANCHORARRAY(Sintesi!$C$14),1,$C266))*($E266&lt;INDEX(_xlfn.ANCHORARRAY(Sintesi!$C$16),1,$C266))*(INDEX(_xlfn.ANCHORARRAY(Sintesi!$C$15),1,$C266)&lt;0)+($E266&gt;=LOOKUP(2,1/($E:$E&lt;&gt;""),$E:$E))*($E266&lt;=$E267)*($E266&gt;INDEX(_xlfn.ANCHORARRAY(Sintesi!$C$15),1,$C266))*($E266&lt;INDEX(_xlfn.ANCHORARRAY(Sintesi!$C$16),1,$C266))*(INDEX(_xlfn.ANCHORARRAY(Sintesi!$C$15),1,$C266)&gt;0),2,IF($E266=(INDEX(_xlfn.ANCHORARRAY(Sintesi!$C$16),1,$C266)),3,4)))),0)))</f>
        <v>0</v>
      </c>
      <c r="E266" s="1">
        <f>'Paste cell here'!F266</f>
        <v>0</v>
      </c>
      <c r="F266" s="1">
        <f>'Paste cell here'!C266</f>
        <v>25.364055199999999</v>
      </c>
      <c r="G266" s="1">
        <f>'Paste cell here'!D266</f>
        <v>13.16124941</v>
      </c>
      <c r="H266" s="1">
        <f>'Paste cell here'!E266</f>
        <v>2.7898059220000002</v>
      </c>
      <c r="I266" s="1">
        <f>'Paste cell here'!X266</f>
        <v>0</v>
      </c>
      <c r="J266" s="1">
        <f>'Paste cell here'!Y266+'Paste cell here'!S266</f>
        <v>0</v>
      </c>
      <c r="K266" s="1">
        <f t="shared" si="9"/>
        <v>0</v>
      </c>
      <c r="L266" s="1">
        <f t="shared" si="8"/>
        <v>20.796783392630768</v>
      </c>
      <c r="M266" s="1" cm="1">
        <f t="array" ref="M266">IF(AND(A266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,A266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),IF(L266&lt;_xlfn.IFNA(INDEX(_xlfn.ANCHORARRAY(Sintesi!$C$17)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,1,IF(L266&gt;=_xlfn.IFNA(INDEX(_xlfn.ANCHORARRAY(Sintesi!$C$18)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,0,1-(L266-_xlfn.IFNA(INDEX(_xlfn.ANCHORARRAY(Sintesi!$C$17)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)/(_xlfn.IFNA(INDEX(_xlfn.ANCHORARRAY(Sintesi!$C$18)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-_xlfn.IFNA(INDEX(_xlfn.ANCHORARRAY(Sintesi!$C$17),1,MATCH(1,(_xlfn.ANCHORARRAY(Sintesi!$C$9)&gt;_xlfn.ANCHORARRAY(Sintesi!$C$10))*(A265&gt;=_xlfn.ANCHORARRAY(Sintesi!$C$9))+(_xlfn.ANCHORARRAY(Sintesi!$C$9)&gt;_xlfn.ANCHORARRAY(Sintesi!$C$10))*(A265&lt;=_xlfn.ANCHORARRAY(Sintesi!$C$10))+(_xlfn.ANCHORARRAY(Sintesi!$C$9)&lt;_xlfn.ANCHORARRAY(Sintesi!$C$10))*(A265&gt;=_xlfn.ANCHORARRAY(Sintesi!$C$9))*(A265&lt;=_xlfn.ANCHORARRAY(Sintesi!$C$10)),0)),0)))),0)</f>
        <v>0</v>
      </c>
    </row>
    <row r="267" spans="1:13">
      <c r="A267" s="1">
        <f>'Paste cell here'!A267</f>
        <v>266</v>
      </c>
      <c r="B267" s="2">
        <f>DATE(Sintesi!$C$4-1,12,31)+A267</f>
        <v>44462</v>
      </c>
      <c r="C267" s="34" cm="1">
        <f t="array" ref="C267">_xlfn.IFNA(MATCH(1,(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)*(_xlfn.ANCHORARRAY(Sintesi!$C$15)&gt;=0)+(_xlfn.ANCHORARRAY(Sintesi!$C$15)&lt;0),0),0)</f>
        <v>0</v>
      </c>
      <c r="D267" s="1" cm="1">
        <f t="array" ref="D267">IF(ISBLANK($E268),IF(ISNUMBER($E266),IF($C267&gt;0,IF(($E267=INDEX(_xlfn.ANCHORARRAY(Sintesi!$C$14),1,$C267))*(INDEX(_xlfn.ANCHORARRAY(Sintesi!$C$15),1,$C267)&gt;0),0,IF(($E267=INDEX(_xlfn.ANCHORARRAY(Sintesi!$C$14),1,$C267))*(INDEX(_xlfn.ANCHORARRAY(Sintesi!$C$15),1,$C267)&lt;0)+($E267&gt;=$E266)*($E267&lt;=INDEX($E:$E,MATCH(TRUE,INDEX((ISNUMBER($E:$E)),0),0)))*($E267&gt;INDEX(_xlfn.ANCHORARRAY(Sintesi!$C$14),1,$C267))*($E267&lt;=INDEX(_xlfn.ANCHORARRAY(Sintesi!$C$15),1,$C267))*(INDEX(_xlfn.ANCHORARRAY(Sintesi!$C$15),1,$C267)&gt;0),1,IF(($E267&gt;=$E266)*($E267&lt;=INDEX($E:$E,MATCH(TRUE,INDEX((ISNUMBER($E:$E)),0),0)))*($E267&gt;INDEX(_xlfn.ANCHORARRAY(Sintesi!$C$14),1,$C267))*($E267&lt;INDEX(_xlfn.ANCHORARRAY(Sintesi!$C$16),1,$C267))*(INDEX(_xlfn.ANCHORARRAY(Sintesi!$C$15),1,$C267)&lt;0)+($E267&gt;=$E266)*($E267&lt;=INDEX($E:$E,MATCH(TRUE,INDEX((ISNUMBER($E:$E)),0),0)))*($E267&gt;INDEX(_xlfn.ANCHORARRAY(Sintesi!$C$15),1,$C267))*($E267&lt;INDEX(_xlfn.ANCHORARRAY(Sintesi!$C$16),1,$C267))*(INDEX(_xlfn.ANCHORARRAY(Sintesi!$C$15),1,$C267)&gt;0),2,IF($E267=(INDEX(_xlfn.ANCHORARRAY(Sintesi!$C$16),1,$C267)),3,4)))),0),IF($C267&gt;0,IF(($E267=INDEX(_xlfn.ANCHORARRAY(Sintesi!$C$14),1,$C267))*(INDEX(_xlfn.ANCHORARRAY(Sintesi!$C$15),1,$C267)&gt;0),0,IF(($E267=INDEX(_xlfn.ANCHORARRAY(Sintesi!$C$14),1,$C267))*(INDEX(_xlfn.ANCHORARRAY(Sintesi!$C$15),1,$C267)&lt;0)+($E267&gt;=LOOKUP(2,1/($E:$E&lt;&gt;""),$E:$E))*($E267&lt;=INDEX($E:$E,MATCH(TRUE,INDEX((ISNUMBER($E:$E)),0),0)))*($E267&gt;INDEX(_xlfn.ANCHORARRAY(Sintesi!$C$14),1,$C267))*($E267&lt;=INDEX(_xlfn.ANCHORARRAY(Sintesi!$C$15),1,$C267))*(INDEX(_xlfn.ANCHORARRAY(Sintesi!$C$15),1,$C267)&gt;0),1,IF(($E267&gt;=LOOKUP(2,1/($E:$E&lt;&gt;""),$E:$E))*($E267&lt;=INDEX($E:$E,MATCH(TRUE,INDEX((ISNUMBER($E:$E)),0),0)))*($E267&gt;INDEX(_xlfn.ANCHORARRAY(Sintesi!$C$14),1,$C267))*($E267&lt;INDEX(_xlfn.ANCHORARRAY(Sintesi!$C$16),1,$C267))*(INDEX(_xlfn.ANCHORARRAY(Sintesi!$C$15),1,$C267)&lt;0)+($E267&gt;=LOOKUP(2,1/($E:$E&lt;&gt;""),$E:$E))*($E267&lt;=INDEX($E:$E,MATCH(TRUE,INDEX((ISNUMBER($E:$E)),0),0)))*($E267&gt;INDEX(_xlfn.ANCHORARRAY(Sintesi!$C$15),1,$C267))*($E267&lt;INDEX(_xlfn.ANCHORARRAY(Sintesi!$C$16),1,$C267))*(INDEX(_xlfn.ANCHORARRAY(Sintesi!$C$15),1,$C267)&gt;0),2,IF($E267=(INDEX(_xlfn.ANCHORARRAY(Sintesi!$C$16),1,$C267)),3,4)))),0)),IF(ISNUMBER($E266),IF($C267&gt;0,IF(($E267=INDEX(_xlfn.ANCHORARRAY(Sintesi!$C$14),1,$C267))*(INDEX(_xlfn.ANCHORARRAY(Sintesi!$C$15),1,$C267)&gt;0),0,IF(($E267=INDEX(_xlfn.ANCHORARRAY(Sintesi!$C$14),1,$C267))*(INDEX(_xlfn.ANCHORARRAY(Sintesi!$C$15),1,$C267)&lt;0)+($E267&gt;=$E266)*($E267&lt;=$E268)*($E267&gt;INDEX(_xlfn.ANCHORARRAY(Sintesi!$C$14),1,$C267))*($E267&lt;=INDEX(_xlfn.ANCHORARRAY(Sintesi!$C$15),1,$C267))*(INDEX(_xlfn.ANCHORARRAY(Sintesi!$C$15),1,$C267)&gt;0),1,IF(($E267&gt;=$E266)*($E267&lt;=$E268)*($E267&gt;INDEX(_xlfn.ANCHORARRAY(Sintesi!$C$14),1,$C267))*($E267&lt;INDEX(_xlfn.ANCHORARRAY(Sintesi!$C$16),1,$C267))*(INDEX(_xlfn.ANCHORARRAY(Sintesi!$C$15),1,$C267)&lt;0)+($E267&gt;=$E266)*($E267&lt;=$E268)*($E267&gt;INDEX(_xlfn.ANCHORARRAY(Sintesi!$C$15),1,$C267))*($E267&lt;INDEX(_xlfn.ANCHORARRAY(Sintesi!$C$16),1,$C267))*(INDEX(_xlfn.ANCHORARRAY(Sintesi!$C$15),1,$C267)&gt;0),2,IF($E267=(INDEX(_xlfn.ANCHORARRAY(Sintesi!$C$16),1,$C267)),3,4)))),0),IF($C267&gt;0,IF(($E267=INDEX(_xlfn.ANCHORARRAY(Sintesi!$C$14),1,$C267))*(INDEX(_xlfn.ANCHORARRAY(Sintesi!$C$15),1,$C267)&gt;0),0,IF(($E267=INDEX(_xlfn.ANCHORARRAY(Sintesi!$C$14),1,$C267))*(INDEX(_xlfn.ANCHORARRAY(Sintesi!$C$15),1,$C267)&lt;0)+($E267&gt;=LOOKUP(2,1/($E:$E&lt;&gt;""),$E:$E))*($E267&lt;=$E268)*($E267&gt;INDEX(_xlfn.ANCHORARRAY(Sintesi!$C$14),1,$C267))*($E267&lt;=INDEX(_xlfn.ANCHORARRAY(Sintesi!$C$15),1,$C267))*(INDEX(_xlfn.ANCHORARRAY(Sintesi!$C$15),1,$C267)&gt;0),1,IF(($E267&gt;=LOOKUP(2,1/($E:$E&lt;&gt;""),$E:$E))*($E267&lt;=$E268)*($E267&gt;INDEX(_xlfn.ANCHORARRAY(Sintesi!$C$14),1,$C267))*($E267&lt;INDEX(_xlfn.ANCHORARRAY(Sintesi!$C$16),1,$C267))*(INDEX(_xlfn.ANCHORARRAY(Sintesi!$C$15),1,$C267)&lt;0)+($E267&gt;=LOOKUP(2,1/($E:$E&lt;&gt;""),$E:$E))*($E267&lt;=$E268)*($E267&gt;INDEX(_xlfn.ANCHORARRAY(Sintesi!$C$15),1,$C267))*($E267&lt;INDEX(_xlfn.ANCHORARRAY(Sintesi!$C$16),1,$C267))*(INDEX(_xlfn.ANCHORARRAY(Sintesi!$C$15),1,$C267)&gt;0),2,IF($E267=(INDEX(_xlfn.ANCHORARRAY(Sintesi!$C$16),1,$C267)),3,4)))),0)))</f>
        <v>0</v>
      </c>
      <c r="E267" s="1">
        <f>'Paste cell here'!F267</f>
        <v>0</v>
      </c>
      <c r="F267" s="1">
        <f>'Paste cell here'!C267</f>
        <v>25.1640552</v>
      </c>
      <c r="G267" s="1">
        <f>'Paste cell here'!D267</f>
        <v>13.961249410000001</v>
      </c>
      <c r="H267" s="1">
        <f>'Paste cell here'!E267</f>
        <v>2.710018357</v>
      </c>
      <c r="I267" s="1">
        <f>'Paste cell here'!X267</f>
        <v>0</v>
      </c>
      <c r="J267" s="1">
        <f>'Paste cell here'!Y267+'Paste cell here'!S267</f>
        <v>0</v>
      </c>
      <c r="K267" s="1">
        <f t="shared" si="9"/>
        <v>0</v>
      </c>
      <c r="L267" s="1">
        <f t="shared" si="8"/>
        <v>20.971063856154331</v>
      </c>
      <c r="M267" s="1" cm="1">
        <f t="array" ref="M267">IF(AND(A267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,A267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),IF(L267&lt;_xlfn.IFNA(INDEX(_xlfn.ANCHORARRAY(Sintesi!$C$17)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,1,IF(L267&gt;=_xlfn.IFNA(INDEX(_xlfn.ANCHORARRAY(Sintesi!$C$18)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,0,1-(L267-_xlfn.IFNA(INDEX(_xlfn.ANCHORARRAY(Sintesi!$C$17)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)/(_xlfn.IFNA(INDEX(_xlfn.ANCHORARRAY(Sintesi!$C$18)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-_xlfn.IFNA(INDEX(_xlfn.ANCHORARRAY(Sintesi!$C$17),1,MATCH(1,(_xlfn.ANCHORARRAY(Sintesi!$C$9)&gt;_xlfn.ANCHORARRAY(Sintesi!$C$10))*(A266&gt;=_xlfn.ANCHORARRAY(Sintesi!$C$9))+(_xlfn.ANCHORARRAY(Sintesi!$C$9)&gt;_xlfn.ANCHORARRAY(Sintesi!$C$10))*(A266&lt;=_xlfn.ANCHORARRAY(Sintesi!$C$10))+(_xlfn.ANCHORARRAY(Sintesi!$C$9)&lt;_xlfn.ANCHORARRAY(Sintesi!$C$10))*(A266&gt;=_xlfn.ANCHORARRAY(Sintesi!$C$9))*(A266&lt;=_xlfn.ANCHORARRAY(Sintesi!$C$10)),0)),0)))),0)</f>
        <v>0</v>
      </c>
    </row>
    <row r="268" spans="1:13">
      <c r="A268" s="1">
        <f>'Paste cell here'!A268</f>
        <v>267</v>
      </c>
      <c r="B268" s="2">
        <f>DATE(Sintesi!$C$4-1,12,31)+A268</f>
        <v>44463</v>
      </c>
      <c r="C268" s="34" cm="1">
        <f t="array" ref="C268">_xlfn.IFNA(MATCH(1,(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)*(_xlfn.ANCHORARRAY(Sintesi!$C$15)&gt;=0)+(_xlfn.ANCHORARRAY(Sintesi!$C$15)&lt;0),0),0)</f>
        <v>0</v>
      </c>
      <c r="D268" s="1" cm="1">
        <f t="array" ref="D268">IF(ISBLANK($E269),IF(ISNUMBER($E267),IF($C268&gt;0,IF(($E268=INDEX(_xlfn.ANCHORARRAY(Sintesi!$C$14),1,$C268))*(INDEX(_xlfn.ANCHORARRAY(Sintesi!$C$15),1,$C268)&gt;0),0,IF(($E268=INDEX(_xlfn.ANCHORARRAY(Sintesi!$C$14),1,$C268))*(INDEX(_xlfn.ANCHORARRAY(Sintesi!$C$15),1,$C268)&lt;0)+($E268&gt;=$E267)*($E268&lt;=INDEX($E:$E,MATCH(TRUE,INDEX((ISNUMBER($E:$E)),0),0)))*($E268&gt;INDEX(_xlfn.ANCHORARRAY(Sintesi!$C$14),1,$C268))*($E268&lt;=INDEX(_xlfn.ANCHORARRAY(Sintesi!$C$15),1,$C268))*(INDEX(_xlfn.ANCHORARRAY(Sintesi!$C$15),1,$C268)&gt;0),1,IF(($E268&gt;=$E267)*($E268&lt;=INDEX($E:$E,MATCH(TRUE,INDEX((ISNUMBER($E:$E)),0),0)))*($E268&gt;INDEX(_xlfn.ANCHORARRAY(Sintesi!$C$14),1,$C268))*($E268&lt;INDEX(_xlfn.ANCHORARRAY(Sintesi!$C$16),1,$C268))*(INDEX(_xlfn.ANCHORARRAY(Sintesi!$C$15),1,$C268)&lt;0)+($E268&gt;=$E267)*($E268&lt;=INDEX($E:$E,MATCH(TRUE,INDEX((ISNUMBER($E:$E)),0),0)))*($E268&gt;INDEX(_xlfn.ANCHORARRAY(Sintesi!$C$15),1,$C268))*($E268&lt;INDEX(_xlfn.ANCHORARRAY(Sintesi!$C$16),1,$C268))*(INDEX(_xlfn.ANCHORARRAY(Sintesi!$C$15),1,$C268)&gt;0),2,IF($E268=(INDEX(_xlfn.ANCHORARRAY(Sintesi!$C$16),1,$C268)),3,4)))),0),IF($C268&gt;0,IF(($E268=INDEX(_xlfn.ANCHORARRAY(Sintesi!$C$14),1,$C268))*(INDEX(_xlfn.ANCHORARRAY(Sintesi!$C$15),1,$C268)&gt;0),0,IF(($E268=INDEX(_xlfn.ANCHORARRAY(Sintesi!$C$14),1,$C268))*(INDEX(_xlfn.ANCHORARRAY(Sintesi!$C$15),1,$C268)&lt;0)+($E268&gt;=LOOKUP(2,1/($E:$E&lt;&gt;""),$E:$E))*($E268&lt;=INDEX($E:$E,MATCH(TRUE,INDEX((ISNUMBER($E:$E)),0),0)))*($E268&gt;INDEX(_xlfn.ANCHORARRAY(Sintesi!$C$14),1,$C268))*($E268&lt;=INDEX(_xlfn.ANCHORARRAY(Sintesi!$C$15),1,$C268))*(INDEX(_xlfn.ANCHORARRAY(Sintesi!$C$15),1,$C268)&gt;0),1,IF(($E268&gt;=LOOKUP(2,1/($E:$E&lt;&gt;""),$E:$E))*($E268&lt;=INDEX($E:$E,MATCH(TRUE,INDEX((ISNUMBER($E:$E)),0),0)))*($E268&gt;INDEX(_xlfn.ANCHORARRAY(Sintesi!$C$14),1,$C268))*($E268&lt;INDEX(_xlfn.ANCHORARRAY(Sintesi!$C$16),1,$C268))*(INDEX(_xlfn.ANCHORARRAY(Sintesi!$C$15),1,$C268)&lt;0)+($E268&gt;=LOOKUP(2,1/($E:$E&lt;&gt;""),$E:$E))*($E268&lt;=INDEX($E:$E,MATCH(TRUE,INDEX((ISNUMBER($E:$E)),0),0)))*($E268&gt;INDEX(_xlfn.ANCHORARRAY(Sintesi!$C$15),1,$C268))*($E268&lt;INDEX(_xlfn.ANCHORARRAY(Sintesi!$C$16),1,$C268))*(INDEX(_xlfn.ANCHORARRAY(Sintesi!$C$15),1,$C268)&gt;0),2,IF($E268=(INDEX(_xlfn.ANCHORARRAY(Sintesi!$C$16),1,$C268)),3,4)))),0)),IF(ISNUMBER($E267),IF($C268&gt;0,IF(($E268=INDEX(_xlfn.ANCHORARRAY(Sintesi!$C$14),1,$C268))*(INDEX(_xlfn.ANCHORARRAY(Sintesi!$C$15),1,$C268)&gt;0),0,IF(($E268=INDEX(_xlfn.ANCHORARRAY(Sintesi!$C$14),1,$C268))*(INDEX(_xlfn.ANCHORARRAY(Sintesi!$C$15),1,$C268)&lt;0)+($E268&gt;=$E267)*($E268&lt;=$E269)*($E268&gt;INDEX(_xlfn.ANCHORARRAY(Sintesi!$C$14),1,$C268))*($E268&lt;=INDEX(_xlfn.ANCHORARRAY(Sintesi!$C$15),1,$C268))*(INDEX(_xlfn.ANCHORARRAY(Sintesi!$C$15),1,$C268)&gt;0),1,IF(($E268&gt;=$E267)*($E268&lt;=$E269)*($E268&gt;INDEX(_xlfn.ANCHORARRAY(Sintesi!$C$14),1,$C268))*($E268&lt;INDEX(_xlfn.ANCHORARRAY(Sintesi!$C$16),1,$C268))*(INDEX(_xlfn.ANCHORARRAY(Sintesi!$C$15),1,$C268)&lt;0)+($E268&gt;=$E267)*($E268&lt;=$E269)*($E268&gt;INDEX(_xlfn.ANCHORARRAY(Sintesi!$C$15),1,$C268))*($E268&lt;INDEX(_xlfn.ANCHORARRAY(Sintesi!$C$16),1,$C268))*(INDEX(_xlfn.ANCHORARRAY(Sintesi!$C$15),1,$C268)&gt;0),2,IF($E268=(INDEX(_xlfn.ANCHORARRAY(Sintesi!$C$16),1,$C268)),3,4)))),0),IF($C268&gt;0,IF(($E268=INDEX(_xlfn.ANCHORARRAY(Sintesi!$C$14),1,$C268))*(INDEX(_xlfn.ANCHORARRAY(Sintesi!$C$15),1,$C268)&gt;0),0,IF(($E268=INDEX(_xlfn.ANCHORARRAY(Sintesi!$C$14),1,$C268))*(INDEX(_xlfn.ANCHORARRAY(Sintesi!$C$15),1,$C268)&lt;0)+($E268&gt;=LOOKUP(2,1/($E:$E&lt;&gt;""),$E:$E))*($E268&lt;=$E269)*($E268&gt;INDEX(_xlfn.ANCHORARRAY(Sintesi!$C$14),1,$C268))*($E268&lt;=INDEX(_xlfn.ANCHORARRAY(Sintesi!$C$15),1,$C268))*(INDEX(_xlfn.ANCHORARRAY(Sintesi!$C$15),1,$C268)&gt;0),1,IF(($E268&gt;=LOOKUP(2,1/($E:$E&lt;&gt;""),$E:$E))*($E268&lt;=$E269)*($E268&gt;INDEX(_xlfn.ANCHORARRAY(Sintesi!$C$14),1,$C268))*($E268&lt;INDEX(_xlfn.ANCHORARRAY(Sintesi!$C$16),1,$C268))*(INDEX(_xlfn.ANCHORARRAY(Sintesi!$C$15),1,$C268)&lt;0)+($E268&gt;=LOOKUP(2,1/($E:$E&lt;&gt;""),$E:$E))*($E268&lt;=$E269)*($E268&gt;INDEX(_xlfn.ANCHORARRAY(Sintesi!$C$15),1,$C268))*($E268&lt;INDEX(_xlfn.ANCHORARRAY(Sintesi!$C$16),1,$C268))*(INDEX(_xlfn.ANCHORARRAY(Sintesi!$C$15),1,$C268)&gt;0),2,IF($E268=(INDEX(_xlfn.ANCHORARRAY(Sintesi!$C$16),1,$C268)),3,4)))),0)))</f>
        <v>0</v>
      </c>
      <c r="E268" s="1">
        <f>'Paste cell here'!F268</f>
        <v>0</v>
      </c>
      <c r="F268" s="1">
        <f>'Paste cell here'!C268</f>
        <v>26.938750590000001</v>
      </c>
      <c r="G268" s="1">
        <f>'Paste cell here'!D268</f>
        <v>11.71528457</v>
      </c>
      <c r="H268" s="1">
        <f>'Paste cell here'!E268</f>
        <v>2.838285956</v>
      </c>
      <c r="I268" s="1">
        <f>'Paste cell here'!X268</f>
        <v>0</v>
      </c>
      <c r="J268" s="1">
        <f>'Paste cell here'!Y268+'Paste cell here'!S268</f>
        <v>0</v>
      </c>
      <c r="K268" s="1">
        <f t="shared" si="9"/>
        <v>0</v>
      </c>
      <c r="L268" s="1">
        <f t="shared" si="8"/>
        <v>21.240904671599171</v>
      </c>
      <c r="M268" s="1" cm="1">
        <f t="array" ref="M268">IF(AND(A268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,A268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),IF(L268&lt;_xlfn.IFNA(INDEX(_xlfn.ANCHORARRAY(Sintesi!$C$17)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,1,IF(L268&gt;=_xlfn.IFNA(INDEX(_xlfn.ANCHORARRAY(Sintesi!$C$18)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,0,1-(L268-_xlfn.IFNA(INDEX(_xlfn.ANCHORARRAY(Sintesi!$C$17)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)/(_xlfn.IFNA(INDEX(_xlfn.ANCHORARRAY(Sintesi!$C$18)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-_xlfn.IFNA(INDEX(_xlfn.ANCHORARRAY(Sintesi!$C$17),1,MATCH(1,(_xlfn.ANCHORARRAY(Sintesi!$C$9)&gt;_xlfn.ANCHORARRAY(Sintesi!$C$10))*(A267&gt;=_xlfn.ANCHORARRAY(Sintesi!$C$9))+(_xlfn.ANCHORARRAY(Sintesi!$C$9)&gt;_xlfn.ANCHORARRAY(Sintesi!$C$10))*(A267&lt;=_xlfn.ANCHORARRAY(Sintesi!$C$10))+(_xlfn.ANCHORARRAY(Sintesi!$C$9)&lt;_xlfn.ANCHORARRAY(Sintesi!$C$10))*(A267&gt;=_xlfn.ANCHORARRAY(Sintesi!$C$9))*(A267&lt;=_xlfn.ANCHORARRAY(Sintesi!$C$10)),0)),0)))),0)</f>
        <v>0</v>
      </c>
    </row>
    <row r="269" spans="1:13">
      <c r="A269" s="1">
        <f>'Paste cell here'!A269</f>
        <v>268</v>
      </c>
      <c r="B269" s="2">
        <f>DATE(Sintesi!$C$4-1,12,31)+A269</f>
        <v>44464</v>
      </c>
      <c r="C269" s="34" cm="1">
        <f t="array" ref="C269">_xlfn.IFNA(MATCH(1,(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)*(_xlfn.ANCHORARRAY(Sintesi!$C$15)&gt;=0)+(_xlfn.ANCHORARRAY(Sintesi!$C$15)&lt;0),0),0)</f>
        <v>0</v>
      </c>
      <c r="D269" s="1" cm="1">
        <f t="array" ref="D269">IF(ISBLANK($E270),IF(ISNUMBER($E268),IF($C269&gt;0,IF(($E269=INDEX(_xlfn.ANCHORARRAY(Sintesi!$C$14),1,$C269))*(INDEX(_xlfn.ANCHORARRAY(Sintesi!$C$15),1,$C269)&gt;0),0,IF(($E269=INDEX(_xlfn.ANCHORARRAY(Sintesi!$C$14),1,$C269))*(INDEX(_xlfn.ANCHORARRAY(Sintesi!$C$15),1,$C269)&lt;0)+($E269&gt;=$E268)*($E269&lt;=INDEX($E:$E,MATCH(TRUE,INDEX((ISNUMBER($E:$E)),0),0)))*($E269&gt;INDEX(_xlfn.ANCHORARRAY(Sintesi!$C$14),1,$C269))*($E269&lt;=INDEX(_xlfn.ANCHORARRAY(Sintesi!$C$15),1,$C269))*(INDEX(_xlfn.ANCHORARRAY(Sintesi!$C$15),1,$C269)&gt;0),1,IF(($E269&gt;=$E268)*($E269&lt;=INDEX($E:$E,MATCH(TRUE,INDEX((ISNUMBER($E:$E)),0),0)))*($E269&gt;INDEX(_xlfn.ANCHORARRAY(Sintesi!$C$14),1,$C269))*($E269&lt;INDEX(_xlfn.ANCHORARRAY(Sintesi!$C$16),1,$C269))*(INDEX(_xlfn.ANCHORARRAY(Sintesi!$C$15),1,$C269)&lt;0)+($E269&gt;=$E268)*($E269&lt;=INDEX($E:$E,MATCH(TRUE,INDEX((ISNUMBER($E:$E)),0),0)))*($E269&gt;INDEX(_xlfn.ANCHORARRAY(Sintesi!$C$15),1,$C269))*($E269&lt;INDEX(_xlfn.ANCHORARRAY(Sintesi!$C$16),1,$C269))*(INDEX(_xlfn.ANCHORARRAY(Sintesi!$C$15),1,$C269)&gt;0),2,IF($E269=(INDEX(_xlfn.ANCHORARRAY(Sintesi!$C$16),1,$C269)),3,4)))),0),IF($C269&gt;0,IF(($E269=INDEX(_xlfn.ANCHORARRAY(Sintesi!$C$14),1,$C269))*(INDEX(_xlfn.ANCHORARRAY(Sintesi!$C$15),1,$C269)&gt;0),0,IF(($E269=INDEX(_xlfn.ANCHORARRAY(Sintesi!$C$14),1,$C269))*(INDEX(_xlfn.ANCHORARRAY(Sintesi!$C$15),1,$C269)&lt;0)+($E269&gt;=LOOKUP(2,1/($E:$E&lt;&gt;""),$E:$E))*($E269&lt;=INDEX($E:$E,MATCH(TRUE,INDEX((ISNUMBER($E:$E)),0),0)))*($E269&gt;INDEX(_xlfn.ANCHORARRAY(Sintesi!$C$14),1,$C269))*($E269&lt;=INDEX(_xlfn.ANCHORARRAY(Sintesi!$C$15),1,$C269))*(INDEX(_xlfn.ANCHORARRAY(Sintesi!$C$15),1,$C269)&gt;0),1,IF(($E269&gt;=LOOKUP(2,1/($E:$E&lt;&gt;""),$E:$E))*($E269&lt;=INDEX($E:$E,MATCH(TRUE,INDEX((ISNUMBER($E:$E)),0),0)))*($E269&gt;INDEX(_xlfn.ANCHORARRAY(Sintesi!$C$14),1,$C269))*($E269&lt;INDEX(_xlfn.ANCHORARRAY(Sintesi!$C$16),1,$C269))*(INDEX(_xlfn.ANCHORARRAY(Sintesi!$C$15),1,$C269)&lt;0)+($E269&gt;=LOOKUP(2,1/($E:$E&lt;&gt;""),$E:$E))*($E269&lt;=INDEX($E:$E,MATCH(TRUE,INDEX((ISNUMBER($E:$E)),0),0)))*($E269&gt;INDEX(_xlfn.ANCHORARRAY(Sintesi!$C$15),1,$C269))*($E269&lt;INDEX(_xlfn.ANCHORARRAY(Sintesi!$C$16),1,$C269))*(INDEX(_xlfn.ANCHORARRAY(Sintesi!$C$15),1,$C269)&gt;0),2,IF($E269=(INDEX(_xlfn.ANCHORARRAY(Sintesi!$C$16),1,$C269)),3,4)))),0)),IF(ISNUMBER($E268),IF($C269&gt;0,IF(($E269=INDEX(_xlfn.ANCHORARRAY(Sintesi!$C$14),1,$C269))*(INDEX(_xlfn.ANCHORARRAY(Sintesi!$C$15),1,$C269)&gt;0),0,IF(($E269=INDEX(_xlfn.ANCHORARRAY(Sintesi!$C$14),1,$C269))*(INDEX(_xlfn.ANCHORARRAY(Sintesi!$C$15),1,$C269)&lt;0)+($E269&gt;=$E268)*($E269&lt;=$E270)*($E269&gt;INDEX(_xlfn.ANCHORARRAY(Sintesi!$C$14),1,$C269))*($E269&lt;=INDEX(_xlfn.ANCHORARRAY(Sintesi!$C$15),1,$C269))*(INDEX(_xlfn.ANCHORARRAY(Sintesi!$C$15),1,$C269)&gt;0),1,IF(($E269&gt;=$E268)*($E269&lt;=$E270)*($E269&gt;INDEX(_xlfn.ANCHORARRAY(Sintesi!$C$14),1,$C269))*($E269&lt;INDEX(_xlfn.ANCHORARRAY(Sintesi!$C$16),1,$C269))*(INDEX(_xlfn.ANCHORARRAY(Sintesi!$C$15),1,$C269)&lt;0)+($E269&gt;=$E268)*($E269&lt;=$E270)*($E269&gt;INDEX(_xlfn.ANCHORARRAY(Sintesi!$C$15),1,$C269))*($E269&lt;INDEX(_xlfn.ANCHORARRAY(Sintesi!$C$16),1,$C269))*(INDEX(_xlfn.ANCHORARRAY(Sintesi!$C$15),1,$C269)&gt;0),2,IF($E269=(INDEX(_xlfn.ANCHORARRAY(Sintesi!$C$16),1,$C269)),3,4)))),0),IF($C269&gt;0,IF(($E269=INDEX(_xlfn.ANCHORARRAY(Sintesi!$C$14),1,$C269))*(INDEX(_xlfn.ANCHORARRAY(Sintesi!$C$15),1,$C269)&gt;0),0,IF(($E269=INDEX(_xlfn.ANCHORARRAY(Sintesi!$C$14),1,$C269))*(INDEX(_xlfn.ANCHORARRAY(Sintesi!$C$15),1,$C269)&lt;0)+($E269&gt;=LOOKUP(2,1/($E:$E&lt;&gt;""),$E:$E))*($E269&lt;=$E270)*($E269&gt;INDEX(_xlfn.ANCHORARRAY(Sintesi!$C$14),1,$C269))*($E269&lt;=INDEX(_xlfn.ANCHORARRAY(Sintesi!$C$15),1,$C269))*(INDEX(_xlfn.ANCHORARRAY(Sintesi!$C$15),1,$C269)&gt;0),1,IF(($E269&gt;=LOOKUP(2,1/($E:$E&lt;&gt;""),$E:$E))*($E269&lt;=$E270)*($E269&gt;INDEX(_xlfn.ANCHORARRAY(Sintesi!$C$14),1,$C269))*($E269&lt;INDEX(_xlfn.ANCHORARRAY(Sintesi!$C$16),1,$C269))*(INDEX(_xlfn.ANCHORARRAY(Sintesi!$C$15),1,$C269)&lt;0)+($E269&gt;=LOOKUP(2,1/($E:$E&lt;&gt;""),$E:$E))*($E269&lt;=$E270)*($E269&gt;INDEX(_xlfn.ANCHORARRAY(Sintesi!$C$15),1,$C269))*($E269&lt;INDEX(_xlfn.ANCHORARRAY(Sintesi!$C$16),1,$C269))*(INDEX(_xlfn.ANCHORARRAY(Sintesi!$C$15),1,$C269)&gt;0),2,IF($E269=(INDEX(_xlfn.ANCHORARRAY(Sintesi!$C$16),1,$C269)),3,4)))),0)))</f>
        <v>0</v>
      </c>
      <c r="E269" s="1">
        <f>'Paste cell here'!F269</f>
        <v>0</v>
      </c>
      <c r="F269" s="1">
        <f>'Paste cell here'!C269</f>
        <v>25.33875059</v>
      </c>
      <c r="G269" s="1">
        <f>'Paste cell here'!D269</f>
        <v>14.933265069999999</v>
      </c>
      <c r="H269" s="1">
        <f>'Paste cell here'!E269</f>
        <v>2.0827786229999998</v>
      </c>
      <c r="I269" s="1">
        <f>'Paste cell here'!X269</f>
        <v>0</v>
      </c>
      <c r="J269" s="1">
        <f>'Paste cell here'!Y269+'Paste cell here'!S269</f>
        <v>0</v>
      </c>
      <c r="K269" s="1">
        <f t="shared" si="9"/>
        <v>0</v>
      </c>
      <c r="L269" s="1">
        <f t="shared" si="8"/>
        <v>21.444180646386663</v>
      </c>
      <c r="M269" s="1" cm="1">
        <f t="array" ref="M269">IF(AND(A269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,A269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),IF(L269&lt;_xlfn.IFNA(INDEX(_xlfn.ANCHORARRAY(Sintesi!$C$17)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,1,IF(L269&gt;=_xlfn.IFNA(INDEX(_xlfn.ANCHORARRAY(Sintesi!$C$18)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,0,1-(L269-_xlfn.IFNA(INDEX(_xlfn.ANCHORARRAY(Sintesi!$C$17)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)/(_xlfn.IFNA(INDEX(_xlfn.ANCHORARRAY(Sintesi!$C$18)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-_xlfn.IFNA(INDEX(_xlfn.ANCHORARRAY(Sintesi!$C$17),1,MATCH(1,(_xlfn.ANCHORARRAY(Sintesi!$C$9)&gt;_xlfn.ANCHORARRAY(Sintesi!$C$10))*(A268&gt;=_xlfn.ANCHORARRAY(Sintesi!$C$9))+(_xlfn.ANCHORARRAY(Sintesi!$C$9)&gt;_xlfn.ANCHORARRAY(Sintesi!$C$10))*(A268&lt;=_xlfn.ANCHORARRAY(Sintesi!$C$10))+(_xlfn.ANCHORARRAY(Sintesi!$C$9)&lt;_xlfn.ANCHORARRAY(Sintesi!$C$10))*(A268&gt;=_xlfn.ANCHORARRAY(Sintesi!$C$9))*(A268&lt;=_xlfn.ANCHORARRAY(Sintesi!$C$10)),0)),0)))),0)</f>
        <v>0</v>
      </c>
    </row>
    <row r="270" spans="1:13">
      <c r="A270" s="1">
        <f>'Paste cell here'!A270</f>
        <v>269</v>
      </c>
      <c r="B270" s="2">
        <f>DATE(Sintesi!$C$4-1,12,31)+A270</f>
        <v>44465</v>
      </c>
      <c r="C270" s="34" cm="1">
        <f t="array" ref="C270">_xlfn.IFNA(MATCH(1,(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)*(_xlfn.ANCHORARRAY(Sintesi!$C$15)&gt;=0)+(_xlfn.ANCHORARRAY(Sintesi!$C$15)&lt;0),0),0)</f>
        <v>0</v>
      </c>
      <c r="D270" s="1" cm="1">
        <f t="array" ref="D270">IF(ISBLANK($E271),IF(ISNUMBER($E269),IF($C270&gt;0,IF(($E270=INDEX(_xlfn.ANCHORARRAY(Sintesi!$C$14),1,$C270))*(INDEX(_xlfn.ANCHORARRAY(Sintesi!$C$15),1,$C270)&gt;0),0,IF(($E270=INDEX(_xlfn.ANCHORARRAY(Sintesi!$C$14),1,$C270))*(INDEX(_xlfn.ANCHORARRAY(Sintesi!$C$15),1,$C270)&lt;0)+($E270&gt;=$E269)*($E270&lt;=INDEX($E:$E,MATCH(TRUE,INDEX((ISNUMBER($E:$E)),0),0)))*($E270&gt;INDEX(_xlfn.ANCHORARRAY(Sintesi!$C$14),1,$C270))*($E270&lt;=INDEX(_xlfn.ANCHORARRAY(Sintesi!$C$15),1,$C270))*(INDEX(_xlfn.ANCHORARRAY(Sintesi!$C$15),1,$C270)&gt;0),1,IF(($E270&gt;=$E269)*($E270&lt;=INDEX($E:$E,MATCH(TRUE,INDEX((ISNUMBER($E:$E)),0),0)))*($E270&gt;INDEX(_xlfn.ANCHORARRAY(Sintesi!$C$14),1,$C270))*($E270&lt;INDEX(_xlfn.ANCHORARRAY(Sintesi!$C$16),1,$C270))*(INDEX(_xlfn.ANCHORARRAY(Sintesi!$C$15),1,$C270)&lt;0)+($E270&gt;=$E269)*($E270&lt;=INDEX($E:$E,MATCH(TRUE,INDEX((ISNUMBER($E:$E)),0),0)))*($E270&gt;INDEX(_xlfn.ANCHORARRAY(Sintesi!$C$15),1,$C270))*($E270&lt;INDEX(_xlfn.ANCHORARRAY(Sintesi!$C$16),1,$C270))*(INDEX(_xlfn.ANCHORARRAY(Sintesi!$C$15),1,$C270)&gt;0),2,IF($E270=(INDEX(_xlfn.ANCHORARRAY(Sintesi!$C$16),1,$C270)),3,4)))),0),IF($C270&gt;0,IF(($E270=INDEX(_xlfn.ANCHORARRAY(Sintesi!$C$14),1,$C270))*(INDEX(_xlfn.ANCHORARRAY(Sintesi!$C$15),1,$C270)&gt;0),0,IF(($E270=INDEX(_xlfn.ANCHORARRAY(Sintesi!$C$14),1,$C270))*(INDEX(_xlfn.ANCHORARRAY(Sintesi!$C$15),1,$C270)&lt;0)+($E270&gt;=LOOKUP(2,1/($E:$E&lt;&gt;""),$E:$E))*($E270&lt;=INDEX($E:$E,MATCH(TRUE,INDEX((ISNUMBER($E:$E)),0),0)))*($E270&gt;INDEX(_xlfn.ANCHORARRAY(Sintesi!$C$14),1,$C270))*($E270&lt;=INDEX(_xlfn.ANCHORARRAY(Sintesi!$C$15),1,$C270))*(INDEX(_xlfn.ANCHORARRAY(Sintesi!$C$15),1,$C270)&gt;0),1,IF(($E270&gt;=LOOKUP(2,1/($E:$E&lt;&gt;""),$E:$E))*($E270&lt;=INDEX($E:$E,MATCH(TRUE,INDEX((ISNUMBER($E:$E)),0),0)))*($E270&gt;INDEX(_xlfn.ANCHORARRAY(Sintesi!$C$14),1,$C270))*($E270&lt;INDEX(_xlfn.ANCHORARRAY(Sintesi!$C$16),1,$C270))*(INDEX(_xlfn.ANCHORARRAY(Sintesi!$C$15),1,$C270)&lt;0)+($E270&gt;=LOOKUP(2,1/($E:$E&lt;&gt;""),$E:$E))*($E270&lt;=INDEX($E:$E,MATCH(TRUE,INDEX((ISNUMBER($E:$E)),0),0)))*($E270&gt;INDEX(_xlfn.ANCHORARRAY(Sintesi!$C$15),1,$C270))*($E270&lt;INDEX(_xlfn.ANCHORARRAY(Sintesi!$C$16),1,$C270))*(INDEX(_xlfn.ANCHORARRAY(Sintesi!$C$15),1,$C270)&gt;0),2,IF($E270=(INDEX(_xlfn.ANCHORARRAY(Sintesi!$C$16),1,$C270)),3,4)))),0)),IF(ISNUMBER($E269),IF($C270&gt;0,IF(($E270=INDEX(_xlfn.ANCHORARRAY(Sintesi!$C$14),1,$C270))*(INDEX(_xlfn.ANCHORARRAY(Sintesi!$C$15),1,$C270)&gt;0),0,IF(($E270=INDEX(_xlfn.ANCHORARRAY(Sintesi!$C$14),1,$C270))*(INDEX(_xlfn.ANCHORARRAY(Sintesi!$C$15),1,$C270)&lt;0)+($E270&gt;=$E269)*($E270&lt;=$E271)*($E270&gt;INDEX(_xlfn.ANCHORARRAY(Sintesi!$C$14),1,$C270))*($E270&lt;=INDEX(_xlfn.ANCHORARRAY(Sintesi!$C$15),1,$C270))*(INDEX(_xlfn.ANCHORARRAY(Sintesi!$C$15),1,$C270)&gt;0),1,IF(($E270&gt;=$E269)*($E270&lt;=$E271)*($E270&gt;INDEX(_xlfn.ANCHORARRAY(Sintesi!$C$14),1,$C270))*($E270&lt;INDEX(_xlfn.ANCHORARRAY(Sintesi!$C$16),1,$C270))*(INDEX(_xlfn.ANCHORARRAY(Sintesi!$C$15),1,$C270)&lt;0)+($E270&gt;=$E269)*($E270&lt;=$E271)*($E270&gt;INDEX(_xlfn.ANCHORARRAY(Sintesi!$C$15),1,$C270))*($E270&lt;INDEX(_xlfn.ANCHORARRAY(Sintesi!$C$16),1,$C270))*(INDEX(_xlfn.ANCHORARRAY(Sintesi!$C$15),1,$C270)&gt;0),2,IF($E270=(INDEX(_xlfn.ANCHORARRAY(Sintesi!$C$16),1,$C270)),3,4)))),0),IF($C270&gt;0,IF(($E270=INDEX(_xlfn.ANCHORARRAY(Sintesi!$C$14),1,$C270))*(INDEX(_xlfn.ANCHORARRAY(Sintesi!$C$15),1,$C270)&gt;0),0,IF(($E270=INDEX(_xlfn.ANCHORARRAY(Sintesi!$C$14),1,$C270))*(INDEX(_xlfn.ANCHORARRAY(Sintesi!$C$15),1,$C270)&lt;0)+($E270&gt;=LOOKUP(2,1/($E:$E&lt;&gt;""),$E:$E))*($E270&lt;=$E271)*($E270&gt;INDEX(_xlfn.ANCHORARRAY(Sintesi!$C$14),1,$C270))*($E270&lt;=INDEX(_xlfn.ANCHORARRAY(Sintesi!$C$15),1,$C270))*(INDEX(_xlfn.ANCHORARRAY(Sintesi!$C$15),1,$C270)&gt;0),1,IF(($E270&gt;=LOOKUP(2,1/($E:$E&lt;&gt;""),$E:$E))*($E270&lt;=$E271)*($E270&gt;INDEX(_xlfn.ANCHORARRAY(Sintesi!$C$14),1,$C270))*($E270&lt;INDEX(_xlfn.ANCHORARRAY(Sintesi!$C$16),1,$C270))*(INDEX(_xlfn.ANCHORARRAY(Sintesi!$C$15),1,$C270)&lt;0)+($E270&gt;=LOOKUP(2,1/($E:$E&lt;&gt;""),$E:$E))*($E270&lt;=$E271)*($E270&gt;INDEX(_xlfn.ANCHORARRAY(Sintesi!$C$15),1,$C270))*($E270&lt;INDEX(_xlfn.ANCHORARRAY(Sintesi!$C$16),1,$C270))*(INDEX(_xlfn.ANCHORARRAY(Sintesi!$C$15),1,$C270)&gt;0),2,IF($E270=(INDEX(_xlfn.ANCHORARRAY(Sintesi!$C$16),1,$C270)),3,4)))),0)))</f>
        <v>0</v>
      </c>
      <c r="E270" s="1">
        <f>'Paste cell here'!F270</f>
        <v>0</v>
      </c>
      <c r="F270" s="1">
        <f>'Paste cell here'!C270</f>
        <v>20.410488669999999</v>
      </c>
      <c r="G270" s="1">
        <f>'Paste cell here'!D270</f>
        <v>15.21528457</v>
      </c>
      <c r="H270" s="1">
        <f>'Paste cell here'!E270</f>
        <v>0.91969377500000005</v>
      </c>
      <c r="I270" s="1">
        <f>'Paste cell here'!X270</f>
        <v>0</v>
      </c>
      <c r="J270" s="1">
        <f>'Paste cell here'!Y270+'Paste cell here'!S270</f>
        <v>0</v>
      </c>
      <c r="K270" s="1">
        <f t="shared" si="9"/>
        <v>0</v>
      </c>
      <c r="L270" s="1">
        <f t="shared" si="8"/>
        <v>18.466025271352482</v>
      </c>
      <c r="M270" s="1" cm="1">
        <f t="array" ref="M270">IF(AND(A270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,A270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),IF(L270&lt;_xlfn.IFNA(INDEX(_xlfn.ANCHORARRAY(Sintesi!$C$17)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,1,IF(L270&gt;=_xlfn.IFNA(INDEX(_xlfn.ANCHORARRAY(Sintesi!$C$18)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,0,1-(L270-_xlfn.IFNA(INDEX(_xlfn.ANCHORARRAY(Sintesi!$C$17)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)/(_xlfn.IFNA(INDEX(_xlfn.ANCHORARRAY(Sintesi!$C$18)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-_xlfn.IFNA(INDEX(_xlfn.ANCHORARRAY(Sintesi!$C$17),1,MATCH(1,(_xlfn.ANCHORARRAY(Sintesi!$C$9)&gt;_xlfn.ANCHORARRAY(Sintesi!$C$10))*(A269&gt;=_xlfn.ANCHORARRAY(Sintesi!$C$9))+(_xlfn.ANCHORARRAY(Sintesi!$C$9)&gt;_xlfn.ANCHORARRAY(Sintesi!$C$10))*(A269&lt;=_xlfn.ANCHORARRAY(Sintesi!$C$10))+(_xlfn.ANCHORARRAY(Sintesi!$C$9)&lt;_xlfn.ANCHORARRAY(Sintesi!$C$10))*(A269&gt;=_xlfn.ANCHORARRAY(Sintesi!$C$9))*(A269&lt;=_xlfn.ANCHORARRAY(Sintesi!$C$10)),0)),0)))),0)</f>
        <v>0</v>
      </c>
    </row>
    <row r="271" spans="1:13">
      <c r="A271" s="1">
        <f>'Paste cell here'!A271</f>
        <v>270</v>
      </c>
      <c r="B271" s="2">
        <f>DATE(Sintesi!$C$4-1,12,31)+A271</f>
        <v>44466</v>
      </c>
      <c r="C271" s="34" cm="1">
        <f t="array" ref="C271">_xlfn.IFNA(MATCH(1,(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)*(_xlfn.ANCHORARRAY(Sintesi!$C$15)&gt;=0)+(_xlfn.ANCHORARRAY(Sintesi!$C$15)&lt;0),0),0)</f>
        <v>0</v>
      </c>
      <c r="D271" s="1" cm="1">
        <f t="array" ref="D271">IF(ISBLANK($E272),IF(ISNUMBER($E270),IF($C271&gt;0,IF(($E271=INDEX(_xlfn.ANCHORARRAY(Sintesi!$C$14),1,$C271))*(INDEX(_xlfn.ANCHORARRAY(Sintesi!$C$15),1,$C271)&gt;0),0,IF(($E271=INDEX(_xlfn.ANCHORARRAY(Sintesi!$C$14),1,$C271))*(INDEX(_xlfn.ANCHORARRAY(Sintesi!$C$15),1,$C271)&lt;0)+($E271&gt;=$E270)*($E271&lt;=INDEX($E:$E,MATCH(TRUE,INDEX((ISNUMBER($E:$E)),0),0)))*($E271&gt;INDEX(_xlfn.ANCHORARRAY(Sintesi!$C$14),1,$C271))*($E271&lt;=INDEX(_xlfn.ANCHORARRAY(Sintesi!$C$15),1,$C271))*(INDEX(_xlfn.ANCHORARRAY(Sintesi!$C$15),1,$C271)&gt;0),1,IF(($E271&gt;=$E270)*($E271&lt;=INDEX($E:$E,MATCH(TRUE,INDEX((ISNUMBER($E:$E)),0),0)))*($E271&gt;INDEX(_xlfn.ANCHORARRAY(Sintesi!$C$14),1,$C271))*($E271&lt;INDEX(_xlfn.ANCHORARRAY(Sintesi!$C$16),1,$C271))*(INDEX(_xlfn.ANCHORARRAY(Sintesi!$C$15),1,$C271)&lt;0)+($E271&gt;=$E270)*($E271&lt;=INDEX($E:$E,MATCH(TRUE,INDEX((ISNUMBER($E:$E)),0),0)))*($E271&gt;INDEX(_xlfn.ANCHORARRAY(Sintesi!$C$15),1,$C271))*($E271&lt;INDEX(_xlfn.ANCHORARRAY(Sintesi!$C$16),1,$C271))*(INDEX(_xlfn.ANCHORARRAY(Sintesi!$C$15),1,$C271)&gt;0),2,IF($E271=(INDEX(_xlfn.ANCHORARRAY(Sintesi!$C$16),1,$C271)),3,4)))),0),IF($C271&gt;0,IF(($E271=INDEX(_xlfn.ANCHORARRAY(Sintesi!$C$14),1,$C271))*(INDEX(_xlfn.ANCHORARRAY(Sintesi!$C$15),1,$C271)&gt;0),0,IF(($E271=INDEX(_xlfn.ANCHORARRAY(Sintesi!$C$14),1,$C271))*(INDEX(_xlfn.ANCHORARRAY(Sintesi!$C$15),1,$C271)&lt;0)+($E271&gt;=LOOKUP(2,1/($E:$E&lt;&gt;""),$E:$E))*($E271&lt;=INDEX($E:$E,MATCH(TRUE,INDEX((ISNUMBER($E:$E)),0),0)))*($E271&gt;INDEX(_xlfn.ANCHORARRAY(Sintesi!$C$14),1,$C271))*($E271&lt;=INDEX(_xlfn.ANCHORARRAY(Sintesi!$C$15),1,$C271))*(INDEX(_xlfn.ANCHORARRAY(Sintesi!$C$15),1,$C271)&gt;0),1,IF(($E271&gt;=LOOKUP(2,1/($E:$E&lt;&gt;""),$E:$E))*($E271&lt;=INDEX($E:$E,MATCH(TRUE,INDEX((ISNUMBER($E:$E)),0),0)))*($E271&gt;INDEX(_xlfn.ANCHORARRAY(Sintesi!$C$14),1,$C271))*($E271&lt;INDEX(_xlfn.ANCHORARRAY(Sintesi!$C$16),1,$C271))*(INDEX(_xlfn.ANCHORARRAY(Sintesi!$C$15),1,$C271)&lt;0)+($E271&gt;=LOOKUP(2,1/($E:$E&lt;&gt;""),$E:$E))*($E271&lt;=INDEX($E:$E,MATCH(TRUE,INDEX((ISNUMBER($E:$E)),0),0)))*($E271&gt;INDEX(_xlfn.ANCHORARRAY(Sintesi!$C$15),1,$C271))*($E271&lt;INDEX(_xlfn.ANCHORARRAY(Sintesi!$C$16),1,$C271))*(INDEX(_xlfn.ANCHORARRAY(Sintesi!$C$15),1,$C271)&gt;0),2,IF($E271=(INDEX(_xlfn.ANCHORARRAY(Sintesi!$C$16),1,$C271)),3,4)))),0)),IF(ISNUMBER($E270),IF($C271&gt;0,IF(($E271=INDEX(_xlfn.ANCHORARRAY(Sintesi!$C$14),1,$C271))*(INDEX(_xlfn.ANCHORARRAY(Sintesi!$C$15),1,$C271)&gt;0),0,IF(($E271=INDEX(_xlfn.ANCHORARRAY(Sintesi!$C$14),1,$C271))*(INDEX(_xlfn.ANCHORARRAY(Sintesi!$C$15),1,$C271)&lt;0)+($E271&gt;=$E270)*($E271&lt;=$E272)*($E271&gt;INDEX(_xlfn.ANCHORARRAY(Sintesi!$C$14),1,$C271))*($E271&lt;=INDEX(_xlfn.ANCHORARRAY(Sintesi!$C$15),1,$C271))*(INDEX(_xlfn.ANCHORARRAY(Sintesi!$C$15),1,$C271)&gt;0),1,IF(($E271&gt;=$E270)*($E271&lt;=$E272)*($E271&gt;INDEX(_xlfn.ANCHORARRAY(Sintesi!$C$14),1,$C271))*($E271&lt;INDEX(_xlfn.ANCHORARRAY(Sintesi!$C$16),1,$C271))*(INDEX(_xlfn.ANCHORARRAY(Sintesi!$C$15),1,$C271)&lt;0)+($E271&gt;=$E270)*($E271&lt;=$E272)*($E271&gt;INDEX(_xlfn.ANCHORARRAY(Sintesi!$C$15),1,$C271))*($E271&lt;INDEX(_xlfn.ANCHORARRAY(Sintesi!$C$16),1,$C271))*(INDEX(_xlfn.ANCHORARRAY(Sintesi!$C$15),1,$C271)&gt;0),2,IF($E271=(INDEX(_xlfn.ANCHORARRAY(Sintesi!$C$16),1,$C271)),3,4)))),0),IF($C271&gt;0,IF(($E271=INDEX(_xlfn.ANCHORARRAY(Sintesi!$C$14),1,$C271))*(INDEX(_xlfn.ANCHORARRAY(Sintesi!$C$15),1,$C271)&gt;0),0,IF(($E271=INDEX(_xlfn.ANCHORARRAY(Sintesi!$C$14),1,$C271))*(INDEX(_xlfn.ANCHORARRAY(Sintesi!$C$15),1,$C271)&lt;0)+($E271&gt;=LOOKUP(2,1/($E:$E&lt;&gt;""),$E:$E))*($E271&lt;=$E272)*($E271&gt;INDEX(_xlfn.ANCHORARRAY(Sintesi!$C$14),1,$C271))*($E271&lt;=INDEX(_xlfn.ANCHORARRAY(Sintesi!$C$15),1,$C271))*(INDEX(_xlfn.ANCHORARRAY(Sintesi!$C$15),1,$C271)&gt;0),1,IF(($E271&gt;=LOOKUP(2,1/($E:$E&lt;&gt;""),$E:$E))*($E271&lt;=$E272)*($E271&gt;INDEX(_xlfn.ANCHORARRAY(Sintesi!$C$14),1,$C271))*($E271&lt;INDEX(_xlfn.ANCHORARRAY(Sintesi!$C$16),1,$C271))*(INDEX(_xlfn.ANCHORARRAY(Sintesi!$C$15),1,$C271)&lt;0)+($E271&gt;=LOOKUP(2,1/($E:$E&lt;&gt;""),$E:$E))*($E271&lt;=$E272)*($E271&gt;INDEX(_xlfn.ANCHORARRAY(Sintesi!$C$15),1,$C271))*($E271&lt;INDEX(_xlfn.ANCHORARRAY(Sintesi!$C$16),1,$C271))*(INDEX(_xlfn.ANCHORARRAY(Sintesi!$C$15),1,$C271)&gt;0),2,IF($E271=(INDEX(_xlfn.ANCHORARRAY(Sintesi!$C$16),1,$C271)),3,4)))),0)))</f>
        <v>0</v>
      </c>
      <c r="E271" s="1">
        <f>'Paste cell here'!F271</f>
        <v>0</v>
      </c>
      <c r="F271" s="1">
        <f>'Paste cell here'!C271</f>
        <v>24.1640552</v>
      </c>
      <c r="G271" s="1">
        <f>'Paste cell here'!D271</f>
        <v>15.307324100000001</v>
      </c>
      <c r="H271" s="1">
        <f>'Paste cell here'!E271</f>
        <v>1.898974838</v>
      </c>
      <c r="I271" s="1">
        <f>'Paste cell here'!X271</f>
        <v>0</v>
      </c>
      <c r="J271" s="1">
        <f>'Paste cell here'!Y271+'Paste cell here'!S271</f>
        <v>0</v>
      </c>
      <c r="K271" s="1">
        <f t="shared" si="9"/>
        <v>0</v>
      </c>
      <c r="L271" s="1">
        <f t="shared" si="8"/>
        <v>20.849153778588434</v>
      </c>
      <c r="M271" s="1" cm="1">
        <f t="array" ref="M271">IF(AND(A271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,A271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),IF(L271&lt;_xlfn.IFNA(INDEX(_xlfn.ANCHORARRAY(Sintesi!$C$17)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,1,IF(L271&gt;=_xlfn.IFNA(INDEX(_xlfn.ANCHORARRAY(Sintesi!$C$18)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,0,1-(L271-_xlfn.IFNA(INDEX(_xlfn.ANCHORARRAY(Sintesi!$C$17)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)/(_xlfn.IFNA(INDEX(_xlfn.ANCHORARRAY(Sintesi!$C$18)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-_xlfn.IFNA(INDEX(_xlfn.ANCHORARRAY(Sintesi!$C$17),1,MATCH(1,(_xlfn.ANCHORARRAY(Sintesi!$C$9)&gt;_xlfn.ANCHORARRAY(Sintesi!$C$10))*(A270&gt;=_xlfn.ANCHORARRAY(Sintesi!$C$9))+(_xlfn.ANCHORARRAY(Sintesi!$C$9)&gt;_xlfn.ANCHORARRAY(Sintesi!$C$10))*(A270&lt;=_xlfn.ANCHORARRAY(Sintesi!$C$10))+(_xlfn.ANCHORARRAY(Sintesi!$C$9)&lt;_xlfn.ANCHORARRAY(Sintesi!$C$10))*(A270&gt;=_xlfn.ANCHORARRAY(Sintesi!$C$9))*(A270&lt;=_xlfn.ANCHORARRAY(Sintesi!$C$10)),0)),0)))),0)</f>
        <v>0</v>
      </c>
    </row>
    <row r="272" spans="1:13">
      <c r="A272" s="1">
        <f>'Paste cell here'!A272</f>
        <v>271</v>
      </c>
      <c r="B272" s="2">
        <f>DATE(Sintesi!$C$4-1,12,31)+A272</f>
        <v>44467</v>
      </c>
      <c r="C272" s="34" cm="1">
        <f t="array" ref="C272">_xlfn.IFNA(MATCH(1,(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)*(_xlfn.ANCHORARRAY(Sintesi!$C$15)&gt;=0)+(_xlfn.ANCHORARRAY(Sintesi!$C$15)&lt;0),0),0)</f>
        <v>0</v>
      </c>
      <c r="D272" s="1" cm="1">
        <f t="array" ref="D272">IF(ISBLANK($E273),IF(ISNUMBER($E271),IF($C272&gt;0,IF(($E272=INDEX(_xlfn.ANCHORARRAY(Sintesi!$C$14),1,$C272))*(INDEX(_xlfn.ANCHORARRAY(Sintesi!$C$15),1,$C272)&gt;0),0,IF(($E272=INDEX(_xlfn.ANCHORARRAY(Sintesi!$C$14),1,$C272))*(INDEX(_xlfn.ANCHORARRAY(Sintesi!$C$15),1,$C272)&lt;0)+($E272&gt;=$E271)*($E272&lt;=INDEX($E:$E,MATCH(TRUE,INDEX((ISNUMBER($E:$E)),0),0)))*($E272&gt;INDEX(_xlfn.ANCHORARRAY(Sintesi!$C$14),1,$C272))*($E272&lt;=INDEX(_xlfn.ANCHORARRAY(Sintesi!$C$15),1,$C272))*(INDEX(_xlfn.ANCHORARRAY(Sintesi!$C$15),1,$C272)&gt;0),1,IF(($E272&gt;=$E271)*($E272&lt;=INDEX($E:$E,MATCH(TRUE,INDEX((ISNUMBER($E:$E)),0),0)))*($E272&gt;INDEX(_xlfn.ANCHORARRAY(Sintesi!$C$14),1,$C272))*($E272&lt;INDEX(_xlfn.ANCHORARRAY(Sintesi!$C$16),1,$C272))*(INDEX(_xlfn.ANCHORARRAY(Sintesi!$C$15),1,$C272)&lt;0)+($E272&gt;=$E271)*($E272&lt;=INDEX($E:$E,MATCH(TRUE,INDEX((ISNUMBER($E:$E)),0),0)))*($E272&gt;INDEX(_xlfn.ANCHORARRAY(Sintesi!$C$15),1,$C272))*($E272&lt;INDEX(_xlfn.ANCHORARRAY(Sintesi!$C$16),1,$C272))*(INDEX(_xlfn.ANCHORARRAY(Sintesi!$C$15),1,$C272)&gt;0),2,IF($E272=(INDEX(_xlfn.ANCHORARRAY(Sintesi!$C$16),1,$C272)),3,4)))),0),IF($C272&gt;0,IF(($E272=INDEX(_xlfn.ANCHORARRAY(Sintesi!$C$14),1,$C272))*(INDEX(_xlfn.ANCHORARRAY(Sintesi!$C$15),1,$C272)&gt;0),0,IF(($E272=INDEX(_xlfn.ANCHORARRAY(Sintesi!$C$14),1,$C272))*(INDEX(_xlfn.ANCHORARRAY(Sintesi!$C$15),1,$C272)&lt;0)+($E272&gt;=LOOKUP(2,1/($E:$E&lt;&gt;""),$E:$E))*($E272&lt;=INDEX($E:$E,MATCH(TRUE,INDEX((ISNUMBER($E:$E)),0),0)))*($E272&gt;INDEX(_xlfn.ANCHORARRAY(Sintesi!$C$14),1,$C272))*($E272&lt;=INDEX(_xlfn.ANCHORARRAY(Sintesi!$C$15),1,$C272))*(INDEX(_xlfn.ANCHORARRAY(Sintesi!$C$15),1,$C272)&gt;0),1,IF(($E272&gt;=LOOKUP(2,1/($E:$E&lt;&gt;""),$E:$E))*($E272&lt;=INDEX($E:$E,MATCH(TRUE,INDEX((ISNUMBER($E:$E)),0),0)))*($E272&gt;INDEX(_xlfn.ANCHORARRAY(Sintesi!$C$14),1,$C272))*($E272&lt;INDEX(_xlfn.ANCHORARRAY(Sintesi!$C$16),1,$C272))*(INDEX(_xlfn.ANCHORARRAY(Sintesi!$C$15),1,$C272)&lt;0)+($E272&gt;=LOOKUP(2,1/($E:$E&lt;&gt;""),$E:$E))*($E272&lt;=INDEX($E:$E,MATCH(TRUE,INDEX((ISNUMBER($E:$E)),0),0)))*($E272&gt;INDEX(_xlfn.ANCHORARRAY(Sintesi!$C$15),1,$C272))*($E272&lt;INDEX(_xlfn.ANCHORARRAY(Sintesi!$C$16),1,$C272))*(INDEX(_xlfn.ANCHORARRAY(Sintesi!$C$15),1,$C272)&gt;0),2,IF($E272=(INDEX(_xlfn.ANCHORARRAY(Sintesi!$C$16),1,$C272)),3,4)))),0)),IF(ISNUMBER($E271),IF($C272&gt;0,IF(($E272=INDEX(_xlfn.ANCHORARRAY(Sintesi!$C$14),1,$C272))*(INDEX(_xlfn.ANCHORARRAY(Sintesi!$C$15),1,$C272)&gt;0),0,IF(($E272=INDEX(_xlfn.ANCHORARRAY(Sintesi!$C$14),1,$C272))*(INDEX(_xlfn.ANCHORARRAY(Sintesi!$C$15),1,$C272)&lt;0)+($E272&gt;=$E271)*($E272&lt;=$E273)*($E272&gt;INDEX(_xlfn.ANCHORARRAY(Sintesi!$C$14),1,$C272))*($E272&lt;=INDEX(_xlfn.ANCHORARRAY(Sintesi!$C$15),1,$C272))*(INDEX(_xlfn.ANCHORARRAY(Sintesi!$C$15),1,$C272)&gt;0),1,IF(($E272&gt;=$E271)*($E272&lt;=$E273)*($E272&gt;INDEX(_xlfn.ANCHORARRAY(Sintesi!$C$14),1,$C272))*($E272&lt;INDEX(_xlfn.ANCHORARRAY(Sintesi!$C$16),1,$C272))*(INDEX(_xlfn.ANCHORARRAY(Sintesi!$C$15),1,$C272)&lt;0)+($E272&gt;=$E271)*($E272&lt;=$E273)*($E272&gt;INDEX(_xlfn.ANCHORARRAY(Sintesi!$C$15),1,$C272))*($E272&lt;INDEX(_xlfn.ANCHORARRAY(Sintesi!$C$16),1,$C272))*(INDEX(_xlfn.ANCHORARRAY(Sintesi!$C$15),1,$C272)&gt;0),2,IF($E272=(INDEX(_xlfn.ANCHORARRAY(Sintesi!$C$16),1,$C272)),3,4)))),0),IF($C272&gt;0,IF(($E272=INDEX(_xlfn.ANCHORARRAY(Sintesi!$C$14),1,$C272))*(INDEX(_xlfn.ANCHORARRAY(Sintesi!$C$15),1,$C272)&gt;0),0,IF(($E272=INDEX(_xlfn.ANCHORARRAY(Sintesi!$C$14),1,$C272))*(INDEX(_xlfn.ANCHORARRAY(Sintesi!$C$15),1,$C272)&lt;0)+($E272&gt;=LOOKUP(2,1/($E:$E&lt;&gt;""),$E:$E))*($E272&lt;=$E273)*($E272&gt;INDEX(_xlfn.ANCHORARRAY(Sintesi!$C$14),1,$C272))*($E272&lt;=INDEX(_xlfn.ANCHORARRAY(Sintesi!$C$15),1,$C272))*(INDEX(_xlfn.ANCHORARRAY(Sintesi!$C$15),1,$C272)&gt;0),1,IF(($E272&gt;=LOOKUP(2,1/($E:$E&lt;&gt;""),$E:$E))*($E272&lt;=$E273)*($E272&gt;INDEX(_xlfn.ANCHORARRAY(Sintesi!$C$14),1,$C272))*($E272&lt;INDEX(_xlfn.ANCHORARRAY(Sintesi!$C$16),1,$C272))*(INDEX(_xlfn.ANCHORARRAY(Sintesi!$C$15),1,$C272)&lt;0)+($E272&gt;=LOOKUP(2,1/($E:$E&lt;&gt;""),$E:$E))*($E272&lt;=$E273)*($E272&gt;INDEX(_xlfn.ANCHORARRAY(Sintesi!$C$15),1,$C272))*($E272&lt;INDEX(_xlfn.ANCHORARRAY(Sintesi!$C$16),1,$C272))*(INDEX(_xlfn.ANCHORARRAY(Sintesi!$C$15),1,$C272)&gt;0),2,IF($E272=(INDEX(_xlfn.ANCHORARRAY(Sintesi!$C$16),1,$C272)),3,4)))),0)))</f>
        <v>0</v>
      </c>
      <c r="E272" s="1">
        <f>'Paste cell here'!F272</f>
        <v>0</v>
      </c>
      <c r="F272" s="1">
        <f>'Paste cell here'!C272</f>
        <v>26.792675899999999</v>
      </c>
      <c r="G272" s="1">
        <f>'Paste cell here'!D272</f>
        <v>14.52545613</v>
      </c>
      <c r="H272" s="1">
        <f>'Paste cell here'!E272</f>
        <v>2.5099634659999999</v>
      </c>
      <c r="I272" s="1">
        <f>'Paste cell here'!X272</f>
        <v>0</v>
      </c>
      <c r="J272" s="1">
        <f>'Paste cell here'!Y272+'Paste cell here'!S272</f>
        <v>0</v>
      </c>
      <c r="K272" s="1">
        <f t="shared" si="9"/>
        <v>0</v>
      </c>
      <c r="L272" s="1">
        <f t="shared" si="8"/>
        <v>22.201295198338972</v>
      </c>
      <c r="M272" s="1" cm="1">
        <f t="array" ref="M272">IF(AND(A272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,A272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),IF(L272&lt;_xlfn.IFNA(INDEX(_xlfn.ANCHORARRAY(Sintesi!$C$17)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,1,IF(L272&gt;=_xlfn.IFNA(INDEX(_xlfn.ANCHORARRAY(Sintesi!$C$18)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,0,1-(L272-_xlfn.IFNA(INDEX(_xlfn.ANCHORARRAY(Sintesi!$C$17)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)/(_xlfn.IFNA(INDEX(_xlfn.ANCHORARRAY(Sintesi!$C$18)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-_xlfn.IFNA(INDEX(_xlfn.ANCHORARRAY(Sintesi!$C$17),1,MATCH(1,(_xlfn.ANCHORARRAY(Sintesi!$C$9)&gt;_xlfn.ANCHORARRAY(Sintesi!$C$10))*(A271&gt;=_xlfn.ANCHORARRAY(Sintesi!$C$9))+(_xlfn.ANCHORARRAY(Sintesi!$C$9)&gt;_xlfn.ANCHORARRAY(Sintesi!$C$10))*(A271&lt;=_xlfn.ANCHORARRAY(Sintesi!$C$10))+(_xlfn.ANCHORARRAY(Sintesi!$C$9)&lt;_xlfn.ANCHORARRAY(Sintesi!$C$10))*(A271&gt;=_xlfn.ANCHORARRAY(Sintesi!$C$9))*(A271&lt;=_xlfn.ANCHORARRAY(Sintesi!$C$10)),0)),0)))),0)</f>
        <v>0</v>
      </c>
    </row>
    <row r="273" spans="1:13">
      <c r="A273" s="1">
        <f>'Paste cell here'!A273</f>
        <v>272</v>
      </c>
      <c r="B273" s="2">
        <f>DATE(Sintesi!$C$4-1,12,31)+A273</f>
        <v>44468</v>
      </c>
      <c r="C273" s="34" cm="1">
        <f t="array" ref="C273">_xlfn.IFNA(MATCH(1,(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)*(_xlfn.ANCHORARRAY(Sintesi!$C$15)&gt;=0)+(_xlfn.ANCHORARRAY(Sintesi!$C$15)&lt;0),0),0)</f>
        <v>0</v>
      </c>
      <c r="D273" s="1" cm="1">
        <f t="array" ref="D273">IF(ISBLANK($E274),IF(ISNUMBER($E272),IF($C273&gt;0,IF(($E273=INDEX(_xlfn.ANCHORARRAY(Sintesi!$C$14),1,$C273))*(INDEX(_xlfn.ANCHORARRAY(Sintesi!$C$15),1,$C273)&gt;0),0,IF(($E273=INDEX(_xlfn.ANCHORARRAY(Sintesi!$C$14),1,$C273))*(INDEX(_xlfn.ANCHORARRAY(Sintesi!$C$15),1,$C273)&lt;0)+($E273&gt;=$E272)*($E273&lt;=INDEX($E:$E,MATCH(TRUE,INDEX((ISNUMBER($E:$E)),0),0)))*($E273&gt;INDEX(_xlfn.ANCHORARRAY(Sintesi!$C$14),1,$C273))*($E273&lt;=INDEX(_xlfn.ANCHORARRAY(Sintesi!$C$15),1,$C273))*(INDEX(_xlfn.ANCHORARRAY(Sintesi!$C$15),1,$C273)&gt;0),1,IF(($E273&gt;=$E272)*($E273&lt;=INDEX($E:$E,MATCH(TRUE,INDEX((ISNUMBER($E:$E)),0),0)))*($E273&gt;INDEX(_xlfn.ANCHORARRAY(Sintesi!$C$14),1,$C273))*($E273&lt;INDEX(_xlfn.ANCHORARRAY(Sintesi!$C$16),1,$C273))*(INDEX(_xlfn.ANCHORARRAY(Sintesi!$C$15),1,$C273)&lt;0)+($E273&gt;=$E272)*($E273&lt;=INDEX($E:$E,MATCH(TRUE,INDEX((ISNUMBER($E:$E)),0),0)))*($E273&gt;INDEX(_xlfn.ANCHORARRAY(Sintesi!$C$15),1,$C273))*($E273&lt;INDEX(_xlfn.ANCHORARRAY(Sintesi!$C$16),1,$C273))*(INDEX(_xlfn.ANCHORARRAY(Sintesi!$C$15),1,$C273)&gt;0),2,IF($E273=(INDEX(_xlfn.ANCHORARRAY(Sintesi!$C$16),1,$C273)),3,4)))),0),IF($C273&gt;0,IF(($E273=INDEX(_xlfn.ANCHORARRAY(Sintesi!$C$14),1,$C273))*(INDEX(_xlfn.ANCHORARRAY(Sintesi!$C$15),1,$C273)&gt;0),0,IF(($E273=INDEX(_xlfn.ANCHORARRAY(Sintesi!$C$14),1,$C273))*(INDEX(_xlfn.ANCHORARRAY(Sintesi!$C$15),1,$C273)&lt;0)+($E273&gt;=LOOKUP(2,1/($E:$E&lt;&gt;""),$E:$E))*($E273&lt;=INDEX($E:$E,MATCH(TRUE,INDEX((ISNUMBER($E:$E)),0),0)))*($E273&gt;INDEX(_xlfn.ANCHORARRAY(Sintesi!$C$14),1,$C273))*($E273&lt;=INDEX(_xlfn.ANCHORARRAY(Sintesi!$C$15),1,$C273))*(INDEX(_xlfn.ANCHORARRAY(Sintesi!$C$15),1,$C273)&gt;0),1,IF(($E273&gt;=LOOKUP(2,1/($E:$E&lt;&gt;""),$E:$E))*($E273&lt;=INDEX($E:$E,MATCH(TRUE,INDEX((ISNUMBER($E:$E)),0),0)))*($E273&gt;INDEX(_xlfn.ANCHORARRAY(Sintesi!$C$14),1,$C273))*($E273&lt;INDEX(_xlfn.ANCHORARRAY(Sintesi!$C$16),1,$C273))*(INDEX(_xlfn.ANCHORARRAY(Sintesi!$C$15),1,$C273)&lt;0)+($E273&gt;=LOOKUP(2,1/($E:$E&lt;&gt;""),$E:$E))*($E273&lt;=INDEX($E:$E,MATCH(TRUE,INDEX((ISNUMBER($E:$E)),0),0)))*($E273&gt;INDEX(_xlfn.ANCHORARRAY(Sintesi!$C$15),1,$C273))*($E273&lt;INDEX(_xlfn.ANCHORARRAY(Sintesi!$C$16),1,$C273))*(INDEX(_xlfn.ANCHORARRAY(Sintesi!$C$15),1,$C273)&gt;0),2,IF($E273=(INDEX(_xlfn.ANCHORARRAY(Sintesi!$C$16),1,$C273)),3,4)))),0)),IF(ISNUMBER($E272),IF($C273&gt;0,IF(($E273=INDEX(_xlfn.ANCHORARRAY(Sintesi!$C$14),1,$C273))*(INDEX(_xlfn.ANCHORARRAY(Sintesi!$C$15),1,$C273)&gt;0),0,IF(($E273=INDEX(_xlfn.ANCHORARRAY(Sintesi!$C$14),1,$C273))*(INDEX(_xlfn.ANCHORARRAY(Sintesi!$C$15),1,$C273)&lt;0)+($E273&gt;=$E272)*($E273&lt;=$E274)*($E273&gt;INDEX(_xlfn.ANCHORARRAY(Sintesi!$C$14),1,$C273))*($E273&lt;=INDEX(_xlfn.ANCHORARRAY(Sintesi!$C$15),1,$C273))*(INDEX(_xlfn.ANCHORARRAY(Sintesi!$C$15),1,$C273)&gt;0),1,IF(($E273&gt;=$E272)*($E273&lt;=$E274)*($E273&gt;INDEX(_xlfn.ANCHORARRAY(Sintesi!$C$14),1,$C273))*($E273&lt;INDEX(_xlfn.ANCHORARRAY(Sintesi!$C$16),1,$C273))*(INDEX(_xlfn.ANCHORARRAY(Sintesi!$C$15),1,$C273)&lt;0)+($E273&gt;=$E272)*($E273&lt;=$E274)*($E273&gt;INDEX(_xlfn.ANCHORARRAY(Sintesi!$C$15),1,$C273))*($E273&lt;INDEX(_xlfn.ANCHORARRAY(Sintesi!$C$16),1,$C273))*(INDEX(_xlfn.ANCHORARRAY(Sintesi!$C$15),1,$C273)&gt;0),2,IF($E273=(INDEX(_xlfn.ANCHORARRAY(Sintesi!$C$16),1,$C273)),3,4)))),0),IF($C273&gt;0,IF(($E273=INDEX(_xlfn.ANCHORARRAY(Sintesi!$C$14),1,$C273))*(INDEX(_xlfn.ANCHORARRAY(Sintesi!$C$15),1,$C273)&gt;0),0,IF(($E273=INDEX(_xlfn.ANCHORARRAY(Sintesi!$C$14),1,$C273))*(INDEX(_xlfn.ANCHORARRAY(Sintesi!$C$15),1,$C273)&lt;0)+($E273&gt;=LOOKUP(2,1/($E:$E&lt;&gt;""),$E:$E))*($E273&lt;=$E274)*($E273&gt;INDEX(_xlfn.ANCHORARRAY(Sintesi!$C$14),1,$C273))*($E273&lt;=INDEX(_xlfn.ANCHORARRAY(Sintesi!$C$15),1,$C273))*(INDEX(_xlfn.ANCHORARRAY(Sintesi!$C$15),1,$C273)&gt;0),1,IF(($E273&gt;=LOOKUP(2,1/($E:$E&lt;&gt;""),$E:$E))*($E273&lt;=$E274)*($E273&gt;INDEX(_xlfn.ANCHORARRAY(Sintesi!$C$14),1,$C273))*($E273&lt;INDEX(_xlfn.ANCHORARRAY(Sintesi!$C$16),1,$C273))*(INDEX(_xlfn.ANCHORARRAY(Sintesi!$C$15),1,$C273)&lt;0)+($E273&gt;=LOOKUP(2,1/($E:$E&lt;&gt;""),$E:$E))*($E273&lt;=$E274)*($E273&gt;INDEX(_xlfn.ANCHORARRAY(Sintesi!$C$15),1,$C273))*($E273&lt;INDEX(_xlfn.ANCHORARRAY(Sintesi!$C$16),1,$C273))*(INDEX(_xlfn.ANCHORARRAY(Sintesi!$C$15),1,$C273)&gt;0),2,IF($E273=(INDEX(_xlfn.ANCHORARRAY(Sintesi!$C$16),1,$C273)),3,4)))),0)))</f>
        <v>0</v>
      </c>
      <c r="E273" s="1">
        <f>'Paste cell here'!F273</f>
        <v>0</v>
      </c>
      <c r="F273" s="1">
        <f>'Paste cell here'!C273</f>
        <v>27.756605029999999</v>
      </c>
      <c r="G273" s="1">
        <f>'Paste cell here'!D273</f>
        <v>15.7</v>
      </c>
      <c r="H273" s="1">
        <f>'Paste cell here'!E273</f>
        <v>2.918901425</v>
      </c>
      <c r="I273" s="1">
        <f>'Paste cell here'!X273</f>
        <v>0</v>
      </c>
      <c r="J273" s="1">
        <f>'Paste cell here'!Y273+'Paste cell here'!S273</f>
        <v>0</v>
      </c>
      <c r="K273" s="1">
        <f t="shared" si="9"/>
        <v>0</v>
      </c>
      <c r="L273" s="1">
        <f t="shared" si="8"/>
        <v>23.244053310851058</v>
      </c>
      <c r="M273" s="1" cm="1">
        <f t="array" ref="M273">IF(AND(A273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,A273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),IF(L273&lt;_xlfn.IFNA(INDEX(_xlfn.ANCHORARRAY(Sintesi!$C$17)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,1,IF(L273&gt;=_xlfn.IFNA(INDEX(_xlfn.ANCHORARRAY(Sintesi!$C$18)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,0,1-(L273-_xlfn.IFNA(INDEX(_xlfn.ANCHORARRAY(Sintesi!$C$17)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)/(_xlfn.IFNA(INDEX(_xlfn.ANCHORARRAY(Sintesi!$C$18)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-_xlfn.IFNA(INDEX(_xlfn.ANCHORARRAY(Sintesi!$C$17),1,MATCH(1,(_xlfn.ANCHORARRAY(Sintesi!$C$9)&gt;_xlfn.ANCHORARRAY(Sintesi!$C$10))*(A272&gt;=_xlfn.ANCHORARRAY(Sintesi!$C$9))+(_xlfn.ANCHORARRAY(Sintesi!$C$9)&gt;_xlfn.ANCHORARRAY(Sintesi!$C$10))*(A272&lt;=_xlfn.ANCHORARRAY(Sintesi!$C$10))+(_xlfn.ANCHORARRAY(Sintesi!$C$9)&lt;_xlfn.ANCHORARRAY(Sintesi!$C$10))*(A272&gt;=_xlfn.ANCHORARRAY(Sintesi!$C$9))*(A272&lt;=_xlfn.ANCHORARRAY(Sintesi!$C$10)),0)),0)))),0)</f>
        <v>0</v>
      </c>
    </row>
    <row r="274" spans="1:13">
      <c r="A274" s="1">
        <f>'Paste cell here'!A274</f>
        <v>273</v>
      </c>
      <c r="B274" s="2">
        <f>DATE(Sintesi!$C$4-1,12,31)+A274</f>
        <v>44469</v>
      </c>
      <c r="C274" s="34" cm="1">
        <f t="array" ref="C274">_xlfn.IFNA(MATCH(1,(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)*(_xlfn.ANCHORARRAY(Sintesi!$C$15)&gt;=0)+(_xlfn.ANCHORARRAY(Sintesi!$C$15)&lt;0),0),0)</f>
        <v>0</v>
      </c>
      <c r="D274" s="1" cm="1">
        <f t="array" ref="D274">IF(ISBLANK($E275),IF(ISNUMBER($E273),IF($C274&gt;0,IF(($E274=INDEX(_xlfn.ANCHORARRAY(Sintesi!$C$14),1,$C274))*(INDEX(_xlfn.ANCHORARRAY(Sintesi!$C$15),1,$C274)&gt;0),0,IF(($E274=INDEX(_xlfn.ANCHORARRAY(Sintesi!$C$14),1,$C274))*(INDEX(_xlfn.ANCHORARRAY(Sintesi!$C$15),1,$C274)&lt;0)+($E274&gt;=$E273)*($E274&lt;=INDEX($E:$E,MATCH(TRUE,INDEX((ISNUMBER($E:$E)),0),0)))*($E274&gt;INDEX(_xlfn.ANCHORARRAY(Sintesi!$C$14),1,$C274))*($E274&lt;=INDEX(_xlfn.ANCHORARRAY(Sintesi!$C$15),1,$C274))*(INDEX(_xlfn.ANCHORARRAY(Sintesi!$C$15),1,$C274)&gt;0),1,IF(($E274&gt;=$E273)*($E274&lt;=INDEX($E:$E,MATCH(TRUE,INDEX((ISNUMBER($E:$E)),0),0)))*($E274&gt;INDEX(_xlfn.ANCHORARRAY(Sintesi!$C$14),1,$C274))*($E274&lt;INDEX(_xlfn.ANCHORARRAY(Sintesi!$C$16),1,$C274))*(INDEX(_xlfn.ANCHORARRAY(Sintesi!$C$15),1,$C274)&lt;0)+($E274&gt;=$E273)*($E274&lt;=INDEX($E:$E,MATCH(TRUE,INDEX((ISNUMBER($E:$E)),0),0)))*($E274&gt;INDEX(_xlfn.ANCHORARRAY(Sintesi!$C$15),1,$C274))*($E274&lt;INDEX(_xlfn.ANCHORARRAY(Sintesi!$C$16),1,$C274))*(INDEX(_xlfn.ANCHORARRAY(Sintesi!$C$15),1,$C274)&gt;0),2,IF($E274=(INDEX(_xlfn.ANCHORARRAY(Sintesi!$C$16),1,$C274)),3,4)))),0),IF($C274&gt;0,IF(($E274=INDEX(_xlfn.ANCHORARRAY(Sintesi!$C$14),1,$C274))*(INDEX(_xlfn.ANCHORARRAY(Sintesi!$C$15),1,$C274)&gt;0),0,IF(($E274=INDEX(_xlfn.ANCHORARRAY(Sintesi!$C$14),1,$C274))*(INDEX(_xlfn.ANCHORARRAY(Sintesi!$C$15),1,$C274)&lt;0)+($E274&gt;=LOOKUP(2,1/($E:$E&lt;&gt;""),$E:$E))*($E274&lt;=INDEX($E:$E,MATCH(TRUE,INDEX((ISNUMBER($E:$E)),0),0)))*($E274&gt;INDEX(_xlfn.ANCHORARRAY(Sintesi!$C$14),1,$C274))*($E274&lt;=INDEX(_xlfn.ANCHORARRAY(Sintesi!$C$15),1,$C274))*(INDEX(_xlfn.ANCHORARRAY(Sintesi!$C$15),1,$C274)&gt;0),1,IF(($E274&gt;=LOOKUP(2,1/($E:$E&lt;&gt;""),$E:$E))*($E274&lt;=INDEX($E:$E,MATCH(TRUE,INDEX((ISNUMBER($E:$E)),0),0)))*($E274&gt;INDEX(_xlfn.ANCHORARRAY(Sintesi!$C$14),1,$C274))*($E274&lt;INDEX(_xlfn.ANCHORARRAY(Sintesi!$C$16),1,$C274))*(INDEX(_xlfn.ANCHORARRAY(Sintesi!$C$15),1,$C274)&lt;0)+($E274&gt;=LOOKUP(2,1/($E:$E&lt;&gt;""),$E:$E))*($E274&lt;=INDEX($E:$E,MATCH(TRUE,INDEX((ISNUMBER($E:$E)),0),0)))*($E274&gt;INDEX(_xlfn.ANCHORARRAY(Sintesi!$C$15),1,$C274))*($E274&lt;INDEX(_xlfn.ANCHORARRAY(Sintesi!$C$16),1,$C274))*(INDEX(_xlfn.ANCHORARRAY(Sintesi!$C$15),1,$C274)&gt;0),2,IF($E274=(INDEX(_xlfn.ANCHORARRAY(Sintesi!$C$16),1,$C274)),3,4)))),0)),IF(ISNUMBER($E273),IF($C274&gt;0,IF(($E274=INDEX(_xlfn.ANCHORARRAY(Sintesi!$C$14),1,$C274))*(INDEX(_xlfn.ANCHORARRAY(Sintesi!$C$15),1,$C274)&gt;0),0,IF(($E274=INDEX(_xlfn.ANCHORARRAY(Sintesi!$C$14),1,$C274))*(INDEX(_xlfn.ANCHORARRAY(Sintesi!$C$15),1,$C274)&lt;0)+($E274&gt;=$E273)*($E274&lt;=$E275)*($E274&gt;INDEX(_xlfn.ANCHORARRAY(Sintesi!$C$14),1,$C274))*($E274&lt;=INDEX(_xlfn.ANCHORARRAY(Sintesi!$C$15),1,$C274))*(INDEX(_xlfn.ANCHORARRAY(Sintesi!$C$15),1,$C274)&gt;0),1,IF(($E274&gt;=$E273)*($E274&lt;=$E275)*($E274&gt;INDEX(_xlfn.ANCHORARRAY(Sintesi!$C$14),1,$C274))*($E274&lt;INDEX(_xlfn.ANCHORARRAY(Sintesi!$C$16),1,$C274))*(INDEX(_xlfn.ANCHORARRAY(Sintesi!$C$15),1,$C274)&lt;0)+($E274&gt;=$E273)*($E274&lt;=$E275)*($E274&gt;INDEX(_xlfn.ANCHORARRAY(Sintesi!$C$15),1,$C274))*($E274&lt;INDEX(_xlfn.ANCHORARRAY(Sintesi!$C$16),1,$C274))*(INDEX(_xlfn.ANCHORARRAY(Sintesi!$C$15),1,$C274)&gt;0),2,IF($E274=(INDEX(_xlfn.ANCHORARRAY(Sintesi!$C$16),1,$C274)),3,4)))),0),IF($C274&gt;0,IF(($E274=INDEX(_xlfn.ANCHORARRAY(Sintesi!$C$14),1,$C274))*(INDEX(_xlfn.ANCHORARRAY(Sintesi!$C$15),1,$C274)&gt;0),0,IF(($E274=INDEX(_xlfn.ANCHORARRAY(Sintesi!$C$14),1,$C274))*(INDEX(_xlfn.ANCHORARRAY(Sintesi!$C$15),1,$C274)&lt;0)+($E274&gt;=LOOKUP(2,1/($E:$E&lt;&gt;""),$E:$E))*($E274&lt;=$E275)*($E274&gt;INDEX(_xlfn.ANCHORARRAY(Sintesi!$C$14),1,$C274))*($E274&lt;=INDEX(_xlfn.ANCHORARRAY(Sintesi!$C$15),1,$C274))*(INDEX(_xlfn.ANCHORARRAY(Sintesi!$C$15),1,$C274)&gt;0),1,IF(($E274&gt;=LOOKUP(2,1/($E:$E&lt;&gt;""),$E:$E))*($E274&lt;=$E275)*($E274&gt;INDEX(_xlfn.ANCHORARRAY(Sintesi!$C$14),1,$C274))*($E274&lt;INDEX(_xlfn.ANCHORARRAY(Sintesi!$C$16),1,$C274))*(INDEX(_xlfn.ANCHORARRAY(Sintesi!$C$15),1,$C274)&lt;0)+($E274&gt;=LOOKUP(2,1/($E:$E&lt;&gt;""),$E:$E))*($E274&lt;=$E275)*($E274&gt;INDEX(_xlfn.ANCHORARRAY(Sintesi!$C$15),1,$C274))*($E274&lt;INDEX(_xlfn.ANCHORARRAY(Sintesi!$C$16),1,$C274))*(INDEX(_xlfn.ANCHORARRAY(Sintesi!$C$15),1,$C274)&gt;0),2,IF($E274=(INDEX(_xlfn.ANCHORARRAY(Sintesi!$C$16),1,$C274)),3,4)))),0)))</f>
        <v>0</v>
      </c>
      <c r="E274" s="1">
        <f>'Paste cell here'!F274</f>
        <v>0</v>
      </c>
      <c r="F274" s="1">
        <f>'Paste cell here'!C274</f>
        <v>25.002679730000001</v>
      </c>
      <c r="G274" s="1">
        <f>'Paste cell here'!D274</f>
        <v>14.510488670000001</v>
      </c>
      <c r="H274" s="1">
        <f>'Paste cell here'!E274</f>
        <v>2.6409771580000001</v>
      </c>
      <c r="I274" s="1">
        <f>'Paste cell here'!X274</f>
        <v>0</v>
      </c>
      <c r="J274" s="1">
        <f>'Paste cell here'!Y274+'Paste cell here'!S274</f>
        <v>0</v>
      </c>
      <c r="K274" s="1">
        <f t="shared" si="9"/>
        <v>0</v>
      </c>
      <c r="L274" s="1">
        <f t="shared" si="8"/>
        <v>21.075657596685403</v>
      </c>
      <c r="M274" s="1" cm="1">
        <f t="array" ref="M274">IF(AND(A274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,A274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),IF(L274&lt;_xlfn.IFNA(INDEX(_xlfn.ANCHORARRAY(Sintesi!$C$17)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,1,IF(L274&gt;=_xlfn.IFNA(INDEX(_xlfn.ANCHORARRAY(Sintesi!$C$18)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,0,1-(L274-_xlfn.IFNA(INDEX(_xlfn.ANCHORARRAY(Sintesi!$C$17)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)/(_xlfn.IFNA(INDEX(_xlfn.ANCHORARRAY(Sintesi!$C$18)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-_xlfn.IFNA(INDEX(_xlfn.ANCHORARRAY(Sintesi!$C$17),1,MATCH(1,(_xlfn.ANCHORARRAY(Sintesi!$C$9)&gt;_xlfn.ANCHORARRAY(Sintesi!$C$10))*(A273&gt;=_xlfn.ANCHORARRAY(Sintesi!$C$9))+(_xlfn.ANCHORARRAY(Sintesi!$C$9)&gt;_xlfn.ANCHORARRAY(Sintesi!$C$10))*(A273&lt;=_xlfn.ANCHORARRAY(Sintesi!$C$10))+(_xlfn.ANCHORARRAY(Sintesi!$C$9)&lt;_xlfn.ANCHORARRAY(Sintesi!$C$10))*(A273&gt;=_xlfn.ANCHORARRAY(Sintesi!$C$9))*(A273&lt;=_xlfn.ANCHORARRAY(Sintesi!$C$10)),0)),0)))),0)</f>
        <v>0</v>
      </c>
    </row>
    <row r="275" spans="1:13">
      <c r="A275" s="1">
        <f>'Paste cell here'!A275</f>
        <v>274</v>
      </c>
      <c r="B275" s="2">
        <f>DATE(Sintesi!$C$4-1,12,31)+A275</f>
        <v>44470</v>
      </c>
      <c r="C275" s="34" cm="1">
        <f t="array" ref="C275">_xlfn.IFNA(MATCH(1,(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)*(_xlfn.ANCHORARRAY(Sintesi!$C$15)&gt;=0)+(_xlfn.ANCHORARRAY(Sintesi!$C$15)&lt;0),0),0)</f>
        <v>0</v>
      </c>
      <c r="D275" s="1" cm="1">
        <f t="array" ref="D275">IF(ISBLANK($E276),IF(ISNUMBER($E274),IF($C275&gt;0,IF(($E275=INDEX(_xlfn.ANCHORARRAY(Sintesi!$C$14),1,$C275))*(INDEX(_xlfn.ANCHORARRAY(Sintesi!$C$15),1,$C275)&gt;0),0,IF(($E275=INDEX(_xlfn.ANCHORARRAY(Sintesi!$C$14),1,$C275))*(INDEX(_xlfn.ANCHORARRAY(Sintesi!$C$15),1,$C275)&lt;0)+($E275&gt;=$E274)*($E275&lt;=INDEX($E:$E,MATCH(TRUE,INDEX((ISNUMBER($E:$E)),0),0)))*($E275&gt;INDEX(_xlfn.ANCHORARRAY(Sintesi!$C$14),1,$C275))*($E275&lt;=INDEX(_xlfn.ANCHORARRAY(Sintesi!$C$15),1,$C275))*(INDEX(_xlfn.ANCHORARRAY(Sintesi!$C$15),1,$C275)&gt;0),1,IF(($E275&gt;=$E274)*($E275&lt;=INDEX($E:$E,MATCH(TRUE,INDEX((ISNUMBER($E:$E)),0),0)))*($E275&gt;INDEX(_xlfn.ANCHORARRAY(Sintesi!$C$14),1,$C275))*($E275&lt;INDEX(_xlfn.ANCHORARRAY(Sintesi!$C$16),1,$C275))*(INDEX(_xlfn.ANCHORARRAY(Sintesi!$C$15),1,$C275)&lt;0)+($E275&gt;=$E274)*($E275&lt;=INDEX($E:$E,MATCH(TRUE,INDEX((ISNUMBER($E:$E)),0),0)))*($E275&gt;INDEX(_xlfn.ANCHORARRAY(Sintesi!$C$15),1,$C275))*($E275&lt;INDEX(_xlfn.ANCHORARRAY(Sintesi!$C$16),1,$C275))*(INDEX(_xlfn.ANCHORARRAY(Sintesi!$C$15),1,$C275)&gt;0),2,IF($E275=(INDEX(_xlfn.ANCHORARRAY(Sintesi!$C$16),1,$C275)),3,4)))),0),IF($C275&gt;0,IF(($E275=INDEX(_xlfn.ANCHORARRAY(Sintesi!$C$14),1,$C275))*(INDEX(_xlfn.ANCHORARRAY(Sintesi!$C$15),1,$C275)&gt;0),0,IF(($E275=INDEX(_xlfn.ANCHORARRAY(Sintesi!$C$14),1,$C275))*(INDEX(_xlfn.ANCHORARRAY(Sintesi!$C$15),1,$C275)&lt;0)+($E275&gt;=LOOKUP(2,1/($E:$E&lt;&gt;""),$E:$E))*($E275&lt;=INDEX($E:$E,MATCH(TRUE,INDEX((ISNUMBER($E:$E)),0),0)))*($E275&gt;INDEX(_xlfn.ANCHORARRAY(Sintesi!$C$14),1,$C275))*($E275&lt;=INDEX(_xlfn.ANCHORARRAY(Sintesi!$C$15),1,$C275))*(INDEX(_xlfn.ANCHORARRAY(Sintesi!$C$15),1,$C275)&gt;0),1,IF(($E275&gt;=LOOKUP(2,1/($E:$E&lt;&gt;""),$E:$E))*($E275&lt;=INDEX($E:$E,MATCH(TRUE,INDEX((ISNUMBER($E:$E)),0),0)))*($E275&gt;INDEX(_xlfn.ANCHORARRAY(Sintesi!$C$14),1,$C275))*($E275&lt;INDEX(_xlfn.ANCHORARRAY(Sintesi!$C$16),1,$C275))*(INDEX(_xlfn.ANCHORARRAY(Sintesi!$C$15),1,$C275)&lt;0)+($E275&gt;=LOOKUP(2,1/($E:$E&lt;&gt;""),$E:$E))*($E275&lt;=INDEX($E:$E,MATCH(TRUE,INDEX((ISNUMBER($E:$E)),0),0)))*($E275&gt;INDEX(_xlfn.ANCHORARRAY(Sintesi!$C$15),1,$C275))*($E275&lt;INDEX(_xlfn.ANCHORARRAY(Sintesi!$C$16),1,$C275))*(INDEX(_xlfn.ANCHORARRAY(Sintesi!$C$15),1,$C275)&gt;0),2,IF($E275=(INDEX(_xlfn.ANCHORARRAY(Sintesi!$C$16),1,$C275)),3,4)))),0)),IF(ISNUMBER($E274),IF($C275&gt;0,IF(($E275=INDEX(_xlfn.ANCHORARRAY(Sintesi!$C$14),1,$C275))*(INDEX(_xlfn.ANCHORARRAY(Sintesi!$C$15),1,$C275)&gt;0),0,IF(($E275=INDEX(_xlfn.ANCHORARRAY(Sintesi!$C$14),1,$C275))*(INDEX(_xlfn.ANCHORARRAY(Sintesi!$C$15),1,$C275)&lt;0)+($E275&gt;=$E274)*($E275&lt;=$E276)*($E275&gt;INDEX(_xlfn.ANCHORARRAY(Sintesi!$C$14),1,$C275))*($E275&lt;=INDEX(_xlfn.ANCHORARRAY(Sintesi!$C$15),1,$C275))*(INDEX(_xlfn.ANCHORARRAY(Sintesi!$C$15),1,$C275)&gt;0),1,IF(($E275&gt;=$E274)*($E275&lt;=$E276)*($E275&gt;INDEX(_xlfn.ANCHORARRAY(Sintesi!$C$14),1,$C275))*($E275&lt;INDEX(_xlfn.ANCHORARRAY(Sintesi!$C$16),1,$C275))*(INDEX(_xlfn.ANCHORARRAY(Sintesi!$C$15),1,$C275)&lt;0)+($E275&gt;=$E274)*($E275&lt;=$E276)*($E275&gt;INDEX(_xlfn.ANCHORARRAY(Sintesi!$C$15),1,$C275))*($E275&lt;INDEX(_xlfn.ANCHORARRAY(Sintesi!$C$16),1,$C275))*(INDEX(_xlfn.ANCHORARRAY(Sintesi!$C$15),1,$C275)&gt;0),2,IF($E275=(INDEX(_xlfn.ANCHORARRAY(Sintesi!$C$16),1,$C275)),3,4)))),0),IF($C275&gt;0,IF(($E275=INDEX(_xlfn.ANCHORARRAY(Sintesi!$C$14),1,$C275))*(INDEX(_xlfn.ANCHORARRAY(Sintesi!$C$15),1,$C275)&gt;0),0,IF(($E275=INDEX(_xlfn.ANCHORARRAY(Sintesi!$C$14),1,$C275))*(INDEX(_xlfn.ANCHORARRAY(Sintesi!$C$15),1,$C275)&lt;0)+($E275&gt;=LOOKUP(2,1/($E:$E&lt;&gt;""),$E:$E))*($E275&lt;=$E276)*($E275&gt;INDEX(_xlfn.ANCHORARRAY(Sintesi!$C$14),1,$C275))*($E275&lt;=INDEX(_xlfn.ANCHORARRAY(Sintesi!$C$15),1,$C275))*(INDEX(_xlfn.ANCHORARRAY(Sintesi!$C$15),1,$C275)&gt;0),1,IF(($E275&gt;=LOOKUP(2,1/($E:$E&lt;&gt;""),$E:$E))*($E275&lt;=$E276)*($E275&gt;INDEX(_xlfn.ANCHORARRAY(Sintesi!$C$14),1,$C275))*($E275&lt;INDEX(_xlfn.ANCHORARRAY(Sintesi!$C$16),1,$C275))*(INDEX(_xlfn.ANCHORARRAY(Sintesi!$C$15),1,$C275)&lt;0)+($E275&gt;=LOOKUP(2,1/($E:$E&lt;&gt;""),$E:$E))*($E275&lt;=$E276)*($E275&gt;INDEX(_xlfn.ANCHORARRAY(Sintesi!$C$15),1,$C275))*($E275&lt;INDEX(_xlfn.ANCHORARRAY(Sintesi!$C$16),1,$C275))*(INDEX(_xlfn.ANCHORARRAY(Sintesi!$C$15),1,$C275)&gt;0),2,IF($E275=(INDEX(_xlfn.ANCHORARRAY(Sintesi!$C$16),1,$C275)),3,4)))),0)))</f>
        <v>0</v>
      </c>
      <c r="E275" s="1">
        <f>'Paste cell here'!F275</f>
        <v>0</v>
      </c>
      <c r="F275" s="1">
        <f>'Paste cell here'!C275</f>
        <v>24.302679730000001</v>
      </c>
      <c r="G275" s="1">
        <f>'Paste cell here'!D275</f>
        <v>11.79462434</v>
      </c>
      <c r="H275" s="1">
        <f>'Paste cell here'!E275</f>
        <v>2.664721455</v>
      </c>
      <c r="I275" s="1">
        <f>'Paste cell here'!X275</f>
        <v>0</v>
      </c>
      <c r="J275" s="1">
        <f>'Paste cell here'!Y275+'Paste cell here'!S275</f>
        <v>0</v>
      </c>
      <c r="K275" s="1">
        <f t="shared" si="9"/>
        <v>0</v>
      </c>
      <c r="L275" s="1">
        <f t="shared" si="8"/>
        <v>19.767508589024178</v>
      </c>
      <c r="M275" s="1" cm="1">
        <f t="array" ref="M275">IF(AND(A275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,A275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),IF(L275&lt;_xlfn.IFNA(INDEX(_xlfn.ANCHORARRAY(Sintesi!$C$17)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,1,IF(L275&gt;=_xlfn.IFNA(INDEX(_xlfn.ANCHORARRAY(Sintesi!$C$18)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,0,1-(L275-_xlfn.IFNA(INDEX(_xlfn.ANCHORARRAY(Sintesi!$C$17)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)/(_xlfn.IFNA(INDEX(_xlfn.ANCHORARRAY(Sintesi!$C$18)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-_xlfn.IFNA(INDEX(_xlfn.ANCHORARRAY(Sintesi!$C$17),1,MATCH(1,(_xlfn.ANCHORARRAY(Sintesi!$C$9)&gt;_xlfn.ANCHORARRAY(Sintesi!$C$10))*(A274&gt;=_xlfn.ANCHORARRAY(Sintesi!$C$9))+(_xlfn.ANCHORARRAY(Sintesi!$C$9)&gt;_xlfn.ANCHORARRAY(Sintesi!$C$10))*(A274&lt;=_xlfn.ANCHORARRAY(Sintesi!$C$10))+(_xlfn.ANCHORARRAY(Sintesi!$C$9)&lt;_xlfn.ANCHORARRAY(Sintesi!$C$10))*(A274&gt;=_xlfn.ANCHORARRAY(Sintesi!$C$9))*(A274&lt;=_xlfn.ANCHORARRAY(Sintesi!$C$10)),0)),0)))),0)</f>
        <v>0</v>
      </c>
    </row>
    <row r="276" spans="1:13">
      <c r="A276" s="1">
        <f>'Paste cell here'!A276</f>
        <v>275</v>
      </c>
      <c r="B276" s="2">
        <f>DATE(Sintesi!$C$4-1,12,31)+A276</f>
        <v>44471</v>
      </c>
      <c r="C276" s="34" cm="1">
        <f t="array" ref="C276">_xlfn.IFNA(MATCH(1,(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)*(_xlfn.ANCHORARRAY(Sintesi!$C$15)&gt;=0)+(_xlfn.ANCHORARRAY(Sintesi!$C$15)&lt;0),0),0)</f>
        <v>0</v>
      </c>
      <c r="D276" s="1" cm="1">
        <f t="array" ref="D276">IF(ISBLANK($E277),IF(ISNUMBER($E275),IF($C276&gt;0,IF(($E276=INDEX(_xlfn.ANCHORARRAY(Sintesi!$C$14),1,$C276))*(INDEX(_xlfn.ANCHORARRAY(Sintesi!$C$15),1,$C276)&gt;0),0,IF(($E276=INDEX(_xlfn.ANCHORARRAY(Sintesi!$C$14),1,$C276))*(INDEX(_xlfn.ANCHORARRAY(Sintesi!$C$15),1,$C276)&lt;0)+($E276&gt;=$E275)*($E276&lt;=INDEX($E:$E,MATCH(TRUE,INDEX((ISNUMBER($E:$E)),0),0)))*($E276&gt;INDEX(_xlfn.ANCHORARRAY(Sintesi!$C$14),1,$C276))*($E276&lt;=INDEX(_xlfn.ANCHORARRAY(Sintesi!$C$15),1,$C276))*(INDEX(_xlfn.ANCHORARRAY(Sintesi!$C$15),1,$C276)&gt;0),1,IF(($E276&gt;=$E275)*($E276&lt;=INDEX($E:$E,MATCH(TRUE,INDEX((ISNUMBER($E:$E)),0),0)))*($E276&gt;INDEX(_xlfn.ANCHORARRAY(Sintesi!$C$14),1,$C276))*($E276&lt;INDEX(_xlfn.ANCHORARRAY(Sintesi!$C$16),1,$C276))*(INDEX(_xlfn.ANCHORARRAY(Sintesi!$C$15),1,$C276)&lt;0)+($E276&gt;=$E275)*($E276&lt;=INDEX($E:$E,MATCH(TRUE,INDEX((ISNUMBER($E:$E)),0),0)))*($E276&gt;INDEX(_xlfn.ANCHORARRAY(Sintesi!$C$15),1,$C276))*($E276&lt;INDEX(_xlfn.ANCHORARRAY(Sintesi!$C$16),1,$C276))*(INDEX(_xlfn.ANCHORARRAY(Sintesi!$C$15),1,$C276)&gt;0),2,IF($E276=(INDEX(_xlfn.ANCHORARRAY(Sintesi!$C$16),1,$C276)),3,4)))),0),IF($C276&gt;0,IF(($E276=INDEX(_xlfn.ANCHORARRAY(Sintesi!$C$14),1,$C276))*(INDEX(_xlfn.ANCHORARRAY(Sintesi!$C$15),1,$C276)&gt;0),0,IF(($E276=INDEX(_xlfn.ANCHORARRAY(Sintesi!$C$14),1,$C276))*(INDEX(_xlfn.ANCHORARRAY(Sintesi!$C$15),1,$C276)&lt;0)+($E276&gt;=LOOKUP(2,1/($E:$E&lt;&gt;""),$E:$E))*($E276&lt;=INDEX($E:$E,MATCH(TRUE,INDEX((ISNUMBER($E:$E)),0),0)))*($E276&gt;INDEX(_xlfn.ANCHORARRAY(Sintesi!$C$14),1,$C276))*($E276&lt;=INDEX(_xlfn.ANCHORARRAY(Sintesi!$C$15),1,$C276))*(INDEX(_xlfn.ANCHORARRAY(Sintesi!$C$15),1,$C276)&gt;0),1,IF(($E276&gt;=LOOKUP(2,1/($E:$E&lt;&gt;""),$E:$E))*($E276&lt;=INDEX($E:$E,MATCH(TRUE,INDEX((ISNUMBER($E:$E)),0),0)))*($E276&gt;INDEX(_xlfn.ANCHORARRAY(Sintesi!$C$14),1,$C276))*($E276&lt;INDEX(_xlfn.ANCHORARRAY(Sintesi!$C$16),1,$C276))*(INDEX(_xlfn.ANCHORARRAY(Sintesi!$C$15),1,$C276)&lt;0)+($E276&gt;=LOOKUP(2,1/($E:$E&lt;&gt;""),$E:$E))*($E276&lt;=INDEX($E:$E,MATCH(TRUE,INDEX((ISNUMBER($E:$E)),0),0)))*($E276&gt;INDEX(_xlfn.ANCHORARRAY(Sintesi!$C$15),1,$C276))*($E276&lt;INDEX(_xlfn.ANCHORARRAY(Sintesi!$C$16),1,$C276))*(INDEX(_xlfn.ANCHORARRAY(Sintesi!$C$15),1,$C276)&gt;0),2,IF($E276=(INDEX(_xlfn.ANCHORARRAY(Sintesi!$C$16),1,$C276)),3,4)))),0)),IF(ISNUMBER($E275),IF($C276&gt;0,IF(($E276=INDEX(_xlfn.ANCHORARRAY(Sintesi!$C$14),1,$C276))*(INDEX(_xlfn.ANCHORARRAY(Sintesi!$C$15),1,$C276)&gt;0),0,IF(($E276=INDEX(_xlfn.ANCHORARRAY(Sintesi!$C$14),1,$C276))*(INDEX(_xlfn.ANCHORARRAY(Sintesi!$C$15),1,$C276)&lt;0)+($E276&gt;=$E275)*($E276&lt;=$E277)*($E276&gt;INDEX(_xlfn.ANCHORARRAY(Sintesi!$C$14),1,$C276))*($E276&lt;=INDEX(_xlfn.ANCHORARRAY(Sintesi!$C$15),1,$C276))*(INDEX(_xlfn.ANCHORARRAY(Sintesi!$C$15),1,$C276)&gt;0),1,IF(($E276&gt;=$E275)*($E276&lt;=$E277)*($E276&gt;INDEX(_xlfn.ANCHORARRAY(Sintesi!$C$14),1,$C276))*($E276&lt;INDEX(_xlfn.ANCHORARRAY(Sintesi!$C$16),1,$C276))*(INDEX(_xlfn.ANCHORARRAY(Sintesi!$C$15),1,$C276)&lt;0)+($E276&gt;=$E275)*($E276&lt;=$E277)*($E276&gt;INDEX(_xlfn.ANCHORARRAY(Sintesi!$C$15),1,$C276))*($E276&lt;INDEX(_xlfn.ANCHORARRAY(Sintesi!$C$16),1,$C276))*(INDEX(_xlfn.ANCHORARRAY(Sintesi!$C$15),1,$C276)&gt;0),2,IF($E276=(INDEX(_xlfn.ANCHORARRAY(Sintesi!$C$16),1,$C276)),3,4)))),0),IF($C276&gt;0,IF(($E276=INDEX(_xlfn.ANCHORARRAY(Sintesi!$C$14),1,$C276))*(INDEX(_xlfn.ANCHORARRAY(Sintesi!$C$15),1,$C276)&gt;0),0,IF(($E276=INDEX(_xlfn.ANCHORARRAY(Sintesi!$C$14),1,$C276))*(INDEX(_xlfn.ANCHORARRAY(Sintesi!$C$15),1,$C276)&lt;0)+($E276&gt;=LOOKUP(2,1/($E:$E&lt;&gt;""),$E:$E))*($E276&lt;=$E277)*($E276&gt;INDEX(_xlfn.ANCHORARRAY(Sintesi!$C$14),1,$C276))*($E276&lt;=INDEX(_xlfn.ANCHORARRAY(Sintesi!$C$15),1,$C276))*(INDEX(_xlfn.ANCHORARRAY(Sintesi!$C$15),1,$C276)&gt;0),1,IF(($E276&gt;=LOOKUP(2,1/($E:$E&lt;&gt;""),$E:$E))*($E276&lt;=$E277)*($E276&gt;INDEX(_xlfn.ANCHORARRAY(Sintesi!$C$14),1,$C276))*($E276&lt;INDEX(_xlfn.ANCHORARRAY(Sintesi!$C$16),1,$C276))*(INDEX(_xlfn.ANCHORARRAY(Sintesi!$C$15),1,$C276)&lt;0)+($E276&gt;=LOOKUP(2,1/($E:$E&lt;&gt;""),$E:$E))*($E276&lt;=$E277)*($E276&gt;INDEX(_xlfn.ANCHORARRAY(Sintesi!$C$15),1,$C276))*($E276&lt;INDEX(_xlfn.ANCHORARRAY(Sintesi!$C$16),1,$C276))*(INDEX(_xlfn.ANCHORARRAY(Sintesi!$C$15),1,$C276)&gt;0),2,IF($E276=(INDEX(_xlfn.ANCHORARRAY(Sintesi!$C$16),1,$C276)),3,4)))),0)))</f>
        <v>0</v>
      </c>
      <c r="E276" s="1">
        <f>'Paste cell here'!F276</f>
        <v>0</v>
      </c>
      <c r="F276" s="1">
        <f>'Paste cell here'!C276</f>
        <v>23.956605029999999</v>
      </c>
      <c r="G276" s="1">
        <f>'Paste cell here'!D276</f>
        <v>14.61528457</v>
      </c>
      <c r="H276" s="1">
        <f>'Paste cell here'!E276</f>
        <v>2.523673343</v>
      </c>
      <c r="I276" s="1">
        <f>'Paste cell here'!X276</f>
        <v>0</v>
      </c>
      <c r="J276" s="1">
        <f>'Paste cell here'!Y276+'Paste cell here'!S276</f>
        <v>0</v>
      </c>
      <c r="K276" s="1">
        <f t="shared" si="9"/>
        <v>0</v>
      </c>
      <c r="L276" s="1">
        <f t="shared" si="8"/>
        <v>20.56962874568735</v>
      </c>
      <c r="M276" s="1" cm="1">
        <f t="array" ref="M276">IF(AND(A276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,A276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),IF(L276&lt;_xlfn.IFNA(INDEX(_xlfn.ANCHORARRAY(Sintesi!$C$17)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,1,IF(L276&gt;=_xlfn.IFNA(INDEX(_xlfn.ANCHORARRAY(Sintesi!$C$18)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,0,1-(L276-_xlfn.IFNA(INDEX(_xlfn.ANCHORARRAY(Sintesi!$C$17)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)/(_xlfn.IFNA(INDEX(_xlfn.ANCHORARRAY(Sintesi!$C$18)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-_xlfn.IFNA(INDEX(_xlfn.ANCHORARRAY(Sintesi!$C$17),1,MATCH(1,(_xlfn.ANCHORARRAY(Sintesi!$C$9)&gt;_xlfn.ANCHORARRAY(Sintesi!$C$10))*(A275&gt;=_xlfn.ANCHORARRAY(Sintesi!$C$9))+(_xlfn.ANCHORARRAY(Sintesi!$C$9)&gt;_xlfn.ANCHORARRAY(Sintesi!$C$10))*(A275&lt;=_xlfn.ANCHORARRAY(Sintesi!$C$10))+(_xlfn.ANCHORARRAY(Sintesi!$C$9)&lt;_xlfn.ANCHORARRAY(Sintesi!$C$10))*(A275&gt;=_xlfn.ANCHORARRAY(Sintesi!$C$9))*(A275&lt;=_xlfn.ANCHORARRAY(Sintesi!$C$10)),0)),0)))),0)</f>
        <v>0</v>
      </c>
    </row>
    <row r="277" spans="1:13">
      <c r="A277" s="1">
        <f>'Paste cell here'!A277</f>
        <v>276</v>
      </c>
      <c r="B277" s="2">
        <f>DATE(Sintesi!$C$4-1,12,31)+A277</f>
        <v>44472</v>
      </c>
      <c r="C277" s="34" cm="1">
        <f t="array" ref="C277">_xlfn.IFNA(MATCH(1,(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)*(_xlfn.ANCHORARRAY(Sintesi!$C$15)&gt;=0)+(_xlfn.ANCHORARRAY(Sintesi!$C$15)&lt;0),0),0)</f>
        <v>0</v>
      </c>
      <c r="D277" s="1" cm="1">
        <f t="array" ref="D277">IF(ISBLANK($E278),IF(ISNUMBER($E276),IF($C277&gt;0,IF(($E277=INDEX(_xlfn.ANCHORARRAY(Sintesi!$C$14),1,$C277))*(INDEX(_xlfn.ANCHORARRAY(Sintesi!$C$15),1,$C277)&gt;0),0,IF(($E277=INDEX(_xlfn.ANCHORARRAY(Sintesi!$C$14),1,$C277))*(INDEX(_xlfn.ANCHORARRAY(Sintesi!$C$15),1,$C277)&lt;0)+($E277&gt;=$E276)*($E277&lt;=INDEX($E:$E,MATCH(TRUE,INDEX((ISNUMBER($E:$E)),0),0)))*($E277&gt;INDEX(_xlfn.ANCHORARRAY(Sintesi!$C$14),1,$C277))*($E277&lt;=INDEX(_xlfn.ANCHORARRAY(Sintesi!$C$15),1,$C277))*(INDEX(_xlfn.ANCHORARRAY(Sintesi!$C$15),1,$C277)&gt;0),1,IF(($E277&gt;=$E276)*($E277&lt;=INDEX($E:$E,MATCH(TRUE,INDEX((ISNUMBER($E:$E)),0),0)))*($E277&gt;INDEX(_xlfn.ANCHORARRAY(Sintesi!$C$14),1,$C277))*($E277&lt;INDEX(_xlfn.ANCHORARRAY(Sintesi!$C$16),1,$C277))*(INDEX(_xlfn.ANCHORARRAY(Sintesi!$C$15),1,$C277)&lt;0)+($E277&gt;=$E276)*($E277&lt;=INDEX($E:$E,MATCH(TRUE,INDEX((ISNUMBER($E:$E)),0),0)))*($E277&gt;INDEX(_xlfn.ANCHORARRAY(Sintesi!$C$15),1,$C277))*($E277&lt;INDEX(_xlfn.ANCHORARRAY(Sintesi!$C$16),1,$C277))*(INDEX(_xlfn.ANCHORARRAY(Sintesi!$C$15),1,$C277)&gt;0),2,IF($E277=(INDEX(_xlfn.ANCHORARRAY(Sintesi!$C$16),1,$C277)),3,4)))),0),IF($C277&gt;0,IF(($E277=INDEX(_xlfn.ANCHORARRAY(Sintesi!$C$14),1,$C277))*(INDEX(_xlfn.ANCHORARRAY(Sintesi!$C$15),1,$C277)&gt;0),0,IF(($E277=INDEX(_xlfn.ANCHORARRAY(Sintesi!$C$14),1,$C277))*(INDEX(_xlfn.ANCHORARRAY(Sintesi!$C$15),1,$C277)&lt;0)+($E277&gt;=LOOKUP(2,1/($E:$E&lt;&gt;""),$E:$E))*($E277&lt;=INDEX($E:$E,MATCH(TRUE,INDEX((ISNUMBER($E:$E)),0),0)))*($E277&gt;INDEX(_xlfn.ANCHORARRAY(Sintesi!$C$14),1,$C277))*($E277&lt;=INDEX(_xlfn.ANCHORARRAY(Sintesi!$C$15),1,$C277))*(INDEX(_xlfn.ANCHORARRAY(Sintesi!$C$15),1,$C277)&gt;0),1,IF(($E277&gt;=LOOKUP(2,1/($E:$E&lt;&gt;""),$E:$E))*($E277&lt;=INDEX($E:$E,MATCH(TRUE,INDEX((ISNUMBER($E:$E)),0),0)))*($E277&gt;INDEX(_xlfn.ANCHORARRAY(Sintesi!$C$14),1,$C277))*($E277&lt;INDEX(_xlfn.ANCHORARRAY(Sintesi!$C$16),1,$C277))*(INDEX(_xlfn.ANCHORARRAY(Sintesi!$C$15),1,$C277)&lt;0)+($E277&gt;=LOOKUP(2,1/($E:$E&lt;&gt;""),$E:$E))*($E277&lt;=INDEX($E:$E,MATCH(TRUE,INDEX((ISNUMBER($E:$E)),0),0)))*($E277&gt;INDEX(_xlfn.ANCHORARRAY(Sintesi!$C$15),1,$C277))*($E277&lt;INDEX(_xlfn.ANCHORARRAY(Sintesi!$C$16),1,$C277))*(INDEX(_xlfn.ANCHORARRAY(Sintesi!$C$15),1,$C277)&gt;0),2,IF($E277=(INDEX(_xlfn.ANCHORARRAY(Sintesi!$C$16),1,$C277)),3,4)))),0)),IF(ISNUMBER($E276),IF($C277&gt;0,IF(($E277=INDEX(_xlfn.ANCHORARRAY(Sintesi!$C$14),1,$C277))*(INDEX(_xlfn.ANCHORARRAY(Sintesi!$C$15),1,$C277)&gt;0),0,IF(($E277=INDEX(_xlfn.ANCHORARRAY(Sintesi!$C$14),1,$C277))*(INDEX(_xlfn.ANCHORARRAY(Sintesi!$C$15),1,$C277)&lt;0)+($E277&gt;=$E276)*($E277&lt;=$E278)*($E277&gt;INDEX(_xlfn.ANCHORARRAY(Sintesi!$C$14),1,$C277))*($E277&lt;=INDEX(_xlfn.ANCHORARRAY(Sintesi!$C$15),1,$C277))*(INDEX(_xlfn.ANCHORARRAY(Sintesi!$C$15),1,$C277)&gt;0),1,IF(($E277&gt;=$E276)*($E277&lt;=$E278)*($E277&gt;INDEX(_xlfn.ANCHORARRAY(Sintesi!$C$14),1,$C277))*($E277&lt;INDEX(_xlfn.ANCHORARRAY(Sintesi!$C$16),1,$C277))*(INDEX(_xlfn.ANCHORARRAY(Sintesi!$C$15),1,$C277)&lt;0)+($E277&gt;=$E276)*($E277&lt;=$E278)*($E277&gt;INDEX(_xlfn.ANCHORARRAY(Sintesi!$C$15),1,$C277))*($E277&lt;INDEX(_xlfn.ANCHORARRAY(Sintesi!$C$16),1,$C277))*(INDEX(_xlfn.ANCHORARRAY(Sintesi!$C$15),1,$C277)&gt;0),2,IF($E277=(INDEX(_xlfn.ANCHORARRAY(Sintesi!$C$16),1,$C277)),3,4)))),0),IF($C277&gt;0,IF(($E277=INDEX(_xlfn.ANCHORARRAY(Sintesi!$C$14),1,$C277))*(INDEX(_xlfn.ANCHORARRAY(Sintesi!$C$15),1,$C277)&gt;0),0,IF(($E277=INDEX(_xlfn.ANCHORARRAY(Sintesi!$C$14),1,$C277))*(INDEX(_xlfn.ANCHORARRAY(Sintesi!$C$15),1,$C277)&lt;0)+($E277&gt;=LOOKUP(2,1/($E:$E&lt;&gt;""),$E:$E))*($E277&lt;=$E278)*($E277&gt;INDEX(_xlfn.ANCHORARRAY(Sintesi!$C$14),1,$C277))*($E277&lt;=INDEX(_xlfn.ANCHORARRAY(Sintesi!$C$15),1,$C277))*(INDEX(_xlfn.ANCHORARRAY(Sintesi!$C$15),1,$C277)&gt;0),1,IF(($E277&gt;=LOOKUP(2,1/($E:$E&lt;&gt;""),$E:$E))*($E277&lt;=$E278)*($E277&gt;INDEX(_xlfn.ANCHORARRAY(Sintesi!$C$14),1,$C277))*($E277&lt;INDEX(_xlfn.ANCHORARRAY(Sintesi!$C$16),1,$C277))*(INDEX(_xlfn.ANCHORARRAY(Sintesi!$C$15),1,$C277)&lt;0)+($E277&gt;=LOOKUP(2,1/($E:$E&lt;&gt;""),$E:$E))*($E277&lt;=$E278)*($E277&gt;INDEX(_xlfn.ANCHORARRAY(Sintesi!$C$15),1,$C277))*($E277&lt;INDEX(_xlfn.ANCHORARRAY(Sintesi!$C$16),1,$C277))*(INDEX(_xlfn.ANCHORARRAY(Sintesi!$C$15),1,$C277)&gt;0),2,IF($E277=(INDEX(_xlfn.ANCHORARRAY(Sintesi!$C$16),1,$C277)),3,4)))),0)))</f>
        <v>0</v>
      </c>
      <c r="E277" s="1">
        <f>'Paste cell here'!F277</f>
        <v>0</v>
      </c>
      <c r="F277" s="1">
        <f>'Paste cell here'!C277</f>
        <v>18.37201567</v>
      </c>
      <c r="G277" s="1">
        <f>'Paste cell here'!D277</f>
        <v>15.982019490000001</v>
      </c>
      <c r="H277" s="1">
        <f>'Paste cell here'!E277</f>
        <v>1.185808668</v>
      </c>
      <c r="I277" s="1">
        <f>'Paste cell here'!X277</f>
        <v>0</v>
      </c>
      <c r="J277" s="1">
        <f>'Paste cell here'!Y277+'Paste cell here'!S277</f>
        <v>0</v>
      </c>
      <c r="K277" s="1">
        <f t="shared" si="9"/>
        <v>0</v>
      </c>
      <c r="L277" s="1">
        <f t="shared" si="8"/>
        <v>17.505450775248725</v>
      </c>
      <c r="M277" s="1" cm="1">
        <f t="array" ref="M277">IF(AND(A277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,A277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),IF(L277&lt;_xlfn.IFNA(INDEX(_xlfn.ANCHORARRAY(Sintesi!$C$17)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,1,IF(L277&gt;=_xlfn.IFNA(INDEX(_xlfn.ANCHORARRAY(Sintesi!$C$18)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,0,1-(L277-_xlfn.IFNA(INDEX(_xlfn.ANCHORARRAY(Sintesi!$C$17)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)/(_xlfn.IFNA(INDEX(_xlfn.ANCHORARRAY(Sintesi!$C$18)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-_xlfn.IFNA(INDEX(_xlfn.ANCHORARRAY(Sintesi!$C$17),1,MATCH(1,(_xlfn.ANCHORARRAY(Sintesi!$C$9)&gt;_xlfn.ANCHORARRAY(Sintesi!$C$10))*(A276&gt;=_xlfn.ANCHORARRAY(Sintesi!$C$9))+(_xlfn.ANCHORARRAY(Sintesi!$C$9)&gt;_xlfn.ANCHORARRAY(Sintesi!$C$10))*(A276&lt;=_xlfn.ANCHORARRAY(Sintesi!$C$10))+(_xlfn.ANCHORARRAY(Sintesi!$C$9)&lt;_xlfn.ANCHORARRAY(Sintesi!$C$10))*(A276&gt;=_xlfn.ANCHORARRAY(Sintesi!$C$9))*(A276&lt;=_xlfn.ANCHORARRAY(Sintesi!$C$10)),0)),0)))),0)</f>
        <v>0</v>
      </c>
    </row>
    <row r="278" spans="1:13">
      <c r="A278" s="1">
        <f>'Paste cell here'!A278</f>
        <v>277</v>
      </c>
      <c r="B278" s="2">
        <f>DATE(Sintesi!$C$4-1,12,31)+A278</f>
        <v>44473</v>
      </c>
      <c r="C278" s="34" cm="1">
        <f t="array" ref="C278">_xlfn.IFNA(MATCH(1,(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)*(_xlfn.ANCHORARRAY(Sintesi!$C$15)&gt;=0)+(_xlfn.ANCHORARRAY(Sintesi!$C$15)&lt;0),0),0)</f>
        <v>0</v>
      </c>
      <c r="D278" s="1" cm="1">
        <f t="array" ref="D278">IF(ISBLANK($E279),IF(ISNUMBER($E277),IF($C278&gt;0,IF(($E278=INDEX(_xlfn.ANCHORARRAY(Sintesi!$C$14),1,$C278))*(INDEX(_xlfn.ANCHORARRAY(Sintesi!$C$15),1,$C278)&gt;0),0,IF(($E278=INDEX(_xlfn.ANCHORARRAY(Sintesi!$C$14),1,$C278))*(INDEX(_xlfn.ANCHORARRAY(Sintesi!$C$15),1,$C278)&lt;0)+($E278&gt;=$E277)*($E278&lt;=INDEX($E:$E,MATCH(TRUE,INDEX((ISNUMBER($E:$E)),0),0)))*($E278&gt;INDEX(_xlfn.ANCHORARRAY(Sintesi!$C$14),1,$C278))*($E278&lt;=INDEX(_xlfn.ANCHORARRAY(Sintesi!$C$15),1,$C278))*(INDEX(_xlfn.ANCHORARRAY(Sintesi!$C$15),1,$C278)&gt;0),1,IF(($E278&gt;=$E277)*($E278&lt;=INDEX($E:$E,MATCH(TRUE,INDEX((ISNUMBER($E:$E)),0),0)))*($E278&gt;INDEX(_xlfn.ANCHORARRAY(Sintesi!$C$14),1,$C278))*($E278&lt;INDEX(_xlfn.ANCHORARRAY(Sintesi!$C$16),1,$C278))*(INDEX(_xlfn.ANCHORARRAY(Sintesi!$C$15),1,$C278)&lt;0)+($E278&gt;=$E277)*($E278&lt;=INDEX($E:$E,MATCH(TRUE,INDEX((ISNUMBER($E:$E)),0),0)))*($E278&gt;INDEX(_xlfn.ANCHORARRAY(Sintesi!$C$15),1,$C278))*($E278&lt;INDEX(_xlfn.ANCHORARRAY(Sintesi!$C$16),1,$C278))*(INDEX(_xlfn.ANCHORARRAY(Sintesi!$C$15),1,$C278)&gt;0),2,IF($E278=(INDEX(_xlfn.ANCHORARRAY(Sintesi!$C$16),1,$C278)),3,4)))),0),IF($C278&gt;0,IF(($E278=INDEX(_xlfn.ANCHORARRAY(Sintesi!$C$14),1,$C278))*(INDEX(_xlfn.ANCHORARRAY(Sintesi!$C$15),1,$C278)&gt;0),0,IF(($E278=INDEX(_xlfn.ANCHORARRAY(Sintesi!$C$14),1,$C278))*(INDEX(_xlfn.ANCHORARRAY(Sintesi!$C$15),1,$C278)&lt;0)+($E278&gt;=LOOKUP(2,1/($E:$E&lt;&gt;""),$E:$E))*($E278&lt;=INDEX($E:$E,MATCH(TRUE,INDEX((ISNUMBER($E:$E)),0),0)))*($E278&gt;INDEX(_xlfn.ANCHORARRAY(Sintesi!$C$14),1,$C278))*($E278&lt;=INDEX(_xlfn.ANCHORARRAY(Sintesi!$C$15),1,$C278))*(INDEX(_xlfn.ANCHORARRAY(Sintesi!$C$15),1,$C278)&gt;0),1,IF(($E278&gt;=LOOKUP(2,1/($E:$E&lt;&gt;""),$E:$E))*($E278&lt;=INDEX($E:$E,MATCH(TRUE,INDEX((ISNUMBER($E:$E)),0),0)))*($E278&gt;INDEX(_xlfn.ANCHORARRAY(Sintesi!$C$14),1,$C278))*($E278&lt;INDEX(_xlfn.ANCHORARRAY(Sintesi!$C$16),1,$C278))*(INDEX(_xlfn.ANCHORARRAY(Sintesi!$C$15),1,$C278)&lt;0)+($E278&gt;=LOOKUP(2,1/($E:$E&lt;&gt;""),$E:$E))*($E278&lt;=INDEX($E:$E,MATCH(TRUE,INDEX((ISNUMBER($E:$E)),0),0)))*($E278&gt;INDEX(_xlfn.ANCHORARRAY(Sintesi!$C$15),1,$C278))*($E278&lt;INDEX(_xlfn.ANCHORARRAY(Sintesi!$C$16),1,$C278))*(INDEX(_xlfn.ANCHORARRAY(Sintesi!$C$15),1,$C278)&gt;0),2,IF($E278=(INDEX(_xlfn.ANCHORARRAY(Sintesi!$C$16),1,$C278)),3,4)))),0)),IF(ISNUMBER($E277),IF($C278&gt;0,IF(($E278=INDEX(_xlfn.ANCHORARRAY(Sintesi!$C$14),1,$C278))*(INDEX(_xlfn.ANCHORARRAY(Sintesi!$C$15),1,$C278)&gt;0),0,IF(($E278=INDEX(_xlfn.ANCHORARRAY(Sintesi!$C$14),1,$C278))*(INDEX(_xlfn.ANCHORARRAY(Sintesi!$C$15),1,$C278)&lt;0)+($E278&gt;=$E277)*($E278&lt;=$E279)*($E278&gt;INDEX(_xlfn.ANCHORARRAY(Sintesi!$C$14),1,$C278))*($E278&lt;=INDEX(_xlfn.ANCHORARRAY(Sintesi!$C$15),1,$C278))*(INDEX(_xlfn.ANCHORARRAY(Sintesi!$C$15),1,$C278)&gt;0),1,IF(($E278&gt;=$E277)*($E278&lt;=$E279)*($E278&gt;INDEX(_xlfn.ANCHORARRAY(Sintesi!$C$14),1,$C278))*($E278&lt;INDEX(_xlfn.ANCHORARRAY(Sintesi!$C$16),1,$C278))*(INDEX(_xlfn.ANCHORARRAY(Sintesi!$C$15),1,$C278)&lt;0)+($E278&gt;=$E277)*($E278&lt;=$E279)*($E278&gt;INDEX(_xlfn.ANCHORARRAY(Sintesi!$C$15),1,$C278))*($E278&lt;INDEX(_xlfn.ANCHORARRAY(Sintesi!$C$16),1,$C278))*(INDEX(_xlfn.ANCHORARRAY(Sintesi!$C$15),1,$C278)&gt;0),2,IF($E278=(INDEX(_xlfn.ANCHORARRAY(Sintesi!$C$16),1,$C278)),3,4)))),0),IF($C278&gt;0,IF(($E278=INDEX(_xlfn.ANCHORARRAY(Sintesi!$C$14),1,$C278))*(INDEX(_xlfn.ANCHORARRAY(Sintesi!$C$15),1,$C278)&gt;0),0,IF(($E278=INDEX(_xlfn.ANCHORARRAY(Sintesi!$C$14),1,$C278))*(INDEX(_xlfn.ANCHORARRAY(Sintesi!$C$15),1,$C278)&lt;0)+($E278&gt;=LOOKUP(2,1/($E:$E&lt;&gt;""),$E:$E))*($E278&lt;=$E279)*($E278&gt;INDEX(_xlfn.ANCHORARRAY(Sintesi!$C$14),1,$C278))*($E278&lt;=INDEX(_xlfn.ANCHORARRAY(Sintesi!$C$15),1,$C278))*(INDEX(_xlfn.ANCHORARRAY(Sintesi!$C$15),1,$C278)&gt;0),1,IF(($E278&gt;=LOOKUP(2,1/($E:$E&lt;&gt;""),$E:$E))*($E278&lt;=$E279)*($E278&gt;INDEX(_xlfn.ANCHORARRAY(Sintesi!$C$14),1,$C278))*($E278&lt;INDEX(_xlfn.ANCHORARRAY(Sintesi!$C$16),1,$C278))*(INDEX(_xlfn.ANCHORARRAY(Sintesi!$C$15),1,$C278)&lt;0)+($E278&gt;=LOOKUP(2,1/($E:$E&lt;&gt;""),$E:$E))*($E278&lt;=$E279)*($E278&gt;INDEX(_xlfn.ANCHORARRAY(Sintesi!$C$15),1,$C278))*($E278&lt;INDEX(_xlfn.ANCHORARRAY(Sintesi!$C$16),1,$C278))*(INDEX(_xlfn.ANCHORARRAY(Sintesi!$C$15),1,$C278)&gt;0),2,IF($E278=(INDEX(_xlfn.ANCHORARRAY(Sintesi!$C$16),1,$C278)),3,4)))),0)))</f>
        <v>0</v>
      </c>
      <c r="E278" s="1">
        <f>'Paste cell here'!F278</f>
        <v>0</v>
      </c>
      <c r="F278" s="1">
        <f>'Paste cell here'!C278</f>
        <v>21.077265260000001</v>
      </c>
      <c r="G278" s="1">
        <f>'Paste cell here'!D278</f>
        <v>17.492675899999998</v>
      </c>
      <c r="H278" s="1">
        <f>'Paste cell here'!E278</f>
        <v>1.219037159</v>
      </c>
      <c r="I278" s="1">
        <f>'Paste cell here'!X278</f>
        <v>0</v>
      </c>
      <c r="J278" s="1">
        <f>'Paste cell here'!Y278+'Paste cell here'!S278</f>
        <v>0</v>
      </c>
      <c r="K278" s="1">
        <f t="shared" si="9"/>
        <v>0</v>
      </c>
      <c r="L278" s="1">
        <f t="shared" si="8"/>
        <v>19.77756473015441</v>
      </c>
      <c r="M278" s="1" cm="1">
        <f t="array" ref="M278">IF(AND(A278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,A278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),IF(L278&lt;_xlfn.IFNA(INDEX(_xlfn.ANCHORARRAY(Sintesi!$C$17)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,1,IF(L278&gt;=_xlfn.IFNA(INDEX(_xlfn.ANCHORARRAY(Sintesi!$C$18)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,0,1-(L278-_xlfn.IFNA(INDEX(_xlfn.ANCHORARRAY(Sintesi!$C$17)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)/(_xlfn.IFNA(INDEX(_xlfn.ANCHORARRAY(Sintesi!$C$18)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-_xlfn.IFNA(INDEX(_xlfn.ANCHORARRAY(Sintesi!$C$17),1,MATCH(1,(_xlfn.ANCHORARRAY(Sintesi!$C$9)&gt;_xlfn.ANCHORARRAY(Sintesi!$C$10))*(A277&gt;=_xlfn.ANCHORARRAY(Sintesi!$C$9))+(_xlfn.ANCHORARRAY(Sintesi!$C$9)&gt;_xlfn.ANCHORARRAY(Sintesi!$C$10))*(A277&lt;=_xlfn.ANCHORARRAY(Sintesi!$C$10))+(_xlfn.ANCHORARRAY(Sintesi!$C$9)&lt;_xlfn.ANCHORARRAY(Sintesi!$C$10))*(A277&gt;=_xlfn.ANCHORARRAY(Sintesi!$C$9))*(A277&lt;=_xlfn.ANCHORARRAY(Sintesi!$C$10)),0)),0)))),0)</f>
        <v>0</v>
      </c>
    </row>
    <row r="279" spans="1:13">
      <c r="A279" s="1">
        <f>'Paste cell here'!A279</f>
        <v>278</v>
      </c>
      <c r="B279" s="2">
        <f>DATE(Sintesi!$C$4-1,12,31)+A279</f>
        <v>44474</v>
      </c>
      <c r="C279" s="34" cm="1">
        <f t="array" ref="C279">_xlfn.IFNA(MATCH(1,(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)*(_xlfn.ANCHORARRAY(Sintesi!$C$15)&gt;=0)+(_xlfn.ANCHORARRAY(Sintesi!$C$15)&lt;0),0),0)</f>
        <v>0</v>
      </c>
      <c r="D279" s="1" cm="1">
        <f t="array" ref="D279">IF(ISBLANK($E280),IF(ISNUMBER($E278),IF($C279&gt;0,IF(($E279=INDEX(_xlfn.ANCHORARRAY(Sintesi!$C$14),1,$C279))*(INDEX(_xlfn.ANCHORARRAY(Sintesi!$C$15),1,$C279)&gt;0),0,IF(($E279=INDEX(_xlfn.ANCHORARRAY(Sintesi!$C$14),1,$C279))*(INDEX(_xlfn.ANCHORARRAY(Sintesi!$C$15),1,$C279)&lt;0)+($E279&gt;=$E278)*($E279&lt;=INDEX($E:$E,MATCH(TRUE,INDEX((ISNUMBER($E:$E)),0),0)))*($E279&gt;INDEX(_xlfn.ANCHORARRAY(Sintesi!$C$14),1,$C279))*($E279&lt;=INDEX(_xlfn.ANCHORARRAY(Sintesi!$C$15),1,$C279))*(INDEX(_xlfn.ANCHORARRAY(Sintesi!$C$15),1,$C279)&gt;0),1,IF(($E279&gt;=$E278)*($E279&lt;=INDEX($E:$E,MATCH(TRUE,INDEX((ISNUMBER($E:$E)),0),0)))*($E279&gt;INDEX(_xlfn.ANCHORARRAY(Sintesi!$C$14),1,$C279))*($E279&lt;INDEX(_xlfn.ANCHORARRAY(Sintesi!$C$16),1,$C279))*(INDEX(_xlfn.ANCHORARRAY(Sintesi!$C$15),1,$C279)&lt;0)+($E279&gt;=$E278)*($E279&lt;=INDEX($E:$E,MATCH(TRUE,INDEX((ISNUMBER($E:$E)),0),0)))*($E279&gt;INDEX(_xlfn.ANCHORARRAY(Sintesi!$C$15),1,$C279))*($E279&lt;INDEX(_xlfn.ANCHORARRAY(Sintesi!$C$16),1,$C279))*(INDEX(_xlfn.ANCHORARRAY(Sintesi!$C$15),1,$C279)&gt;0),2,IF($E279=(INDEX(_xlfn.ANCHORARRAY(Sintesi!$C$16),1,$C279)),3,4)))),0),IF($C279&gt;0,IF(($E279=INDEX(_xlfn.ANCHORARRAY(Sintesi!$C$14),1,$C279))*(INDEX(_xlfn.ANCHORARRAY(Sintesi!$C$15),1,$C279)&gt;0),0,IF(($E279=INDEX(_xlfn.ANCHORARRAY(Sintesi!$C$14),1,$C279))*(INDEX(_xlfn.ANCHORARRAY(Sintesi!$C$15),1,$C279)&lt;0)+($E279&gt;=LOOKUP(2,1/($E:$E&lt;&gt;""),$E:$E))*($E279&lt;=INDEX($E:$E,MATCH(TRUE,INDEX((ISNUMBER($E:$E)),0),0)))*($E279&gt;INDEX(_xlfn.ANCHORARRAY(Sintesi!$C$14),1,$C279))*($E279&lt;=INDEX(_xlfn.ANCHORARRAY(Sintesi!$C$15),1,$C279))*(INDEX(_xlfn.ANCHORARRAY(Sintesi!$C$15),1,$C279)&gt;0),1,IF(($E279&gt;=LOOKUP(2,1/($E:$E&lt;&gt;""),$E:$E))*($E279&lt;=INDEX($E:$E,MATCH(TRUE,INDEX((ISNUMBER($E:$E)),0),0)))*($E279&gt;INDEX(_xlfn.ANCHORARRAY(Sintesi!$C$14),1,$C279))*($E279&lt;INDEX(_xlfn.ANCHORARRAY(Sintesi!$C$16),1,$C279))*(INDEX(_xlfn.ANCHORARRAY(Sintesi!$C$15),1,$C279)&lt;0)+($E279&gt;=LOOKUP(2,1/($E:$E&lt;&gt;""),$E:$E))*($E279&lt;=INDEX($E:$E,MATCH(TRUE,INDEX((ISNUMBER($E:$E)),0),0)))*($E279&gt;INDEX(_xlfn.ANCHORARRAY(Sintesi!$C$15),1,$C279))*($E279&lt;INDEX(_xlfn.ANCHORARRAY(Sintesi!$C$16),1,$C279))*(INDEX(_xlfn.ANCHORARRAY(Sintesi!$C$15),1,$C279)&gt;0),2,IF($E279=(INDEX(_xlfn.ANCHORARRAY(Sintesi!$C$16),1,$C279)),3,4)))),0)),IF(ISNUMBER($E278),IF($C279&gt;0,IF(($E279=INDEX(_xlfn.ANCHORARRAY(Sintesi!$C$14),1,$C279))*(INDEX(_xlfn.ANCHORARRAY(Sintesi!$C$15),1,$C279)&gt;0),0,IF(($E279=INDEX(_xlfn.ANCHORARRAY(Sintesi!$C$14),1,$C279))*(INDEX(_xlfn.ANCHORARRAY(Sintesi!$C$15),1,$C279)&lt;0)+($E279&gt;=$E278)*($E279&lt;=$E280)*($E279&gt;INDEX(_xlfn.ANCHORARRAY(Sintesi!$C$14),1,$C279))*($E279&lt;=INDEX(_xlfn.ANCHORARRAY(Sintesi!$C$15),1,$C279))*(INDEX(_xlfn.ANCHORARRAY(Sintesi!$C$15),1,$C279)&gt;0),1,IF(($E279&gt;=$E278)*($E279&lt;=$E280)*($E279&gt;INDEX(_xlfn.ANCHORARRAY(Sintesi!$C$14),1,$C279))*($E279&lt;INDEX(_xlfn.ANCHORARRAY(Sintesi!$C$16),1,$C279))*(INDEX(_xlfn.ANCHORARRAY(Sintesi!$C$15),1,$C279)&lt;0)+($E279&gt;=$E278)*($E279&lt;=$E280)*($E279&gt;INDEX(_xlfn.ANCHORARRAY(Sintesi!$C$15),1,$C279))*($E279&lt;INDEX(_xlfn.ANCHORARRAY(Sintesi!$C$16),1,$C279))*(INDEX(_xlfn.ANCHORARRAY(Sintesi!$C$15),1,$C279)&gt;0),2,IF($E279=(INDEX(_xlfn.ANCHORARRAY(Sintesi!$C$16),1,$C279)),3,4)))),0),IF($C279&gt;0,IF(($E279=INDEX(_xlfn.ANCHORARRAY(Sintesi!$C$14),1,$C279))*(INDEX(_xlfn.ANCHORARRAY(Sintesi!$C$15),1,$C279)&gt;0),0,IF(($E279=INDEX(_xlfn.ANCHORARRAY(Sintesi!$C$14),1,$C279))*(INDEX(_xlfn.ANCHORARRAY(Sintesi!$C$15),1,$C279)&lt;0)+($E279&gt;=LOOKUP(2,1/($E:$E&lt;&gt;""),$E:$E))*($E279&lt;=$E280)*($E279&gt;INDEX(_xlfn.ANCHORARRAY(Sintesi!$C$14),1,$C279))*($E279&lt;=INDEX(_xlfn.ANCHORARRAY(Sintesi!$C$15),1,$C279))*(INDEX(_xlfn.ANCHORARRAY(Sintesi!$C$15),1,$C279)&gt;0),1,IF(($E279&gt;=LOOKUP(2,1/($E:$E&lt;&gt;""),$E:$E))*($E279&lt;=$E280)*($E279&gt;INDEX(_xlfn.ANCHORARRAY(Sintesi!$C$14),1,$C279))*($E279&lt;INDEX(_xlfn.ANCHORARRAY(Sintesi!$C$16),1,$C279))*(INDEX(_xlfn.ANCHORARRAY(Sintesi!$C$15),1,$C279)&lt;0)+($E279&gt;=LOOKUP(2,1/($E:$E&lt;&gt;""),$E:$E))*($E279&lt;=$E280)*($E279&gt;INDEX(_xlfn.ANCHORARRAY(Sintesi!$C$15),1,$C279))*($E279&lt;INDEX(_xlfn.ANCHORARRAY(Sintesi!$C$16),1,$C279))*(INDEX(_xlfn.ANCHORARRAY(Sintesi!$C$15),1,$C279)&gt;0),2,IF($E279=(INDEX(_xlfn.ANCHORARRAY(Sintesi!$C$16),1,$C279)),3,4)))),0)))</f>
        <v>0</v>
      </c>
      <c r="E279" s="1">
        <f>'Paste cell here'!F279</f>
        <v>0</v>
      </c>
      <c r="F279" s="1">
        <f>'Paste cell here'!C279</f>
        <v>21.077265260000001</v>
      </c>
      <c r="G279" s="1">
        <f>'Paste cell here'!D279</f>
        <v>15.307324100000001</v>
      </c>
      <c r="H279" s="1">
        <f>'Paste cell here'!E279</f>
        <v>1.7357271080000001</v>
      </c>
      <c r="I279" s="1">
        <f>'Paste cell here'!X279</f>
        <v>0</v>
      </c>
      <c r="J279" s="1">
        <f>'Paste cell here'!Y279+'Paste cell here'!S279</f>
        <v>0</v>
      </c>
      <c r="K279" s="1">
        <f t="shared" si="9"/>
        <v>0</v>
      </c>
      <c r="L279" s="1">
        <f t="shared" si="8"/>
        <v>18.985199801537028</v>
      </c>
      <c r="M279" s="1" cm="1">
        <f t="array" ref="M279">IF(AND(A279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,A279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),IF(L279&lt;_xlfn.IFNA(INDEX(_xlfn.ANCHORARRAY(Sintesi!$C$17)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,1,IF(L279&gt;=_xlfn.IFNA(INDEX(_xlfn.ANCHORARRAY(Sintesi!$C$18)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,0,1-(L279-_xlfn.IFNA(INDEX(_xlfn.ANCHORARRAY(Sintesi!$C$17)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)/(_xlfn.IFNA(INDEX(_xlfn.ANCHORARRAY(Sintesi!$C$18)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-_xlfn.IFNA(INDEX(_xlfn.ANCHORARRAY(Sintesi!$C$17),1,MATCH(1,(_xlfn.ANCHORARRAY(Sintesi!$C$9)&gt;_xlfn.ANCHORARRAY(Sintesi!$C$10))*(A278&gt;=_xlfn.ANCHORARRAY(Sintesi!$C$9))+(_xlfn.ANCHORARRAY(Sintesi!$C$9)&gt;_xlfn.ANCHORARRAY(Sintesi!$C$10))*(A278&lt;=_xlfn.ANCHORARRAY(Sintesi!$C$10))+(_xlfn.ANCHORARRAY(Sintesi!$C$9)&lt;_xlfn.ANCHORARRAY(Sintesi!$C$10))*(A278&gt;=_xlfn.ANCHORARRAY(Sintesi!$C$9))*(A278&lt;=_xlfn.ANCHORARRAY(Sintesi!$C$10)),0)),0)))),0)</f>
        <v>0</v>
      </c>
    </row>
    <row r="280" spans="1:13">
      <c r="A280" s="1">
        <f>'Paste cell here'!A280</f>
        <v>279</v>
      </c>
      <c r="B280" s="2">
        <f>DATE(Sintesi!$C$4-1,12,31)+A280</f>
        <v>44475</v>
      </c>
      <c r="C280" s="34" cm="1">
        <f t="array" ref="C280">_xlfn.IFNA(MATCH(1,(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)*(_xlfn.ANCHORARRAY(Sintesi!$C$15)&gt;=0)+(_xlfn.ANCHORARRAY(Sintesi!$C$15)&lt;0),0),0)</f>
        <v>0</v>
      </c>
      <c r="D280" s="1" cm="1">
        <f t="array" ref="D280">IF(ISBLANK($E281),IF(ISNUMBER($E279),IF($C280&gt;0,IF(($E280=INDEX(_xlfn.ANCHORARRAY(Sintesi!$C$14),1,$C280))*(INDEX(_xlfn.ANCHORARRAY(Sintesi!$C$15),1,$C280)&gt;0),0,IF(($E280=INDEX(_xlfn.ANCHORARRAY(Sintesi!$C$14),1,$C280))*(INDEX(_xlfn.ANCHORARRAY(Sintesi!$C$15),1,$C280)&lt;0)+($E280&gt;=$E279)*($E280&lt;=INDEX($E:$E,MATCH(TRUE,INDEX((ISNUMBER($E:$E)),0),0)))*($E280&gt;INDEX(_xlfn.ANCHORARRAY(Sintesi!$C$14),1,$C280))*($E280&lt;=INDEX(_xlfn.ANCHORARRAY(Sintesi!$C$15),1,$C280))*(INDEX(_xlfn.ANCHORARRAY(Sintesi!$C$15),1,$C280)&gt;0),1,IF(($E280&gt;=$E279)*($E280&lt;=INDEX($E:$E,MATCH(TRUE,INDEX((ISNUMBER($E:$E)),0),0)))*($E280&gt;INDEX(_xlfn.ANCHORARRAY(Sintesi!$C$14),1,$C280))*($E280&lt;INDEX(_xlfn.ANCHORARRAY(Sintesi!$C$16),1,$C280))*(INDEX(_xlfn.ANCHORARRAY(Sintesi!$C$15),1,$C280)&lt;0)+($E280&gt;=$E279)*($E280&lt;=INDEX($E:$E,MATCH(TRUE,INDEX((ISNUMBER($E:$E)),0),0)))*($E280&gt;INDEX(_xlfn.ANCHORARRAY(Sintesi!$C$15),1,$C280))*($E280&lt;INDEX(_xlfn.ANCHORARRAY(Sintesi!$C$16),1,$C280))*(INDEX(_xlfn.ANCHORARRAY(Sintesi!$C$15),1,$C280)&gt;0),2,IF($E280=(INDEX(_xlfn.ANCHORARRAY(Sintesi!$C$16),1,$C280)),3,4)))),0),IF($C280&gt;0,IF(($E280=INDEX(_xlfn.ANCHORARRAY(Sintesi!$C$14),1,$C280))*(INDEX(_xlfn.ANCHORARRAY(Sintesi!$C$15),1,$C280)&gt;0),0,IF(($E280=INDEX(_xlfn.ANCHORARRAY(Sintesi!$C$14),1,$C280))*(INDEX(_xlfn.ANCHORARRAY(Sintesi!$C$15),1,$C280)&lt;0)+($E280&gt;=LOOKUP(2,1/($E:$E&lt;&gt;""),$E:$E))*($E280&lt;=INDEX($E:$E,MATCH(TRUE,INDEX((ISNUMBER($E:$E)),0),0)))*($E280&gt;INDEX(_xlfn.ANCHORARRAY(Sintesi!$C$14),1,$C280))*($E280&lt;=INDEX(_xlfn.ANCHORARRAY(Sintesi!$C$15),1,$C280))*(INDEX(_xlfn.ANCHORARRAY(Sintesi!$C$15),1,$C280)&gt;0),1,IF(($E280&gt;=LOOKUP(2,1/($E:$E&lt;&gt;""),$E:$E))*($E280&lt;=INDEX($E:$E,MATCH(TRUE,INDEX((ISNUMBER($E:$E)),0),0)))*($E280&gt;INDEX(_xlfn.ANCHORARRAY(Sintesi!$C$14),1,$C280))*($E280&lt;INDEX(_xlfn.ANCHORARRAY(Sintesi!$C$16),1,$C280))*(INDEX(_xlfn.ANCHORARRAY(Sintesi!$C$15),1,$C280)&lt;0)+($E280&gt;=LOOKUP(2,1/($E:$E&lt;&gt;""),$E:$E))*($E280&lt;=INDEX($E:$E,MATCH(TRUE,INDEX((ISNUMBER($E:$E)),0),0)))*($E280&gt;INDEX(_xlfn.ANCHORARRAY(Sintesi!$C$15),1,$C280))*($E280&lt;INDEX(_xlfn.ANCHORARRAY(Sintesi!$C$16),1,$C280))*(INDEX(_xlfn.ANCHORARRAY(Sintesi!$C$15),1,$C280)&gt;0),2,IF($E280=(INDEX(_xlfn.ANCHORARRAY(Sintesi!$C$16),1,$C280)),3,4)))),0)),IF(ISNUMBER($E279),IF($C280&gt;0,IF(($E280=INDEX(_xlfn.ANCHORARRAY(Sintesi!$C$14),1,$C280))*(INDEX(_xlfn.ANCHORARRAY(Sintesi!$C$15),1,$C280)&gt;0),0,IF(($E280=INDEX(_xlfn.ANCHORARRAY(Sintesi!$C$14),1,$C280))*(INDEX(_xlfn.ANCHORARRAY(Sintesi!$C$15),1,$C280)&lt;0)+($E280&gt;=$E279)*($E280&lt;=$E281)*($E280&gt;INDEX(_xlfn.ANCHORARRAY(Sintesi!$C$14),1,$C280))*($E280&lt;=INDEX(_xlfn.ANCHORARRAY(Sintesi!$C$15),1,$C280))*(INDEX(_xlfn.ANCHORARRAY(Sintesi!$C$15),1,$C280)&gt;0),1,IF(($E280&gt;=$E279)*($E280&lt;=$E281)*($E280&gt;INDEX(_xlfn.ANCHORARRAY(Sintesi!$C$14),1,$C280))*($E280&lt;INDEX(_xlfn.ANCHORARRAY(Sintesi!$C$16),1,$C280))*(INDEX(_xlfn.ANCHORARRAY(Sintesi!$C$15),1,$C280)&lt;0)+($E280&gt;=$E279)*($E280&lt;=$E281)*($E280&gt;INDEX(_xlfn.ANCHORARRAY(Sintesi!$C$15),1,$C280))*($E280&lt;INDEX(_xlfn.ANCHORARRAY(Sintesi!$C$16),1,$C280))*(INDEX(_xlfn.ANCHORARRAY(Sintesi!$C$15),1,$C280)&gt;0),2,IF($E280=(INDEX(_xlfn.ANCHORARRAY(Sintesi!$C$16),1,$C280)),3,4)))),0),IF($C280&gt;0,IF(($E280=INDEX(_xlfn.ANCHORARRAY(Sintesi!$C$14),1,$C280))*(INDEX(_xlfn.ANCHORARRAY(Sintesi!$C$15),1,$C280)&gt;0),0,IF(($E280=INDEX(_xlfn.ANCHORARRAY(Sintesi!$C$14),1,$C280))*(INDEX(_xlfn.ANCHORARRAY(Sintesi!$C$15),1,$C280)&lt;0)+($E280&gt;=LOOKUP(2,1/($E:$E&lt;&gt;""),$E:$E))*($E280&lt;=$E281)*($E280&gt;INDEX(_xlfn.ANCHORARRAY(Sintesi!$C$14),1,$C280))*($E280&lt;=INDEX(_xlfn.ANCHORARRAY(Sintesi!$C$15),1,$C280))*(INDEX(_xlfn.ANCHORARRAY(Sintesi!$C$15),1,$C280)&gt;0),1,IF(($E280&gt;=LOOKUP(2,1/($E:$E&lt;&gt;""),$E:$E))*($E280&lt;=$E281)*($E280&gt;INDEX(_xlfn.ANCHORARRAY(Sintesi!$C$14),1,$C280))*($E280&lt;INDEX(_xlfn.ANCHORARRAY(Sintesi!$C$16),1,$C280))*(INDEX(_xlfn.ANCHORARRAY(Sintesi!$C$15),1,$C280)&lt;0)+($E280&gt;=LOOKUP(2,1/($E:$E&lt;&gt;""),$E:$E))*($E280&lt;=$E281)*($E280&gt;INDEX(_xlfn.ANCHORARRAY(Sintesi!$C$15),1,$C280))*($E280&lt;INDEX(_xlfn.ANCHORARRAY(Sintesi!$C$16),1,$C280))*(INDEX(_xlfn.ANCHORARRAY(Sintesi!$C$15),1,$C280)&gt;0),2,IF($E280=(INDEX(_xlfn.ANCHORARRAY(Sintesi!$C$16),1,$C280)),3,4)))),0)))</f>
        <v>0</v>
      </c>
      <c r="E280" s="1">
        <f>'Paste cell here'!F280</f>
        <v>0</v>
      </c>
      <c r="F280" s="1">
        <f>'Paste cell here'!C280</f>
        <v>15.61528457</v>
      </c>
      <c r="G280" s="1">
        <f>'Paste cell here'!D280</f>
        <v>9.8179805059999996</v>
      </c>
      <c r="H280" s="1">
        <f>'Paste cell here'!E280</f>
        <v>1.1839022610000001</v>
      </c>
      <c r="I280" s="1">
        <f>'Paste cell here'!X280</f>
        <v>0</v>
      </c>
      <c r="J280" s="1">
        <f>'Paste cell here'!Y280+'Paste cell here'!S280</f>
        <v>0</v>
      </c>
      <c r="K280" s="1">
        <f t="shared" si="9"/>
        <v>0</v>
      </c>
      <c r="L280" s="1">
        <f t="shared" si="8"/>
        <v>13.513297868891005</v>
      </c>
      <c r="M280" s="1" cm="1">
        <f t="array" ref="M280">IF(AND(A280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,A280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),IF(L280&lt;_xlfn.IFNA(INDEX(_xlfn.ANCHORARRAY(Sintesi!$C$17)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,1,IF(L280&gt;=_xlfn.IFNA(INDEX(_xlfn.ANCHORARRAY(Sintesi!$C$18)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,0,1-(L280-_xlfn.IFNA(INDEX(_xlfn.ANCHORARRAY(Sintesi!$C$17)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)/(_xlfn.IFNA(INDEX(_xlfn.ANCHORARRAY(Sintesi!$C$18)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-_xlfn.IFNA(INDEX(_xlfn.ANCHORARRAY(Sintesi!$C$17),1,MATCH(1,(_xlfn.ANCHORARRAY(Sintesi!$C$9)&gt;_xlfn.ANCHORARRAY(Sintesi!$C$10))*(A279&gt;=_xlfn.ANCHORARRAY(Sintesi!$C$9))+(_xlfn.ANCHORARRAY(Sintesi!$C$9)&gt;_xlfn.ANCHORARRAY(Sintesi!$C$10))*(A279&lt;=_xlfn.ANCHORARRAY(Sintesi!$C$10))+(_xlfn.ANCHORARRAY(Sintesi!$C$9)&lt;_xlfn.ANCHORARRAY(Sintesi!$C$10))*(A279&gt;=_xlfn.ANCHORARRAY(Sintesi!$C$9))*(A279&lt;=_xlfn.ANCHORARRAY(Sintesi!$C$10)),0)),0)))),0)</f>
        <v>0</v>
      </c>
    </row>
    <row r="281" spans="1:13">
      <c r="A281" s="1">
        <f>'Paste cell here'!A281</f>
        <v>280</v>
      </c>
      <c r="B281" s="2">
        <f>DATE(Sintesi!$C$4-1,12,31)+A281</f>
        <v>44476</v>
      </c>
      <c r="C281" s="34" cm="1">
        <f t="array" ref="C281">_xlfn.IFNA(MATCH(1,(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)*(_xlfn.ANCHORARRAY(Sintesi!$C$15)&gt;=0)+(_xlfn.ANCHORARRAY(Sintesi!$C$15)&lt;0),0),0)</f>
        <v>0</v>
      </c>
      <c r="D281" s="1" cm="1">
        <f t="array" ref="D281">IF(ISBLANK($E282),IF(ISNUMBER($E280),IF($C281&gt;0,IF(($E281=INDEX(_xlfn.ANCHORARRAY(Sintesi!$C$14),1,$C281))*(INDEX(_xlfn.ANCHORARRAY(Sintesi!$C$15),1,$C281)&gt;0),0,IF(($E281=INDEX(_xlfn.ANCHORARRAY(Sintesi!$C$14),1,$C281))*(INDEX(_xlfn.ANCHORARRAY(Sintesi!$C$15),1,$C281)&lt;0)+($E281&gt;=$E280)*($E281&lt;=INDEX($E:$E,MATCH(TRUE,INDEX((ISNUMBER($E:$E)),0),0)))*($E281&gt;INDEX(_xlfn.ANCHORARRAY(Sintesi!$C$14),1,$C281))*($E281&lt;=INDEX(_xlfn.ANCHORARRAY(Sintesi!$C$15),1,$C281))*(INDEX(_xlfn.ANCHORARRAY(Sintesi!$C$15),1,$C281)&gt;0),1,IF(($E281&gt;=$E280)*($E281&lt;=INDEX($E:$E,MATCH(TRUE,INDEX((ISNUMBER($E:$E)),0),0)))*($E281&gt;INDEX(_xlfn.ANCHORARRAY(Sintesi!$C$14),1,$C281))*($E281&lt;INDEX(_xlfn.ANCHORARRAY(Sintesi!$C$16),1,$C281))*(INDEX(_xlfn.ANCHORARRAY(Sintesi!$C$15),1,$C281)&lt;0)+($E281&gt;=$E280)*($E281&lt;=INDEX($E:$E,MATCH(TRUE,INDEX((ISNUMBER($E:$E)),0),0)))*($E281&gt;INDEX(_xlfn.ANCHORARRAY(Sintesi!$C$15),1,$C281))*($E281&lt;INDEX(_xlfn.ANCHORARRAY(Sintesi!$C$16),1,$C281))*(INDEX(_xlfn.ANCHORARRAY(Sintesi!$C$15),1,$C281)&gt;0),2,IF($E281=(INDEX(_xlfn.ANCHORARRAY(Sintesi!$C$16),1,$C281)),3,4)))),0),IF($C281&gt;0,IF(($E281=INDEX(_xlfn.ANCHORARRAY(Sintesi!$C$14),1,$C281))*(INDEX(_xlfn.ANCHORARRAY(Sintesi!$C$15),1,$C281)&gt;0),0,IF(($E281=INDEX(_xlfn.ANCHORARRAY(Sintesi!$C$14),1,$C281))*(INDEX(_xlfn.ANCHORARRAY(Sintesi!$C$15),1,$C281)&lt;0)+($E281&gt;=LOOKUP(2,1/($E:$E&lt;&gt;""),$E:$E))*($E281&lt;=INDEX($E:$E,MATCH(TRUE,INDEX((ISNUMBER($E:$E)),0),0)))*($E281&gt;INDEX(_xlfn.ANCHORARRAY(Sintesi!$C$14),1,$C281))*($E281&lt;=INDEX(_xlfn.ANCHORARRAY(Sintesi!$C$15),1,$C281))*(INDEX(_xlfn.ANCHORARRAY(Sintesi!$C$15),1,$C281)&gt;0),1,IF(($E281&gt;=LOOKUP(2,1/($E:$E&lt;&gt;""),$E:$E))*($E281&lt;=INDEX($E:$E,MATCH(TRUE,INDEX((ISNUMBER($E:$E)),0),0)))*($E281&gt;INDEX(_xlfn.ANCHORARRAY(Sintesi!$C$14),1,$C281))*($E281&lt;INDEX(_xlfn.ANCHORARRAY(Sintesi!$C$16),1,$C281))*(INDEX(_xlfn.ANCHORARRAY(Sintesi!$C$15),1,$C281)&lt;0)+($E281&gt;=LOOKUP(2,1/($E:$E&lt;&gt;""),$E:$E))*($E281&lt;=INDEX($E:$E,MATCH(TRUE,INDEX((ISNUMBER($E:$E)),0),0)))*($E281&gt;INDEX(_xlfn.ANCHORARRAY(Sintesi!$C$15),1,$C281))*($E281&lt;INDEX(_xlfn.ANCHORARRAY(Sintesi!$C$16),1,$C281))*(INDEX(_xlfn.ANCHORARRAY(Sintesi!$C$15),1,$C281)&gt;0),2,IF($E281=(INDEX(_xlfn.ANCHORARRAY(Sintesi!$C$16),1,$C281)),3,4)))),0)),IF(ISNUMBER($E280),IF($C281&gt;0,IF(($E281=INDEX(_xlfn.ANCHORARRAY(Sintesi!$C$14),1,$C281))*(INDEX(_xlfn.ANCHORARRAY(Sintesi!$C$15),1,$C281)&gt;0),0,IF(($E281=INDEX(_xlfn.ANCHORARRAY(Sintesi!$C$14),1,$C281))*(INDEX(_xlfn.ANCHORARRAY(Sintesi!$C$15),1,$C281)&lt;0)+($E281&gt;=$E280)*($E281&lt;=$E282)*($E281&gt;INDEX(_xlfn.ANCHORARRAY(Sintesi!$C$14),1,$C281))*($E281&lt;=INDEX(_xlfn.ANCHORARRAY(Sintesi!$C$15),1,$C281))*(INDEX(_xlfn.ANCHORARRAY(Sintesi!$C$15),1,$C281)&gt;0),1,IF(($E281&gt;=$E280)*($E281&lt;=$E282)*($E281&gt;INDEX(_xlfn.ANCHORARRAY(Sintesi!$C$14),1,$C281))*($E281&lt;INDEX(_xlfn.ANCHORARRAY(Sintesi!$C$16),1,$C281))*(INDEX(_xlfn.ANCHORARRAY(Sintesi!$C$15),1,$C281)&lt;0)+($E281&gt;=$E280)*($E281&lt;=$E282)*($E281&gt;INDEX(_xlfn.ANCHORARRAY(Sintesi!$C$15),1,$C281))*($E281&lt;INDEX(_xlfn.ANCHORARRAY(Sintesi!$C$16),1,$C281))*(INDEX(_xlfn.ANCHORARRAY(Sintesi!$C$15),1,$C281)&gt;0),2,IF($E281=(INDEX(_xlfn.ANCHORARRAY(Sintesi!$C$16),1,$C281)),3,4)))),0),IF($C281&gt;0,IF(($E281=INDEX(_xlfn.ANCHORARRAY(Sintesi!$C$14),1,$C281))*(INDEX(_xlfn.ANCHORARRAY(Sintesi!$C$15),1,$C281)&gt;0),0,IF(($E281=INDEX(_xlfn.ANCHORARRAY(Sintesi!$C$14),1,$C281))*(INDEX(_xlfn.ANCHORARRAY(Sintesi!$C$15),1,$C281)&lt;0)+($E281&gt;=LOOKUP(2,1/($E:$E&lt;&gt;""),$E:$E))*($E281&lt;=$E282)*($E281&gt;INDEX(_xlfn.ANCHORARRAY(Sintesi!$C$14),1,$C281))*($E281&lt;=INDEX(_xlfn.ANCHORARRAY(Sintesi!$C$15),1,$C281))*(INDEX(_xlfn.ANCHORARRAY(Sintesi!$C$15),1,$C281)&gt;0),1,IF(($E281&gt;=LOOKUP(2,1/($E:$E&lt;&gt;""),$E:$E))*($E281&lt;=$E282)*($E281&gt;INDEX(_xlfn.ANCHORARRAY(Sintesi!$C$14),1,$C281))*($E281&lt;INDEX(_xlfn.ANCHORARRAY(Sintesi!$C$16),1,$C281))*(INDEX(_xlfn.ANCHORARRAY(Sintesi!$C$15),1,$C281)&lt;0)+($E281&gt;=LOOKUP(2,1/($E:$E&lt;&gt;""),$E:$E))*($E281&lt;=$E282)*($E281&gt;INDEX(_xlfn.ANCHORARRAY(Sintesi!$C$15),1,$C281))*($E281&lt;INDEX(_xlfn.ANCHORARRAY(Sintesi!$C$16),1,$C281))*(INDEX(_xlfn.ANCHORARRAY(Sintesi!$C$15),1,$C281)&gt;0),2,IF($E281=(INDEX(_xlfn.ANCHORARRAY(Sintesi!$C$16),1,$C281)),3,4)))),0)))</f>
        <v>0</v>
      </c>
      <c r="E281" s="1">
        <f>'Paste cell here'!F281</f>
        <v>0</v>
      </c>
      <c r="F281" s="1">
        <f>'Paste cell here'!C281</f>
        <v>20.961249410000001</v>
      </c>
      <c r="G281" s="1">
        <f>'Paste cell here'!D281</f>
        <v>8.1279843330000006</v>
      </c>
      <c r="H281" s="1">
        <f>'Paste cell here'!E281</f>
        <v>1.613193895</v>
      </c>
      <c r="I281" s="1">
        <f>'Paste cell here'!X281</f>
        <v>0</v>
      </c>
      <c r="J281" s="1">
        <f>'Paste cell here'!Y281+'Paste cell here'!S281</f>
        <v>0</v>
      </c>
      <c r="K281" s="1">
        <f t="shared" si="9"/>
        <v>0</v>
      </c>
      <c r="L281" s="1">
        <f t="shared" si="8"/>
        <v>16.3081637298523</v>
      </c>
      <c r="M281" s="1" cm="1">
        <f t="array" ref="M281">IF(AND(A281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,A281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),IF(L281&lt;_xlfn.IFNA(INDEX(_xlfn.ANCHORARRAY(Sintesi!$C$17)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,1,IF(L281&gt;=_xlfn.IFNA(INDEX(_xlfn.ANCHORARRAY(Sintesi!$C$18)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,0,1-(L281-_xlfn.IFNA(INDEX(_xlfn.ANCHORARRAY(Sintesi!$C$17)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)/(_xlfn.IFNA(INDEX(_xlfn.ANCHORARRAY(Sintesi!$C$18)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-_xlfn.IFNA(INDEX(_xlfn.ANCHORARRAY(Sintesi!$C$17),1,MATCH(1,(_xlfn.ANCHORARRAY(Sintesi!$C$9)&gt;_xlfn.ANCHORARRAY(Sintesi!$C$10))*(A280&gt;=_xlfn.ANCHORARRAY(Sintesi!$C$9))+(_xlfn.ANCHORARRAY(Sintesi!$C$9)&gt;_xlfn.ANCHORARRAY(Sintesi!$C$10))*(A280&lt;=_xlfn.ANCHORARRAY(Sintesi!$C$10))+(_xlfn.ANCHORARRAY(Sintesi!$C$9)&lt;_xlfn.ANCHORARRAY(Sintesi!$C$10))*(A280&gt;=_xlfn.ANCHORARRAY(Sintesi!$C$9))*(A280&lt;=_xlfn.ANCHORARRAY(Sintesi!$C$10)),0)),0)))),0)</f>
        <v>0</v>
      </c>
    </row>
    <row r="282" spans="1:13">
      <c r="A282" s="1">
        <f>'Paste cell here'!A282</f>
        <v>281</v>
      </c>
      <c r="B282" s="2">
        <f>DATE(Sintesi!$C$4-1,12,31)+A282</f>
        <v>44477</v>
      </c>
      <c r="C282" s="34" cm="1">
        <f t="array" ref="C282">_xlfn.IFNA(MATCH(1,(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)*(_xlfn.ANCHORARRAY(Sintesi!$C$15)&gt;=0)+(_xlfn.ANCHORARRAY(Sintesi!$C$15)&lt;0),0),0)</f>
        <v>0</v>
      </c>
      <c r="D282" s="1" cm="1">
        <f t="array" ref="D282">IF(ISBLANK($E283),IF(ISNUMBER($E281),IF($C282&gt;0,IF(($E282=INDEX(_xlfn.ANCHORARRAY(Sintesi!$C$14),1,$C282))*(INDEX(_xlfn.ANCHORARRAY(Sintesi!$C$15),1,$C282)&gt;0),0,IF(($E282=INDEX(_xlfn.ANCHORARRAY(Sintesi!$C$14),1,$C282))*(INDEX(_xlfn.ANCHORARRAY(Sintesi!$C$15),1,$C282)&lt;0)+($E282&gt;=$E281)*($E282&lt;=INDEX($E:$E,MATCH(TRUE,INDEX((ISNUMBER($E:$E)),0),0)))*($E282&gt;INDEX(_xlfn.ANCHORARRAY(Sintesi!$C$14),1,$C282))*($E282&lt;=INDEX(_xlfn.ANCHORARRAY(Sintesi!$C$15),1,$C282))*(INDEX(_xlfn.ANCHORARRAY(Sintesi!$C$15),1,$C282)&gt;0),1,IF(($E282&gt;=$E281)*($E282&lt;=INDEX($E:$E,MATCH(TRUE,INDEX((ISNUMBER($E:$E)),0),0)))*($E282&gt;INDEX(_xlfn.ANCHORARRAY(Sintesi!$C$14),1,$C282))*($E282&lt;INDEX(_xlfn.ANCHORARRAY(Sintesi!$C$16),1,$C282))*(INDEX(_xlfn.ANCHORARRAY(Sintesi!$C$15),1,$C282)&lt;0)+($E282&gt;=$E281)*($E282&lt;=INDEX($E:$E,MATCH(TRUE,INDEX((ISNUMBER($E:$E)),0),0)))*($E282&gt;INDEX(_xlfn.ANCHORARRAY(Sintesi!$C$15),1,$C282))*($E282&lt;INDEX(_xlfn.ANCHORARRAY(Sintesi!$C$16),1,$C282))*(INDEX(_xlfn.ANCHORARRAY(Sintesi!$C$15),1,$C282)&gt;0),2,IF($E282=(INDEX(_xlfn.ANCHORARRAY(Sintesi!$C$16),1,$C282)),3,4)))),0),IF($C282&gt;0,IF(($E282=INDEX(_xlfn.ANCHORARRAY(Sintesi!$C$14),1,$C282))*(INDEX(_xlfn.ANCHORARRAY(Sintesi!$C$15),1,$C282)&gt;0),0,IF(($E282=INDEX(_xlfn.ANCHORARRAY(Sintesi!$C$14),1,$C282))*(INDEX(_xlfn.ANCHORARRAY(Sintesi!$C$15),1,$C282)&lt;0)+($E282&gt;=LOOKUP(2,1/($E:$E&lt;&gt;""),$E:$E))*($E282&lt;=INDEX($E:$E,MATCH(TRUE,INDEX((ISNUMBER($E:$E)),0),0)))*($E282&gt;INDEX(_xlfn.ANCHORARRAY(Sintesi!$C$14),1,$C282))*($E282&lt;=INDEX(_xlfn.ANCHORARRAY(Sintesi!$C$15),1,$C282))*(INDEX(_xlfn.ANCHORARRAY(Sintesi!$C$15),1,$C282)&gt;0),1,IF(($E282&gt;=LOOKUP(2,1/($E:$E&lt;&gt;""),$E:$E))*($E282&lt;=INDEX($E:$E,MATCH(TRUE,INDEX((ISNUMBER($E:$E)),0),0)))*($E282&gt;INDEX(_xlfn.ANCHORARRAY(Sintesi!$C$14),1,$C282))*($E282&lt;INDEX(_xlfn.ANCHORARRAY(Sintesi!$C$16),1,$C282))*(INDEX(_xlfn.ANCHORARRAY(Sintesi!$C$15),1,$C282)&lt;0)+($E282&gt;=LOOKUP(2,1/($E:$E&lt;&gt;""),$E:$E))*($E282&lt;=INDEX($E:$E,MATCH(TRUE,INDEX((ISNUMBER($E:$E)),0),0)))*($E282&gt;INDEX(_xlfn.ANCHORARRAY(Sintesi!$C$15),1,$C282))*($E282&lt;INDEX(_xlfn.ANCHORARRAY(Sintesi!$C$16),1,$C282))*(INDEX(_xlfn.ANCHORARRAY(Sintesi!$C$15),1,$C282)&gt;0),2,IF($E282=(INDEX(_xlfn.ANCHORARRAY(Sintesi!$C$16),1,$C282)),3,4)))),0)),IF(ISNUMBER($E281),IF($C282&gt;0,IF(($E282=INDEX(_xlfn.ANCHORARRAY(Sintesi!$C$14),1,$C282))*(INDEX(_xlfn.ANCHORARRAY(Sintesi!$C$15),1,$C282)&gt;0),0,IF(($E282=INDEX(_xlfn.ANCHORARRAY(Sintesi!$C$14),1,$C282))*(INDEX(_xlfn.ANCHORARRAY(Sintesi!$C$15),1,$C282)&lt;0)+($E282&gt;=$E281)*($E282&lt;=$E283)*($E282&gt;INDEX(_xlfn.ANCHORARRAY(Sintesi!$C$14),1,$C282))*($E282&lt;=INDEX(_xlfn.ANCHORARRAY(Sintesi!$C$15),1,$C282))*(INDEX(_xlfn.ANCHORARRAY(Sintesi!$C$15),1,$C282)&gt;0),1,IF(($E282&gt;=$E281)*($E282&lt;=$E283)*($E282&gt;INDEX(_xlfn.ANCHORARRAY(Sintesi!$C$14),1,$C282))*($E282&lt;INDEX(_xlfn.ANCHORARRAY(Sintesi!$C$16),1,$C282))*(INDEX(_xlfn.ANCHORARRAY(Sintesi!$C$15),1,$C282)&lt;0)+($E282&gt;=$E281)*($E282&lt;=$E283)*($E282&gt;INDEX(_xlfn.ANCHORARRAY(Sintesi!$C$15),1,$C282))*($E282&lt;INDEX(_xlfn.ANCHORARRAY(Sintesi!$C$16),1,$C282))*(INDEX(_xlfn.ANCHORARRAY(Sintesi!$C$15),1,$C282)&gt;0),2,IF($E282=(INDEX(_xlfn.ANCHORARRAY(Sintesi!$C$16),1,$C282)),3,4)))),0),IF($C282&gt;0,IF(($E282=INDEX(_xlfn.ANCHORARRAY(Sintesi!$C$14),1,$C282))*(INDEX(_xlfn.ANCHORARRAY(Sintesi!$C$15),1,$C282)&gt;0),0,IF(($E282=INDEX(_xlfn.ANCHORARRAY(Sintesi!$C$14),1,$C282))*(INDEX(_xlfn.ANCHORARRAY(Sintesi!$C$15),1,$C282)&lt;0)+($E282&gt;=LOOKUP(2,1/($E:$E&lt;&gt;""),$E:$E))*($E282&lt;=$E283)*($E282&gt;INDEX(_xlfn.ANCHORARRAY(Sintesi!$C$14),1,$C282))*($E282&lt;=INDEX(_xlfn.ANCHORARRAY(Sintesi!$C$15),1,$C282))*(INDEX(_xlfn.ANCHORARRAY(Sintesi!$C$15),1,$C282)&gt;0),1,IF(($E282&gt;=LOOKUP(2,1/($E:$E&lt;&gt;""),$E:$E))*($E282&lt;=$E283)*($E282&gt;INDEX(_xlfn.ANCHORARRAY(Sintesi!$C$14),1,$C282))*($E282&lt;INDEX(_xlfn.ANCHORARRAY(Sintesi!$C$16),1,$C282))*(INDEX(_xlfn.ANCHORARRAY(Sintesi!$C$15),1,$C282)&lt;0)+($E282&gt;=LOOKUP(2,1/($E:$E&lt;&gt;""),$E:$E))*($E282&lt;=$E283)*($E282&gt;INDEX(_xlfn.ANCHORARRAY(Sintesi!$C$15),1,$C282))*($E282&lt;INDEX(_xlfn.ANCHORARRAY(Sintesi!$C$16),1,$C282))*(INDEX(_xlfn.ANCHORARRAY(Sintesi!$C$15),1,$C282)&gt;0),2,IF($E282=(INDEX(_xlfn.ANCHORARRAY(Sintesi!$C$16),1,$C282)),3,4)))),0)))</f>
        <v>0</v>
      </c>
      <c r="E282" s="1">
        <f>'Paste cell here'!F282</f>
        <v>0</v>
      </c>
      <c r="F282" s="1">
        <f>'Paste cell here'!C282</f>
        <v>21.856605030000001</v>
      </c>
      <c r="G282" s="1">
        <f>'Paste cell here'!D282</f>
        <v>11.692675899999999</v>
      </c>
      <c r="H282" s="1">
        <f>'Paste cell here'!E282</f>
        <v>1.729279518</v>
      </c>
      <c r="I282" s="1">
        <f>'Paste cell here'!X282</f>
        <v>0</v>
      </c>
      <c r="J282" s="1">
        <f>'Paste cell here'!Y282+'Paste cell here'!S282</f>
        <v>0</v>
      </c>
      <c r="K282" s="1">
        <f t="shared" si="9"/>
        <v>0</v>
      </c>
      <c r="L282" s="1">
        <f t="shared" si="8"/>
        <v>18.171367266650158</v>
      </c>
      <c r="M282" s="1" cm="1">
        <f t="array" ref="M282">IF(AND(A282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,A282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),IF(L282&lt;_xlfn.IFNA(INDEX(_xlfn.ANCHORARRAY(Sintesi!$C$17)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,1,IF(L282&gt;=_xlfn.IFNA(INDEX(_xlfn.ANCHORARRAY(Sintesi!$C$18)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,0,1-(L282-_xlfn.IFNA(INDEX(_xlfn.ANCHORARRAY(Sintesi!$C$17)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)/(_xlfn.IFNA(INDEX(_xlfn.ANCHORARRAY(Sintesi!$C$18)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-_xlfn.IFNA(INDEX(_xlfn.ANCHORARRAY(Sintesi!$C$17),1,MATCH(1,(_xlfn.ANCHORARRAY(Sintesi!$C$9)&gt;_xlfn.ANCHORARRAY(Sintesi!$C$10))*(A281&gt;=_xlfn.ANCHORARRAY(Sintesi!$C$9))+(_xlfn.ANCHORARRAY(Sintesi!$C$9)&gt;_xlfn.ANCHORARRAY(Sintesi!$C$10))*(A281&lt;=_xlfn.ANCHORARRAY(Sintesi!$C$10))+(_xlfn.ANCHORARRAY(Sintesi!$C$9)&lt;_xlfn.ANCHORARRAY(Sintesi!$C$10))*(A281&gt;=_xlfn.ANCHORARRAY(Sintesi!$C$9))*(A281&lt;=_xlfn.ANCHORARRAY(Sintesi!$C$10)),0)),0)))),0)</f>
        <v>0</v>
      </c>
    </row>
    <row r="283" spans="1:13">
      <c r="A283" s="1">
        <f>'Paste cell here'!A283</f>
        <v>282</v>
      </c>
      <c r="B283" s="2">
        <f>DATE(Sintesi!$C$4-1,12,31)+A283</f>
        <v>44478</v>
      </c>
      <c r="C283" s="34" cm="1">
        <f t="array" ref="C283">_xlfn.IFNA(MATCH(1,(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)*(_xlfn.ANCHORARRAY(Sintesi!$C$15)&gt;=0)+(_xlfn.ANCHORARRAY(Sintesi!$C$15)&lt;0),0),0)</f>
        <v>0</v>
      </c>
      <c r="D283" s="1" cm="1">
        <f t="array" ref="D283">IF(ISBLANK($E284),IF(ISNUMBER($E282),IF($C283&gt;0,IF(($E283=INDEX(_xlfn.ANCHORARRAY(Sintesi!$C$14),1,$C283))*(INDEX(_xlfn.ANCHORARRAY(Sintesi!$C$15),1,$C283)&gt;0),0,IF(($E283=INDEX(_xlfn.ANCHORARRAY(Sintesi!$C$14),1,$C283))*(INDEX(_xlfn.ANCHORARRAY(Sintesi!$C$15),1,$C283)&lt;0)+($E283&gt;=$E282)*($E283&lt;=INDEX($E:$E,MATCH(TRUE,INDEX((ISNUMBER($E:$E)),0),0)))*($E283&gt;INDEX(_xlfn.ANCHORARRAY(Sintesi!$C$14),1,$C283))*($E283&lt;=INDEX(_xlfn.ANCHORARRAY(Sintesi!$C$15),1,$C283))*(INDEX(_xlfn.ANCHORARRAY(Sintesi!$C$15),1,$C283)&gt;0),1,IF(($E283&gt;=$E282)*($E283&lt;=INDEX($E:$E,MATCH(TRUE,INDEX((ISNUMBER($E:$E)),0),0)))*($E283&gt;INDEX(_xlfn.ANCHORARRAY(Sintesi!$C$14),1,$C283))*($E283&lt;INDEX(_xlfn.ANCHORARRAY(Sintesi!$C$16),1,$C283))*(INDEX(_xlfn.ANCHORARRAY(Sintesi!$C$15),1,$C283)&lt;0)+($E283&gt;=$E282)*($E283&lt;=INDEX($E:$E,MATCH(TRUE,INDEX((ISNUMBER($E:$E)),0),0)))*($E283&gt;INDEX(_xlfn.ANCHORARRAY(Sintesi!$C$15),1,$C283))*($E283&lt;INDEX(_xlfn.ANCHORARRAY(Sintesi!$C$16),1,$C283))*(INDEX(_xlfn.ANCHORARRAY(Sintesi!$C$15),1,$C283)&gt;0),2,IF($E283=(INDEX(_xlfn.ANCHORARRAY(Sintesi!$C$16),1,$C283)),3,4)))),0),IF($C283&gt;0,IF(($E283=INDEX(_xlfn.ANCHORARRAY(Sintesi!$C$14),1,$C283))*(INDEX(_xlfn.ANCHORARRAY(Sintesi!$C$15),1,$C283)&gt;0),0,IF(($E283=INDEX(_xlfn.ANCHORARRAY(Sintesi!$C$14),1,$C283))*(INDEX(_xlfn.ANCHORARRAY(Sintesi!$C$15),1,$C283)&lt;0)+($E283&gt;=LOOKUP(2,1/($E:$E&lt;&gt;""),$E:$E))*($E283&lt;=INDEX($E:$E,MATCH(TRUE,INDEX((ISNUMBER($E:$E)),0),0)))*($E283&gt;INDEX(_xlfn.ANCHORARRAY(Sintesi!$C$14),1,$C283))*($E283&lt;=INDEX(_xlfn.ANCHORARRAY(Sintesi!$C$15),1,$C283))*(INDEX(_xlfn.ANCHORARRAY(Sintesi!$C$15),1,$C283)&gt;0),1,IF(($E283&gt;=LOOKUP(2,1/($E:$E&lt;&gt;""),$E:$E))*($E283&lt;=INDEX($E:$E,MATCH(TRUE,INDEX((ISNUMBER($E:$E)),0),0)))*($E283&gt;INDEX(_xlfn.ANCHORARRAY(Sintesi!$C$14),1,$C283))*($E283&lt;INDEX(_xlfn.ANCHORARRAY(Sintesi!$C$16),1,$C283))*(INDEX(_xlfn.ANCHORARRAY(Sintesi!$C$15),1,$C283)&lt;0)+($E283&gt;=LOOKUP(2,1/($E:$E&lt;&gt;""),$E:$E))*($E283&lt;=INDEX($E:$E,MATCH(TRUE,INDEX((ISNUMBER($E:$E)),0),0)))*($E283&gt;INDEX(_xlfn.ANCHORARRAY(Sintesi!$C$15),1,$C283))*($E283&lt;INDEX(_xlfn.ANCHORARRAY(Sintesi!$C$16),1,$C283))*(INDEX(_xlfn.ANCHORARRAY(Sintesi!$C$15),1,$C283)&gt;0),2,IF($E283=(INDEX(_xlfn.ANCHORARRAY(Sintesi!$C$16),1,$C283)),3,4)))),0)),IF(ISNUMBER($E282),IF($C283&gt;0,IF(($E283=INDEX(_xlfn.ANCHORARRAY(Sintesi!$C$14),1,$C283))*(INDEX(_xlfn.ANCHORARRAY(Sintesi!$C$15),1,$C283)&gt;0),0,IF(($E283=INDEX(_xlfn.ANCHORARRAY(Sintesi!$C$14),1,$C283))*(INDEX(_xlfn.ANCHORARRAY(Sintesi!$C$15),1,$C283)&lt;0)+($E283&gt;=$E282)*($E283&lt;=$E284)*($E283&gt;INDEX(_xlfn.ANCHORARRAY(Sintesi!$C$14),1,$C283))*($E283&lt;=INDEX(_xlfn.ANCHORARRAY(Sintesi!$C$15),1,$C283))*(INDEX(_xlfn.ANCHORARRAY(Sintesi!$C$15),1,$C283)&gt;0),1,IF(($E283&gt;=$E282)*($E283&lt;=$E284)*($E283&gt;INDEX(_xlfn.ANCHORARRAY(Sintesi!$C$14),1,$C283))*($E283&lt;INDEX(_xlfn.ANCHORARRAY(Sintesi!$C$16),1,$C283))*(INDEX(_xlfn.ANCHORARRAY(Sintesi!$C$15),1,$C283)&lt;0)+($E283&gt;=$E282)*($E283&lt;=$E284)*($E283&gt;INDEX(_xlfn.ANCHORARRAY(Sintesi!$C$15),1,$C283))*($E283&lt;INDEX(_xlfn.ANCHORARRAY(Sintesi!$C$16),1,$C283))*(INDEX(_xlfn.ANCHORARRAY(Sintesi!$C$15),1,$C283)&gt;0),2,IF($E283=(INDEX(_xlfn.ANCHORARRAY(Sintesi!$C$16),1,$C283)),3,4)))),0),IF($C283&gt;0,IF(($E283=INDEX(_xlfn.ANCHORARRAY(Sintesi!$C$14),1,$C283))*(INDEX(_xlfn.ANCHORARRAY(Sintesi!$C$15),1,$C283)&gt;0),0,IF(($E283=INDEX(_xlfn.ANCHORARRAY(Sintesi!$C$14),1,$C283))*(INDEX(_xlfn.ANCHORARRAY(Sintesi!$C$15),1,$C283)&lt;0)+($E283&gt;=LOOKUP(2,1/($E:$E&lt;&gt;""),$E:$E))*($E283&lt;=$E284)*($E283&gt;INDEX(_xlfn.ANCHORARRAY(Sintesi!$C$14),1,$C283))*($E283&lt;=INDEX(_xlfn.ANCHORARRAY(Sintesi!$C$15),1,$C283))*(INDEX(_xlfn.ANCHORARRAY(Sintesi!$C$15),1,$C283)&gt;0),1,IF(($E283&gt;=LOOKUP(2,1/($E:$E&lt;&gt;""),$E:$E))*($E283&lt;=$E284)*($E283&gt;INDEX(_xlfn.ANCHORARRAY(Sintesi!$C$14),1,$C283))*($E283&lt;INDEX(_xlfn.ANCHORARRAY(Sintesi!$C$16),1,$C283))*(INDEX(_xlfn.ANCHORARRAY(Sintesi!$C$15),1,$C283)&lt;0)+($E283&gt;=LOOKUP(2,1/($E:$E&lt;&gt;""),$E:$E))*($E283&lt;=$E284)*($E283&gt;INDEX(_xlfn.ANCHORARRAY(Sintesi!$C$15),1,$C283))*($E283&lt;INDEX(_xlfn.ANCHORARRAY(Sintesi!$C$16),1,$C283))*(INDEX(_xlfn.ANCHORARRAY(Sintesi!$C$15),1,$C283)&gt;0),2,IF($E283=(INDEX(_xlfn.ANCHORARRAY(Sintesi!$C$16),1,$C283)),3,4)))),0)))</f>
        <v>0</v>
      </c>
      <c r="E283" s="1">
        <f>'Paste cell here'!F283</f>
        <v>0</v>
      </c>
      <c r="F283" s="1">
        <f>'Paste cell here'!C283</f>
        <v>19.438750590000001</v>
      </c>
      <c r="G283" s="1">
        <f>'Paste cell here'!D283</f>
        <v>11.913336129999999</v>
      </c>
      <c r="H283" s="1">
        <f>'Paste cell here'!E283</f>
        <v>1.8575912809999999</v>
      </c>
      <c r="I283" s="1">
        <f>'Paste cell here'!X283</f>
        <v>0</v>
      </c>
      <c r="J283" s="1">
        <f>'Paste cell here'!Y283+'Paste cell here'!S283</f>
        <v>0</v>
      </c>
      <c r="K283" s="1">
        <f t="shared" si="9"/>
        <v>0</v>
      </c>
      <c r="L283" s="1">
        <f t="shared" si="8"/>
        <v>16.710185563804178</v>
      </c>
      <c r="M283" s="1" cm="1">
        <f t="array" ref="M283">IF(AND(A283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,A283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),IF(L283&lt;_xlfn.IFNA(INDEX(_xlfn.ANCHORARRAY(Sintesi!$C$17)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,1,IF(L283&gt;=_xlfn.IFNA(INDEX(_xlfn.ANCHORARRAY(Sintesi!$C$18)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,0,1-(L283-_xlfn.IFNA(INDEX(_xlfn.ANCHORARRAY(Sintesi!$C$17)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)/(_xlfn.IFNA(INDEX(_xlfn.ANCHORARRAY(Sintesi!$C$18)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-_xlfn.IFNA(INDEX(_xlfn.ANCHORARRAY(Sintesi!$C$17),1,MATCH(1,(_xlfn.ANCHORARRAY(Sintesi!$C$9)&gt;_xlfn.ANCHORARRAY(Sintesi!$C$10))*(A282&gt;=_xlfn.ANCHORARRAY(Sintesi!$C$9))+(_xlfn.ANCHORARRAY(Sintesi!$C$9)&gt;_xlfn.ANCHORARRAY(Sintesi!$C$10))*(A282&lt;=_xlfn.ANCHORARRAY(Sintesi!$C$10))+(_xlfn.ANCHORARRAY(Sintesi!$C$9)&lt;_xlfn.ANCHORARRAY(Sintesi!$C$10))*(A282&gt;=_xlfn.ANCHORARRAY(Sintesi!$C$9))*(A282&lt;=_xlfn.ANCHORARRAY(Sintesi!$C$10)),0)),0)))),0)</f>
        <v>0</v>
      </c>
    </row>
    <row r="284" spans="1:13">
      <c r="A284" s="1">
        <f>'Paste cell here'!A284</f>
        <v>283</v>
      </c>
      <c r="B284" s="2">
        <f>DATE(Sintesi!$C$4-1,12,31)+A284</f>
        <v>44479</v>
      </c>
      <c r="C284" s="34" cm="1">
        <f t="array" ref="C284">_xlfn.IFNA(MATCH(1,(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)*(_xlfn.ANCHORARRAY(Sintesi!$C$15)&gt;=0)+(_xlfn.ANCHORARRAY(Sintesi!$C$15)&lt;0),0),0)</f>
        <v>0</v>
      </c>
      <c r="D284" s="1" cm="1">
        <f t="array" ref="D284">IF(ISBLANK($E285),IF(ISNUMBER($E283),IF($C284&gt;0,IF(($E284=INDEX(_xlfn.ANCHORARRAY(Sintesi!$C$14),1,$C284))*(INDEX(_xlfn.ANCHORARRAY(Sintesi!$C$15),1,$C284)&gt;0),0,IF(($E284=INDEX(_xlfn.ANCHORARRAY(Sintesi!$C$14),1,$C284))*(INDEX(_xlfn.ANCHORARRAY(Sintesi!$C$15),1,$C284)&lt;0)+($E284&gt;=$E283)*($E284&lt;=INDEX($E:$E,MATCH(TRUE,INDEX((ISNUMBER($E:$E)),0),0)))*($E284&gt;INDEX(_xlfn.ANCHORARRAY(Sintesi!$C$14),1,$C284))*($E284&lt;=INDEX(_xlfn.ANCHORARRAY(Sintesi!$C$15),1,$C284))*(INDEX(_xlfn.ANCHORARRAY(Sintesi!$C$15),1,$C284)&gt;0),1,IF(($E284&gt;=$E283)*($E284&lt;=INDEX($E:$E,MATCH(TRUE,INDEX((ISNUMBER($E:$E)),0),0)))*($E284&gt;INDEX(_xlfn.ANCHORARRAY(Sintesi!$C$14),1,$C284))*($E284&lt;INDEX(_xlfn.ANCHORARRAY(Sintesi!$C$16),1,$C284))*(INDEX(_xlfn.ANCHORARRAY(Sintesi!$C$15),1,$C284)&lt;0)+($E284&gt;=$E283)*($E284&lt;=INDEX($E:$E,MATCH(TRUE,INDEX((ISNUMBER($E:$E)),0),0)))*($E284&gt;INDEX(_xlfn.ANCHORARRAY(Sintesi!$C$15),1,$C284))*($E284&lt;INDEX(_xlfn.ANCHORARRAY(Sintesi!$C$16),1,$C284))*(INDEX(_xlfn.ANCHORARRAY(Sintesi!$C$15),1,$C284)&gt;0),2,IF($E284=(INDEX(_xlfn.ANCHORARRAY(Sintesi!$C$16),1,$C284)),3,4)))),0),IF($C284&gt;0,IF(($E284=INDEX(_xlfn.ANCHORARRAY(Sintesi!$C$14),1,$C284))*(INDEX(_xlfn.ANCHORARRAY(Sintesi!$C$15),1,$C284)&gt;0),0,IF(($E284=INDEX(_xlfn.ANCHORARRAY(Sintesi!$C$14),1,$C284))*(INDEX(_xlfn.ANCHORARRAY(Sintesi!$C$15),1,$C284)&lt;0)+($E284&gt;=LOOKUP(2,1/($E:$E&lt;&gt;""),$E:$E))*($E284&lt;=INDEX($E:$E,MATCH(TRUE,INDEX((ISNUMBER($E:$E)),0),0)))*($E284&gt;INDEX(_xlfn.ANCHORARRAY(Sintesi!$C$14),1,$C284))*($E284&lt;=INDEX(_xlfn.ANCHORARRAY(Sintesi!$C$15),1,$C284))*(INDEX(_xlfn.ANCHORARRAY(Sintesi!$C$15),1,$C284)&gt;0),1,IF(($E284&gt;=LOOKUP(2,1/($E:$E&lt;&gt;""),$E:$E))*($E284&lt;=INDEX($E:$E,MATCH(TRUE,INDEX((ISNUMBER($E:$E)),0),0)))*($E284&gt;INDEX(_xlfn.ANCHORARRAY(Sintesi!$C$14),1,$C284))*($E284&lt;INDEX(_xlfn.ANCHORARRAY(Sintesi!$C$16),1,$C284))*(INDEX(_xlfn.ANCHORARRAY(Sintesi!$C$15),1,$C284)&lt;0)+($E284&gt;=LOOKUP(2,1/($E:$E&lt;&gt;""),$E:$E))*($E284&lt;=INDEX($E:$E,MATCH(TRUE,INDEX((ISNUMBER($E:$E)),0),0)))*($E284&gt;INDEX(_xlfn.ANCHORARRAY(Sintesi!$C$15),1,$C284))*($E284&lt;INDEX(_xlfn.ANCHORARRAY(Sintesi!$C$16),1,$C284))*(INDEX(_xlfn.ANCHORARRAY(Sintesi!$C$15),1,$C284)&gt;0),2,IF($E284=(INDEX(_xlfn.ANCHORARRAY(Sintesi!$C$16),1,$C284)),3,4)))),0)),IF(ISNUMBER($E283),IF($C284&gt;0,IF(($E284=INDEX(_xlfn.ANCHORARRAY(Sintesi!$C$14),1,$C284))*(INDEX(_xlfn.ANCHORARRAY(Sintesi!$C$15),1,$C284)&gt;0),0,IF(($E284=INDEX(_xlfn.ANCHORARRAY(Sintesi!$C$14),1,$C284))*(INDEX(_xlfn.ANCHORARRAY(Sintesi!$C$15),1,$C284)&lt;0)+($E284&gt;=$E283)*($E284&lt;=$E285)*($E284&gt;INDEX(_xlfn.ANCHORARRAY(Sintesi!$C$14),1,$C284))*($E284&lt;=INDEX(_xlfn.ANCHORARRAY(Sintesi!$C$15),1,$C284))*(INDEX(_xlfn.ANCHORARRAY(Sintesi!$C$15),1,$C284)&gt;0),1,IF(($E284&gt;=$E283)*($E284&lt;=$E285)*($E284&gt;INDEX(_xlfn.ANCHORARRAY(Sintesi!$C$14),1,$C284))*($E284&lt;INDEX(_xlfn.ANCHORARRAY(Sintesi!$C$16),1,$C284))*(INDEX(_xlfn.ANCHORARRAY(Sintesi!$C$15),1,$C284)&lt;0)+($E284&gt;=$E283)*($E284&lt;=$E285)*($E284&gt;INDEX(_xlfn.ANCHORARRAY(Sintesi!$C$15),1,$C284))*($E284&lt;INDEX(_xlfn.ANCHORARRAY(Sintesi!$C$16),1,$C284))*(INDEX(_xlfn.ANCHORARRAY(Sintesi!$C$15),1,$C284)&gt;0),2,IF($E284=(INDEX(_xlfn.ANCHORARRAY(Sintesi!$C$16),1,$C284)),3,4)))),0),IF($C284&gt;0,IF(($E284=INDEX(_xlfn.ANCHORARRAY(Sintesi!$C$14),1,$C284))*(INDEX(_xlfn.ANCHORARRAY(Sintesi!$C$15),1,$C284)&gt;0),0,IF(($E284=INDEX(_xlfn.ANCHORARRAY(Sintesi!$C$14),1,$C284))*(INDEX(_xlfn.ANCHORARRAY(Sintesi!$C$15),1,$C284)&lt;0)+($E284&gt;=LOOKUP(2,1/($E:$E&lt;&gt;""),$E:$E))*($E284&lt;=$E285)*($E284&gt;INDEX(_xlfn.ANCHORARRAY(Sintesi!$C$14),1,$C284))*($E284&lt;=INDEX(_xlfn.ANCHORARRAY(Sintesi!$C$15),1,$C284))*(INDEX(_xlfn.ANCHORARRAY(Sintesi!$C$15),1,$C284)&gt;0),1,IF(($E284&gt;=LOOKUP(2,1/($E:$E&lt;&gt;""),$E:$E))*($E284&lt;=$E285)*($E284&gt;INDEX(_xlfn.ANCHORARRAY(Sintesi!$C$14),1,$C284))*($E284&lt;INDEX(_xlfn.ANCHORARRAY(Sintesi!$C$16),1,$C284))*(INDEX(_xlfn.ANCHORARRAY(Sintesi!$C$15),1,$C284)&lt;0)+($E284&gt;=LOOKUP(2,1/($E:$E&lt;&gt;""),$E:$E))*($E284&lt;=$E285)*($E284&gt;INDEX(_xlfn.ANCHORARRAY(Sintesi!$C$15),1,$C284))*($E284&lt;INDEX(_xlfn.ANCHORARRAY(Sintesi!$C$16),1,$C284))*(INDEX(_xlfn.ANCHORARRAY(Sintesi!$C$15),1,$C284)&gt;0),2,IF($E284=(INDEX(_xlfn.ANCHORARRAY(Sintesi!$C$16),1,$C284)),3,4)))),0)))</f>
        <v>0</v>
      </c>
      <c r="E284" s="1">
        <f>'Paste cell here'!F284</f>
        <v>0</v>
      </c>
      <c r="F284" s="1">
        <f>'Paste cell here'!C284</f>
        <v>19.002679730000001</v>
      </c>
      <c r="G284" s="1">
        <f>'Paste cell here'!D284</f>
        <v>7.7539253050000001</v>
      </c>
      <c r="H284" s="1">
        <f>'Paste cell here'!E284</f>
        <v>1.742023163</v>
      </c>
      <c r="I284" s="1">
        <f>'Paste cell here'!X284</f>
        <v>0</v>
      </c>
      <c r="J284" s="1">
        <f>'Paste cell here'!Y284+'Paste cell here'!S284</f>
        <v>0</v>
      </c>
      <c r="K284" s="1">
        <f t="shared" si="9"/>
        <v>0</v>
      </c>
      <c r="L284" s="1">
        <f t="shared" si="8"/>
        <v>14.924105974964517</v>
      </c>
      <c r="M284" s="1" cm="1">
        <f t="array" ref="M284">IF(AND(A284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,A284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),IF(L284&lt;_xlfn.IFNA(INDEX(_xlfn.ANCHORARRAY(Sintesi!$C$17)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,1,IF(L284&gt;=_xlfn.IFNA(INDEX(_xlfn.ANCHORARRAY(Sintesi!$C$18)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,0,1-(L284-_xlfn.IFNA(INDEX(_xlfn.ANCHORARRAY(Sintesi!$C$17)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)/(_xlfn.IFNA(INDEX(_xlfn.ANCHORARRAY(Sintesi!$C$18)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-_xlfn.IFNA(INDEX(_xlfn.ANCHORARRAY(Sintesi!$C$17),1,MATCH(1,(_xlfn.ANCHORARRAY(Sintesi!$C$9)&gt;_xlfn.ANCHORARRAY(Sintesi!$C$10))*(A283&gt;=_xlfn.ANCHORARRAY(Sintesi!$C$9))+(_xlfn.ANCHORARRAY(Sintesi!$C$9)&gt;_xlfn.ANCHORARRAY(Sintesi!$C$10))*(A283&lt;=_xlfn.ANCHORARRAY(Sintesi!$C$10))+(_xlfn.ANCHORARRAY(Sintesi!$C$9)&lt;_xlfn.ANCHORARRAY(Sintesi!$C$10))*(A283&gt;=_xlfn.ANCHORARRAY(Sintesi!$C$9))*(A283&lt;=_xlfn.ANCHORARRAY(Sintesi!$C$10)),0)),0)))),0)</f>
        <v>0</v>
      </c>
    </row>
    <row r="285" spans="1:13">
      <c r="A285" s="1">
        <f>'Paste cell here'!A285</f>
        <v>284</v>
      </c>
      <c r="B285" s="2">
        <f>DATE(Sintesi!$C$4-1,12,31)+A285</f>
        <v>44480</v>
      </c>
      <c r="C285" s="34" cm="1">
        <f t="array" ref="C285">_xlfn.IFNA(MATCH(1,(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)*(_xlfn.ANCHORARRAY(Sintesi!$C$15)&gt;=0)+(_xlfn.ANCHORARRAY(Sintesi!$C$15)&lt;0),0),0)</f>
        <v>0</v>
      </c>
      <c r="D285" s="1" cm="1">
        <f t="array" ref="D285">IF(ISBLANK($E286),IF(ISNUMBER($E284),IF($C285&gt;0,IF(($E285=INDEX(_xlfn.ANCHORARRAY(Sintesi!$C$14),1,$C285))*(INDEX(_xlfn.ANCHORARRAY(Sintesi!$C$15),1,$C285)&gt;0),0,IF(($E285=INDEX(_xlfn.ANCHORARRAY(Sintesi!$C$14),1,$C285))*(INDEX(_xlfn.ANCHORARRAY(Sintesi!$C$15),1,$C285)&lt;0)+($E285&gt;=$E284)*($E285&lt;=INDEX($E:$E,MATCH(TRUE,INDEX((ISNUMBER($E:$E)),0),0)))*($E285&gt;INDEX(_xlfn.ANCHORARRAY(Sintesi!$C$14),1,$C285))*($E285&lt;=INDEX(_xlfn.ANCHORARRAY(Sintesi!$C$15),1,$C285))*(INDEX(_xlfn.ANCHORARRAY(Sintesi!$C$15),1,$C285)&gt;0),1,IF(($E285&gt;=$E284)*($E285&lt;=INDEX($E:$E,MATCH(TRUE,INDEX((ISNUMBER($E:$E)),0),0)))*($E285&gt;INDEX(_xlfn.ANCHORARRAY(Sintesi!$C$14),1,$C285))*($E285&lt;INDEX(_xlfn.ANCHORARRAY(Sintesi!$C$16),1,$C285))*(INDEX(_xlfn.ANCHORARRAY(Sintesi!$C$15),1,$C285)&lt;0)+($E285&gt;=$E284)*($E285&lt;=INDEX($E:$E,MATCH(TRUE,INDEX((ISNUMBER($E:$E)),0),0)))*($E285&gt;INDEX(_xlfn.ANCHORARRAY(Sintesi!$C$15),1,$C285))*($E285&lt;INDEX(_xlfn.ANCHORARRAY(Sintesi!$C$16),1,$C285))*(INDEX(_xlfn.ANCHORARRAY(Sintesi!$C$15),1,$C285)&gt;0),2,IF($E285=(INDEX(_xlfn.ANCHORARRAY(Sintesi!$C$16),1,$C285)),3,4)))),0),IF($C285&gt;0,IF(($E285=INDEX(_xlfn.ANCHORARRAY(Sintesi!$C$14),1,$C285))*(INDEX(_xlfn.ANCHORARRAY(Sintesi!$C$15),1,$C285)&gt;0),0,IF(($E285=INDEX(_xlfn.ANCHORARRAY(Sintesi!$C$14),1,$C285))*(INDEX(_xlfn.ANCHORARRAY(Sintesi!$C$15),1,$C285)&lt;0)+($E285&gt;=LOOKUP(2,1/($E:$E&lt;&gt;""),$E:$E))*($E285&lt;=INDEX($E:$E,MATCH(TRUE,INDEX((ISNUMBER($E:$E)),0),0)))*($E285&gt;INDEX(_xlfn.ANCHORARRAY(Sintesi!$C$14),1,$C285))*($E285&lt;=INDEX(_xlfn.ANCHORARRAY(Sintesi!$C$15),1,$C285))*(INDEX(_xlfn.ANCHORARRAY(Sintesi!$C$15),1,$C285)&gt;0),1,IF(($E285&gt;=LOOKUP(2,1/($E:$E&lt;&gt;""),$E:$E))*($E285&lt;=INDEX($E:$E,MATCH(TRUE,INDEX((ISNUMBER($E:$E)),0),0)))*($E285&gt;INDEX(_xlfn.ANCHORARRAY(Sintesi!$C$14),1,$C285))*($E285&lt;INDEX(_xlfn.ANCHORARRAY(Sintesi!$C$16),1,$C285))*(INDEX(_xlfn.ANCHORARRAY(Sintesi!$C$15),1,$C285)&lt;0)+($E285&gt;=LOOKUP(2,1/($E:$E&lt;&gt;""),$E:$E))*($E285&lt;=INDEX($E:$E,MATCH(TRUE,INDEX((ISNUMBER($E:$E)),0),0)))*($E285&gt;INDEX(_xlfn.ANCHORARRAY(Sintesi!$C$15),1,$C285))*($E285&lt;INDEX(_xlfn.ANCHORARRAY(Sintesi!$C$16),1,$C285))*(INDEX(_xlfn.ANCHORARRAY(Sintesi!$C$15),1,$C285)&gt;0),2,IF($E285=(INDEX(_xlfn.ANCHORARRAY(Sintesi!$C$16),1,$C285)),3,4)))),0)),IF(ISNUMBER($E284),IF($C285&gt;0,IF(($E285=INDEX(_xlfn.ANCHORARRAY(Sintesi!$C$14),1,$C285))*(INDEX(_xlfn.ANCHORARRAY(Sintesi!$C$15),1,$C285)&gt;0),0,IF(($E285=INDEX(_xlfn.ANCHORARRAY(Sintesi!$C$14),1,$C285))*(INDEX(_xlfn.ANCHORARRAY(Sintesi!$C$15),1,$C285)&lt;0)+($E285&gt;=$E284)*($E285&lt;=$E286)*($E285&gt;INDEX(_xlfn.ANCHORARRAY(Sintesi!$C$14),1,$C285))*($E285&lt;=INDEX(_xlfn.ANCHORARRAY(Sintesi!$C$15),1,$C285))*(INDEX(_xlfn.ANCHORARRAY(Sintesi!$C$15),1,$C285)&gt;0),1,IF(($E285&gt;=$E284)*($E285&lt;=$E286)*($E285&gt;INDEX(_xlfn.ANCHORARRAY(Sintesi!$C$14),1,$C285))*($E285&lt;INDEX(_xlfn.ANCHORARRAY(Sintesi!$C$16),1,$C285))*(INDEX(_xlfn.ANCHORARRAY(Sintesi!$C$15),1,$C285)&lt;0)+($E285&gt;=$E284)*($E285&lt;=$E286)*($E285&gt;INDEX(_xlfn.ANCHORARRAY(Sintesi!$C$15),1,$C285))*($E285&lt;INDEX(_xlfn.ANCHORARRAY(Sintesi!$C$16),1,$C285))*(INDEX(_xlfn.ANCHORARRAY(Sintesi!$C$15),1,$C285)&gt;0),2,IF($E285=(INDEX(_xlfn.ANCHORARRAY(Sintesi!$C$16),1,$C285)),3,4)))),0),IF($C285&gt;0,IF(($E285=INDEX(_xlfn.ANCHORARRAY(Sintesi!$C$14),1,$C285))*(INDEX(_xlfn.ANCHORARRAY(Sintesi!$C$15),1,$C285)&gt;0),0,IF(($E285=INDEX(_xlfn.ANCHORARRAY(Sintesi!$C$14),1,$C285))*(INDEX(_xlfn.ANCHORARRAY(Sintesi!$C$15),1,$C285)&lt;0)+($E285&gt;=LOOKUP(2,1/($E:$E&lt;&gt;""),$E:$E))*($E285&lt;=$E286)*($E285&gt;INDEX(_xlfn.ANCHORARRAY(Sintesi!$C$14),1,$C285))*($E285&lt;=INDEX(_xlfn.ANCHORARRAY(Sintesi!$C$15),1,$C285))*(INDEX(_xlfn.ANCHORARRAY(Sintesi!$C$15),1,$C285)&gt;0),1,IF(($E285&gt;=LOOKUP(2,1/($E:$E&lt;&gt;""),$E:$E))*($E285&lt;=$E286)*($E285&gt;INDEX(_xlfn.ANCHORARRAY(Sintesi!$C$14),1,$C285))*($E285&lt;INDEX(_xlfn.ANCHORARRAY(Sintesi!$C$16),1,$C285))*(INDEX(_xlfn.ANCHORARRAY(Sintesi!$C$15),1,$C285)&lt;0)+($E285&gt;=LOOKUP(2,1/($E:$E&lt;&gt;""),$E:$E))*($E285&lt;=$E286)*($E285&gt;INDEX(_xlfn.ANCHORARRAY(Sintesi!$C$15),1,$C285))*($E285&lt;INDEX(_xlfn.ANCHORARRAY(Sintesi!$C$16),1,$C285))*(INDEX(_xlfn.ANCHORARRAY(Sintesi!$C$15),1,$C285)&gt;0),2,IF($E285=(INDEX(_xlfn.ANCHORARRAY(Sintesi!$C$16),1,$C285)),3,4)))),0)))</f>
        <v>0</v>
      </c>
      <c r="E285" s="1">
        <f>'Paste cell here'!F285</f>
        <v>0</v>
      </c>
      <c r="F285" s="1">
        <f>'Paste cell here'!C285</f>
        <v>20.5</v>
      </c>
      <c r="G285" s="1">
        <f>'Paste cell here'!D285</f>
        <v>5.2973202739999996</v>
      </c>
      <c r="H285" s="1">
        <f>'Paste cell here'!E285</f>
        <v>1.785656903</v>
      </c>
      <c r="I285" s="1">
        <f>'Paste cell here'!X285</f>
        <v>0</v>
      </c>
      <c r="J285" s="1">
        <f>'Paste cell here'!Y285+'Paste cell here'!S285</f>
        <v>0</v>
      </c>
      <c r="K285" s="1">
        <f t="shared" si="9"/>
        <v>0</v>
      </c>
      <c r="L285" s="1">
        <f t="shared" si="8"/>
        <v>14.987811877298261</v>
      </c>
      <c r="M285" s="1" cm="1">
        <f t="array" ref="M285">IF(AND(A285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,A285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),IF(L285&lt;_xlfn.IFNA(INDEX(_xlfn.ANCHORARRAY(Sintesi!$C$17)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,1,IF(L285&gt;=_xlfn.IFNA(INDEX(_xlfn.ANCHORARRAY(Sintesi!$C$18)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,0,1-(L285-_xlfn.IFNA(INDEX(_xlfn.ANCHORARRAY(Sintesi!$C$17)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)/(_xlfn.IFNA(INDEX(_xlfn.ANCHORARRAY(Sintesi!$C$18)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-_xlfn.IFNA(INDEX(_xlfn.ANCHORARRAY(Sintesi!$C$17),1,MATCH(1,(_xlfn.ANCHORARRAY(Sintesi!$C$9)&gt;_xlfn.ANCHORARRAY(Sintesi!$C$10))*(A284&gt;=_xlfn.ANCHORARRAY(Sintesi!$C$9))+(_xlfn.ANCHORARRAY(Sintesi!$C$9)&gt;_xlfn.ANCHORARRAY(Sintesi!$C$10))*(A284&lt;=_xlfn.ANCHORARRAY(Sintesi!$C$10))+(_xlfn.ANCHORARRAY(Sintesi!$C$9)&lt;_xlfn.ANCHORARRAY(Sintesi!$C$10))*(A284&gt;=_xlfn.ANCHORARRAY(Sintesi!$C$9))*(A284&lt;=_xlfn.ANCHORARRAY(Sintesi!$C$10)),0)),0)))),0)</f>
        <v>0</v>
      </c>
    </row>
    <row r="286" spans="1:13">
      <c r="A286" s="1">
        <f>'Paste cell here'!A286</f>
        <v>285</v>
      </c>
      <c r="B286" s="2">
        <f>DATE(Sintesi!$C$4-1,12,31)+A286</f>
        <v>44481</v>
      </c>
      <c r="C286" s="34" cm="1">
        <f t="array" ref="C286">_xlfn.IFNA(MATCH(1,(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)*(_xlfn.ANCHORARRAY(Sintesi!$C$15)&gt;=0)+(_xlfn.ANCHORARRAY(Sintesi!$C$15)&lt;0),0),0)</f>
        <v>0</v>
      </c>
      <c r="D286" s="1" cm="1">
        <f t="array" ref="D286">IF(ISBLANK($E287),IF(ISNUMBER($E285),IF($C286&gt;0,IF(($E286=INDEX(_xlfn.ANCHORARRAY(Sintesi!$C$14),1,$C286))*(INDEX(_xlfn.ANCHORARRAY(Sintesi!$C$15),1,$C286)&gt;0),0,IF(($E286=INDEX(_xlfn.ANCHORARRAY(Sintesi!$C$14),1,$C286))*(INDEX(_xlfn.ANCHORARRAY(Sintesi!$C$15),1,$C286)&lt;0)+($E286&gt;=$E285)*($E286&lt;=INDEX($E:$E,MATCH(TRUE,INDEX((ISNUMBER($E:$E)),0),0)))*($E286&gt;INDEX(_xlfn.ANCHORARRAY(Sintesi!$C$14),1,$C286))*($E286&lt;=INDEX(_xlfn.ANCHORARRAY(Sintesi!$C$15),1,$C286))*(INDEX(_xlfn.ANCHORARRAY(Sintesi!$C$15),1,$C286)&gt;0),1,IF(($E286&gt;=$E285)*($E286&lt;=INDEX($E:$E,MATCH(TRUE,INDEX((ISNUMBER($E:$E)),0),0)))*($E286&gt;INDEX(_xlfn.ANCHORARRAY(Sintesi!$C$14),1,$C286))*($E286&lt;INDEX(_xlfn.ANCHORARRAY(Sintesi!$C$16),1,$C286))*(INDEX(_xlfn.ANCHORARRAY(Sintesi!$C$15),1,$C286)&lt;0)+($E286&gt;=$E285)*($E286&lt;=INDEX($E:$E,MATCH(TRUE,INDEX((ISNUMBER($E:$E)),0),0)))*($E286&gt;INDEX(_xlfn.ANCHORARRAY(Sintesi!$C$15),1,$C286))*($E286&lt;INDEX(_xlfn.ANCHORARRAY(Sintesi!$C$16),1,$C286))*(INDEX(_xlfn.ANCHORARRAY(Sintesi!$C$15),1,$C286)&gt;0),2,IF($E286=(INDEX(_xlfn.ANCHORARRAY(Sintesi!$C$16),1,$C286)),3,4)))),0),IF($C286&gt;0,IF(($E286=INDEX(_xlfn.ANCHORARRAY(Sintesi!$C$14),1,$C286))*(INDEX(_xlfn.ANCHORARRAY(Sintesi!$C$15),1,$C286)&gt;0),0,IF(($E286=INDEX(_xlfn.ANCHORARRAY(Sintesi!$C$14),1,$C286))*(INDEX(_xlfn.ANCHORARRAY(Sintesi!$C$15),1,$C286)&lt;0)+($E286&gt;=LOOKUP(2,1/($E:$E&lt;&gt;""),$E:$E))*($E286&lt;=INDEX($E:$E,MATCH(TRUE,INDEX((ISNUMBER($E:$E)),0),0)))*($E286&gt;INDEX(_xlfn.ANCHORARRAY(Sintesi!$C$14),1,$C286))*($E286&lt;=INDEX(_xlfn.ANCHORARRAY(Sintesi!$C$15),1,$C286))*(INDEX(_xlfn.ANCHORARRAY(Sintesi!$C$15),1,$C286)&gt;0),1,IF(($E286&gt;=LOOKUP(2,1/($E:$E&lt;&gt;""),$E:$E))*($E286&lt;=INDEX($E:$E,MATCH(TRUE,INDEX((ISNUMBER($E:$E)),0),0)))*($E286&gt;INDEX(_xlfn.ANCHORARRAY(Sintesi!$C$14),1,$C286))*($E286&lt;INDEX(_xlfn.ANCHORARRAY(Sintesi!$C$16),1,$C286))*(INDEX(_xlfn.ANCHORARRAY(Sintesi!$C$15),1,$C286)&lt;0)+($E286&gt;=LOOKUP(2,1/($E:$E&lt;&gt;""),$E:$E))*($E286&lt;=INDEX($E:$E,MATCH(TRUE,INDEX((ISNUMBER($E:$E)),0),0)))*($E286&gt;INDEX(_xlfn.ANCHORARRAY(Sintesi!$C$15),1,$C286))*($E286&lt;INDEX(_xlfn.ANCHORARRAY(Sintesi!$C$16),1,$C286))*(INDEX(_xlfn.ANCHORARRAY(Sintesi!$C$15),1,$C286)&gt;0),2,IF($E286=(INDEX(_xlfn.ANCHORARRAY(Sintesi!$C$16),1,$C286)),3,4)))),0)),IF(ISNUMBER($E285),IF($C286&gt;0,IF(($E286=INDEX(_xlfn.ANCHORARRAY(Sintesi!$C$14),1,$C286))*(INDEX(_xlfn.ANCHORARRAY(Sintesi!$C$15),1,$C286)&gt;0),0,IF(($E286=INDEX(_xlfn.ANCHORARRAY(Sintesi!$C$14),1,$C286))*(INDEX(_xlfn.ANCHORARRAY(Sintesi!$C$15),1,$C286)&lt;0)+($E286&gt;=$E285)*($E286&lt;=$E287)*($E286&gt;INDEX(_xlfn.ANCHORARRAY(Sintesi!$C$14),1,$C286))*($E286&lt;=INDEX(_xlfn.ANCHORARRAY(Sintesi!$C$15),1,$C286))*(INDEX(_xlfn.ANCHORARRAY(Sintesi!$C$15),1,$C286)&gt;0),1,IF(($E286&gt;=$E285)*($E286&lt;=$E287)*($E286&gt;INDEX(_xlfn.ANCHORARRAY(Sintesi!$C$14),1,$C286))*($E286&lt;INDEX(_xlfn.ANCHORARRAY(Sintesi!$C$16),1,$C286))*(INDEX(_xlfn.ANCHORARRAY(Sintesi!$C$15),1,$C286)&lt;0)+($E286&gt;=$E285)*($E286&lt;=$E287)*($E286&gt;INDEX(_xlfn.ANCHORARRAY(Sintesi!$C$15),1,$C286))*($E286&lt;INDEX(_xlfn.ANCHORARRAY(Sintesi!$C$16),1,$C286))*(INDEX(_xlfn.ANCHORARRAY(Sintesi!$C$15),1,$C286)&gt;0),2,IF($E286=(INDEX(_xlfn.ANCHORARRAY(Sintesi!$C$16),1,$C286)),3,4)))),0),IF($C286&gt;0,IF(($E286=INDEX(_xlfn.ANCHORARRAY(Sintesi!$C$14),1,$C286))*(INDEX(_xlfn.ANCHORARRAY(Sintesi!$C$15),1,$C286)&gt;0),0,IF(($E286=INDEX(_xlfn.ANCHORARRAY(Sintesi!$C$14),1,$C286))*(INDEX(_xlfn.ANCHORARRAY(Sintesi!$C$15),1,$C286)&lt;0)+($E286&gt;=LOOKUP(2,1/($E:$E&lt;&gt;""),$E:$E))*($E286&lt;=$E287)*($E286&gt;INDEX(_xlfn.ANCHORARRAY(Sintesi!$C$14),1,$C286))*($E286&lt;=INDEX(_xlfn.ANCHORARRAY(Sintesi!$C$15),1,$C286))*(INDEX(_xlfn.ANCHORARRAY(Sintesi!$C$15),1,$C286)&gt;0),1,IF(($E286&gt;=LOOKUP(2,1/($E:$E&lt;&gt;""),$E:$E))*($E286&lt;=$E287)*($E286&gt;INDEX(_xlfn.ANCHORARRAY(Sintesi!$C$14),1,$C286))*($E286&lt;INDEX(_xlfn.ANCHORARRAY(Sintesi!$C$16),1,$C286))*(INDEX(_xlfn.ANCHORARRAY(Sintesi!$C$15),1,$C286)&lt;0)+($E286&gt;=LOOKUP(2,1/($E:$E&lt;&gt;""),$E:$E))*($E286&lt;=$E287)*($E286&gt;INDEX(_xlfn.ANCHORARRAY(Sintesi!$C$15),1,$C286))*($E286&lt;INDEX(_xlfn.ANCHORARRAY(Sintesi!$C$16),1,$C286))*(INDEX(_xlfn.ANCHORARRAY(Sintesi!$C$15),1,$C286)&gt;0),2,IF($E286=(INDEX(_xlfn.ANCHORARRAY(Sintesi!$C$16),1,$C286)),3,4)))),0)))</f>
        <v>0</v>
      </c>
      <c r="E286" s="1">
        <f>'Paste cell here'!F286</f>
        <v>0</v>
      </c>
      <c r="F286" s="1">
        <f>'Paste cell here'!C286</f>
        <v>18.7</v>
      </c>
      <c r="G286" s="1">
        <f>'Paste cell here'!D286</f>
        <v>7.5793397679999996</v>
      </c>
      <c r="H286" s="1">
        <f>'Paste cell here'!E286</f>
        <v>1.7062927889999999</v>
      </c>
      <c r="I286" s="1">
        <f>'Paste cell here'!X286</f>
        <v>0</v>
      </c>
      <c r="J286" s="1">
        <f>'Paste cell here'!Y286+'Paste cell here'!S286</f>
        <v>0</v>
      </c>
      <c r="K286" s="1">
        <f t="shared" si="9"/>
        <v>0</v>
      </c>
      <c r="L286" s="1">
        <f t="shared" si="8"/>
        <v>14.667870641739785</v>
      </c>
      <c r="M286" s="1" cm="1">
        <f t="array" ref="M286">IF(AND(A286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,A286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),IF(L286&lt;_xlfn.IFNA(INDEX(_xlfn.ANCHORARRAY(Sintesi!$C$17)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,1,IF(L286&gt;=_xlfn.IFNA(INDEX(_xlfn.ANCHORARRAY(Sintesi!$C$18)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,0,1-(L286-_xlfn.IFNA(INDEX(_xlfn.ANCHORARRAY(Sintesi!$C$17)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)/(_xlfn.IFNA(INDEX(_xlfn.ANCHORARRAY(Sintesi!$C$18)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-_xlfn.IFNA(INDEX(_xlfn.ANCHORARRAY(Sintesi!$C$17),1,MATCH(1,(_xlfn.ANCHORARRAY(Sintesi!$C$9)&gt;_xlfn.ANCHORARRAY(Sintesi!$C$10))*(A285&gt;=_xlfn.ANCHORARRAY(Sintesi!$C$9))+(_xlfn.ANCHORARRAY(Sintesi!$C$9)&gt;_xlfn.ANCHORARRAY(Sintesi!$C$10))*(A285&lt;=_xlfn.ANCHORARRAY(Sintesi!$C$10))+(_xlfn.ANCHORARRAY(Sintesi!$C$9)&lt;_xlfn.ANCHORARRAY(Sintesi!$C$10))*(A285&gt;=_xlfn.ANCHORARRAY(Sintesi!$C$9))*(A285&lt;=_xlfn.ANCHORARRAY(Sintesi!$C$10)),0)),0)))),0)</f>
        <v>0</v>
      </c>
    </row>
    <row r="287" spans="1:13">
      <c r="A287" s="1">
        <f>'Paste cell here'!A287</f>
        <v>286</v>
      </c>
      <c r="B287" s="2">
        <f>DATE(Sintesi!$C$4-1,12,31)+A287</f>
        <v>44482</v>
      </c>
      <c r="C287" s="34" cm="1">
        <f t="array" ref="C287">_xlfn.IFNA(MATCH(1,(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)*(_xlfn.ANCHORARRAY(Sintesi!$C$15)&gt;=0)+(_xlfn.ANCHORARRAY(Sintesi!$C$15)&lt;0),0),0)</f>
        <v>0</v>
      </c>
      <c r="D287" s="1" cm="1">
        <f t="array" ref="D287">IF(ISBLANK($E288),IF(ISNUMBER($E286),IF($C287&gt;0,IF(($E287=INDEX(_xlfn.ANCHORARRAY(Sintesi!$C$14),1,$C287))*(INDEX(_xlfn.ANCHORARRAY(Sintesi!$C$15),1,$C287)&gt;0),0,IF(($E287=INDEX(_xlfn.ANCHORARRAY(Sintesi!$C$14),1,$C287))*(INDEX(_xlfn.ANCHORARRAY(Sintesi!$C$15),1,$C287)&lt;0)+($E287&gt;=$E286)*($E287&lt;=INDEX($E:$E,MATCH(TRUE,INDEX((ISNUMBER($E:$E)),0),0)))*($E287&gt;INDEX(_xlfn.ANCHORARRAY(Sintesi!$C$14),1,$C287))*($E287&lt;=INDEX(_xlfn.ANCHORARRAY(Sintesi!$C$15),1,$C287))*(INDEX(_xlfn.ANCHORARRAY(Sintesi!$C$15),1,$C287)&gt;0),1,IF(($E287&gt;=$E286)*($E287&lt;=INDEX($E:$E,MATCH(TRUE,INDEX((ISNUMBER($E:$E)),0),0)))*($E287&gt;INDEX(_xlfn.ANCHORARRAY(Sintesi!$C$14),1,$C287))*($E287&lt;INDEX(_xlfn.ANCHORARRAY(Sintesi!$C$16),1,$C287))*(INDEX(_xlfn.ANCHORARRAY(Sintesi!$C$15),1,$C287)&lt;0)+($E287&gt;=$E286)*($E287&lt;=INDEX($E:$E,MATCH(TRUE,INDEX((ISNUMBER($E:$E)),0),0)))*($E287&gt;INDEX(_xlfn.ANCHORARRAY(Sintesi!$C$15),1,$C287))*($E287&lt;INDEX(_xlfn.ANCHORARRAY(Sintesi!$C$16),1,$C287))*(INDEX(_xlfn.ANCHORARRAY(Sintesi!$C$15),1,$C287)&gt;0),2,IF($E287=(INDEX(_xlfn.ANCHORARRAY(Sintesi!$C$16),1,$C287)),3,4)))),0),IF($C287&gt;0,IF(($E287=INDEX(_xlfn.ANCHORARRAY(Sintesi!$C$14),1,$C287))*(INDEX(_xlfn.ANCHORARRAY(Sintesi!$C$15),1,$C287)&gt;0),0,IF(($E287=INDEX(_xlfn.ANCHORARRAY(Sintesi!$C$14),1,$C287))*(INDEX(_xlfn.ANCHORARRAY(Sintesi!$C$15),1,$C287)&lt;0)+($E287&gt;=LOOKUP(2,1/($E:$E&lt;&gt;""),$E:$E))*($E287&lt;=INDEX($E:$E,MATCH(TRUE,INDEX((ISNUMBER($E:$E)),0),0)))*($E287&gt;INDEX(_xlfn.ANCHORARRAY(Sintesi!$C$14),1,$C287))*($E287&lt;=INDEX(_xlfn.ANCHORARRAY(Sintesi!$C$15),1,$C287))*(INDEX(_xlfn.ANCHORARRAY(Sintesi!$C$15),1,$C287)&gt;0),1,IF(($E287&gt;=LOOKUP(2,1/($E:$E&lt;&gt;""),$E:$E))*($E287&lt;=INDEX($E:$E,MATCH(TRUE,INDEX((ISNUMBER($E:$E)),0),0)))*($E287&gt;INDEX(_xlfn.ANCHORARRAY(Sintesi!$C$14),1,$C287))*($E287&lt;INDEX(_xlfn.ANCHORARRAY(Sintesi!$C$16),1,$C287))*(INDEX(_xlfn.ANCHORARRAY(Sintesi!$C$15),1,$C287)&lt;0)+($E287&gt;=LOOKUP(2,1/($E:$E&lt;&gt;""),$E:$E))*($E287&lt;=INDEX($E:$E,MATCH(TRUE,INDEX((ISNUMBER($E:$E)),0),0)))*($E287&gt;INDEX(_xlfn.ANCHORARRAY(Sintesi!$C$15),1,$C287))*($E287&lt;INDEX(_xlfn.ANCHORARRAY(Sintesi!$C$16),1,$C287))*(INDEX(_xlfn.ANCHORARRAY(Sintesi!$C$15),1,$C287)&gt;0),2,IF($E287=(INDEX(_xlfn.ANCHORARRAY(Sintesi!$C$16),1,$C287)),3,4)))),0)),IF(ISNUMBER($E286),IF($C287&gt;0,IF(($E287=INDEX(_xlfn.ANCHORARRAY(Sintesi!$C$14),1,$C287))*(INDEX(_xlfn.ANCHORARRAY(Sintesi!$C$15),1,$C287)&gt;0),0,IF(($E287=INDEX(_xlfn.ANCHORARRAY(Sintesi!$C$14),1,$C287))*(INDEX(_xlfn.ANCHORARRAY(Sintesi!$C$15),1,$C287)&lt;0)+($E287&gt;=$E286)*($E287&lt;=$E288)*($E287&gt;INDEX(_xlfn.ANCHORARRAY(Sintesi!$C$14),1,$C287))*($E287&lt;=INDEX(_xlfn.ANCHORARRAY(Sintesi!$C$15),1,$C287))*(INDEX(_xlfn.ANCHORARRAY(Sintesi!$C$15),1,$C287)&gt;0),1,IF(($E287&gt;=$E286)*($E287&lt;=$E288)*($E287&gt;INDEX(_xlfn.ANCHORARRAY(Sintesi!$C$14),1,$C287))*($E287&lt;INDEX(_xlfn.ANCHORARRAY(Sintesi!$C$16),1,$C287))*(INDEX(_xlfn.ANCHORARRAY(Sintesi!$C$15),1,$C287)&lt;0)+($E287&gt;=$E286)*($E287&lt;=$E288)*($E287&gt;INDEX(_xlfn.ANCHORARRAY(Sintesi!$C$15),1,$C287))*($E287&lt;INDEX(_xlfn.ANCHORARRAY(Sintesi!$C$16),1,$C287))*(INDEX(_xlfn.ANCHORARRAY(Sintesi!$C$15),1,$C287)&gt;0),2,IF($E287=(INDEX(_xlfn.ANCHORARRAY(Sintesi!$C$16),1,$C287)),3,4)))),0),IF($C287&gt;0,IF(($E287=INDEX(_xlfn.ANCHORARRAY(Sintesi!$C$14),1,$C287))*(INDEX(_xlfn.ANCHORARRAY(Sintesi!$C$15),1,$C287)&gt;0),0,IF(($E287=INDEX(_xlfn.ANCHORARRAY(Sintesi!$C$14),1,$C287))*(INDEX(_xlfn.ANCHORARRAY(Sintesi!$C$15),1,$C287)&lt;0)+($E287&gt;=LOOKUP(2,1/($E:$E&lt;&gt;""),$E:$E))*($E287&lt;=$E288)*($E287&gt;INDEX(_xlfn.ANCHORARRAY(Sintesi!$C$14),1,$C287))*($E287&lt;=INDEX(_xlfn.ANCHORARRAY(Sintesi!$C$15),1,$C287))*(INDEX(_xlfn.ANCHORARRAY(Sintesi!$C$15),1,$C287)&gt;0),1,IF(($E287&gt;=LOOKUP(2,1/($E:$E&lt;&gt;""),$E:$E))*($E287&lt;=$E288)*($E287&gt;INDEX(_xlfn.ANCHORARRAY(Sintesi!$C$14),1,$C287))*($E287&lt;INDEX(_xlfn.ANCHORARRAY(Sintesi!$C$16),1,$C287))*(INDEX(_xlfn.ANCHORARRAY(Sintesi!$C$15),1,$C287)&lt;0)+($E287&gt;=LOOKUP(2,1/($E:$E&lt;&gt;""),$E:$E))*($E287&lt;=$E288)*($E287&gt;INDEX(_xlfn.ANCHORARRAY(Sintesi!$C$15),1,$C287))*($E287&lt;INDEX(_xlfn.ANCHORARRAY(Sintesi!$C$16),1,$C287))*(INDEX(_xlfn.ANCHORARRAY(Sintesi!$C$15),1,$C287)&gt;0),2,IF($E287=(INDEX(_xlfn.ANCHORARRAY(Sintesi!$C$16),1,$C287)),3,4)))),0)))</f>
        <v>0</v>
      </c>
      <c r="E287" s="1">
        <f>'Paste cell here'!F287</f>
        <v>0</v>
      </c>
      <c r="F287" s="1">
        <f>'Paste cell here'!C287</f>
        <v>19.456605029999999</v>
      </c>
      <c r="G287" s="1">
        <f>'Paste cell here'!D287</f>
        <v>6.5152845680000002</v>
      </c>
      <c r="H287" s="1">
        <f>'Paste cell here'!E287</f>
        <v>1.775404939</v>
      </c>
      <c r="I287" s="1">
        <f>'Paste cell here'!X287</f>
        <v>0</v>
      </c>
      <c r="J287" s="1">
        <f>'Paste cell here'!Y287+'Paste cell here'!S287</f>
        <v>0</v>
      </c>
      <c r="K287" s="1">
        <f t="shared" si="9"/>
        <v>0</v>
      </c>
      <c r="L287" s="1">
        <f t="shared" si="8"/>
        <v>14.764340624750806</v>
      </c>
      <c r="M287" s="1" cm="1">
        <f t="array" ref="M287">IF(AND(A287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,A287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),IF(L287&lt;_xlfn.IFNA(INDEX(_xlfn.ANCHORARRAY(Sintesi!$C$17)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,1,IF(L287&gt;=_xlfn.IFNA(INDEX(_xlfn.ANCHORARRAY(Sintesi!$C$18)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,0,1-(L287-_xlfn.IFNA(INDEX(_xlfn.ANCHORARRAY(Sintesi!$C$17)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)/(_xlfn.IFNA(INDEX(_xlfn.ANCHORARRAY(Sintesi!$C$18)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-_xlfn.IFNA(INDEX(_xlfn.ANCHORARRAY(Sintesi!$C$17),1,MATCH(1,(_xlfn.ANCHORARRAY(Sintesi!$C$9)&gt;_xlfn.ANCHORARRAY(Sintesi!$C$10))*(A286&gt;=_xlfn.ANCHORARRAY(Sintesi!$C$9))+(_xlfn.ANCHORARRAY(Sintesi!$C$9)&gt;_xlfn.ANCHORARRAY(Sintesi!$C$10))*(A286&lt;=_xlfn.ANCHORARRAY(Sintesi!$C$10))+(_xlfn.ANCHORARRAY(Sintesi!$C$9)&lt;_xlfn.ANCHORARRAY(Sintesi!$C$10))*(A286&gt;=_xlfn.ANCHORARRAY(Sintesi!$C$9))*(A286&lt;=_xlfn.ANCHORARRAY(Sintesi!$C$10)),0)),0)))),0)</f>
        <v>0</v>
      </c>
    </row>
    <row r="288" spans="1:13">
      <c r="A288" s="1">
        <f>'Paste cell here'!A288</f>
        <v>287</v>
      </c>
      <c r="B288" s="2">
        <f>DATE(Sintesi!$C$4-1,12,31)+A288</f>
        <v>44483</v>
      </c>
      <c r="C288" s="34" cm="1">
        <f t="array" ref="C288">_xlfn.IFNA(MATCH(1,(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)*(_xlfn.ANCHORARRAY(Sintesi!$C$15)&gt;=0)+(_xlfn.ANCHORARRAY(Sintesi!$C$15)&lt;0),0),0)</f>
        <v>0</v>
      </c>
      <c r="D288" s="1" cm="1">
        <f t="array" ref="D288">IF(ISBLANK($E289),IF(ISNUMBER($E287),IF($C288&gt;0,IF(($E288=INDEX(_xlfn.ANCHORARRAY(Sintesi!$C$14),1,$C288))*(INDEX(_xlfn.ANCHORARRAY(Sintesi!$C$15),1,$C288)&gt;0),0,IF(($E288=INDEX(_xlfn.ANCHORARRAY(Sintesi!$C$14),1,$C288))*(INDEX(_xlfn.ANCHORARRAY(Sintesi!$C$15),1,$C288)&lt;0)+($E288&gt;=$E287)*($E288&lt;=INDEX($E:$E,MATCH(TRUE,INDEX((ISNUMBER($E:$E)),0),0)))*($E288&gt;INDEX(_xlfn.ANCHORARRAY(Sintesi!$C$14),1,$C288))*($E288&lt;=INDEX(_xlfn.ANCHORARRAY(Sintesi!$C$15),1,$C288))*(INDEX(_xlfn.ANCHORARRAY(Sintesi!$C$15),1,$C288)&gt;0),1,IF(($E288&gt;=$E287)*($E288&lt;=INDEX($E:$E,MATCH(TRUE,INDEX((ISNUMBER($E:$E)),0),0)))*($E288&gt;INDEX(_xlfn.ANCHORARRAY(Sintesi!$C$14),1,$C288))*($E288&lt;INDEX(_xlfn.ANCHORARRAY(Sintesi!$C$16),1,$C288))*(INDEX(_xlfn.ANCHORARRAY(Sintesi!$C$15),1,$C288)&lt;0)+($E288&gt;=$E287)*($E288&lt;=INDEX($E:$E,MATCH(TRUE,INDEX((ISNUMBER($E:$E)),0),0)))*($E288&gt;INDEX(_xlfn.ANCHORARRAY(Sintesi!$C$15),1,$C288))*($E288&lt;INDEX(_xlfn.ANCHORARRAY(Sintesi!$C$16),1,$C288))*(INDEX(_xlfn.ANCHORARRAY(Sintesi!$C$15),1,$C288)&gt;0),2,IF($E288=(INDEX(_xlfn.ANCHORARRAY(Sintesi!$C$16),1,$C288)),3,4)))),0),IF($C288&gt;0,IF(($E288=INDEX(_xlfn.ANCHORARRAY(Sintesi!$C$14),1,$C288))*(INDEX(_xlfn.ANCHORARRAY(Sintesi!$C$15),1,$C288)&gt;0),0,IF(($E288=INDEX(_xlfn.ANCHORARRAY(Sintesi!$C$14),1,$C288))*(INDEX(_xlfn.ANCHORARRAY(Sintesi!$C$15),1,$C288)&lt;0)+($E288&gt;=LOOKUP(2,1/($E:$E&lt;&gt;""),$E:$E))*($E288&lt;=INDEX($E:$E,MATCH(TRUE,INDEX((ISNUMBER($E:$E)),0),0)))*($E288&gt;INDEX(_xlfn.ANCHORARRAY(Sintesi!$C$14),1,$C288))*($E288&lt;=INDEX(_xlfn.ANCHORARRAY(Sintesi!$C$15),1,$C288))*(INDEX(_xlfn.ANCHORARRAY(Sintesi!$C$15),1,$C288)&gt;0),1,IF(($E288&gt;=LOOKUP(2,1/($E:$E&lt;&gt;""),$E:$E))*($E288&lt;=INDEX($E:$E,MATCH(TRUE,INDEX((ISNUMBER($E:$E)),0),0)))*($E288&gt;INDEX(_xlfn.ANCHORARRAY(Sintesi!$C$14),1,$C288))*($E288&lt;INDEX(_xlfn.ANCHORARRAY(Sintesi!$C$16),1,$C288))*(INDEX(_xlfn.ANCHORARRAY(Sintesi!$C$15),1,$C288)&lt;0)+($E288&gt;=LOOKUP(2,1/($E:$E&lt;&gt;""),$E:$E))*($E288&lt;=INDEX($E:$E,MATCH(TRUE,INDEX((ISNUMBER($E:$E)),0),0)))*($E288&gt;INDEX(_xlfn.ANCHORARRAY(Sintesi!$C$15),1,$C288))*($E288&lt;INDEX(_xlfn.ANCHORARRAY(Sintesi!$C$16),1,$C288))*(INDEX(_xlfn.ANCHORARRAY(Sintesi!$C$15),1,$C288)&gt;0),2,IF($E288=(INDEX(_xlfn.ANCHORARRAY(Sintesi!$C$16),1,$C288)),3,4)))),0)),IF(ISNUMBER($E287),IF($C288&gt;0,IF(($E288=INDEX(_xlfn.ANCHORARRAY(Sintesi!$C$14),1,$C288))*(INDEX(_xlfn.ANCHORARRAY(Sintesi!$C$15),1,$C288)&gt;0),0,IF(($E288=INDEX(_xlfn.ANCHORARRAY(Sintesi!$C$14),1,$C288))*(INDEX(_xlfn.ANCHORARRAY(Sintesi!$C$15),1,$C288)&lt;0)+($E288&gt;=$E287)*($E288&lt;=$E289)*($E288&gt;INDEX(_xlfn.ANCHORARRAY(Sintesi!$C$14),1,$C288))*($E288&lt;=INDEX(_xlfn.ANCHORARRAY(Sintesi!$C$15),1,$C288))*(INDEX(_xlfn.ANCHORARRAY(Sintesi!$C$15),1,$C288)&gt;0),1,IF(($E288&gt;=$E287)*($E288&lt;=$E289)*($E288&gt;INDEX(_xlfn.ANCHORARRAY(Sintesi!$C$14),1,$C288))*($E288&lt;INDEX(_xlfn.ANCHORARRAY(Sintesi!$C$16),1,$C288))*(INDEX(_xlfn.ANCHORARRAY(Sintesi!$C$15),1,$C288)&lt;0)+($E288&gt;=$E287)*($E288&lt;=$E289)*($E288&gt;INDEX(_xlfn.ANCHORARRAY(Sintesi!$C$15),1,$C288))*($E288&lt;INDEX(_xlfn.ANCHORARRAY(Sintesi!$C$16),1,$C288))*(INDEX(_xlfn.ANCHORARRAY(Sintesi!$C$15),1,$C288)&gt;0),2,IF($E288=(INDEX(_xlfn.ANCHORARRAY(Sintesi!$C$16),1,$C288)),3,4)))),0),IF($C288&gt;0,IF(($E288=INDEX(_xlfn.ANCHORARRAY(Sintesi!$C$14),1,$C288))*(INDEX(_xlfn.ANCHORARRAY(Sintesi!$C$15),1,$C288)&gt;0),0,IF(($E288=INDEX(_xlfn.ANCHORARRAY(Sintesi!$C$14),1,$C288))*(INDEX(_xlfn.ANCHORARRAY(Sintesi!$C$15),1,$C288)&lt;0)+($E288&gt;=LOOKUP(2,1/($E:$E&lt;&gt;""),$E:$E))*($E288&lt;=$E289)*($E288&gt;INDEX(_xlfn.ANCHORARRAY(Sintesi!$C$14),1,$C288))*($E288&lt;=INDEX(_xlfn.ANCHORARRAY(Sintesi!$C$15),1,$C288))*(INDEX(_xlfn.ANCHORARRAY(Sintesi!$C$15),1,$C288)&gt;0),1,IF(($E288&gt;=LOOKUP(2,1/($E:$E&lt;&gt;""),$E:$E))*($E288&lt;=$E289)*($E288&gt;INDEX(_xlfn.ANCHORARRAY(Sintesi!$C$14),1,$C288))*($E288&lt;INDEX(_xlfn.ANCHORARRAY(Sintesi!$C$16),1,$C288))*(INDEX(_xlfn.ANCHORARRAY(Sintesi!$C$15),1,$C288)&lt;0)+($E288&gt;=LOOKUP(2,1/($E:$E&lt;&gt;""),$E:$E))*($E288&lt;=$E289)*($E288&gt;INDEX(_xlfn.ANCHORARRAY(Sintesi!$C$15),1,$C288))*($E288&lt;INDEX(_xlfn.ANCHORARRAY(Sintesi!$C$16),1,$C288))*(INDEX(_xlfn.ANCHORARRAY(Sintesi!$C$15),1,$C288)&gt;0),2,IF($E288=(INDEX(_xlfn.ANCHORARRAY(Sintesi!$C$16),1,$C288)),3,4)))),0)))</f>
        <v>0</v>
      </c>
      <c r="E288" s="1">
        <f>'Paste cell here'!F288</f>
        <v>0</v>
      </c>
      <c r="F288" s="1">
        <f>'Paste cell here'!C288</f>
        <v>17.964055200000001</v>
      </c>
      <c r="G288" s="1">
        <f>'Paste cell here'!D288</f>
        <v>6.472015667</v>
      </c>
      <c r="H288" s="1">
        <f>'Paste cell here'!E288</f>
        <v>1.737571363</v>
      </c>
      <c r="I288" s="1">
        <f>'Paste cell here'!X288</f>
        <v>0</v>
      </c>
      <c r="J288" s="1">
        <f>'Paste cell here'!Y288+'Paste cell here'!S288</f>
        <v>0</v>
      </c>
      <c r="K288" s="1">
        <f t="shared" si="9"/>
        <v>0</v>
      </c>
      <c r="L288" s="1">
        <f t="shared" si="8"/>
        <v>13.797271122382091</v>
      </c>
      <c r="M288" s="1" cm="1">
        <f t="array" ref="M288">IF(AND(A288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,A288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),IF(L288&lt;_xlfn.IFNA(INDEX(_xlfn.ANCHORARRAY(Sintesi!$C$17)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,1,IF(L288&gt;=_xlfn.IFNA(INDEX(_xlfn.ANCHORARRAY(Sintesi!$C$18)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,0,1-(L288-_xlfn.IFNA(INDEX(_xlfn.ANCHORARRAY(Sintesi!$C$17)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)/(_xlfn.IFNA(INDEX(_xlfn.ANCHORARRAY(Sintesi!$C$18)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-_xlfn.IFNA(INDEX(_xlfn.ANCHORARRAY(Sintesi!$C$17),1,MATCH(1,(_xlfn.ANCHORARRAY(Sintesi!$C$9)&gt;_xlfn.ANCHORARRAY(Sintesi!$C$10))*(A287&gt;=_xlfn.ANCHORARRAY(Sintesi!$C$9))+(_xlfn.ANCHORARRAY(Sintesi!$C$9)&gt;_xlfn.ANCHORARRAY(Sintesi!$C$10))*(A287&lt;=_xlfn.ANCHORARRAY(Sintesi!$C$10))+(_xlfn.ANCHORARRAY(Sintesi!$C$9)&lt;_xlfn.ANCHORARRAY(Sintesi!$C$10))*(A287&gt;=_xlfn.ANCHORARRAY(Sintesi!$C$9))*(A287&lt;=_xlfn.ANCHORARRAY(Sintesi!$C$10)),0)),0)))),0)</f>
        <v>0</v>
      </c>
    </row>
    <row r="289" spans="1:13">
      <c r="A289" s="1">
        <f>'Paste cell here'!A289</f>
        <v>288</v>
      </c>
      <c r="B289" s="2">
        <f>DATE(Sintesi!$C$4-1,12,31)+A289</f>
        <v>44484</v>
      </c>
      <c r="C289" s="34" cm="1">
        <f t="array" ref="C289">_xlfn.IFNA(MATCH(1,(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)*(_xlfn.ANCHORARRAY(Sintesi!$C$15)&gt;=0)+(_xlfn.ANCHORARRAY(Sintesi!$C$15)&lt;0),0),0)</f>
        <v>0</v>
      </c>
      <c r="D289" s="1" cm="1">
        <f t="array" ref="D289">IF(ISBLANK($E290),IF(ISNUMBER($E288),IF($C289&gt;0,IF(($E289=INDEX(_xlfn.ANCHORARRAY(Sintesi!$C$14),1,$C289))*(INDEX(_xlfn.ANCHORARRAY(Sintesi!$C$15),1,$C289)&gt;0),0,IF(($E289=INDEX(_xlfn.ANCHORARRAY(Sintesi!$C$14),1,$C289))*(INDEX(_xlfn.ANCHORARRAY(Sintesi!$C$15),1,$C289)&lt;0)+($E289&gt;=$E288)*($E289&lt;=INDEX($E:$E,MATCH(TRUE,INDEX((ISNUMBER($E:$E)),0),0)))*($E289&gt;INDEX(_xlfn.ANCHORARRAY(Sintesi!$C$14),1,$C289))*($E289&lt;=INDEX(_xlfn.ANCHORARRAY(Sintesi!$C$15),1,$C289))*(INDEX(_xlfn.ANCHORARRAY(Sintesi!$C$15),1,$C289)&gt;0),1,IF(($E289&gt;=$E288)*($E289&lt;=INDEX($E:$E,MATCH(TRUE,INDEX((ISNUMBER($E:$E)),0),0)))*($E289&gt;INDEX(_xlfn.ANCHORARRAY(Sintesi!$C$14),1,$C289))*($E289&lt;INDEX(_xlfn.ANCHORARRAY(Sintesi!$C$16),1,$C289))*(INDEX(_xlfn.ANCHORARRAY(Sintesi!$C$15),1,$C289)&lt;0)+($E289&gt;=$E288)*($E289&lt;=INDEX($E:$E,MATCH(TRUE,INDEX((ISNUMBER($E:$E)),0),0)))*($E289&gt;INDEX(_xlfn.ANCHORARRAY(Sintesi!$C$15),1,$C289))*($E289&lt;INDEX(_xlfn.ANCHORARRAY(Sintesi!$C$16),1,$C289))*(INDEX(_xlfn.ANCHORARRAY(Sintesi!$C$15),1,$C289)&gt;0),2,IF($E289=(INDEX(_xlfn.ANCHORARRAY(Sintesi!$C$16),1,$C289)),3,4)))),0),IF($C289&gt;0,IF(($E289=INDEX(_xlfn.ANCHORARRAY(Sintesi!$C$14),1,$C289))*(INDEX(_xlfn.ANCHORARRAY(Sintesi!$C$15),1,$C289)&gt;0),0,IF(($E289=INDEX(_xlfn.ANCHORARRAY(Sintesi!$C$14),1,$C289))*(INDEX(_xlfn.ANCHORARRAY(Sintesi!$C$15),1,$C289)&lt;0)+($E289&gt;=LOOKUP(2,1/($E:$E&lt;&gt;""),$E:$E))*($E289&lt;=INDEX($E:$E,MATCH(TRUE,INDEX((ISNUMBER($E:$E)),0),0)))*($E289&gt;INDEX(_xlfn.ANCHORARRAY(Sintesi!$C$14),1,$C289))*($E289&lt;=INDEX(_xlfn.ANCHORARRAY(Sintesi!$C$15),1,$C289))*(INDEX(_xlfn.ANCHORARRAY(Sintesi!$C$15),1,$C289)&gt;0),1,IF(($E289&gt;=LOOKUP(2,1/($E:$E&lt;&gt;""),$E:$E))*($E289&lt;=INDEX($E:$E,MATCH(TRUE,INDEX((ISNUMBER($E:$E)),0),0)))*($E289&gt;INDEX(_xlfn.ANCHORARRAY(Sintesi!$C$14),1,$C289))*($E289&lt;INDEX(_xlfn.ANCHORARRAY(Sintesi!$C$16),1,$C289))*(INDEX(_xlfn.ANCHORARRAY(Sintesi!$C$15),1,$C289)&lt;0)+($E289&gt;=LOOKUP(2,1/($E:$E&lt;&gt;""),$E:$E))*($E289&lt;=INDEX($E:$E,MATCH(TRUE,INDEX((ISNUMBER($E:$E)),0),0)))*($E289&gt;INDEX(_xlfn.ANCHORARRAY(Sintesi!$C$15),1,$C289))*($E289&lt;INDEX(_xlfn.ANCHORARRAY(Sintesi!$C$16),1,$C289))*(INDEX(_xlfn.ANCHORARRAY(Sintesi!$C$15),1,$C289)&gt;0),2,IF($E289=(INDEX(_xlfn.ANCHORARRAY(Sintesi!$C$16),1,$C289)),3,4)))),0)),IF(ISNUMBER($E288),IF($C289&gt;0,IF(($E289=INDEX(_xlfn.ANCHORARRAY(Sintesi!$C$14),1,$C289))*(INDEX(_xlfn.ANCHORARRAY(Sintesi!$C$15),1,$C289)&gt;0),0,IF(($E289=INDEX(_xlfn.ANCHORARRAY(Sintesi!$C$14),1,$C289))*(INDEX(_xlfn.ANCHORARRAY(Sintesi!$C$15),1,$C289)&lt;0)+($E289&gt;=$E288)*($E289&lt;=$E290)*($E289&gt;INDEX(_xlfn.ANCHORARRAY(Sintesi!$C$14),1,$C289))*($E289&lt;=INDEX(_xlfn.ANCHORARRAY(Sintesi!$C$15),1,$C289))*(INDEX(_xlfn.ANCHORARRAY(Sintesi!$C$15),1,$C289)&gt;0),1,IF(($E289&gt;=$E288)*($E289&lt;=$E290)*($E289&gt;INDEX(_xlfn.ANCHORARRAY(Sintesi!$C$14),1,$C289))*($E289&lt;INDEX(_xlfn.ANCHORARRAY(Sintesi!$C$16),1,$C289))*(INDEX(_xlfn.ANCHORARRAY(Sintesi!$C$15),1,$C289)&lt;0)+($E289&gt;=$E288)*($E289&lt;=$E290)*($E289&gt;INDEX(_xlfn.ANCHORARRAY(Sintesi!$C$15),1,$C289))*($E289&lt;INDEX(_xlfn.ANCHORARRAY(Sintesi!$C$16),1,$C289))*(INDEX(_xlfn.ANCHORARRAY(Sintesi!$C$15),1,$C289)&gt;0),2,IF($E289=(INDEX(_xlfn.ANCHORARRAY(Sintesi!$C$16),1,$C289)),3,4)))),0),IF($C289&gt;0,IF(($E289=INDEX(_xlfn.ANCHORARRAY(Sintesi!$C$14),1,$C289))*(INDEX(_xlfn.ANCHORARRAY(Sintesi!$C$15),1,$C289)&gt;0),0,IF(($E289=INDEX(_xlfn.ANCHORARRAY(Sintesi!$C$14),1,$C289))*(INDEX(_xlfn.ANCHORARRAY(Sintesi!$C$15),1,$C289)&lt;0)+($E289&gt;=LOOKUP(2,1/($E:$E&lt;&gt;""),$E:$E))*($E289&lt;=$E290)*($E289&gt;INDEX(_xlfn.ANCHORARRAY(Sintesi!$C$14),1,$C289))*($E289&lt;=INDEX(_xlfn.ANCHORARRAY(Sintesi!$C$15),1,$C289))*(INDEX(_xlfn.ANCHORARRAY(Sintesi!$C$15),1,$C289)&gt;0),1,IF(($E289&gt;=LOOKUP(2,1/($E:$E&lt;&gt;""),$E:$E))*($E289&lt;=$E290)*($E289&gt;INDEX(_xlfn.ANCHORARRAY(Sintesi!$C$14),1,$C289))*($E289&lt;INDEX(_xlfn.ANCHORARRAY(Sintesi!$C$16),1,$C289))*(INDEX(_xlfn.ANCHORARRAY(Sintesi!$C$15),1,$C289)&lt;0)+($E289&gt;=LOOKUP(2,1/($E:$E&lt;&gt;""),$E:$E))*($E289&lt;=$E290)*($E289&gt;INDEX(_xlfn.ANCHORARRAY(Sintesi!$C$15),1,$C289))*($E289&lt;INDEX(_xlfn.ANCHORARRAY(Sintesi!$C$16),1,$C289))*(INDEX(_xlfn.ANCHORARRAY(Sintesi!$C$15),1,$C289)&gt;0),2,IF($E289=(INDEX(_xlfn.ANCHORARRAY(Sintesi!$C$16),1,$C289)),3,4)))),0)))</f>
        <v>0</v>
      </c>
      <c r="E289" s="1">
        <f>'Paste cell here'!F289</f>
        <v>0</v>
      </c>
      <c r="F289" s="1">
        <f>'Paste cell here'!C289</f>
        <v>18.55660503</v>
      </c>
      <c r="G289" s="1">
        <f>'Paste cell here'!D289</f>
        <v>4.4332650730000003</v>
      </c>
      <c r="H289" s="1">
        <f>'Paste cell here'!E289</f>
        <v>1.564694402</v>
      </c>
      <c r="I289" s="1">
        <f>'Paste cell here'!X289</f>
        <v>0</v>
      </c>
      <c r="J289" s="1">
        <f>'Paste cell here'!Y289+'Paste cell here'!S289</f>
        <v>0</v>
      </c>
      <c r="K289" s="1">
        <f t="shared" si="9"/>
        <v>0</v>
      </c>
      <c r="L289" s="1">
        <f t="shared" si="8"/>
        <v>13.435763956783655</v>
      </c>
      <c r="M289" s="1" cm="1">
        <f t="array" ref="M289">IF(AND(A289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,A289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),IF(L289&lt;_xlfn.IFNA(INDEX(_xlfn.ANCHORARRAY(Sintesi!$C$17)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,1,IF(L289&gt;=_xlfn.IFNA(INDEX(_xlfn.ANCHORARRAY(Sintesi!$C$18)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,0,1-(L289-_xlfn.IFNA(INDEX(_xlfn.ANCHORARRAY(Sintesi!$C$17)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)/(_xlfn.IFNA(INDEX(_xlfn.ANCHORARRAY(Sintesi!$C$18)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-_xlfn.IFNA(INDEX(_xlfn.ANCHORARRAY(Sintesi!$C$17),1,MATCH(1,(_xlfn.ANCHORARRAY(Sintesi!$C$9)&gt;_xlfn.ANCHORARRAY(Sintesi!$C$10))*(A288&gt;=_xlfn.ANCHORARRAY(Sintesi!$C$9))+(_xlfn.ANCHORARRAY(Sintesi!$C$9)&gt;_xlfn.ANCHORARRAY(Sintesi!$C$10))*(A288&lt;=_xlfn.ANCHORARRAY(Sintesi!$C$10))+(_xlfn.ANCHORARRAY(Sintesi!$C$9)&lt;_xlfn.ANCHORARRAY(Sintesi!$C$10))*(A288&gt;=_xlfn.ANCHORARRAY(Sintesi!$C$9))*(A288&lt;=_xlfn.ANCHORARRAY(Sintesi!$C$10)),0)),0)))),0)</f>
        <v>0</v>
      </c>
    </row>
    <row r="290" spans="1:13">
      <c r="A290" s="1">
        <f>'Paste cell here'!A290</f>
        <v>289</v>
      </c>
      <c r="B290" s="2">
        <f>DATE(Sintesi!$C$4-1,12,31)+A290</f>
        <v>44485</v>
      </c>
      <c r="C290" s="34" cm="1">
        <f t="array" ref="C290">_xlfn.IFNA(MATCH(1,(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)*(_xlfn.ANCHORARRAY(Sintesi!$C$15)&gt;=0)+(_xlfn.ANCHORARRAY(Sintesi!$C$15)&lt;0),0),0)</f>
        <v>0</v>
      </c>
      <c r="D290" s="1" cm="1">
        <f t="array" ref="D290">IF(ISBLANK($E291),IF(ISNUMBER($E289),IF($C290&gt;0,IF(($E290=INDEX(_xlfn.ANCHORARRAY(Sintesi!$C$14),1,$C290))*(INDEX(_xlfn.ANCHORARRAY(Sintesi!$C$15),1,$C290)&gt;0),0,IF(($E290=INDEX(_xlfn.ANCHORARRAY(Sintesi!$C$14),1,$C290))*(INDEX(_xlfn.ANCHORARRAY(Sintesi!$C$15),1,$C290)&lt;0)+($E290&gt;=$E289)*($E290&lt;=INDEX($E:$E,MATCH(TRUE,INDEX((ISNUMBER($E:$E)),0),0)))*($E290&gt;INDEX(_xlfn.ANCHORARRAY(Sintesi!$C$14),1,$C290))*($E290&lt;=INDEX(_xlfn.ANCHORARRAY(Sintesi!$C$15),1,$C290))*(INDEX(_xlfn.ANCHORARRAY(Sintesi!$C$15),1,$C290)&gt;0),1,IF(($E290&gt;=$E289)*($E290&lt;=INDEX($E:$E,MATCH(TRUE,INDEX((ISNUMBER($E:$E)),0),0)))*($E290&gt;INDEX(_xlfn.ANCHORARRAY(Sintesi!$C$14),1,$C290))*($E290&lt;INDEX(_xlfn.ANCHORARRAY(Sintesi!$C$16),1,$C290))*(INDEX(_xlfn.ANCHORARRAY(Sintesi!$C$15),1,$C290)&lt;0)+($E290&gt;=$E289)*($E290&lt;=INDEX($E:$E,MATCH(TRUE,INDEX((ISNUMBER($E:$E)),0),0)))*($E290&gt;INDEX(_xlfn.ANCHORARRAY(Sintesi!$C$15),1,$C290))*($E290&lt;INDEX(_xlfn.ANCHORARRAY(Sintesi!$C$16),1,$C290))*(INDEX(_xlfn.ANCHORARRAY(Sintesi!$C$15),1,$C290)&gt;0),2,IF($E290=(INDEX(_xlfn.ANCHORARRAY(Sintesi!$C$16),1,$C290)),3,4)))),0),IF($C290&gt;0,IF(($E290=INDEX(_xlfn.ANCHORARRAY(Sintesi!$C$14),1,$C290))*(INDEX(_xlfn.ANCHORARRAY(Sintesi!$C$15),1,$C290)&gt;0),0,IF(($E290=INDEX(_xlfn.ANCHORARRAY(Sintesi!$C$14),1,$C290))*(INDEX(_xlfn.ANCHORARRAY(Sintesi!$C$15),1,$C290)&lt;0)+($E290&gt;=LOOKUP(2,1/($E:$E&lt;&gt;""),$E:$E))*($E290&lt;=INDEX($E:$E,MATCH(TRUE,INDEX((ISNUMBER($E:$E)),0),0)))*($E290&gt;INDEX(_xlfn.ANCHORARRAY(Sintesi!$C$14),1,$C290))*($E290&lt;=INDEX(_xlfn.ANCHORARRAY(Sintesi!$C$15),1,$C290))*(INDEX(_xlfn.ANCHORARRAY(Sintesi!$C$15),1,$C290)&gt;0),1,IF(($E290&gt;=LOOKUP(2,1/($E:$E&lt;&gt;""),$E:$E))*($E290&lt;=INDEX($E:$E,MATCH(TRUE,INDEX((ISNUMBER($E:$E)),0),0)))*($E290&gt;INDEX(_xlfn.ANCHORARRAY(Sintesi!$C$14),1,$C290))*($E290&lt;INDEX(_xlfn.ANCHORARRAY(Sintesi!$C$16),1,$C290))*(INDEX(_xlfn.ANCHORARRAY(Sintesi!$C$15),1,$C290)&lt;0)+($E290&gt;=LOOKUP(2,1/($E:$E&lt;&gt;""),$E:$E))*($E290&lt;=INDEX($E:$E,MATCH(TRUE,INDEX((ISNUMBER($E:$E)),0),0)))*($E290&gt;INDEX(_xlfn.ANCHORARRAY(Sintesi!$C$15),1,$C290))*($E290&lt;INDEX(_xlfn.ANCHORARRAY(Sintesi!$C$16),1,$C290))*(INDEX(_xlfn.ANCHORARRAY(Sintesi!$C$15),1,$C290)&gt;0),2,IF($E290=(INDEX(_xlfn.ANCHORARRAY(Sintesi!$C$16),1,$C290)),3,4)))),0)),IF(ISNUMBER($E289),IF($C290&gt;0,IF(($E290=INDEX(_xlfn.ANCHORARRAY(Sintesi!$C$14),1,$C290))*(INDEX(_xlfn.ANCHORARRAY(Sintesi!$C$15),1,$C290)&gt;0),0,IF(($E290=INDEX(_xlfn.ANCHORARRAY(Sintesi!$C$14),1,$C290))*(INDEX(_xlfn.ANCHORARRAY(Sintesi!$C$15),1,$C290)&lt;0)+($E290&gt;=$E289)*($E290&lt;=$E291)*($E290&gt;INDEX(_xlfn.ANCHORARRAY(Sintesi!$C$14),1,$C290))*($E290&lt;=INDEX(_xlfn.ANCHORARRAY(Sintesi!$C$15),1,$C290))*(INDEX(_xlfn.ANCHORARRAY(Sintesi!$C$15),1,$C290)&gt;0),1,IF(($E290&gt;=$E289)*($E290&lt;=$E291)*($E290&gt;INDEX(_xlfn.ANCHORARRAY(Sintesi!$C$14),1,$C290))*($E290&lt;INDEX(_xlfn.ANCHORARRAY(Sintesi!$C$16),1,$C290))*(INDEX(_xlfn.ANCHORARRAY(Sintesi!$C$15),1,$C290)&lt;0)+($E290&gt;=$E289)*($E290&lt;=$E291)*($E290&gt;INDEX(_xlfn.ANCHORARRAY(Sintesi!$C$15),1,$C290))*($E290&lt;INDEX(_xlfn.ANCHORARRAY(Sintesi!$C$16),1,$C290))*(INDEX(_xlfn.ANCHORARRAY(Sintesi!$C$15),1,$C290)&gt;0),2,IF($E290=(INDEX(_xlfn.ANCHORARRAY(Sintesi!$C$16),1,$C290)),3,4)))),0),IF($C290&gt;0,IF(($E290=INDEX(_xlfn.ANCHORARRAY(Sintesi!$C$14),1,$C290))*(INDEX(_xlfn.ANCHORARRAY(Sintesi!$C$15),1,$C290)&gt;0),0,IF(($E290=INDEX(_xlfn.ANCHORARRAY(Sintesi!$C$14),1,$C290))*(INDEX(_xlfn.ANCHORARRAY(Sintesi!$C$15),1,$C290)&lt;0)+($E290&gt;=LOOKUP(2,1/($E:$E&lt;&gt;""),$E:$E))*($E290&lt;=$E291)*($E290&gt;INDEX(_xlfn.ANCHORARRAY(Sintesi!$C$14),1,$C290))*($E290&lt;=INDEX(_xlfn.ANCHORARRAY(Sintesi!$C$15),1,$C290))*(INDEX(_xlfn.ANCHORARRAY(Sintesi!$C$15),1,$C290)&gt;0),1,IF(($E290&gt;=LOOKUP(2,1/($E:$E&lt;&gt;""),$E:$E))*($E290&lt;=$E291)*($E290&gt;INDEX(_xlfn.ANCHORARRAY(Sintesi!$C$14),1,$C290))*($E290&lt;INDEX(_xlfn.ANCHORARRAY(Sintesi!$C$16),1,$C290))*(INDEX(_xlfn.ANCHORARRAY(Sintesi!$C$15),1,$C290)&lt;0)+($E290&gt;=LOOKUP(2,1/($E:$E&lt;&gt;""),$E:$E))*($E290&lt;=$E291)*($E290&gt;INDEX(_xlfn.ANCHORARRAY(Sintesi!$C$15),1,$C290))*($E290&lt;INDEX(_xlfn.ANCHORARRAY(Sintesi!$C$16),1,$C290))*(INDEX(_xlfn.ANCHORARRAY(Sintesi!$C$15),1,$C290)&gt;0),2,IF($E290=(INDEX(_xlfn.ANCHORARRAY(Sintesi!$C$16),1,$C290)),3,4)))),0)))</f>
        <v>0</v>
      </c>
      <c r="E290" s="1">
        <f>'Paste cell here'!F290</f>
        <v>0</v>
      </c>
      <c r="F290" s="1">
        <f>'Paste cell here'!C290</f>
        <v>19.87454387</v>
      </c>
      <c r="G290" s="1">
        <f>'Paste cell here'!D290</f>
        <v>4.3586795370000004</v>
      </c>
      <c r="H290" s="1">
        <f>'Paste cell here'!E290</f>
        <v>1.583634169</v>
      </c>
      <c r="I290" s="1">
        <f>'Paste cell here'!X290</f>
        <v>0</v>
      </c>
      <c r="J290" s="1">
        <f>'Paste cell here'!Y290+'Paste cell here'!S290</f>
        <v>0</v>
      </c>
      <c r="K290" s="1">
        <f t="shared" si="9"/>
        <v>0</v>
      </c>
      <c r="L290" s="1">
        <f t="shared" si="8"/>
        <v>14.248801262034329</v>
      </c>
      <c r="M290" s="1" cm="1">
        <f t="array" ref="M290">IF(AND(A290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,A290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),IF(L290&lt;_xlfn.IFNA(INDEX(_xlfn.ANCHORARRAY(Sintesi!$C$17)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,1,IF(L290&gt;=_xlfn.IFNA(INDEX(_xlfn.ANCHORARRAY(Sintesi!$C$18)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,0,1-(L290-_xlfn.IFNA(INDEX(_xlfn.ANCHORARRAY(Sintesi!$C$17)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)/(_xlfn.IFNA(INDEX(_xlfn.ANCHORARRAY(Sintesi!$C$18)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-_xlfn.IFNA(INDEX(_xlfn.ANCHORARRAY(Sintesi!$C$17),1,MATCH(1,(_xlfn.ANCHORARRAY(Sintesi!$C$9)&gt;_xlfn.ANCHORARRAY(Sintesi!$C$10))*(A289&gt;=_xlfn.ANCHORARRAY(Sintesi!$C$9))+(_xlfn.ANCHORARRAY(Sintesi!$C$9)&gt;_xlfn.ANCHORARRAY(Sintesi!$C$10))*(A289&lt;=_xlfn.ANCHORARRAY(Sintesi!$C$10))+(_xlfn.ANCHORARRAY(Sintesi!$C$9)&lt;_xlfn.ANCHORARRAY(Sintesi!$C$10))*(A289&gt;=_xlfn.ANCHORARRAY(Sintesi!$C$9))*(A289&lt;=_xlfn.ANCHORARRAY(Sintesi!$C$10)),0)),0)))),0)</f>
        <v>0</v>
      </c>
    </row>
    <row r="291" spans="1:13">
      <c r="A291" s="1">
        <f>'Paste cell here'!A291</f>
        <v>290</v>
      </c>
      <c r="B291" s="2">
        <f>DATE(Sintesi!$C$4-1,12,31)+A291</f>
        <v>44486</v>
      </c>
      <c r="C291" s="34" cm="1">
        <f t="array" ref="C291">_xlfn.IFNA(MATCH(1,(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)*(_xlfn.ANCHORARRAY(Sintesi!$C$15)&gt;=0)+(_xlfn.ANCHORARRAY(Sintesi!$C$15)&lt;0),0),0)</f>
        <v>0</v>
      </c>
      <c r="D291" s="1" cm="1">
        <f t="array" ref="D291">IF(ISBLANK($E292),IF(ISNUMBER($E290),IF($C291&gt;0,IF(($E291=INDEX(_xlfn.ANCHORARRAY(Sintesi!$C$14),1,$C291))*(INDEX(_xlfn.ANCHORARRAY(Sintesi!$C$15),1,$C291)&gt;0),0,IF(($E291=INDEX(_xlfn.ANCHORARRAY(Sintesi!$C$14),1,$C291))*(INDEX(_xlfn.ANCHORARRAY(Sintesi!$C$15),1,$C291)&lt;0)+($E291&gt;=$E290)*($E291&lt;=INDEX($E:$E,MATCH(TRUE,INDEX((ISNUMBER($E:$E)),0),0)))*($E291&gt;INDEX(_xlfn.ANCHORARRAY(Sintesi!$C$14),1,$C291))*($E291&lt;=INDEX(_xlfn.ANCHORARRAY(Sintesi!$C$15),1,$C291))*(INDEX(_xlfn.ANCHORARRAY(Sintesi!$C$15),1,$C291)&gt;0),1,IF(($E291&gt;=$E290)*($E291&lt;=INDEX($E:$E,MATCH(TRUE,INDEX((ISNUMBER($E:$E)),0),0)))*($E291&gt;INDEX(_xlfn.ANCHORARRAY(Sintesi!$C$14),1,$C291))*($E291&lt;INDEX(_xlfn.ANCHORARRAY(Sintesi!$C$16),1,$C291))*(INDEX(_xlfn.ANCHORARRAY(Sintesi!$C$15),1,$C291)&lt;0)+($E291&gt;=$E290)*($E291&lt;=INDEX($E:$E,MATCH(TRUE,INDEX((ISNUMBER($E:$E)),0),0)))*($E291&gt;INDEX(_xlfn.ANCHORARRAY(Sintesi!$C$15),1,$C291))*($E291&lt;INDEX(_xlfn.ANCHORARRAY(Sintesi!$C$16),1,$C291))*(INDEX(_xlfn.ANCHORARRAY(Sintesi!$C$15),1,$C291)&gt;0),2,IF($E291=(INDEX(_xlfn.ANCHORARRAY(Sintesi!$C$16),1,$C291)),3,4)))),0),IF($C291&gt;0,IF(($E291=INDEX(_xlfn.ANCHORARRAY(Sintesi!$C$14),1,$C291))*(INDEX(_xlfn.ANCHORARRAY(Sintesi!$C$15),1,$C291)&gt;0),0,IF(($E291=INDEX(_xlfn.ANCHORARRAY(Sintesi!$C$14),1,$C291))*(INDEX(_xlfn.ANCHORARRAY(Sintesi!$C$15),1,$C291)&lt;0)+($E291&gt;=LOOKUP(2,1/($E:$E&lt;&gt;""),$E:$E))*($E291&lt;=INDEX($E:$E,MATCH(TRUE,INDEX((ISNUMBER($E:$E)),0),0)))*($E291&gt;INDEX(_xlfn.ANCHORARRAY(Sintesi!$C$14),1,$C291))*($E291&lt;=INDEX(_xlfn.ANCHORARRAY(Sintesi!$C$15),1,$C291))*(INDEX(_xlfn.ANCHORARRAY(Sintesi!$C$15),1,$C291)&gt;0),1,IF(($E291&gt;=LOOKUP(2,1/($E:$E&lt;&gt;""),$E:$E))*($E291&lt;=INDEX($E:$E,MATCH(TRUE,INDEX((ISNUMBER($E:$E)),0),0)))*($E291&gt;INDEX(_xlfn.ANCHORARRAY(Sintesi!$C$14),1,$C291))*($E291&lt;INDEX(_xlfn.ANCHORARRAY(Sintesi!$C$16),1,$C291))*(INDEX(_xlfn.ANCHORARRAY(Sintesi!$C$15),1,$C291)&lt;0)+($E291&gt;=LOOKUP(2,1/($E:$E&lt;&gt;""),$E:$E))*($E291&lt;=INDEX($E:$E,MATCH(TRUE,INDEX((ISNUMBER($E:$E)),0),0)))*($E291&gt;INDEX(_xlfn.ANCHORARRAY(Sintesi!$C$15),1,$C291))*($E291&lt;INDEX(_xlfn.ANCHORARRAY(Sintesi!$C$16),1,$C291))*(INDEX(_xlfn.ANCHORARRAY(Sintesi!$C$15),1,$C291)&gt;0),2,IF($E291=(INDEX(_xlfn.ANCHORARRAY(Sintesi!$C$16),1,$C291)),3,4)))),0)),IF(ISNUMBER($E290),IF($C291&gt;0,IF(($E291=INDEX(_xlfn.ANCHORARRAY(Sintesi!$C$14),1,$C291))*(INDEX(_xlfn.ANCHORARRAY(Sintesi!$C$15),1,$C291)&gt;0),0,IF(($E291=INDEX(_xlfn.ANCHORARRAY(Sintesi!$C$14),1,$C291))*(INDEX(_xlfn.ANCHORARRAY(Sintesi!$C$15),1,$C291)&lt;0)+($E291&gt;=$E290)*($E291&lt;=$E292)*($E291&gt;INDEX(_xlfn.ANCHORARRAY(Sintesi!$C$14),1,$C291))*($E291&lt;=INDEX(_xlfn.ANCHORARRAY(Sintesi!$C$15),1,$C291))*(INDEX(_xlfn.ANCHORARRAY(Sintesi!$C$15),1,$C291)&gt;0),1,IF(($E291&gt;=$E290)*($E291&lt;=$E292)*($E291&gt;INDEX(_xlfn.ANCHORARRAY(Sintesi!$C$14),1,$C291))*($E291&lt;INDEX(_xlfn.ANCHORARRAY(Sintesi!$C$16),1,$C291))*(INDEX(_xlfn.ANCHORARRAY(Sintesi!$C$15),1,$C291)&lt;0)+($E291&gt;=$E290)*($E291&lt;=$E292)*($E291&gt;INDEX(_xlfn.ANCHORARRAY(Sintesi!$C$15),1,$C291))*($E291&lt;INDEX(_xlfn.ANCHORARRAY(Sintesi!$C$16),1,$C291))*(INDEX(_xlfn.ANCHORARRAY(Sintesi!$C$15),1,$C291)&gt;0),2,IF($E291=(INDEX(_xlfn.ANCHORARRAY(Sintesi!$C$16),1,$C291)),3,4)))),0),IF($C291&gt;0,IF(($E291=INDEX(_xlfn.ANCHORARRAY(Sintesi!$C$14),1,$C291))*(INDEX(_xlfn.ANCHORARRAY(Sintesi!$C$15),1,$C291)&gt;0),0,IF(($E291=INDEX(_xlfn.ANCHORARRAY(Sintesi!$C$14),1,$C291))*(INDEX(_xlfn.ANCHORARRAY(Sintesi!$C$15),1,$C291)&lt;0)+($E291&gt;=LOOKUP(2,1/($E:$E&lt;&gt;""),$E:$E))*($E291&lt;=$E292)*($E291&gt;INDEX(_xlfn.ANCHORARRAY(Sintesi!$C$14),1,$C291))*($E291&lt;=INDEX(_xlfn.ANCHORARRAY(Sintesi!$C$15),1,$C291))*(INDEX(_xlfn.ANCHORARRAY(Sintesi!$C$15),1,$C291)&gt;0),1,IF(($E291&gt;=LOOKUP(2,1/($E:$E&lt;&gt;""),$E:$E))*($E291&lt;=$E292)*($E291&gt;INDEX(_xlfn.ANCHORARRAY(Sintesi!$C$14),1,$C291))*($E291&lt;INDEX(_xlfn.ANCHORARRAY(Sintesi!$C$16),1,$C291))*(INDEX(_xlfn.ANCHORARRAY(Sintesi!$C$15),1,$C291)&lt;0)+($E291&gt;=LOOKUP(2,1/($E:$E&lt;&gt;""),$E:$E))*($E291&lt;=$E292)*($E291&gt;INDEX(_xlfn.ANCHORARRAY(Sintesi!$C$15),1,$C291))*($E291&lt;INDEX(_xlfn.ANCHORARRAY(Sintesi!$C$16),1,$C291))*(INDEX(_xlfn.ANCHORARRAY(Sintesi!$C$15),1,$C291)&gt;0),2,IF($E291=(INDEX(_xlfn.ANCHORARRAY(Sintesi!$C$16),1,$C291)),3,4)))),0)))</f>
        <v>0</v>
      </c>
      <c r="E291" s="1">
        <f>'Paste cell here'!F291</f>
        <v>0</v>
      </c>
      <c r="F291" s="1">
        <f>'Paste cell here'!C291</f>
        <v>20.32798433</v>
      </c>
      <c r="G291" s="1">
        <f>'Paste cell here'!D291</f>
        <v>5.3073241009999998</v>
      </c>
      <c r="H291" s="1">
        <f>'Paste cell here'!E291</f>
        <v>1.5297740580000001</v>
      </c>
      <c r="I291" s="1">
        <f>'Paste cell here'!X291</f>
        <v>0</v>
      </c>
      <c r="J291" s="1">
        <f>'Paste cell here'!Y291+'Paste cell here'!S291</f>
        <v>0</v>
      </c>
      <c r="K291" s="1">
        <f t="shared" si="9"/>
        <v>0</v>
      </c>
      <c r="L291" s="1">
        <f t="shared" si="8"/>
        <v>14.881792842598527</v>
      </c>
      <c r="M291" s="1" cm="1">
        <f t="array" ref="M291">IF(AND(A291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,A291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),IF(L291&lt;_xlfn.IFNA(INDEX(_xlfn.ANCHORARRAY(Sintesi!$C$17)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,1,IF(L291&gt;=_xlfn.IFNA(INDEX(_xlfn.ANCHORARRAY(Sintesi!$C$18)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,0,1-(L291-_xlfn.IFNA(INDEX(_xlfn.ANCHORARRAY(Sintesi!$C$17)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)/(_xlfn.IFNA(INDEX(_xlfn.ANCHORARRAY(Sintesi!$C$18)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-_xlfn.IFNA(INDEX(_xlfn.ANCHORARRAY(Sintesi!$C$17),1,MATCH(1,(_xlfn.ANCHORARRAY(Sintesi!$C$9)&gt;_xlfn.ANCHORARRAY(Sintesi!$C$10))*(A290&gt;=_xlfn.ANCHORARRAY(Sintesi!$C$9))+(_xlfn.ANCHORARRAY(Sintesi!$C$9)&gt;_xlfn.ANCHORARRAY(Sintesi!$C$10))*(A290&lt;=_xlfn.ANCHORARRAY(Sintesi!$C$10))+(_xlfn.ANCHORARRAY(Sintesi!$C$9)&lt;_xlfn.ANCHORARRAY(Sintesi!$C$10))*(A290&gt;=_xlfn.ANCHORARRAY(Sintesi!$C$9))*(A290&lt;=_xlfn.ANCHORARRAY(Sintesi!$C$10)),0)),0)))),0)</f>
        <v>0</v>
      </c>
    </row>
    <row r="292" spans="1:13">
      <c r="A292" s="1">
        <f>'Paste cell here'!A292</f>
        <v>291</v>
      </c>
      <c r="B292" s="2">
        <f>DATE(Sintesi!$C$4-1,12,31)+A292</f>
        <v>44487</v>
      </c>
      <c r="C292" s="34" cm="1">
        <f t="array" ref="C292">_xlfn.IFNA(MATCH(1,(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)*(_xlfn.ANCHORARRAY(Sintesi!$C$15)&gt;=0)+(_xlfn.ANCHORARRAY(Sintesi!$C$15)&lt;0),0),0)</f>
        <v>0</v>
      </c>
      <c r="D292" s="1" cm="1">
        <f t="array" ref="D292">IF(ISBLANK($E293),IF(ISNUMBER($E291),IF($C292&gt;0,IF(($E292=INDEX(_xlfn.ANCHORARRAY(Sintesi!$C$14),1,$C292))*(INDEX(_xlfn.ANCHORARRAY(Sintesi!$C$15),1,$C292)&gt;0),0,IF(($E292=INDEX(_xlfn.ANCHORARRAY(Sintesi!$C$14),1,$C292))*(INDEX(_xlfn.ANCHORARRAY(Sintesi!$C$15),1,$C292)&lt;0)+($E292&gt;=$E291)*($E292&lt;=INDEX($E:$E,MATCH(TRUE,INDEX((ISNUMBER($E:$E)),0),0)))*($E292&gt;INDEX(_xlfn.ANCHORARRAY(Sintesi!$C$14),1,$C292))*($E292&lt;=INDEX(_xlfn.ANCHORARRAY(Sintesi!$C$15),1,$C292))*(INDEX(_xlfn.ANCHORARRAY(Sintesi!$C$15),1,$C292)&gt;0),1,IF(($E292&gt;=$E291)*($E292&lt;=INDEX($E:$E,MATCH(TRUE,INDEX((ISNUMBER($E:$E)),0),0)))*($E292&gt;INDEX(_xlfn.ANCHORARRAY(Sintesi!$C$14),1,$C292))*($E292&lt;INDEX(_xlfn.ANCHORARRAY(Sintesi!$C$16),1,$C292))*(INDEX(_xlfn.ANCHORARRAY(Sintesi!$C$15),1,$C292)&lt;0)+($E292&gt;=$E291)*($E292&lt;=INDEX($E:$E,MATCH(TRUE,INDEX((ISNUMBER($E:$E)),0),0)))*($E292&gt;INDEX(_xlfn.ANCHORARRAY(Sintesi!$C$15),1,$C292))*($E292&lt;INDEX(_xlfn.ANCHORARRAY(Sintesi!$C$16),1,$C292))*(INDEX(_xlfn.ANCHORARRAY(Sintesi!$C$15),1,$C292)&gt;0),2,IF($E292=(INDEX(_xlfn.ANCHORARRAY(Sintesi!$C$16),1,$C292)),3,4)))),0),IF($C292&gt;0,IF(($E292=INDEX(_xlfn.ANCHORARRAY(Sintesi!$C$14),1,$C292))*(INDEX(_xlfn.ANCHORARRAY(Sintesi!$C$15),1,$C292)&gt;0),0,IF(($E292=INDEX(_xlfn.ANCHORARRAY(Sintesi!$C$14),1,$C292))*(INDEX(_xlfn.ANCHORARRAY(Sintesi!$C$15),1,$C292)&lt;0)+($E292&gt;=LOOKUP(2,1/($E:$E&lt;&gt;""),$E:$E))*($E292&lt;=INDEX($E:$E,MATCH(TRUE,INDEX((ISNUMBER($E:$E)),0),0)))*($E292&gt;INDEX(_xlfn.ANCHORARRAY(Sintesi!$C$14),1,$C292))*($E292&lt;=INDEX(_xlfn.ANCHORARRAY(Sintesi!$C$15),1,$C292))*(INDEX(_xlfn.ANCHORARRAY(Sintesi!$C$15),1,$C292)&gt;0),1,IF(($E292&gt;=LOOKUP(2,1/($E:$E&lt;&gt;""),$E:$E))*($E292&lt;=INDEX($E:$E,MATCH(TRUE,INDEX((ISNUMBER($E:$E)),0),0)))*($E292&gt;INDEX(_xlfn.ANCHORARRAY(Sintesi!$C$14),1,$C292))*($E292&lt;INDEX(_xlfn.ANCHORARRAY(Sintesi!$C$16),1,$C292))*(INDEX(_xlfn.ANCHORARRAY(Sintesi!$C$15),1,$C292)&lt;0)+($E292&gt;=LOOKUP(2,1/($E:$E&lt;&gt;""),$E:$E))*($E292&lt;=INDEX($E:$E,MATCH(TRUE,INDEX((ISNUMBER($E:$E)),0),0)))*($E292&gt;INDEX(_xlfn.ANCHORARRAY(Sintesi!$C$15),1,$C292))*($E292&lt;INDEX(_xlfn.ANCHORARRAY(Sintesi!$C$16),1,$C292))*(INDEX(_xlfn.ANCHORARRAY(Sintesi!$C$15),1,$C292)&gt;0),2,IF($E292=(INDEX(_xlfn.ANCHORARRAY(Sintesi!$C$16),1,$C292)),3,4)))),0)),IF(ISNUMBER($E291),IF($C292&gt;0,IF(($E292=INDEX(_xlfn.ANCHORARRAY(Sintesi!$C$14),1,$C292))*(INDEX(_xlfn.ANCHORARRAY(Sintesi!$C$15),1,$C292)&gt;0),0,IF(($E292=INDEX(_xlfn.ANCHORARRAY(Sintesi!$C$14),1,$C292))*(INDEX(_xlfn.ANCHORARRAY(Sintesi!$C$15),1,$C292)&lt;0)+($E292&gt;=$E291)*($E292&lt;=$E293)*($E292&gt;INDEX(_xlfn.ANCHORARRAY(Sintesi!$C$14),1,$C292))*($E292&lt;=INDEX(_xlfn.ANCHORARRAY(Sintesi!$C$15),1,$C292))*(INDEX(_xlfn.ANCHORARRAY(Sintesi!$C$15),1,$C292)&gt;0),1,IF(($E292&gt;=$E291)*($E292&lt;=$E293)*($E292&gt;INDEX(_xlfn.ANCHORARRAY(Sintesi!$C$14),1,$C292))*($E292&lt;INDEX(_xlfn.ANCHORARRAY(Sintesi!$C$16),1,$C292))*(INDEX(_xlfn.ANCHORARRAY(Sintesi!$C$15),1,$C292)&lt;0)+($E292&gt;=$E291)*($E292&lt;=$E293)*($E292&gt;INDEX(_xlfn.ANCHORARRAY(Sintesi!$C$15),1,$C292))*($E292&lt;INDEX(_xlfn.ANCHORARRAY(Sintesi!$C$16),1,$C292))*(INDEX(_xlfn.ANCHORARRAY(Sintesi!$C$15),1,$C292)&gt;0),2,IF($E292=(INDEX(_xlfn.ANCHORARRAY(Sintesi!$C$16),1,$C292)),3,4)))),0),IF($C292&gt;0,IF(($E292=INDEX(_xlfn.ANCHORARRAY(Sintesi!$C$14),1,$C292))*(INDEX(_xlfn.ANCHORARRAY(Sintesi!$C$15),1,$C292)&gt;0),0,IF(($E292=INDEX(_xlfn.ANCHORARRAY(Sintesi!$C$14),1,$C292))*(INDEX(_xlfn.ANCHORARRAY(Sintesi!$C$15),1,$C292)&lt;0)+($E292&gt;=LOOKUP(2,1/($E:$E&lt;&gt;""),$E:$E))*($E292&lt;=$E293)*($E292&gt;INDEX(_xlfn.ANCHORARRAY(Sintesi!$C$14),1,$C292))*($E292&lt;=INDEX(_xlfn.ANCHORARRAY(Sintesi!$C$15),1,$C292))*(INDEX(_xlfn.ANCHORARRAY(Sintesi!$C$15),1,$C292)&gt;0),1,IF(($E292&gt;=LOOKUP(2,1/($E:$E&lt;&gt;""),$E:$E))*($E292&lt;=$E293)*($E292&gt;INDEX(_xlfn.ANCHORARRAY(Sintesi!$C$14),1,$C292))*($E292&lt;INDEX(_xlfn.ANCHORARRAY(Sintesi!$C$16),1,$C292))*(INDEX(_xlfn.ANCHORARRAY(Sintesi!$C$15),1,$C292)&lt;0)+($E292&gt;=LOOKUP(2,1/($E:$E&lt;&gt;""),$E:$E))*($E292&lt;=$E293)*($E292&gt;INDEX(_xlfn.ANCHORARRAY(Sintesi!$C$15),1,$C292))*($E292&lt;INDEX(_xlfn.ANCHORARRAY(Sintesi!$C$16),1,$C292))*(INDEX(_xlfn.ANCHORARRAY(Sintesi!$C$15),1,$C292)&gt;0),2,IF($E292=(INDEX(_xlfn.ANCHORARRAY(Sintesi!$C$16),1,$C292)),3,4)))),0)))</f>
        <v>0</v>
      </c>
      <c r="E292" s="1">
        <f>'Paste cell here'!F292</f>
        <v>0</v>
      </c>
      <c r="F292" s="1">
        <f>'Paste cell here'!C292</f>
        <v>20.55660503</v>
      </c>
      <c r="G292" s="1">
        <f>'Paste cell here'!D292</f>
        <v>5.3405891749999999</v>
      </c>
      <c r="H292" s="1">
        <f>'Paste cell here'!E292</f>
        <v>1.4829287099999999</v>
      </c>
      <c r="I292" s="1">
        <f>'Paste cell here'!X292</f>
        <v>0</v>
      </c>
      <c r="J292" s="1">
        <f>'Paste cell here'!Y292+'Paste cell here'!S292</f>
        <v>0</v>
      </c>
      <c r="K292" s="1">
        <f t="shared" si="9"/>
        <v>0</v>
      </c>
      <c r="L292" s="1">
        <f t="shared" si="8"/>
        <v>15.039581493200123</v>
      </c>
      <c r="M292" s="1" cm="1">
        <f t="array" ref="M292">IF(AND(A292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,A292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),IF(L292&lt;_xlfn.IFNA(INDEX(_xlfn.ANCHORARRAY(Sintesi!$C$17)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,1,IF(L292&gt;=_xlfn.IFNA(INDEX(_xlfn.ANCHORARRAY(Sintesi!$C$18)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,0,1-(L292-_xlfn.IFNA(INDEX(_xlfn.ANCHORARRAY(Sintesi!$C$17)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)/(_xlfn.IFNA(INDEX(_xlfn.ANCHORARRAY(Sintesi!$C$18)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-_xlfn.IFNA(INDEX(_xlfn.ANCHORARRAY(Sintesi!$C$17),1,MATCH(1,(_xlfn.ANCHORARRAY(Sintesi!$C$9)&gt;_xlfn.ANCHORARRAY(Sintesi!$C$10))*(A291&gt;=_xlfn.ANCHORARRAY(Sintesi!$C$9))+(_xlfn.ANCHORARRAY(Sintesi!$C$9)&gt;_xlfn.ANCHORARRAY(Sintesi!$C$10))*(A291&lt;=_xlfn.ANCHORARRAY(Sintesi!$C$10))+(_xlfn.ANCHORARRAY(Sintesi!$C$9)&lt;_xlfn.ANCHORARRAY(Sintesi!$C$10))*(A291&gt;=_xlfn.ANCHORARRAY(Sintesi!$C$9))*(A291&lt;=_xlfn.ANCHORARRAY(Sintesi!$C$10)),0)),0)))),0)</f>
        <v>0</v>
      </c>
    </row>
    <row r="293" spans="1:13">
      <c r="A293" s="1">
        <f>'Paste cell here'!A293</f>
        <v>292</v>
      </c>
      <c r="B293" s="2">
        <f>DATE(Sintesi!$C$4-1,12,31)+A293</f>
        <v>44488</v>
      </c>
      <c r="C293" s="34" cm="1">
        <f t="array" ref="C293">_xlfn.IFNA(MATCH(1,(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)*(_xlfn.ANCHORARRAY(Sintesi!$C$15)&gt;=0)+(_xlfn.ANCHORARRAY(Sintesi!$C$15)&lt;0),0),0)</f>
        <v>0</v>
      </c>
      <c r="D293" s="1" cm="1">
        <f t="array" ref="D293">IF(ISBLANK($E294),IF(ISNUMBER($E292),IF($C293&gt;0,IF(($E293=INDEX(_xlfn.ANCHORARRAY(Sintesi!$C$14),1,$C293))*(INDEX(_xlfn.ANCHORARRAY(Sintesi!$C$15),1,$C293)&gt;0),0,IF(($E293=INDEX(_xlfn.ANCHORARRAY(Sintesi!$C$14),1,$C293))*(INDEX(_xlfn.ANCHORARRAY(Sintesi!$C$15),1,$C293)&lt;0)+($E293&gt;=$E292)*($E293&lt;=INDEX($E:$E,MATCH(TRUE,INDEX((ISNUMBER($E:$E)),0),0)))*($E293&gt;INDEX(_xlfn.ANCHORARRAY(Sintesi!$C$14),1,$C293))*($E293&lt;=INDEX(_xlfn.ANCHORARRAY(Sintesi!$C$15),1,$C293))*(INDEX(_xlfn.ANCHORARRAY(Sintesi!$C$15),1,$C293)&gt;0),1,IF(($E293&gt;=$E292)*($E293&lt;=INDEX($E:$E,MATCH(TRUE,INDEX((ISNUMBER($E:$E)),0),0)))*($E293&gt;INDEX(_xlfn.ANCHORARRAY(Sintesi!$C$14),1,$C293))*($E293&lt;INDEX(_xlfn.ANCHORARRAY(Sintesi!$C$16),1,$C293))*(INDEX(_xlfn.ANCHORARRAY(Sintesi!$C$15),1,$C293)&lt;0)+($E293&gt;=$E292)*($E293&lt;=INDEX($E:$E,MATCH(TRUE,INDEX((ISNUMBER($E:$E)),0),0)))*($E293&gt;INDEX(_xlfn.ANCHORARRAY(Sintesi!$C$15),1,$C293))*($E293&lt;INDEX(_xlfn.ANCHORARRAY(Sintesi!$C$16),1,$C293))*(INDEX(_xlfn.ANCHORARRAY(Sintesi!$C$15),1,$C293)&gt;0),2,IF($E293=(INDEX(_xlfn.ANCHORARRAY(Sintesi!$C$16),1,$C293)),3,4)))),0),IF($C293&gt;0,IF(($E293=INDEX(_xlfn.ANCHORARRAY(Sintesi!$C$14),1,$C293))*(INDEX(_xlfn.ANCHORARRAY(Sintesi!$C$15),1,$C293)&gt;0),0,IF(($E293=INDEX(_xlfn.ANCHORARRAY(Sintesi!$C$14),1,$C293))*(INDEX(_xlfn.ANCHORARRAY(Sintesi!$C$15),1,$C293)&lt;0)+($E293&gt;=LOOKUP(2,1/($E:$E&lt;&gt;""),$E:$E))*($E293&lt;=INDEX($E:$E,MATCH(TRUE,INDEX((ISNUMBER($E:$E)),0),0)))*($E293&gt;INDEX(_xlfn.ANCHORARRAY(Sintesi!$C$14),1,$C293))*($E293&lt;=INDEX(_xlfn.ANCHORARRAY(Sintesi!$C$15),1,$C293))*(INDEX(_xlfn.ANCHORARRAY(Sintesi!$C$15),1,$C293)&gt;0),1,IF(($E293&gt;=LOOKUP(2,1/($E:$E&lt;&gt;""),$E:$E))*($E293&lt;=INDEX($E:$E,MATCH(TRUE,INDEX((ISNUMBER($E:$E)),0),0)))*($E293&gt;INDEX(_xlfn.ANCHORARRAY(Sintesi!$C$14),1,$C293))*($E293&lt;INDEX(_xlfn.ANCHORARRAY(Sintesi!$C$16),1,$C293))*(INDEX(_xlfn.ANCHORARRAY(Sintesi!$C$15),1,$C293)&lt;0)+($E293&gt;=LOOKUP(2,1/($E:$E&lt;&gt;""),$E:$E))*($E293&lt;=INDEX($E:$E,MATCH(TRUE,INDEX((ISNUMBER($E:$E)),0),0)))*($E293&gt;INDEX(_xlfn.ANCHORARRAY(Sintesi!$C$15),1,$C293))*($E293&lt;INDEX(_xlfn.ANCHORARRAY(Sintesi!$C$16),1,$C293))*(INDEX(_xlfn.ANCHORARRAY(Sintesi!$C$15),1,$C293)&gt;0),2,IF($E293=(INDEX(_xlfn.ANCHORARRAY(Sintesi!$C$16),1,$C293)),3,4)))),0)),IF(ISNUMBER($E292),IF($C293&gt;0,IF(($E293=INDEX(_xlfn.ANCHORARRAY(Sintesi!$C$14),1,$C293))*(INDEX(_xlfn.ANCHORARRAY(Sintesi!$C$15),1,$C293)&gt;0),0,IF(($E293=INDEX(_xlfn.ANCHORARRAY(Sintesi!$C$14),1,$C293))*(INDEX(_xlfn.ANCHORARRAY(Sintesi!$C$15),1,$C293)&lt;0)+($E293&gt;=$E292)*($E293&lt;=$E294)*($E293&gt;INDEX(_xlfn.ANCHORARRAY(Sintesi!$C$14),1,$C293))*($E293&lt;=INDEX(_xlfn.ANCHORARRAY(Sintesi!$C$15),1,$C293))*(INDEX(_xlfn.ANCHORARRAY(Sintesi!$C$15),1,$C293)&gt;0),1,IF(($E293&gt;=$E292)*($E293&lt;=$E294)*($E293&gt;INDEX(_xlfn.ANCHORARRAY(Sintesi!$C$14),1,$C293))*($E293&lt;INDEX(_xlfn.ANCHORARRAY(Sintesi!$C$16),1,$C293))*(INDEX(_xlfn.ANCHORARRAY(Sintesi!$C$15),1,$C293)&lt;0)+($E293&gt;=$E292)*($E293&lt;=$E294)*($E293&gt;INDEX(_xlfn.ANCHORARRAY(Sintesi!$C$15),1,$C293))*($E293&lt;INDEX(_xlfn.ANCHORARRAY(Sintesi!$C$16),1,$C293))*(INDEX(_xlfn.ANCHORARRAY(Sintesi!$C$15),1,$C293)&gt;0),2,IF($E293=(INDEX(_xlfn.ANCHORARRAY(Sintesi!$C$16),1,$C293)),3,4)))),0),IF($C293&gt;0,IF(($E293=INDEX(_xlfn.ANCHORARRAY(Sintesi!$C$14),1,$C293))*(INDEX(_xlfn.ANCHORARRAY(Sintesi!$C$15),1,$C293)&gt;0),0,IF(($E293=INDEX(_xlfn.ANCHORARRAY(Sintesi!$C$14),1,$C293))*(INDEX(_xlfn.ANCHORARRAY(Sintesi!$C$15),1,$C293)&lt;0)+($E293&gt;=LOOKUP(2,1/($E:$E&lt;&gt;""),$E:$E))*($E293&lt;=$E294)*($E293&gt;INDEX(_xlfn.ANCHORARRAY(Sintesi!$C$14),1,$C293))*($E293&lt;=INDEX(_xlfn.ANCHORARRAY(Sintesi!$C$15),1,$C293))*(INDEX(_xlfn.ANCHORARRAY(Sintesi!$C$15),1,$C293)&gt;0),1,IF(($E293&gt;=LOOKUP(2,1/($E:$E&lt;&gt;""),$E:$E))*($E293&lt;=$E294)*($E293&gt;INDEX(_xlfn.ANCHORARRAY(Sintesi!$C$14),1,$C293))*($E293&lt;INDEX(_xlfn.ANCHORARRAY(Sintesi!$C$16),1,$C293))*(INDEX(_xlfn.ANCHORARRAY(Sintesi!$C$15),1,$C293)&lt;0)+($E293&gt;=LOOKUP(2,1/($E:$E&lt;&gt;""),$E:$E))*($E293&lt;=$E294)*($E293&gt;INDEX(_xlfn.ANCHORARRAY(Sintesi!$C$15),1,$C293))*($E293&lt;INDEX(_xlfn.ANCHORARRAY(Sintesi!$C$16),1,$C293))*(INDEX(_xlfn.ANCHORARRAY(Sintesi!$C$15),1,$C293)&gt;0),2,IF($E293=(INDEX(_xlfn.ANCHORARRAY(Sintesi!$C$16),1,$C293)),3,4)))),0)))</f>
        <v>0</v>
      </c>
      <c r="E293" s="1">
        <f>'Paste cell here'!F293</f>
        <v>0</v>
      </c>
      <c r="F293" s="1">
        <f>'Paste cell here'!C293</f>
        <v>19.846074699999999</v>
      </c>
      <c r="G293" s="1">
        <f>'Paste cell here'!D293</f>
        <v>7.3688511009999997</v>
      </c>
      <c r="H293" s="1">
        <f>'Paste cell here'!E293</f>
        <v>1.288210461</v>
      </c>
      <c r="I293" s="1">
        <f>'Paste cell here'!X293</f>
        <v>0</v>
      </c>
      <c r="J293" s="1">
        <f>'Paste cell here'!Y293+'Paste cell here'!S293</f>
        <v>0</v>
      </c>
      <c r="K293" s="1">
        <f t="shared" si="9"/>
        <v>0</v>
      </c>
      <c r="L293" s="1">
        <f t="shared" si="8"/>
        <v>15.322082550834494</v>
      </c>
      <c r="M293" s="1" cm="1">
        <f t="array" ref="M293">IF(AND(A293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,A293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),IF(L293&lt;_xlfn.IFNA(INDEX(_xlfn.ANCHORARRAY(Sintesi!$C$17)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,1,IF(L293&gt;=_xlfn.IFNA(INDEX(_xlfn.ANCHORARRAY(Sintesi!$C$18)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,0,1-(L293-_xlfn.IFNA(INDEX(_xlfn.ANCHORARRAY(Sintesi!$C$17)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)/(_xlfn.IFNA(INDEX(_xlfn.ANCHORARRAY(Sintesi!$C$18)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-_xlfn.IFNA(INDEX(_xlfn.ANCHORARRAY(Sintesi!$C$17),1,MATCH(1,(_xlfn.ANCHORARRAY(Sintesi!$C$9)&gt;_xlfn.ANCHORARRAY(Sintesi!$C$10))*(A292&gt;=_xlfn.ANCHORARRAY(Sintesi!$C$9))+(_xlfn.ANCHORARRAY(Sintesi!$C$9)&gt;_xlfn.ANCHORARRAY(Sintesi!$C$10))*(A292&lt;=_xlfn.ANCHORARRAY(Sintesi!$C$10))+(_xlfn.ANCHORARRAY(Sintesi!$C$9)&lt;_xlfn.ANCHORARRAY(Sintesi!$C$10))*(A292&gt;=_xlfn.ANCHORARRAY(Sintesi!$C$9))*(A292&lt;=_xlfn.ANCHORARRAY(Sintesi!$C$10)),0)),0)))),0)</f>
        <v>0</v>
      </c>
    </row>
    <row r="294" spans="1:13">
      <c r="A294" s="1">
        <f>'Paste cell here'!A294</f>
        <v>293</v>
      </c>
      <c r="B294" s="2">
        <f>DATE(Sintesi!$C$4-1,12,31)+A294</f>
        <v>44489</v>
      </c>
      <c r="C294" s="34" cm="1">
        <f t="array" ref="C294">_xlfn.IFNA(MATCH(1,(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)*(_xlfn.ANCHORARRAY(Sintesi!$C$15)&gt;=0)+(_xlfn.ANCHORARRAY(Sintesi!$C$15)&lt;0),0),0)</f>
        <v>0</v>
      </c>
      <c r="D294" s="1" cm="1">
        <f t="array" ref="D294">IF(ISBLANK($E295),IF(ISNUMBER($E293),IF($C294&gt;0,IF(($E294=INDEX(_xlfn.ANCHORARRAY(Sintesi!$C$14),1,$C294))*(INDEX(_xlfn.ANCHORARRAY(Sintesi!$C$15),1,$C294)&gt;0),0,IF(($E294=INDEX(_xlfn.ANCHORARRAY(Sintesi!$C$14),1,$C294))*(INDEX(_xlfn.ANCHORARRAY(Sintesi!$C$15),1,$C294)&lt;0)+($E294&gt;=$E293)*($E294&lt;=INDEX($E:$E,MATCH(TRUE,INDEX((ISNUMBER($E:$E)),0),0)))*($E294&gt;INDEX(_xlfn.ANCHORARRAY(Sintesi!$C$14),1,$C294))*($E294&lt;=INDEX(_xlfn.ANCHORARRAY(Sintesi!$C$15),1,$C294))*(INDEX(_xlfn.ANCHORARRAY(Sintesi!$C$15),1,$C294)&gt;0),1,IF(($E294&gt;=$E293)*($E294&lt;=INDEX($E:$E,MATCH(TRUE,INDEX((ISNUMBER($E:$E)),0),0)))*($E294&gt;INDEX(_xlfn.ANCHORARRAY(Sintesi!$C$14),1,$C294))*($E294&lt;INDEX(_xlfn.ANCHORARRAY(Sintesi!$C$16),1,$C294))*(INDEX(_xlfn.ANCHORARRAY(Sintesi!$C$15),1,$C294)&lt;0)+($E294&gt;=$E293)*($E294&lt;=INDEX($E:$E,MATCH(TRUE,INDEX((ISNUMBER($E:$E)),0),0)))*($E294&gt;INDEX(_xlfn.ANCHORARRAY(Sintesi!$C$15),1,$C294))*($E294&lt;INDEX(_xlfn.ANCHORARRAY(Sintesi!$C$16),1,$C294))*(INDEX(_xlfn.ANCHORARRAY(Sintesi!$C$15),1,$C294)&gt;0),2,IF($E294=(INDEX(_xlfn.ANCHORARRAY(Sintesi!$C$16),1,$C294)),3,4)))),0),IF($C294&gt;0,IF(($E294=INDEX(_xlfn.ANCHORARRAY(Sintesi!$C$14),1,$C294))*(INDEX(_xlfn.ANCHORARRAY(Sintesi!$C$15),1,$C294)&gt;0),0,IF(($E294=INDEX(_xlfn.ANCHORARRAY(Sintesi!$C$14),1,$C294))*(INDEX(_xlfn.ANCHORARRAY(Sintesi!$C$15),1,$C294)&lt;0)+($E294&gt;=LOOKUP(2,1/($E:$E&lt;&gt;""),$E:$E))*($E294&lt;=INDEX($E:$E,MATCH(TRUE,INDEX((ISNUMBER($E:$E)),0),0)))*($E294&gt;INDEX(_xlfn.ANCHORARRAY(Sintesi!$C$14),1,$C294))*($E294&lt;=INDEX(_xlfn.ANCHORARRAY(Sintesi!$C$15),1,$C294))*(INDEX(_xlfn.ANCHORARRAY(Sintesi!$C$15),1,$C294)&gt;0),1,IF(($E294&gt;=LOOKUP(2,1/($E:$E&lt;&gt;""),$E:$E))*($E294&lt;=INDEX($E:$E,MATCH(TRUE,INDEX((ISNUMBER($E:$E)),0),0)))*($E294&gt;INDEX(_xlfn.ANCHORARRAY(Sintesi!$C$14),1,$C294))*($E294&lt;INDEX(_xlfn.ANCHORARRAY(Sintesi!$C$16),1,$C294))*(INDEX(_xlfn.ANCHORARRAY(Sintesi!$C$15),1,$C294)&lt;0)+($E294&gt;=LOOKUP(2,1/($E:$E&lt;&gt;""),$E:$E))*($E294&lt;=INDEX($E:$E,MATCH(TRUE,INDEX((ISNUMBER($E:$E)),0),0)))*($E294&gt;INDEX(_xlfn.ANCHORARRAY(Sintesi!$C$15),1,$C294))*($E294&lt;INDEX(_xlfn.ANCHORARRAY(Sintesi!$C$16),1,$C294))*(INDEX(_xlfn.ANCHORARRAY(Sintesi!$C$15),1,$C294)&gt;0),2,IF($E294=(INDEX(_xlfn.ANCHORARRAY(Sintesi!$C$16),1,$C294)),3,4)))),0)),IF(ISNUMBER($E293),IF($C294&gt;0,IF(($E294=INDEX(_xlfn.ANCHORARRAY(Sintesi!$C$14),1,$C294))*(INDEX(_xlfn.ANCHORARRAY(Sintesi!$C$15),1,$C294)&gt;0),0,IF(($E294=INDEX(_xlfn.ANCHORARRAY(Sintesi!$C$14),1,$C294))*(INDEX(_xlfn.ANCHORARRAY(Sintesi!$C$15),1,$C294)&lt;0)+($E294&gt;=$E293)*($E294&lt;=$E295)*($E294&gt;INDEX(_xlfn.ANCHORARRAY(Sintesi!$C$14),1,$C294))*($E294&lt;=INDEX(_xlfn.ANCHORARRAY(Sintesi!$C$15),1,$C294))*(INDEX(_xlfn.ANCHORARRAY(Sintesi!$C$15),1,$C294)&gt;0),1,IF(($E294&gt;=$E293)*($E294&lt;=$E295)*($E294&gt;INDEX(_xlfn.ANCHORARRAY(Sintesi!$C$14),1,$C294))*($E294&lt;INDEX(_xlfn.ANCHORARRAY(Sintesi!$C$16),1,$C294))*(INDEX(_xlfn.ANCHORARRAY(Sintesi!$C$15),1,$C294)&lt;0)+($E294&gt;=$E293)*($E294&lt;=$E295)*($E294&gt;INDEX(_xlfn.ANCHORARRAY(Sintesi!$C$15),1,$C294))*($E294&lt;INDEX(_xlfn.ANCHORARRAY(Sintesi!$C$16),1,$C294))*(INDEX(_xlfn.ANCHORARRAY(Sintesi!$C$15),1,$C294)&gt;0),2,IF($E294=(INDEX(_xlfn.ANCHORARRAY(Sintesi!$C$16),1,$C294)),3,4)))),0),IF($C294&gt;0,IF(($E294=INDEX(_xlfn.ANCHORARRAY(Sintesi!$C$14),1,$C294))*(INDEX(_xlfn.ANCHORARRAY(Sintesi!$C$15),1,$C294)&gt;0),0,IF(($E294=INDEX(_xlfn.ANCHORARRAY(Sintesi!$C$14),1,$C294))*(INDEX(_xlfn.ANCHORARRAY(Sintesi!$C$15),1,$C294)&lt;0)+($E294&gt;=LOOKUP(2,1/($E:$E&lt;&gt;""),$E:$E))*($E294&lt;=$E295)*($E294&gt;INDEX(_xlfn.ANCHORARRAY(Sintesi!$C$14),1,$C294))*($E294&lt;=INDEX(_xlfn.ANCHORARRAY(Sintesi!$C$15),1,$C294))*(INDEX(_xlfn.ANCHORARRAY(Sintesi!$C$15),1,$C294)&gt;0),1,IF(($E294&gt;=LOOKUP(2,1/($E:$E&lt;&gt;""),$E:$E))*($E294&lt;=$E295)*($E294&gt;INDEX(_xlfn.ANCHORARRAY(Sintesi!$C$14),1,$C294))*($E294&lt;INDEX(_xlfn.ANCHORARRAY(Sintesi!$C$16),1,$C294))*(INDEX(_xlfn.ANCHORARRAY(Sintesi!$C$15),1,$C294)&lt;0)+($E294&gt;=LOOKUP(2,1/($E:$E&lt;&gt;""),$E:$E))*($E294&lt;=$E295)*($E294&gt;INDEX(_xlfn.ANCHORARRAY(Sintesi!$C$15),1,$C294))*($E294&lt;INDEX(_xlfn.ANCHORARRAY(Sintesi!$C$16),1,$C294))*(INDEX(_xlfn.ANCHORARRAY(Sintesi!$C$15),1,$C294)&gt;0),2,IF($E294=(INDEX(_xlfn.ANCHORARRAY(Sintesi!$C$16),1,$C294)),3,4)))),0)))</f>
        <v>0</v>
      </c>
      <c r="E294" s="1">
        <f>'Paste cell here'!F294</f>
        <v>0</v>
      </c>
      <c r="F294" s="1">
        <f>'Paste cell here'!C294</f>
        <v>18.982019489999999</v>
      </c>
      <c r="G294" s="1">
        <f>'Paste cell here'!D294</f>
        <v>7.9507190699999999</v>
      </c>
      <c r="H294" s="1">
        <f>'Paste cell here'!E294</f>
        <v>1.049240164</v>
      </c>
      <c r="I294" s="1">
        <f>'Paste cell here'!X294</f>
        <v>0</v>
      </c>
      <c r="J294" s="1">
        <f>'Paste cell here'!Y294+'Paste cell here'!S294</f>
        <v>0</v>
      </c>
      <c r="K294" s="1">
        <f t="shared" si="9"/>
        <v>0</v>
      </c>
      <c r="L294" s="1">
        <f t="shared" si="8"/>
        <v>14.982290215358651</v>
      </c>
      <c r="M294" s="1" cm="1">
        <f t="array" ref="M294">IF(AND(A294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,A294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),IF(L294&lt;_xlfn.IFNA(INDEX(_xlfn.ANCHORARRAY(Sintesi!$C$17)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,1,IF(L294&gt;=_xlfn.IFNA(INDEX(_xlfn.ANCHORARRAY(Sintesi!$C$18)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,0,1-(L294-_xlfn.IFNA(INDEX(_xlfn.ANCHORARRAY(Sintesi!$C$17)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)/(_xlfn.IFNA(INDEX(_xlfn.ANCHORARRAY(Sintesi!$C$18)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-_xlfn.IFNA(INDEX(_xlfn.ANCHORARRAY(Sintesi!$C$17),1,MATCH(1,(_xlfn.ANCHORARRAY(Sintesi!$C$9)&gt;_xlfn.ANCHORARRAY(Sintesi!$C$10))*(A293&gt;=_xlfn.ANCHORARRAY(Sintesi!$C$9))+(_xlfn.ANCHORARRAY(Sintesi!$C$9)&gt;_xlfn.ANCHORARRAY(Sintesi!$C$10))*(A293&lt;=_xlfn.ANCHORARRAY(Sintesi!$C$10))+(_xlfn.ANCHORARRAY(Sintesi!$C$9)&lt;_xlfn.ANCHORARRAY(Sintesi!$C$10))*(A293&gt;=_xlfn.ANCHORARRAY(Sintesi!$C$9))*(A293&lt;=_xlfn.ANCHORARRAY(Sintesi!$C$10)),0)),0)))),0)</f>
        <v>0</v>
      </c>
    </row>
    <row r="295" spans="1:13">
      <c r="A295" s="1">
        <f>'Paste cell here'!A295</f>
        <v>294</v>
      </c>
      <c r="B295" s="2">
        <f>DATE(Sintesi!$C$4-1,12,31)+A295</f>
        <v>44490</v>
      </c>
      <c r="C295" s="34" cm="1">
        <f t="array" ref="C295">_xlfn.IFNA(MATCH(1,(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)*(_xlfn.ANCHORARRAY(Sintesi!$C$15)&gt;=0)+(_xlfn.ANCHORARRAY(Sintesi!$C$15)&lt;0),0),0)</f>
        <v>0</v>
      </c>
      <c r="D295" s="1" cm="1">
        <f t="array" ref="D295">IF(ISBLANK($E296),IF(ISNUMBER($E294),IF($C295&gt;0,IF(($E295=INDEX(_xlfn.ANCHORARRAY(Sintesi!$C$14),1,$C295))*(INDEX(_xlfn.ANCHORARRAY(Sintesi!$C$15),1,$C295)&gt;0),0,IF(($E295=INDEX(_xlfn.ANCHORARRAY(Sintesi!$C$14),1,$C295))*(INDEX(_xlfn.ANCHORARRAY(Sintesi!$C$15),1,$C295)&lt;0)+($E295&gt;=$E294)*($E295&lt;=INDEX($E:$E,MATCH(TRUE,INDEX((ISNUMBER($E:$E)),0),0)))*($E295&gt;INDEX(_xlfn.ANCHORARRAY(Sintesi!$C$14),1,$C295))*($E295&lt;=INDEX(_xlfn.ANCHORARRAY(Sintesi!$C$15),1,$C295))*(INDEX(_xlfn.ANCHORARRAY(Sintesi!$C$15),1,$C295)&gt;0),1,IF(($E295&gt;=$E294)*($E295&lt;=INDEX($E:$E,MATCH(TRUE,INDEX((ISNUMBER($E:$E)),0),0)))*($E295&gt;INDEX(_xlfn.ANCHORARRAY(Sintesi!$C$14),1,$C295))*($E295&lt;INDEX(_xlfn.ANCHORARRAY(Sintesi!$C$16),1,$C295))*(INDEX(_xlfn.ANCHORARRAY(Sintesi!$C$15),1,$C295)&lt;0)+($E295&gt;=$E294)*($E295&lt;=INDEX($E:$E,MATCH(TRUE,INDEX((ISNUMBER($E:$E)),0),0)))*($E295&gt;INDEX(_xlfn.ANCHORARRAY(Sintesi!$C$15),1,$C295))*($E295&lt;INDEX(_xlfn.ANCHORARRAY(Sintesi!$C$16),1,$C295))*(INDEX(_xlfn.ANCHORARRAY(Sintesi!$C$15),1,$C295)&gt;0),2,IF($E295=(INDEX(_xlfn.ANCHORARRAY(Sintesi!$C$16),1,$C295)),3,4)))),0),IF($C295&gt;0,IF(($E295=INDEX(_xlfn.ANCHORARRAY(Sintesi!$C$14),1,$C295))*(INDEX(_xlfn.ANCHORARRAY(Sintesi!$C$15),1,$C295)&gt;0),0,IF(($E295=INDEX(_xlfn.ANCHORARRAY(Sintesi!$C$14),1,$C295))*(INDEX(_xlfn.ANCHORARRAY(Sintesi!$C$15),1,$C295)&lt;0)+($E295&gt;=LOOKUP(2,1/($E:$E&lt;&gt;""),$E:$E))*($E295&lt;=INDEX($E:$E,MATCH(TRUE,INDEX((ISNUMBER($E:$E)),0),0)))*($E295&gt;INDEX(_xlfn.ANCHORARRAY(Sintesi!$C$14),1,$C295))*($E295&lt;=INDEX(_xlfn.ANCHORARRAY(Sintesi!$C$15),1,$C295))*(INDEX(_xlfn.ANCHORARRAY(Sintesi!$C$15),1,$C295)&gt;0),1,IF(($E295&gt;=LOOKUP(2,1/($E:$E&lt;&gt;""),$E:$E))*($E295&lt;=INDEX($E:$E,MATCH(TRUE,INDEX((ISNUMBER($E:$E)),0),0)))*($E295&gt;INDEX(_xlfn.ANCHORARRAY(Sintesi!$C$14),1,$C295))*($E295&lt;INDEX(_xlfn.ANCHORARRAY(Sintesi!$C$16),1,$C295))*(INDEX(_xlfn.ANCHORARRAY(Sintesi!$C$15),1,$C295)&lt;0)+($E295&gt;=LOOKUP(2,1/($E:$E&lt;&gt;""),$E:$E))*($E295&lt;=INDEX($E:$E,MATCH(TRUE,INDEX((ISNUMBER($E:$E)),0),0)))*($E295&gt;INDEX(_xlfn.ANCHORARRAY(Sintesi!$C$15),1,$C295))*($E295&lt;INDEX(_xlfn.ANCHORARRAY(Sintesi!$C$16),1,$C295))*(INDEX(_xlfn.ANCHORARRAY(Sintesi!$C$15),1,$C295)&gt;0),2,IF($E295=(INDEX(_xlfn.ANCHORARRAY(Sintesi!$C$16),1,$C295)),3,4)))),0)),IF(ISNUMBER($E294),IF($C295&gt;0,IF(($E295=INDEX(_xlfn.ANCHORARRAY(Sintesi!$C$14),1,$C295))*(INDEX(_xlfn.ANCHORARRAY(Sintesi!$C$15),1,$C295)&gt;0),0,IF(($E295=INDEX(_xlfn.ANCHORARRAY(Sintesi!$C$14),1,$C295))*(INDEX(_xlfn.ANCHORARRAY(Sintesi!$C$15),1,$C295)&lt;0)+($E295&gt;=$E294)*($E295&lt;=$E296)*($E295&gt;INDEX(_xlfn.ANCHORARRAY(Sintesi!$C$14),1,$C295))*($E295&lt;=INDEX(_xlfn.ANCHORARRAY(Sintesi!$C$15),1,$C295))*(INDEX(_xlfn.ANCHORARRAY(Sintesi!$C$15),1,$C295)&gt;0),1,IF(($E295&gt;=$E294)*($E295&lt;=$E296)*($E295&gt;INDEX(_xlfn.ANCHORARRAY(Sintesi!$C$14),1,$C295))*($E295&lt;INDEX(_xlfn.ANCHORARRAY(Sintesi!$C$16),1,$C295))*(INDEX(_xlfn.ANCHORARRAY(Sintesi!$C$15),1,$C295)&lt;0)+($E295&gt;=$E294)*($E295&lt;=$E296)*($E295&gt;INDEX(_xlfn.ANCHORARRAY(Sintesi!$C$15),1,$C295))*($E295&lt;INDEX(_xlfn.ANCHORARRAY(Sintesi!$C$16),1,$C295))*(INDEX(_xlfn.ANCHORARRAY(Sintesi!$C$15),1,$C295)&gt;0),2,IF($E295=(INDEX(_xlfn.ANCHORARRAY(Sintesi!$C$16),1,$C295)),3,4)))),0),IF($C295&gt;0,IF(($E295=INDEX(_xlfn.ANCHORARRAY(Sintesi!$C$14),1,$C295))*(INDEX(_xlfn.ANCHORARRAY(Sintesi!$C$15),1,$C295)&gt;0),0,IF(($E295=INDEX(_xlfn.ANCHORARRAY(Sintesi!$C$14),1,$C295))*(INDEX(_xlfn.ANCHORARRAY(Sintesi!$C$15),1,$C295)&lt;0)+($E295&gt;=LOOKUP(2,1/($E:$E&lt;&gt;""),$E:$E))*($E295&lt;=$E296)*($E295&gt;INDEX(_xlfn.ANCHORARRAY(Sintesi!$C$14),1,$C295))*($E295&lt;=INDEX(_xlfn.ANCHORARRAY(Sintesi!$C$15),1,$C295))*(INDEX(_xlfn.ANCHORARRAY(Sintesi!$C$15),1,$C295)&gt;0),1,IF(($E295&gt;=LOOKUP(2,1/($E:$E&lt;&gt;""),$E:$E))*($E295&lt;=$E296)*($E295&gt;INDEX(_xlfn.ANCHORARRAY(Sintesi!$C$14),1,$C295))*($E295&lt;INDEX(_xlfn.ANCHORARRAY(Sintesi!$C$16),1,$C295))*(INDEX(_xlfn.ANCHORARRAY(Sintesi!$C$15),1,$C295)&lt;0)+($E295&gt;=LOOKUP(2,1/($E:$E&lt;&gt;""),$E:$E))*($E295&lt;=$E296)*($E295&gt;INDEX(_xlfn.ANCHORARRAY(Sintesi!$C$15),1,$C295))*($E295&lt;INDEX(_xlfn.ANCHORARRAY(Sintesi!$C$16),1,$C295))*(INDEX(_xlfn.ANCHORARRAY(Sintesi!$C$15),1,$C295)&gt;0),2,IF($E295=(INDEX(_xlfn.ANCHORARRAY(Sintesi!$C$16),1,$C295)),3,4)))),0)))</f>
        <v>0</v>
      </c>
      <c r="E295" s="1">
        <f>'Paste cell here'!F295</f>
        <v>0</v>
      </c>
      <c r="F295" s="1">
        <f>'Paste cell here'!C295</f>
        <v>15.7640552</v>
      </c>
      <c r="G295" s="1">
        <f>'Paste cell here'!D295</f>
        <v>11.112120000000001</v>
      </c>
      <c r="H295" s="1">
        <f>'Paste cell here'!E295</f>
        <v>0.613181168</v>
      </c>
      <c r="I295" s="1">
        <f>'Paste cell here'!X295</f>
        <v>0</v>
      </c>
      <c r="J295" s="1">
        <f>'Paste cell here'!Y295+'Paste cell here'!S295</f>
        <v>0</v>
      </c>
      <c r="K295" s="1">
        <f t="shared" si="9"/>
        <v>0</v>
      </c>
      <c r="L295" s="1">
        <f t="shared" si="8"/>
        <v>14.077356379846341</v>
      </c>
      <c r="M295" s="1" cm="1">
        <f t="array" ref="M295">IF(AND(A295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,A295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),IF(L295&lt;_xlfn.IFNA(INDEX(_xlfn.ANCHORARRAY(Sintesi!$C$17)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,1,IF(L295&gt;=_xlfn.IFNA(INDEX(_xlfn.ANCHORARRAY(Sintesi!$C$18)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,0,1-(L295-_xlfn.IFNA(INDEX(_xlfn.ANCHORARRAY(Sintesi!$C$17)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)/(_xlfn.IFNA(INDEX(_xlfn.ANCHORARRAY(Sintesi!$C$18)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-_xlfn.IFNA(INDEX(_xlfn.ANCHORARRAY(Sintesi!$C$17),1,MATCH(1,(_xlfn.ANCHORARRAY(Sintesi!$C$9)&gt;_xlfn.ANCHORARRAY(Sintesi!$C$10))*(A294&gt;=_xlfn.ANCHORARRAY(Sintesi!$C$9))+(_xlfn.ANCHORARRAY(Sintesi!$C$9)&gt;_xlfn.ANCHORARRAY(Sintesi!$C$10))*(A294&lt;=_xlfn.ANCHORARRAY(Sintesi!$C$10))+(_xlfn.ANCHORARRAY(Sintesi!$C$9)&lt;_xlfn.ANCHORARRAY(Sintesi!$C$10))*(A294&gt;=_xlfn.ANCHORARRAY(Sintesi!$C$9))*(A294&lt;=_xlfn.ANCHORARRAY(Sintesi!$C$10)),0)),0)))),0)</f>
        <v>0</v>
      </c>
    </row>
    <row r="296" spans="1:13">
      <c r="A296" s="1">
        <f>'Paste cell here'!A296</f>
        <v>295</v>
      </c>
      <c r="B296" s="2">
        <f>DATE(Sintesi!$C$4-1,12,31)+A296</f>
        <v>44491</v>
      </c>
      <c r="C296" s="34" cm="1">
        <f t="array" ref="C296">_xlfn.IFNA(MATCH(1,(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)*(_xlfn.ANCHORARRAY(Sintesi!$C$15)&gt;=0)+(_xlfn.ANCHORARRAY(Sintesi!$C$15)&lt;0),0),0)</f>
        <v>0</v>
      </c>
      <c r="D296" s="1" cm="1">
        <f t="array" ref="D296">IF(ISBLANK($E297),IF(ISNUMBER($E295),IF($C296&gt;0,IF(($E296=INDEX(_xlfn.ANCHORARRAY(Sintesi!$C$14),1,$C296))*(INDEX(_xlfn.ANCHORARRAY(Sintesi!$C$15),1,$C296)&gt;0),0,IF(($E296=INDEX(_xlfn.ANCHORARRAY(Sintesi!$C$14),1,$C296))*(INDEX(_xlfn.ANCHORARRAY(Sintesi!$C$15),1,$C296)&lt;0)+($E296&gt;=$E295)*($E296&lt;=INDEX($E:$E,MATCH(TRUE,INDEX((ISNUMBER($E:$E)),0),0)))*($E296&gt;INDEX(_xlfn.ANCHORARRAY(Sintesi!$C$14),1,$C296))*($E296&lt;=INDEX(_xlfn.ANCHORARRAY(Sintesi!$C$15),1,$C296))*(INDEX(_xlfn.ANCHORARRAY(Sintesi!$C$15),1,$C296)&gt;0),1,IF(($E296&gt;=$E295)*($E296&lt;=INDEX($E:$E,MATCH(TRUE,INDEX((ISNUMBER($E:$E)),0),0)))*($E296&gt;INDEX(_xlfn.ANCHORARRAY(Sintesi!$C$14),1,$C296))*($E296&lt;INDEX(_xlfn.ANCHORARRAY(Sintesi!$C$16),1,$C296))*(INDEX(_xlfn.ANCHORARRAY(Sintesi!$C$15),1,$C296)&lt;0)+($E296&gt;=$E295)*($E296&lt;=INDEX($E:$E,MATCH(TRUE,INDEX((ISNUMBER($E:$E)),0),0)))*($E296&gt;INDEX(_xlfn.ANCHORARRAY(Sintesi!$C$15),1,$C296))*($E296&lt;INDEX(_xlfn.ANCHORARRAY(Sintesi!$C$16),1,$C296))*(INDEX(_xlfn.ANCHORARRAY(Sintesi!$C$15),1,$C296)&gt;0),2,IF($E296=(INDEX(_xlfn.ANCHORARRAY(Sintesi!$C$16),1,$C296)),3,4)))),0),IF($C296&gt;0,IF(($E296=INDEX(_xlfn.ANCHORARRAY(Sintesi!$C$14),1,$C296))*(INDEX(_xlfn.ANCHORARRAY(Sintesi!$C$15),1,$C296)&gt;0),0,IF(($E296=INDEX(_xlfn.ANCHORARRAY(Sintesi!$C$14),1,$C296))*(INDEX(_xlfn.ANCHORARRAY(Sintesi!$C$15),1,$C296)&lt;0)+($E296&gt;=LOOKUP(2,1/($E:$E&lt;&gt;""),$E:$E))*($E296&lt;=INDEX($E:$E,MATCH(TRUE,INDEX((ISNUMBER($E:$E)),0),0)))*($E296&gt;INDEX(_xlfn.ANCHORARRAY(Sintesi!$C$14),1,$C296))*($E296&lt;=INDEX(_xlfn.ANCHORARRAY(Sintesi!$C$15),1,$C296))*(INDEX(_xlfn.ANCHORARRAY(Sintesi!$C$15),1,$C296)&gt;0),1,IF(($E296&gt;=LOOKUP(2,1/($E:$E&lt;&gt;""),$E:$E))*($E296&lt;=INDEX($E:$E,MATCH(TRUE,INDEX((ISNUMBER($E:$E)),0),0)))*($E296&gt;INDEX(_xlfn.ANCHORARRAY(Sintesi!$C$14),1,$C296))*($E296&lt;INDEX(_xlfn.ANCHORARRAY(Sintesi!$C$16),1,$C296))*(INDEX(_xlfn.ANCHORARRAY(Sintesi!$C$15),1,$C296)&lt;0)+($E296&gt;=LOOKUP(2,1/($E:$E&lt;&gt;""),$E:$E))*($E296&lt;=INDEX($E:$E,MATCH(TRUE,INDEX((ISNUMBER($E:$E)),0),0)))*($E296&gt;INDEX(_xlfn.ANCHORARRAY(Sintesi!$C$15),1,$C296))*($E296&lt;INDEX(_xlfn.ANCHORARRAY(Sintesi!$C$16),1,$C296))*(INDEX(_xlfn.ANCHORARRAY(Sintesi!$C$15),1,$C296)&gt;0),2,IF($E296=(INDEX(_xlfn.ANCHORARRAY(Sintesi!$C$16),1,$C296)),3,4)))),0)),IF(ISNUMBER($E295),IF($C296&gt;0,IF(($E296=INDEX(_xlfn.ANCHORARRAY(Sintesi!$C$14),1,$C296))*(INDEX(_xlfn.ANCHORARRAY(Sintesi!$C$15),1,$C296)&gt;0),0,IF(($E296=INDEX(_xlfn.ANCHORARRAY(Sintesi!$C$14),1,$C296))*(INDEX(_xlfn.ANCHORARRAY(Sintesi!$C$15),1,$C296)&lt;0)+($E296&gt;=$E295)*($E296&lt;=$E297)*($E296&gt;INDEX(_xlfn.ANCHORARRAY(Sintesi!$C$14),1,$C296))*($E296&lt;=INDEX(_xlfn.ANCHORARRAY(Sintesi!$C$15),1,$C296))*(INDEX(_xlfn.ANCHORARRAY(Sintesi!$C$15),1,$C296)&gt;0),1,IF(($E296&gt;=$E295)*($E296&lt;=$E297)*($E296&gt;INDEX(_xlfn.ANCHORARRAY(Sintesi!$C$14),1,$C296))*($E296&lt;INDEX(_xlfn.ANCHORARRAY(Sintesi!$C$16),1,$C296))*(INDEX(_xlfn.ANCHORARRAY(Sintesi!$C$15),1,$C296)&lt;0)+($E296&gt;=$E295)*($E296&lt;=$E297)*($E296&gt;INDEX(_xlfn.ANCHORARRAY(Sintesi!$C$15),1,$C296))*($E296&lt;INDEX(_xlfn.ANCHORARRAY(Sintesi!$C$16),1,$C296))*(INDEX(_xlfn.ANCHORARRAY(Sintesi!$C$15),1,$C296)&gt;0),2,IF($E296=(INDEX(_xlfn.ANCHORARRAY(Sintesi!$C$16),1,$C296)),3,4)))),0),IF($C296&gt;0,IF(($E296=INDEX(_xlfn.ANCHORARRAY(Sintesi!$C$14),1,$C296))*(INDEX(_xlfn.ANCHORARRAY(Sintesi!$C$15),1,$C296)&gt;0),0,IF(($E296=INDEX(_xlfn.ANCHORARRAY(Sintesi!$C$14),1,$C296))*(INDEX(_xlfn.ANCHORARRAY(Sintesi!$C$15),1,$C296)&lt;0)+($E296&gt;=LOOKUP(2,1/($E:$E&lt;&gt;""),$E:$E))*($E296&lt;=$E297)*($E296&gt;INDEX(_xlfn.ANCHORARRAY(Sintesi!$C$14),1,$C296))*($E296&lt;=INDEX(_xlfn.ANCHORARRAY(Sintesi!$C$15),1,$C296))*(INDEX(_xlfn.ANCHORARRAY(Sintesi!$C$15),1,$C296)&gt;0),1,IF(($E296&gt;=LOOKUP(2,1/($E:$E&lt;&gt;""),$E:$E))*($E296&lt;=$E297)*($E296&gt;INDEX(_xlfn.ANCHORARRAY(Sintesi!$C$14),1,$C296))*($E296&lt;INDEX(_xlfn.ANCHORARRAY(Sintesi!$C$16),1,$C296))*(INDEX(_xlfn.ANCHORARRAY(Sintesi!$C$15),1,$C296)&lt;0)+($E296&gt;=LOOKUP(2,1/($E:$E&lt;&gt;""),$E:$E))*($E296&lt;=$E297)*($E296&gt;INDEX(_xlfn.ANCHORARRAY(Sintesi!$C$15),1,$C296))*($E296&lt;INDEX(_xlfn.ANCHORARRAY(Sintesi!$C$16),1,$C296))*(INDEX(_xlfn.ANCHORARRAY(Sintesi!$C$15),1,$C296)&gt;0),2,IF($E296=(INDEX(_xlfn.ANCHORARRAY(Sintesi!$C$16),1,$C296)),3,4)))),0)))</f>
        <v>0</v>
      </c>
      <c r="E296" s="1">
        <f>'Paste cell here'!F296</f>
        <v>0</v>
      </c>
      <c r="F296" s="1">
        <f>'Paste cell here'!C296</f>
        <v>20.3926759</v>
      </c>
      <c r="G296" s="1">
        <f>'Paste cell here'!D296</f>
        <v>9.7332650730000001</v>
      </c>
      <c r="H296" s="1">
        <f>'Paste cell here'!E296</f>
        <v>1.205969716</v>
      </c>
      <c r="I296" s="1">
        <f>'Paste cell here'!X296</f>
        <v>0</v>
      </c>
      <c r="J296" s="1">
        <f>'Paste cell here'!Y296+'Paste cell here'!S296</f>
        <v>0</v>
      </c>
      <c r="K296" s="1">
        <f t="shared" si="9"/>
        <v>0</v>
      </c>
      <c r="L296" s="1">
        <f t="shared" si="8"/>
        <v>16.527786366406751</v>
      </c>
      <c r="M296" s="1" cm="1">
        <f t="array" ref="M296">IF(AND(A296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,A296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),IF(L296&lt;_xlfn.IFNA(INDEX(_xlfn.ANCHORARRAY(Sintesi!$C$17)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,1,IF(L296&gt;=_xlfn.IFNA(INDEX(_xlfn.ANCHORARRAY(Sintesi!$C$18)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,0,1-(L296-_xlfn.IFNA(INDEX(_xlfn.ANCHORARRAY(Sintesi!$C$17)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)/(_xlfn.IFNA(INDEX(_xlfn.ANCHORARRAY(Sintesi!$C$18)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-_xlfn.IFNA(INDEX(_xlfn.ANCHORARRAY(Sintesi!$C$17),1,MATCH(1,(_xlfn.ANCHORARRAY(Sintesi!$C$9)&gt;_xlfn.ANCHORARRAY(Sintesi!$C$10))*(A295&gt;=_xlfn.ANCHORARRAY(Sintesi!$C$9))+(_xlfn.ANCHORARRAY(Sintesi!$C$9)&gt;_xlfn.ANCHORARRAY(Sintesi!$C$10))*(A295&lt;=_xlfn.ANCHORARRAY(Sintesi!$C$10))+(_xlfn.ANCHORARRAY(Sintesi!$C$9)&lt;_xlfn.ANCHORARRAY(Sintesi!$C$10))*(A295&gt;=_xlfn.ANCHORARRAY(Sintesi!$C$9))*(A295&lt;=_xlfn.ANCHORARRAY(Sintesi!$C$10)),0)),0)))),0)</f>
        <v>0</v>
      </c>
    </row>
    <row r="297" spans="1:13">
      <c r="A297" s="1">
        <f>'Paste cell here'!A297</f>
        <v>296</v>
      </c>
      <c r="B297" s="2">
        <f>DATE(Sintesi!$C$4-1,12,31)+A297</f>
        <v>44492</v>
      </c>
      <c r="C297" s="34" cm="1">
        <f t="array" ref="C297">_xlfn.IFNA(MATCH(1,(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)*(_xlfn.ANCHORARRAY(Sintesi!$C$15)&gt;=0)+(_xlfn.ANCHORARRAY(Sintesi!$C$15)&lt;0),0),0)</f>
        <v>0</v>
      </c>
      <c r="D297" s="1" cm="1">
        <f t="array" ref="D297">IF(ISBLANK($E298),IF(ISNUMBER($E296),IF($C297&gt;0,IF(($E297=INDEX(_xlfn.ANCHORARRAY(Sintesi!$C$14),1,$C297))*(INDEX(_xlfn.ANCHORARRAY(Sintesi!$C$15),1,$C297)&gt;0),0,IF(($E297=INDEX(_xlfn.ANCHORARRAY(Sintesi!$C$14),1,$C297))*(INDEX(_xlfn.ANCHORARRAY(Sintesi!$C$15),1,$C297)&lt;0)+($E297&gt;=$E296)*($E297&lt;=INDEX($E:$E,MATCH(TRUE,INDEX((ISNUMBER($E:$E)),0),0)))*($E297&gt;INDEX(_xlfn.ANCHORARRAY(Sintesi!$C$14),1,$C297))*($E297&lt;=INDEX(_xlfn.ANCHORARRAY(Sintesi!$C$15),1,$C297))*(INDEX(_xlfn.ANCHORARRAY(Sintesi!$C$15),1,$C297)&gt;0),1,IF(($E297&gt;=$E296)*($E297&lt;=INDEX($E:$E,MATCH(TRUE,INDEX((ISNUMBER($E:$E)),0),0)))*($E297&gt;INDEX(_xlfn.ANCHORARRAY(Sintesi!$C$14),1,$C297))*($E297&lt;INDEX(_xlfn.ANCHORARRAY(Sintesi!$C$16),1,$C297))*(INDEX(_xlfn.ANCHORARRAY(Sintesi!$C$15),1,$C297)&lt;0)+($E297&gt;=$E296)*($E297&lt;=INDEX($E:$E,MATCH(TRUE,INDEX((ISNUMBER($E:$E)),0),0)))*($E297&gt;INDEX(_xlfn.ANCHORARRAY(Sintesi!$C$15),1,$C297))*($E297&lt;INDEX(_xlfn.ANCHORARRAY(Sintesi!$C$16),1,$C297))*(INDEX(_xlfn.ANCHORARRAY(Sintesi!$C$15),1,$C297)&gt;0),2,IF($E297=(INDEX(_xlfn.ANCHORARRAY(Sintesi!$C$16),1,$C297)),3,4)))),0),IF($C297&gt;0,IF(($E297=INDEX(_xlfn.ANCHORARRAY(Sintesi!$C$14),1,$C297))*(INDEX(_xlfn.ANCHORARRAY(Sintesi!$C$15),1,$C297)&gt;0),0,IF(($E297=INDEX(_xlfn.ANCHORARRAY(Sintesi!$C$14),1,$C297))*(INDEX(_xlfn.ANCHORARRAY(Sintesi!$C$15),1,$C297)&lt;0)+($E297&gt;=LOOKUP(2,1/($E:$E&lt;&gt;""),$E:$E))*($E297&lt;=INDEX($E:$E,MATCH(TRUE,INDEX((ISNUMBER($E:$E)),0),0)))*($E297&gt;INDEX(_xlfn.ANCHORARRAY(Sintesi!$C$14),1,$C297))*($E297&lt;=INDEX(_xlfn.ANCHORARRAY(Sintesi!$C$15),1,$C297))*(INDEX(_xlfn.ANCHORARRAY(Sintesi!$C$15),1,$C297)&gt;0),1,IF(($E297&gt;=LOOKUP(2,1/($E:$E&lt;&gt;""),$E:$E))*($E297&lt;=INDEX($E:$E,MATCH(TRUE,INDEX((ISNUMBER($E:$E)),0),0)))*($E297&gt;INDEX(_xlfn.ANCHORARRAY(Sintesi!$C$14),1,$C297))*($E297&lt;INDEX(_xlfn.ANCHORARRAY(Sintesi!$C$16),1,$C297))*(INDEX(_xlfn.ANCHORARRAY(Sintesi!$C$15),1,$C297)&lt;0)+($E297&gt;=LOOKUP(2,1/($E:$E&lt;&gt;""),$E:$E))*($E297&lt;=INDEX($E:$E,MATCH(TRUE,INDEX((ISNUMBER($E:$E)),0),0)))*($E297&gt;INDEX(_xlfn.ANCHORARRAY(Sintesi!$C$15),1,$C297))*($E297&lt;INDEX(_xlfn.ANCHORARRAY(Sintesi!$C$16),1,$C297))*(INDEX(_xlfn.ANCHORARRAY(Sintesi!$C$15),1,$C297)&gt;0),2,IF($E297=(INDEX(_xlfn.ANCHORARRAY(Sintesi!$C$16),1,$C297)),3,4)))),0)),IF(ISNUMBER($E296),IF($C297&gt;0,IF(($E297=INDEX(_xlfn.ANCHORARRAY(Sintesi!$C$14),1,$C297))*(INDEX(_xlfn.ANCHORARRAY(Sintesi!$C$15),1,$C297)&gt;0),0,IF(($E297=INDEX(_xlfn.ANCHORARRAY(Sintesi!$C$14),1,$C297))*(INDEX(_xlfn.ANCHORARRAY(Sintesi!$C$15),1,$C297)&lt;0)+($E297&gt;=$E296)*($E297&lt;=$E298)*($E297&gt;INDEX(_xlfn.ANCHORARRAY(Sintesi!$C$14),1,$C297))*($E297&lt;=INDEX(_xlfn.ANCHORARRAY(Sintesi!$C$15),1,$C297))*(INDEX(_xlfn.ANCHORARRAY(Sintesi!$C$15),1,$C297)&gt;0),1,IF(($E297&gt;=$E296)*($E297&lt;=$E298)*($E297&gt;INDEX(_xlfn.ANCHORARRAY(Sintesi!$C$14),1,$C297))*($E297&lt;INDEX(_xlfn.ANCHORARRAY(Sintesi!$C$16),1,$C297))*(INDEX(_xlfn.ANCHORARRAY(Sintesi!$C$15),1,$C297)&lt;0)+($E297&gt;=$E296)*($E297&lt;=$E298)*($E297&gt;INDEX(_xlfn.ANCHORARRAY(Sintesi!$C$15),1,$C297))*($E297&lt;INDEX(_xlfn.ANCHORARRAY(Sintesi!$C$16),1,$C297))*(INDEX(_xlfn.ANCHORARRAY(Sintesi!$C$15),1,$C297)&gt;0),2,IF($E297=(INDEX(_xlfn.ANCHORARRAY(Sintesi!$C$16),1,$C297)),3,4)))),0),IF($C297&gt;0,IF(($E297=INDEX(_xlfn.ANCHORARRAY(Sintesi!$C$14),1,$C297))*(INDEX(_xlfn.ANCHORARRAY(Sintesi!$C$15),1,$C297)&gt;0),0,IF(($E297=INDEX(_xlfn.ANCHORARRAY(Sintesi!$C$14),1,$C297))*(INDEX(_xlfn.ANCHORARRAY(Sintesi!$C$15),1,$C297)&lt;0)+($E297&gt;=LOOKUP(2,1/($E:$E&lt;&gt;""),$E:$E))*($E297&lt;=$E298)*($E297&gt;INDEX(_xlfn.ANCHORARRAY(Sintesi!$C$14),1,$C297))*($E297&lt;=INDEX(_xlfn.ANCHORARRAY(Sintesi!$C$15),1,$C297))*(INDEX(_xlfn.ANCHORARRAY(Sintesi!$C$15),1,$C297)&gt;0),1,IF(($E297&gt;=LOOKUP(2,1/($E:$E&lt;&gt;""),$E:$E))*($E297&lt;=$E298)*($E297&gt;INDEX(_xlfn.ANCHORARRAY(Sintesi!$C$14),1,$C297))*($E297&lt;INDEX(_xlfn.ANCHORARRAY(Sintesi!$C$16),1,$C297))*(INDEX(_xlfn.ANCHORARRAY(Sintesi!$C$15),1,$C297)&lt;0)+($E297&gt;=LOOKUP(2,1/($E:$E&lt;&gt;""),$E:$E))*($E297&lt;=$E298)*($E297&gt;INDEX(_xlfn.ANCHORARRAY(Sintesi!$C$15),1,$C297))*($E297&lt;INDEX(_xlfn.ANCHORARRAY(Sintesi!$C$16),1,$C297))*(INDEX(_xlfn.ANCHORARRAY(Sintesi!$C$15),1,$C297)&gt;0),2,IF($E297=(INDEX(_xlfn.ANCHORARRAY(Sintesi!$C$16),1,$C297)),3,4)))),0)))</f>
        <v>0</v>
      </c>
      <c r="E297" s="1">
        <f>'Paste cell here'!F297</f>
        <v>0</v>
      </c>
      <c r="F297" s="1">
        <f>'Paste cell here'!C297</f>
        <v>19.238750589999999</v>
      </c>
      <c r="G297" s="1">
        <f>'Paste cell here'!D297</f>
        <v>9.6073241009999997</v>
      </c>
      <c r="H297" s="1">
        <f>'Paste cell here'!E297</f>
        <v>1.0784246129999999</v>
      </c>
      <c r="I297" s="1">
        <f>'Paste cell here'!X297</f>
        <v>0</v>
      </c>
      <c r="J297" s="1">
        <f>'Paste cell here'!Y297+'Paste cell here'!S297</f>
        <v>0</v>
      </c>
      <c r="K297" s="1">
        <f t="shared" si="9"/>
        <v>0</v>
      </c>
      <c r="L297" s="1">
        <f t="shared" si="8"/>
        <v>15.746587652005294</v>
      </c>
      <c r="M297" s="1" cm="1">
        <f t="array" ref="M297">IF(AND(A297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,A297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),IF(L297&lt;_xlfn.IFNA(INDEX(_xlfn.ANCHORARRAY(Sintesi!$C$17)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,1,IF(L297&gt;=_xlfn.IFNA(INDEX(_xlfn.ANCHORARRAY(Sintesi!$C$18)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,0,1-(L297-_xlfn.IFNA(INDEX(_xlfn.ANCHORARRAY(Sintesi!$C$17)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)/(_xlfn.IFNA(INDEX(_xlfn.ANCHORARRAY(Sintesi!$C$18)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-_xlfn.IFNA(INDEX(_xlfn.ANCHORARRAY(Sintesi!$C$17),1,MATCH(1,(_xlfn.ANCHORARRAY(Sintesi!$C$9)&gt;_xlfn.ANCHORARRAY(Sintesi!$C$10))*(A296&gt;=_xlfn.ANCHORARRAY(Sintesi!$C$9))+(_xlfn.ANCHORARRAY(Sintesi!$C$9)&gt;_xlfn.ANCHORARRAY(Sintesi!$C$10))*(A296&lt;=_xlfn.ANCHORARRAY(Sintesi!$C$10))+(_xlfn.ANCHORARRAY(Sintesi!$C$9)&lt;_xlfn.ANCHORARRAY(Sintesi!$C$10))*(A296&gt;=_xlfn.ANCHORARRAY(Sintesi!$C$9))*(A296&lt;=_xlfn.ANCHORARRAY(Sintesi!$C$10)),0)),0)))),0)</f>
        <v>0</v>
      </c>
    </row>
    <row r="298" spans="1:13">
      <c r="A298" s="1">
        <f>'Paste cell here'!A298</f>
        <v>297</v>
      </c>
      <c r="B298" s="2">
        <f>DATE(Sintesi!$C$4-1,12,31)+A298</f>
        <v>44493</v>
      </c>
      <c r="C298" s="34" cm="1">
        <f t="array" ref="C298">_xlfn.IFNA(MATCH(1,(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)*(_xlfn.ANCHORARRAY(Sintesi!$C$15)&gt;=0)+(_xlfn.ANCHORARRAY(Sintesi!$C$15)&lt;0),0),0)</f>
        <v>0</v>
      </c>
      <c r="D298" s="1" cm="1">
        <f t="array" ref="D298">IF(ISBLANK($E299),IF(ISNUMBER($E297),IF($C298&gt;0,IF(($E298=INDEX(_xlfn.ANCHORARRAY(Sintesi!$C$14),1,$C298))*(INDEX(_xlfn.ANCHORARRAY(Sintesi!$C$15),1,$C298)&gt;0),0,IF(($E298=INDEX(_xlfn.ANCHORARRAY(Sintesi!$C$14),1,$C298))*(INDEX(_xlfn.ANCHORARRAY(Sintesi!$C$15),1,$C298)&lt;0)+($E298&gt;=$E297)*($E298&lt;=INDEX($E:$E,MATCH(TRUE,INDEX((ISNUMBER($E:$E)),0),0)))*($E298&gt;INDEX(_xlfn.ANCHORARRAY(Sintesi!$C$14),1,$C298))*($E298&lt;=INDEX(_xlfn.ANCHORARRAY(Sintesi!$C$15),1,$C298))*(INDEX(_xlfn.ANCHORARRAY(Sintesi!$C$15),1,$C298)&gt;0),1,IF(($E298&gt;=$E297)*($E298&lt;=INDEX($E:$E,MATCH(TRUE,INDEX((ISNUMBER($E:$E)),0),0)))*($E298&gt;INDEX(_xlfn.ANCHORARRAY(Sintesi!$C$14),1,$C298))*($E298&lt;INDEX(_xlfn.ANCHORARRAY(Sintesi!$C$16),1,$C298))*(INDEX(_xlfn.ANCHORARRAY(Sintesi!$C$15),1,$C298)&lt;0)+($E298&gt;=$E297)*($E298&lt;=INDEX($E:$E,MATCH(TRUE,INDEX((ISNUMBER($E:$E)),0),0)))*($E298&gt;INDEX(_xlfn.ANCHORARRAY(Sintesi!$C$15),1,$C298))*($E298&lt;INDEX(_xlfn.ANCHORARRAY(Sintesi!$C$16),1,$C298))*(INDEX(_xlfn.ANCHORARRAY(Sintesi!$C$15),1,$C298)&gt;0),2,IF($E298=(INDEX(_xlfn.ANCHORARRAY(Sintesi!$C$16),1,$C298)),3,4)))),0),IF($C298&gt;0,IF(($E298=INDEX(_xlfn.ANCHORARRAY(Sintesi!$C$14),1,$C298))*(INDEX(_xlfn.ANCHORARRAY(Sintesi!$C$15),1,$C298)&gt;0),0,IF(($E298=INDEX(_xlfn.ANCHORARRAY(Sintesi!$C$14),1,$C298))*(INDEX(_xlfn.ANCHORARRAY(Sintesi!$C$15),1,$C298)&lt;0)+($E298&gt;=LOOKUP(2,1/($E:$E&lt;&gt;""),$E:$E))*($E298&lt;=INDEX($E:$E,MATCH(TRUE,INDEX((ISNUMBER($E:$E)),0),0)))*($E298&gt;INDEX(_xlfn.ANCHORARRAY(Sintesi!$C$14),1,$C298))*($E298&lt;=INDEX(_xlfn.ANCHORARRAY(Sintesi!$C$15),1,$C298))*(INDEX(_xlfn.ANCHORARRAY(Sintesi!$C$15),1,$C298)&gt;0),1,IF(($E298&gt;=LOOKUP(2,1/($E:$E&lt;&gt;""),$E:$E))*($E298&lt;=INDEX($E:$E,MATCH(TRUE,INDEX((ISNUMBER($E:$E)),0),0)))*($E298&gt;INDEX(_xlfn.ANCHORARRAY(Sintesi!$C$14),1,$C298))*($E298&lt;INDEX(_xlfn.ANCHORARRAY(Sintesi!$C$16),1,$C298))*(INDEX(_xlfn.ANCHORARRAY(Sintesi!$C$15),1,$C298)&lt;0)+($E298&gt;=LOOKUP(2,1/($E:$E&lt;&gt;""),$E:$E))*($E298&lt;=INDEX($E:$E,MATCH(TRUE,INDEX((ISNUMBER($E:$E)),0),0)))*($E298&gt;INDEX(_xlfn.ANCHORARRAY(Sintesi!$C$15),1,$C298))*($E298&lt;INDEX(_xlfn.ANCHORARRAY(Sintesi!$C$16),1,$C298))*(INDEX(_xlfn.ANCHORARRAY(Sintesi!$C$15),1,$C298)&gt;0),2,IF($E298=(INDEX(_xlfn.ANCHORARRAY(Sintesi!$C$16),1,$C298)),3,4)))),0)),IF(ISNUMBER($E297),IF($C298&gt;0,IF(($E298=INDEX(_xlfn.ANCHORARRAY(Sintesi!$C$14),1,$C298))*(INDEX(_xlfn.ANCHORARRAY(Sintesi!$C$15),1,$C298)&gt;0),0,IF(($E298=INDEX(_xlfn.ANCHORARRAY(Sintesi!$C$14),1,$C298))*(INDEX(_xlfn.ANCHORARRAY(Sintesi!$C$15),1,$C298)&lt;0)+($E298&gt;=$E297)*($E298&lt;=$E299)*($E298&gt;INDEX(_xlfn.ANCHORARRAY(Sintesi!$C$14),1,$C298))*($E298&lt;=INDEX(_xlfn.ANCHORARRAY(Sintesi!$C$15),1,$C298))*(INDEX(_xlfn.ANCHORARRAY(Sintesi!$C$15),1,$C298)&gt;0),1,IF(($E298&gt;=$E297)*($E298&lt;=$E299)*($E298&gt;INDEX(_xlfn.ANCHORARRAY(Sintesi!$C$14),1,$C298))*($E298&lt;INDEX(_xlfn.ANCHORARRAY(Sintesi!$C$16),1,$C298))*(INDEX(_xlfn.ANCHORARRAY(Sintesi!$C$15),1,$C298)&lt;0)+($E298&gt;=$E297)*($E298&lt;=$E299)*($E298&gt;INDEX(_xlfn.ANCHORARRAY(Sintesi!$C$15),1,$C298))*($E298&lt;INDEX(_xlfn.ANCHORARRAY(Sintesi!$C$16),1,$C298))*(INDEX(_xlfn.ANCHORARRAY(Sintesi!$C$15),1,$C298)&gt;0),2,IF($E298=(INDEX(_xlfn.ANCHORARRAY(Sintesi!$C$16),1,$C298)),3,4)))),0),IF($C298&gt;0,IF(($E298=INDEX(_xlfn.ANCHORARRAY(Sintesi!$C$14),1,$C298))*(INDEX(_xlfn.ANCHORARRAY(Sintesi!$C$15),1,$C298)&gt;0),0,IF(($E298=INDEX(_xlfn.ANCHORARRAY(Sintesi!$C$14),1,$C298))*(INDEX(_xlfn.ANCHORARRAY(Sintesi!$C$15),1,$C298)&lt;0)+($E298&gt;=LOOKUP(2,1/($E:$E&lt;&gt;""),$E:$E))*($E298&lt;=$E299)*($E298&gt;INDEX(_xlfn.ANCHORARRAY(Sintesi!$C$14),1,$C298))*($E298&lt;=INDEX(_xlfn.ANCHORARRAY(Sintesi!$C$15),1,$C298))*(INDEX(_xlfn.ANCHORARRAY(Sintesi!$C$15),1,$C298)&gt;0),1,IF(($E298&gt;=LOOKUP(2,1/($E:$E&lt;&gt;""),$E:$E))*($E298&lt;=$E299)*($E298&gt;INDEX(_xlfn.ANCHORARRAY(Sintesi!$C$14),1,$C298))*($E298&lt;INDEX(_xlfn.ANCHORARRAY(Sintesi!$C$16),1,$C298))*(INDEX(_xlfn.ANCHORARRAY(Sintesi!$C$15),1,$C298)&lt;0)+($E298&gt;=LOOKUP(2,1/($E:$E&lt;&gt;""),$E:$E))*($E298&lt;=$E299)*($E298&gt;INDEX(_xlfn.ANCHORARRAY(Sintesi!$C$15),1,$C298))*($E298&lt;INDEX(_xlfn.ANCHORARRAY(Sintesi!$C$16),1,$C298))*(INDEX(_xlfn.ANCHORARRAY(Sintesi!$C$15),1,$C298)&gt;0),2,IF($E298=(INDEX(_xlfn.ANCHORARRAY(Sintesi!$C$16),1,$C298)),3,4)))),0)))</f>
        <v>0</v>
      </c>
      <c r="E298" s="1">
        <f>'Paste cell here'!F298</f>
        <v>0</v>
      </c>
      <c r="F298" s="1">
        <f>'Paste cell here'!C298</f>
        <v>17.427984330000001</v>
      </c>
      <c r="G298" s="1">
        <f>'Paste cell here'!D298</f>
        <v>8.3507190700000002</v>
      </c>
      <c r="H298" s="1">
        <f>'Paste cell here'!E298</f>
        <v>1.260235196</v>
      </c>
      <c r="I298" s="1">
        <f>'Paste cell here'!X298</f>
        <v>0</v>
      </c>
      <c r="J298" s="1">
        <f>'Paste cell here'!Y298+'Paste cell here'!S298</f>
        <v>0</v>
      </c>
      <c r="K298" s="1">
        <f t="shared" si="9"/>
        <v>0</v>
      </c>
      <c r="L298" s="1">
        <f t="shared" si="8"/>
        <v>14.136749188920698</v>
      </c>
      <c r="M298" s="1" cm="1">
        <f t="array" ref="M298">IF(AND(A298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,A298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),IF(L298&lt;_xlfn.IFNA(INDEX(_xlfn.ANCHORARRAY(Sintesi!$C$17)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,1,IF(L298&gt;=_xlfn.IFNA(INDEX(_xlfn.ANCHORARRAY(Sintesi!$C$18)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,0,1-(L298-_xlfn.IFNA(INDEX(_xlfn.ANCHORARRAY(Sintesi!$C$17)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)/(_xlfn.IFNA(INDEX(_xlfn.ANCHORARRAY(Sintesi!$C$18)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-_xlfn.IFNA(INDEX(_xlfn.ANCHORARRAY(Sintesi!$C$17),1,MATCH(1,(_xlfn.ANCHORARRAY(Sintesi!$C$9)&gt;_xlfn.ANCHORARRAY(Sintesi!$C$10))*(A297&gt;=_xlfn.ANCHORARRAY(Sintesi!$C$9))+(_xlfn.ANCHORARRAY(Sintesi!$C$9)&gt;_xlfn.ANCHORARRAY(Sintesi!$C$10))*(A297&lt;=_xlfn.ANCHORARRAY(Sintesi!$C$10))+(_xlfn.ANCHORARRAY(Sintesi!$C$9)&lt;_xlfn.ANCHORARRAY(Sintesi!$C$10))*(A297&gt;=_xlfn.ANCHORARRAY(Sintesi!$C$9))*(A297&lt;=_xlfn.ANCHORARRAY(Sintesi!$C$10)),0)),0)))),0)</f>
        <v>0</v>
      </c>
    </row>
    <row r="299" spans="1:13">
      <c r="A299" s="1">
        <f>'Paste cell here'!A299</f>
        <v>298</v>
      </c>
      <c r="B299" s="2">
        <f>DATE(Sintesi!$C$4-1,12,31)+A299</f>
        <v>44494</v>
      </c>
      <c r="C299" s="34" cm="1">
        <f t="array" ref="C299">_xlfn.IFNA(MATCH(1,(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)*(_xlfn.ANCHORARRAY(Sintesi!$C$15)&gt;=0)+(_xlfn.ANCHORARRAY(Sintesi!$C$15)&lt;0),0),0)</f>
        <v>0</v>
      </c>
      <c r="D299" s="1" cm="1">
        <f t="array" ref="D299">IF(ISBLANK($E300),IF(ISNUMBER($E298),IF($C299&gt;0,IF(($E299=INDEX(_xlfn.ANCHORARRAY(Sintesi!$C$14),1,$C299))*(INDEX(_xlfn.ANCHORARRAY(Sintesi!$C$15),1,$C299)&gt;0),0,IF(($E299=INDEX(_xlfn.ANCHORARRAY(Sintesi!$C$14),1,$C299))*(INDEX(_xlfn.ANCHORARRAY(Sintesi!$C$15),1,$C299)&lt;0)+($E299&gt;=$E298)*($E299&lt;=INDEX($E:$E,MATCH(TRUE,INDEX((ISNUMBER($E:$E)),0),0)))*($E299&gt;INDEX(_xlfn.ANCHORARRAY(Sintesi!$C$14),1,$C299))*($E299&lt;=INDEX(_xlfn.ANCHORARRAY(Sintesi!$C$15),1,$C299))*(INDEX(_xlfn.ANCHORARRAY(Sintesi!$C$15),1,$C299)&gt;0),1,IF(($E299&gt;=$E298)*($E299&lt;=INDEX($E:$E,MATCH(TRUE,INDEX((ISNUMBER($E:$E)),0),0)))*($E299&gt;INDEX(_xlfn.ANCHORARRAY(Sintesi!$C$14),1,$C299))*($E299&lt;INDEX(_xlfn.ANCHORARRAY(Sintesi!$C$16),1,$C299))*(INDEX(_xlfn.ANCHORARRAY(Sintesi!$C$15),1,$C299)&lt;0)+($E299&gt;=$E298)*($E299&lt;=INDEX($E:$E,MATCH(TRUE,INDEX((ISNUMBER($E:$E)),0),0)))*($E299&gt;INDEX(_xlfn.ANCHORARRAY(Sintesi!$C$15),1,$C299))*($E299&lt;INDEX(_xlfn.ANCHORARRAY(Sintesi!$C$16),1,$C299))*(INDEX(_xlfn.ANCHORARRAY(Sintesi!$C$15),1,$C299)&gt;0),2,IF($E299=(INDEX(_xlfn.ANCHORARRAY(Sintesi!$C$16),1,$C299)),3,4)))),0),IF($C299&gt;0,IF(($E299=INDEX(_xlfn.ANCHORARRAY(Sintesi!$C$14),1,$C299))*(INDEX(_xlfn.ANCHORARRAY(Sintesi!$C$15),1,$C299)&gt;0),0,IF(($E299=INDEX(_xlfn.ANCHORARRAY(Sintesi!$C$14),1,$C299))*(INDEX(_xlfn.ANCHORARRAY(Sintesi!$C$15),1,$C299)&lt;0)+($E299&gt;=LOOKUP(2,1/($E:$E&lt;&gt;""),$E:$E))*($E299&lt;=INDEX($E:$E,MATCH(TRUE,INDEX((ISNUMBER($E:$E)),0),0)))*($E299&gt;INDEX(_xlfn.ANCHORARRAY(Sintesi!$C$14),1,$C299))*($E299&lt;=INDEX(_xlfn.ANCHORARRAY(Sintesi!$C$15),1,$C299))*(INDEX(_xlfn.ANCHORARRAY(Sintesi!$C$15),1,$C299)&gt;0),1,IF(($E299&gt;=LOOKUP(2,1/($E:$E&lt;&gt;""),$E:$E))*($E299&lt;=INDEX($E:$E,MATCH(TRUE,INDEX((ISNUMBER($E:$E)),0),0)))*($E299&gt;INDEX(_xlfn.ANCHORARRAY(Sintesi!$C$14),1,$C299))*($E299&lt;INDEX(_xlfn.ANCHORARRAY(Sintesi!$C$16),1,$C299))*(INDEX(_xlfn.ANCHORARRAY(Sintesi!$C$15),1,$C299)&lt;0)+($E299&gt;=LOOKUP(2,1/($E:$E&lt;&gt;""),$E:$E))*($E299&lt;=INDEX($E:$E,MATCH(TRUE,INDEX((ISNUMBER($E:$E)),0),0)))*($E299&gt;INDEX(_xlfn.ANCHORARRAY(Sintesi!$C$15),1,$C299))*($E299&lt;INDEX(_xlfn.ANCHORARRAY(Sintesi!$C$16),1,$C299))*(INDEX(_xlfn.ANCHORARRAY(Sintesi!$C$15),1,$C299)&gt;0),2,IF($E299=(INDEX(_xlfn.ANCHORARRAY(Sintesi!$C$16),1,$C299)),3,4)))),0)),IF(ISNUMBER($E298),IF($C299&gt;0,IF(($E299=INDEX(_xlfn.ANCHORARRAY(Sintesi!$C$14),1,$C299))*(INDEX(_xlfn.ANCHORARRAY(Sintesi!$C$15),1,$C299)&gt;0),0,IF(($E299=INDEX(_xlfn.ANCHORARRAY(Sintesi!$C$14),1,$C299))*(INDEX(_xlfn.ANCHORARRAY(Sintesi!$C$15),1,$C299)&lt;0)+($E299&gt;=$E298)*($E299&lt;=$E300)*($E299&gt;INDEX(_xlfn.ANCHORARRAY(Sintesi!$C$14),1,$C299))*($E299&lt;=INDEX(_xlfn.ANCHORARRAY(Sintesi!$C$15),1,$C299))*(INDEX(_xlfn.ANCHORARRAY(Sintesi!$C$15),1,$C299)&gt;0),1,IF(($E299&gt;=$E298)*($E299&lt;=$E300)*($E299&gt;INDEX(_xlfn.ANCHORARRAY(Sintesi!$C$14),1,$C299))*($E299&lt;INDEX(_xlfn.ANCHORARRAY(Sintesi!$C$16),1,$C299))*(INDEX(_xlfn.ANCHORARRAY(Sintesi!$C$15),1,$C299)&lt;0)+($E299&gt;=$E298)*($E299&lt;=$E300)*($E299&gt;INDEX(_xlfn.ANCHORARRAY(Sintesi!$C$15),1,$C299))*($E299&lt;INDEX(_xlfn.ANCHORARRAY(Sintesi!$C$16),1,$C299))*(INDEX(_xlfn.ANCHORARRAY(Sintesi!$C$15),1,$C299)&gt;0),2,IF($E299=(INDEX(_xlfn.ANCHORARRAY(Sintesi!$C$16),1,$C299)),3,4)))),0),IF($C299&gt;0,IF(($E299=INDEX(_xlfn.ANCHORARRAY(Sintesi!$C$14),1,$C299))*(INDEX(_xlfn.ANCHORARRAY(Sintesi!$C$15),1,$C299)&gt;0),0,IF(($E299=INDEX(_xlfn.ANCHORARRAY(Sintesi!$C$14),1,$C299))*(INDEX(_xlfn.ANCHORARRAY(Sintesi!$C$15),1,$C299)&lt;0)+($E299&gt;=LOOKUP(2,1/($E:$E&lt;&gt;""),$E:$E))*($E299&lt;=$E300)*($E299&gt;INDEX(_xlfn.ANCHORARRAY(Sintesi!$C$14),1,$C299))*($E299&lt;=INDEX(_xlfn.ANCHORARRAY(Sintesi!$C$15),1,$C299))*(INDEX(_xlfn.ANCHORARRAY(Sintesi!$C$15),1,$C299)&gt;0),1,IF(($E299&gt;=LOOKUP(2,1/($E:$E&lt;&gt;""),$E:$E))*($E299&lt;=$E300)*($E299&gt;INDEX(_xlfn.ANCHORARRAY(Sintesi!$C$14),1,$C299))*($E299&lt;INDEX(_xlfn.ANCHORARRAY(Sintesi!$C$16),1,$C299))*(INDEX(_xlfn.ANCHORARRAY(Sintesi!$C$15),1,$C299)&lt;0)+($E299&gt;=LOOKUP(2,1/($E:$E&lt;&gt;""),$E:$E))*($E299&lt;=$E300)*($E299&gt;INDEX(_xlfn.ANCHORARRAY(Sintesi!$C$15),1,$C299))*($E299&lt;INDEX(_xlfn.ANCHORARRAY(Sintesi!$C$16),1,$C299))*(INDEX(_xlfn.ANCHORARRAY(Sintesi!$C$15),1,$C299)&gt;0),2,IF($E299=(INDEX(_xlfn.ANCHORARRAY(Sintesi!$C$16),1,$C299)),3,4)))),0)))</f>
        <v>0</v>
      </c>
      <c r="E299" s="1">
        <f>'Paste cell here'!F299</f>
        <v>0</v>
      </c>
      <c r="F299" s="1">
        <f>'Paste cell here'!C299</f>
        <v>15.71048867</v>
      </c>
      <c r="G299" s="1">
        <f>'Paste cell here'!D299</f>
        <v>6.1539253049999996</v>
      </c>
      <c r="H299" s="1">
        <f>'Paste cell here'!E299</f>
        <v>1.062123419</v>
      </c>
      <c r="I299" s="1">
        <f>'Paste cell here'!X299</f>
        <v>0</v>
      </c>
      <c r="J299" s="1">
        <f>'Paste cell here'!Y299+'Paste cell here'!S299</f>
        <v>0</v>
      </c>
      <c r="K299" s="1">
        <f t="shared" si="9"/>
        <v>0</v>
      </c>
      <c r="L299" s="1">
        <f t="shared" si="8"/>
        <v>12.245469606005049</v>
      </c>
      <c r="M299" s="1" cm="1">
        <f t="array" ref="M299">IF(AND(A299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,A299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),IF(L299&lt;_xlfn.IFNA(INDEX(_xlfn.ANCHORARRAY(Sintesi!$C$17)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,1,IF(L299&gt;=_xlfn.IFNA(INDEX(_xlfn.ANCHORARRAY(Sintesi!$C$18)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,0,1-(L299-_xlfn.IFNA(INDEX(_xlfn.ANCHORARRAY(Sintesi!$C$17)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)/(_xlfn.IFNA(INDEX(_xlfn.ANCHORARRAY(Sintesi!$C$18)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-_xlfn.IFNA(INDEX(_xlfn.ANCHORARRAY(Sintesi!$C$17),1,MATCH(1,(_xlfn.ANCHORARRAY(Sintesi!$C$9)&gt;_xlfn.ANCHORARRAY(Sintesi!$C$10))*(A298&gt;=_xlfn.ANCHORARRAY(Sintesi!$C$9))+(_xlfn.ANCHORARRAY(Sintesi!$C$9)&gt;_xlfn.ANCHORARRAY(Sintesi!$C$10))*(A298&lt;=_xlfn.ANCHORARRAY(Sintesi!$C$10))+(_xlfn.ANCHORARRAY(Sintesi!$C$9)&lt;_xlfn.ANCHORARRAY(Sintesi!$C$10))*(A298&gt;=_xlfn.ANCHORARRAY(Sintesi!$C$9))*(A298&lt;=_xlfn.ANCHORARRAY(Sintesi!$C$10)),0)),0)))),0)</f>
        <v>0</v>
      </c>
    </row>
    <row r="300" spans="1:13">
      <c r="A300" s="1">
        <f>'Paste cell here'!A300</f>
        <v>299</v>
      </c>
      <c r="B300" s="2">
        <f>DATE(Sintesi!$C$4-1,12,31)+A300</f>
        <v>44495</v>
      </c>
      <c r="C300" s="34" cm="1">
        <f t="array" ref="C300">_xlfn.IFNA(MATCH(1,(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)*(_xlfn.ANCHORARRAY(Sintesi!$C$15)&gt;=0)+(_xlfn.ANCHORARRAY(Sintesi!$C$15)&lt;0),0),0)</f>
        <v>0</v>
      </c>
      <c r="D300" s="1" cm="1">
        <f t="array" ref="D300">IF(ISBLANK($E301),IF(ISNUMBER($E299),IF($C300&gt;0,IF(($E300=INDEX(_xlfn.ANCHORARRAY(Sintesi!$C$14),1,$C300))*(INDEX(_xlfn.ANCHORARRAY(Sintesi!$C$15),1,$C300)&gt;0),0,IF(($E300=INDEX(_xlfn.ANCHORARRAY(Sintesi!$C$14),1,$C300))*(INDEX(_xlfn.ANCHORARRAY(Sintesi!$C$15),1,$C300)&lt;0)+($E300&gt;=$E299)*($E300&lt;=INDEX($E:$E,MATCH(TRUE,INDEX((ISNUMBER($E:$E)),0),0)))*($E300&gt;INDEX(_xlfn.ANCHORARRAY(Sintesi!$C$14),1,$C300))*($E300&lt;=INDEX(_xlfn.ANCHORARRAY(Sintesi!$C$15),1,$C300))*(INDEX(_xlfn.ANCHORARRAY(Sintesi!$C$15),1,$C300)&gt;0),1,IF(($E300&gt;=$E299)*($E300&lt;=INDEX($E:$E,MATCH(TRUE,INDEX((ISNUMBER($E:$E)),0),0)))*($E300&gt;INDEX(_xlfn.ANCHORARRAY(Sintesi!$C$14),1,$C300))*($E300&lt;INDEX(_xlfn.ANCHORARRAY(Sintesi!$C$16),1,$C300))*(INDEX(_xlfn.ANCHORARRAY(Sintesi!$C$15),1,$C300)&lt;0)+($E300&gt;=$E299)*($E300&lt;=INDEX($E:$E,MATCH(TRUE,INDEX((ISNUMBER($E:$E)),0),0)))*($E300&gt;INDEX(_xlfn.ANCHORARRAY(Sintesi!$C$15),1,$C300))*($E300&lt;INDEX(_xlfn.ANCHORARRAY(Sintesi!$C$16),1,$C300))*(INDEX(_xlfn.ANCHORARRAY(Sintesi!$C$15),1,$C300)&gt;0),2,IF($E300=(INDEX(_xlfn.ANCHORARRAY(Sintesi!$C$16),1,$C300)),3,4)))),0),IF($C300&gt;0,IF(($E300=INDEX(_xlfn.ANCHORARRAY(Sintesi!$C$14),1,$C300))*(INDEX(_xlfn.ANCHORARRAY(Sintesi!$C$15),1,$C300)&gt;0),0,IF(($E300=INDEX(_xlfn.ANCHORARRAY(Sintesi!$C$14),1,$C300))*(INDEX(_xlfn.ANCHORARRAY(Sintesi!$C$15),1,$C300)&lt;0)+($E300&gt;=LOOKUP(2,1/($E:$E&lt;&gt;""),$E:$E))*($E300&lt;=INDEX($E:$E,MATCH(TRUE,INDEX((ISNUMBER($E:$E)),0),0)))*($E300&gt;INDEX(_xlfn.ANCHORARRAY(Sintesi!$C$14),1,$C300))*($E300&lt;=INDEX(_xlfn.ANCHORARRAY(Sintesi!$C$15),1,$C300))*(INDEX(_xlfn.ANCHORARRAY(Sintesi!$C$15),1,$C300)&gt;0),1,IF(($E300&gt;=LOOKUP(2,1/($E:$E&lt;&gt;""),$E:$E))*($E300&lt;=INDEX($E:$E,MATCH(TRUE,INDEX((ISNUMBER($E:$E)),0),0)))*($E300&gt;INDEX(_xlfn.ANCHORARRAY(Sintesi!$C$14),1,$C300))*($E300&lt;INDEX(_xlfn.ANCHORARRAY(Sintesi!$C$16),1,$C300))*(INDEX(_xlfn.ANCHORARRAY(Sintesi!$C$15),1,$C300)&lt;0)+($E300&gt;=LOOKUP(2,1/($E:$E&lt;&gt;""),$E:$E))*($E300&lt;=INDEX($E:$E,MATCH(TRUE,INDEX((ISNUMBER($E:$E)),0),0)))*($E300&gt;INDEX(_xlfn.ANCHORARRAY(Sintesi!$C$15),1,$C300))*($E300&lt;INDEX(_xlfn.ANCHORARRAY(Sintesi!$C$16),1,$C300))*(INDEX(_xlfn.ANCHORARRAY(Sintesi!$C$15),1,$C300)&gt;0),2,IF($E300=(INDEX(_xlfn.ANCHORARRAY(Sintesi!$C$16),1,$C300)),3,4)))),0)),IF(ISNUMBER($E299),IF($C300&gt;0,IF(($E300=INDEX(_xlfn.ANCHORARRAY(Sintesi!$C$14),1,$C300))*(INDEX(_xlfn.ANCHORARRAY(Sintesi!$C$15),1,$C300)&gt;0),0,IF(($E300=INDEX(_xlfn.ANCHORARRAY(Sintesi!$C$14),1,$C300))*(INDEX(_xlfn.ANCHORARRAY(Sintesi!$C$15),1,$C300)&lt;0)+($E300&gt;=$E299)*($E300&lt;=$E301)*($E300&gt;INDEX(_xlfn.ANCHORARRAY(Sintesi!$C$14),1,$C300))*($E300&lt;=INDEX(_xlfn.ANCHORARRAY(Sintesi!$C$15),1,$C300))*(INDEX(_xlfn.ANCHORARRAY(Sintesi!$C$15),1,$C300)&gt;0),1,IF(($E300&gt;=$E299)*($E300&lt;=$E301)*($E300&gt;INDEX(_xlfn.ANCHORARRAY(Sintesi!$C$14),1,$C300))*($E300&lt;INDEX(_xlfn.ANCHORARRAY(Sintesi!$C$16),1,$C300))*(INDEX(_xlfn.ANCHORARRAY(Sintesi!$C$15),1,$C300)&lt;0)+($E300&gt;=$E299)*($E300&lt;=$E301)*($E300&gt;INDEX(_xlfn.ANCHORARRAY(Sintesi!$C$15),1,$C300))*($E300&lt;INDEX(_xlfn.ANCHORARRAY(Sintesi!$C$16),1,$C300))*(INDEX(_xlfn.ANCHORARRAY(Sintesi!$C$15),1,$C300)&gt;0),2,IF($E300=(INDEX(_xlfn.ANCHORARRAY(Sintesi!$C$16),1,$C300)),3,4)))),0),IF($C300&gt;0,IF(($E300=INDEX(_xlfn.ANCHORARRAY(Sintesi!$C$14),1,$C300))*(INDEX(_xlfn.ANCHORARRAY(Sintesi!$C$15),1,$C300)&gt;0),0,IF(($E300=INDEX(_xlfn.ANCHORARRAY(Sintesi!$C$14),1,$C300))*(INDEX(_xlfn.ANCHORARRAY(Sintesi!$C$15),1,$C300)&lt;0)+($E300&gt;=LOOKUP(2,1/($E:$E&lt;&gt;""),$E:$E))*($E300&lt;=$E301)*($E300&gt;INDEX(_xlfn.ANCHORARRAY(Sintesi!$C$14),1,$C300))*($E300&lt;=INDEX(_xlfn.ANCHORARRAY(Sintesi!$C$15),1,$C300))*(INDEX(_xlfn.ANCHORARRAY(Sintesi!$C$15),1,$C300)&gt;0),1,IF(($E300&gt;=LOOKUP(2,1/($E:$E&lt;&gt;""),$E:$E))*($E300&lt;=$E301)*($E300&gt;INDEX(_xlfn.ANCHORARRAY(Sintesi!$C$14),1,$C300))*($E300&lt;INDEX(_xlfn.ANCHORARRAY(Sintesi!$C$16),1,$C300))*(INDEX(_xlfn.ANCHORARRAY(Sintesi!$C$15),1,$C300)&lt;0)+($E300&gt;=LOOKUP(2,1/($E:$E&lt;&gt;""),$E:$E))*($E300&lt;=$E301)*($E300&gt;INDEX(_xlfn.ANCHORARRAY(Sintesi!$C$15),1,$C300))*($E300&lt;INDEX(_xlfn.ANCHORARRAY(Sintesi!$C$16),1,$C300))*(INDEX(_xlfn.ANCHORARRAY(Sintesi!$C$15),1,$C300)&gt;0),2,IF($E300=(INDEX(_xlfn.ANCHORARRAY(Sintesi!$C$16),1,$C300)),3,4)))),0)))</f>
        <v>0</v>
      </c>
      <c r="E300" s="1">
        <f>'Paste cell here'!F300</f>
        <v>0</v>
      </c>
      <c r="F300" s="1">
        <f>'Paste cell here'!C300</f>
        <v>17.410488669999999</v>
      </c>
      <c r="G300" s="1">
        <f>'Paste cell here'!D300</f>
        <v>3.176660042</v>
      </c>
      <c r="H300" s="1">
        <f>'Paste cell here'!E300</f>
        <v>1.179148211</v>
      </c>
      <c r="I300" s="1">
        <f>'Paste cell here'!X300</f>
        <v>0</v>
      </c>
      <c r="J300" s="1">
        <f>'Paste cell here'!Y300+'Paste cell here'!S300</f>
        <v>0</v>
      </c>
      <c r="K300" s="1">
        <f t="shared" si="9"/>
        <v>0</v>
      </c>
      <c r="L300" s="1">
        <f t="shared" si="8"/>
        <v>12.249586610763032</v>
      </c>
      <c r="M300" s="1" cm="1">
        <f t="array" ref="M300">IF(AND(A300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,A300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),IF(L300&lt;_xlfn.IFNA(INDEX(_xlfn.ANCHORARRAY(Sintesi!$C$17)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,1,IF(L300&gt;=_xlfn.IFNA(INDEX(_xlfn.ANCHORARRAY(Sintesi!$C$18)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,0,1-(L300-_xlfn.IFNA(INDEX(_xlfn.ANCHORARRAY(Sintesi!$C$17)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)/(_xlfn.IFNA(INDEX(_xlfn.ANCHORARRAY(Sintesi!$C$18)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-_xlfn.IFNA(INDEX(_xlfn.ANCHORARRAY(Sintesi!$C$17),1,MATCH(1,(_xlfn.ANCHORARRAY(Sintesi!$C$9)&gt;_xlfn.ANCHORARRAY(Sintesi!$C$10))*(A299&gt;=_xlfn.ANCHORARRAY(Sintesi!$C$9))+(_xlfn.ANCHORARRAY(Sintesi!$C$9)&gt;_xlfn.ANCHORARRAY(Sintesi!$C$10))*(A299&lt;=_xlfn.ANCHORARRAY(Sintesi!$C$10))+(_xlfn.ANCHORARRAY(Sintesi!$C$9)&lt;_xlfn.ANCHORARRAY(Sintesi!$C$10))*(A299&gt;=_xlfn.ANCHORARRAY(Sintesi!$C$9))*(A299&lt;=_xlfn.ANCHORARRAY(Sintesi!$C$10)),0)),0)))),0)</f>
        <v>0</v>
      </c>
    </row>
    <row r="301" spans="1:13">
      <c r="A301" s="1">
        <f>'Paste cell here'!A301</f>
        <v>300</v>
      </c>
      <c r="B301" s="2">
        <f>DATE(Sintesi!$C$4-1,12,31)+A301</f>
        <v>44496</v>
      </c>
      <c r="C301" s="34" cm="1">
        <f t="array" ref="C301">_xlfn.IFNA(MATCH(1,(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)*(_xlfn.ANCHORARRAY(Sintesi!$C$15)&gt;=0)+(_xlfn.ANCHORARRAY(Sintesi!$C$15)&lt;0),0),0)</f>
        <v>0</v>
      </c>
      <c r="D301" s="1" cm="1">
        <f t="array" ref="D301">IF(ISBLANK($E302),IF(ISNUMBER($E300),IF($C301&gt;0,IF(($E301=INDEX(_xlfn.ANCHORARRAY(Sintesi!$C$14),1,$C301))*(INDEX(_xlfn.ANCHORARRAY(Sintesi!$C$15),1,$C301)&gt;0),0,IF(($E301=INDEX(_xlfn.ANCHORARRAY(Sintesi!$C$14),1,$C301))*(INDEX(_xlfn.ANCHORARRAY(Sintesi!$C$15),1,$C301)&lt;0)+($E301&gt;=$E300)*($E301&lt;=INDEX($E:$E,MATCH(TRUE,INDEX((ISNUMBER($E:$E)),0),0)))*($E301&gt;INDEX(_xlfn.ANCHORARRAY(Sintesi!$C$14),1,$C301))*($E301&lt;=INDEX(_xlfn.ANCHORARRAY(Sintesi!$C$15),1,$C301))*(INDEX(_xlfn.ANCHORARRAY(Sintesi!$C$15),1,$C301)&gt;0),1,IF(($E301&gt;=$E300)*($E301&lt;=INDEX($E:$E,MATCH(TRUE,INDEX((ISNUMBER($E:$E)),0),0)))*($E301&gt;INDEX(_xlfn.ANCHORARRAY(Sintesi!$C$14),1,$C301))*($E301&lt;INDEX(_xlfn.ANCHORARRAY(Sintesi!$C$16),1,$C301))*(INDEX(_xlfn.ANCHORARRAY(Sintesi!$C$15),1,$C301)&lt;0)+($E301&gt;=$E300)*($E301&lt;=INDEX($E:$E,MATCH(TRUE,INDEX((ISNUMBER($E:$E)),0),0)))*($E301&gt;INDEX(_xlfn.ANCHORARRAY(Sintesi!$C$15),1,$C301))*($E301&lt;INDEX(_xlfn.ANCHORARRAY(Sintesi!$C$16),1,$C301))*(INDEX(_xlfn.ANCHORARRAY(Sintesi!$C$15),1,$C301)&gt;0),2,IF($E301=(INDEX(_xlfn.ANCHORARRAY(Sintesi!$C$16),1,$C301)),3,4)))),0),IF($C301&gt;0,IF(($E301=INDEX(_xlfn.ANCHORARRAY(Sintesi!$C$14),1,$C301))*(INDEX(_xlfn.ANCHORARRAY(Sintesi!$C$15),1,$C301)&gt;0),0,IF(($E301=INDEX(_xlfn.ANCHORARRAY(Sintesi!$C$14),1,$C301))*(INDEX(_xlfn.ANCHORARRAY(Sintesi!$C$15),1,$C301)&lt;0)+($E301&gt;=LOOKUP(2,1/($E:$E&lt;&gt;""),$E:$E))*($E301&lt;=INDEX($E:$E,MATCH(TRUE,INDEX((ISNUMBER($E:$E)),0),0)))*($E301&gt;INDEX(_xlfn.ANCHORARRAY(Sintesi!$C$14),1,$C301))*($E301&lt;=INDEX(_xlfn.ANCHORARRAY(Sintesi!$C$15),1,$C301))*(INDEX(_xlfn.ANCHORARRAY(Sintesi!$C$15),1,$C301)&gt;0),1,IF(($E301&gt;=LOOKUP(2,1/($E:$E&lt;&gt;""),$E:$E))*($E301&lt;=INDEX($E:$E,MATCH(TRUE,INDEX((ISNUMBER($E:$E)),0),0)))*($E301&gt;INDEX(_xlfn.ANCHORARRAY(Sintesi!$C$14),1,$C301))*($E301&lt;INDEX(_xlfn.ANCHORARRAY(Sintesi!$C$16),1,$C301))*(INDEX(_xlfn.ANCHORARRAY(Sintesi!$C$15),1,$C301)&lt;0)+($E301&gt;=LOOKUP(2,1/($E:$E&lt;&gt;""),$E:$E))*($E301&lt;=INDEX($E:$E,MATCH(TRUE,INDEX((ISNUMBER($E:$E)),0),0)))*($E301&gt;INDEX(_xlfn.ANCHORARRAY(Sintesi!$C$15),1,$C301))*($E301&lt;INDEX(_xlfn.ANCHORARRAY(Sintesi!$C$16),1,$C301))*(INDEX(_xlfn.ANCHORARRAY(Sintesi!$C$15),1,$C301)&gt;0),2,IF($E301=(INDEX(_xlfn.ANCHORARRAY(Sintesi!$C$16),1,$C301)),3,4)))),0)),IF(ISNUMBER($E300),IF($C301&gt;0,IF(($E301=INDEX(_xlfn.ANCHORARRAY(Sintesi!$C$14),1,$C301))*(INDEX(_xlfn.ANCHORARRAY(Sintesi!$C$15),1,$C301)&gt;0),0,IF(($E301=INDEX(_xlfn.ANCHORARRAY(Sintesi!$C$14),1,$C301))*(INDEX(_xlfn.ANCHORARRAY(Sintesi!$C$15),1,$C301)&lt;0)+($E301&gt;=$E300)*($E301&lt;=$E302)*($E301&gt;INDEX(_xlfn.ANCHORARRAY(Sintesi!$C$14),1,$C301))*($E301&lt;=INDEX(_xlfn.ANCHORARRAY(Sintesi!$C$15),1,$C301))*(INDEX(_xlfn.ANCHORARRAY(Sintesi!$C$15),1,$C301)&gt;0),1,IF(($E301&gt;=$E300)*($E301&lt;=$E302)*($E301&gt;INDEX(_xlfn.ANCHORARRAY(Sintesi!$C$14),1,$C301))*($E301&lt;INDEX(_xlfn.ANCHORARRAY(Sintesi!$C$16),1,$C301))*(INDEX(_xlfn.ANCHORARRAY(Sintesi!$C$15),1,$C301)&lt;0)+($E301&gt;=$E300)*($E301&lt;=$E302)*($E301&gt;INDEX(_xlfn.ANCHORARRAY(Sintesi!$C$15),1,$C301))*($E301&lt;INDEX(_xlfn.ANCHORARRAY(Sintesi!$C$16),1,$C301))*(INDEX(_xlfn.ANCHORARRAY(Sintesi!$C$15),1,$C301)&gt;0),2,IF($E301=(INDEX(_xlfn.ANCHORARRAY(Sintesi!$C$16),1,$C301)),3,4)))),0),IF($C301&gt;0,IF(($E301=INDEX(_xlfn.ANCHORARRAY(Sintesi!$C$14),1,$C301))*(INDEX(_xlfn.ANCHORARRAY(Sintesi!$C$15),1,$C301)&gt;0),0,IF(($E301=INDEX(_xlfn.ANCHORARRAY(Sintesi!$C$14),1,$C301))*(INDEX(_xlfn.ANCHORARRAY(Sintesi!$C$15),1,$C301)&lt;0)+($E301&gt;=LOOKUP(2,1/($E:$E&lt;&gt;""),$E:$E))*($E301&lt;=$E302)*($E301&gt;INDEX(_xlfn.ANCHORARRAY(Sintesi!$C$14),1,$C301))*($E301&lt;=INDEX(_xlfn.ANCHORARRAY(Sintesi!$C$15),1,$C301))*(INDEX(_xlfn.ANCHORARRAY(Sintesi!$C$15),1,$C301)&gt;0),1,IF(($E301&gt;=LOOKUP(2,1/($E:$E&lt;&gt;""),$E:$E))*($E301&lt;=$E302)*($E301&gt;INDEX(_xlfn.ANCHORARRAY(Sintesi!$C$14),1,$C301))*($E301&lt;INDEX(_xlfn.ANCHORARRAY(Sintesi!$C$16),1,$C301))*(INDEX(_xlfn.ANCHORARRAY(Sintesi!$C$15),1,$C301)&lt;0)+($E301&gt;=LOOKUP(2,1/($E:$E&lt;&gt;""),$E:$E))*($E301&lt;=$E302)*($E301&gt;INDEX(_xlfn.ANCHORARRAY(Sintesi!$C$15),1,$C301))*($E301&lt;INDEX(_xlfn.ANCHORARRAY(Sintesi!$C$16),1,$C301))*(INDEX(_xlfn.ANCHORARRAY(Sintesi!$C$15),1,$C301)&gt;0),2,IF($E301=(INDEX(_xlfn.ANCHORARRAY(Sintesi!$C$16),1,$C301)),3,4)))),0)))</f>
        <v>0</v>
      </c>
      <c r="E301" s="1">
        <f>'Paste cell here'!F301</f>
        <v>0</v>
      </c>
      <c r="F301" s="1">
        <f>'Paste cell here'!C301</f>
        <v>19.727984330000002</v>
      </c>
      <c r="G301" s="1">
        <f>'Paste cell here'!D301</f>
        <v>4.4688511010000003</v>
      </c>
      <c r="H301" s="1">
        <f>'Paste cell here'!E301</f>
        <v>1.294095953</v>
      </c>
      <c r="I301" s="1">
        <f>'Paste cell here'!X301</f>
        <v>0</v>
      </c>
      <c r="J301" s="1">
        <f>'Paste cell here'!Y301+'Paste cell here'!S301</f>
        <v>0</v>
      </c>
      <c r="K301" s="1">
        <f t="shared" si="9"/>
        <v>0</v>
      </c>
      <c r="L301" s="1">
        <f t="shared" si="8"/>
        <v>14.195327294295426</v>
      </c>
      <c r="M301" s="1" cm="1">
        <f t="array" ref="M301">IF(AND(A301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,A301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),IF(L301&lt;_xlfn.IFNA(INDEX(_xlfn.ANCHORARRAY(Sintesi!$C$17)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,1,IF(L301&gt;=_xlfn.IFNA(INDEX(_xlfn.ANCHORARRAY(Sintesi!$C$18)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,0,1-(L301-_xlfn.IFNA(INDEX(_xlfn.ANCHORARRAY(Sintesi!$C$17)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)/(_xlfn.IFNA(INDEX(_xlfn.ANCHORARRAY(Sintesi!$C$18)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-_xlfn.IFNA(INDEX(_xlfn.ANCHORARRAY(Sintesi!$C$17),1,MATCH(1,(_xlfn.ANCHORARRAY(Sintesi!$C$9)&gt;_xlfn.ANCHORARRAY(Sintesi!$C$10))*(A300&gt;=_xlfn.ANCHORARRAY(Sintesi!$C$9))+(_xlfn.ANCHORARRAY(Sintesi!$C$9)&gt;_xlfn.ANCHORARRAY(Sintesi!$C$10))*(A300&lt;=_xlfn.ANCHORARRAY(Sintesi!$C$10))+(_xlfn.ANCHORARRAY(Sintesi!$C$9)&lt;_xlfn.ANCHORARRAY(Sintesi!$C$10))*(A300&gt;=_xlfn.ANCHORARRAY(Sintesi!$C$9))*(A300&lt;=_xlfn.ANCHORARRAY(Sintesi!$C$10)),0)),0)))),0)</f>
        <v>0</v>
      </c>
    </row>
    <row r="302" spans="1:13">
      <c r="A302" s="1">
        <f>'Paste cell here'!A302</f>
        <v>301</v>
      </c>
      <c r="B302" s="2">
        <f>DATE(Sintesi!$C$4-1,12,31)+A302</f>
        <v>44497</v>
      </c>
      <c r="C302" s="34" cm="1">
        <f t="array" ref="C302">_xlfn.IFNA(MATCH(1,(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)*(_xlfn.ANCHORARRAY(Sintesi!$C$15)&gt;=0)+(_xlfn.ANCHORARRAY(Sintesi!$C$15)&lt;0),0),0)</f>
        <v>0</v>
      </c>
      <c r="D302" s="1" cm="1">
        <f t="array" ref="D302">IF(ISBLANK($E303),IF(ISNUMBER($E301),IF($C302&gt;0,IF(($E302=INDEX(_xlfn.ANCHORARRAY(Sintesi!$C$14),1,$C302))*(INDEX(_xlfn.ANCHORARRAY(Sintesi!$C$15),1,$C302)&gt;0),0,IF(($E302=INDEX(_xlfn.ANCHORARRAY(Sintesi!$C$14),1,$C302))*(INDEX(_xlfn.ANCHORARRAY(Sintesi!$C$15),1,$C302)&lt;0)+($E302&gt;=$E301)*($E302&lt;=INDEX($E:$E,MATCH(TRUE,INDEX((ISNUMBER($E:$E)),0),0)))*($E302&gt;INDEX(_xlfn.ANCHORARRAY(Sintesi!$C$14),1,$C302))*($E302&lt;=INDEX(_xlfn.ANCHORARRAY(Sintesi!$C$15),1,$C302))*(INDEX(_xlfn.ANCHORARRAY(Sintesi!$C$15),1,$C302)&gt;0),1,IF(($E302&gt;=$E301)*($E302&lt;=INDEX($E:$E,MATCH(TRUE,INDEX((ISNUMBER($E:$E)),0),0)))*($E302&gt;INDEX(_xlfn.ANCHORARRAY(Sintesi!$C$14),1,$C302))*($E302&lt;INDEX(_xlfn.ANCHORARRAY(Sintesi!$C$16),1,$C302))*(INDEX(_xlfn.ANCHORARRAY(Sintesi!$C$15),1,$C302)&lt;0)+($E302&gt;=$E301)*($E302&lt;=INDEX($E:$E,MATCH(TRUE,INDEX((ISNUMBER($E:$E)),0),0)))*($E302&gt;INDEX(_xlfn.ANCHORARRAY(Sintesi!$C$15),1,$C302))*($E302&lt;INDEX(_xlfn.ANCHORARRAY(Sintesi!$C$16),1,$C302))*(INDEX(_xlfn.ANCHORARRAY(Sintesi!$C$15),1,$C302)&gt;0),2,IF($E302=(INDEX(_xlfn.ANCHORARRAY(Sintesi!$C$16),1,$C302)),3,4)))),0),IF($C302&gt;0,IF(($E302=INDEX(_xlfn.ANCHORARRAY(Sintesi!$C$14),1,$C302))*(INDEX(_xlfn.ANCHORARRAY(Sintesi!$C$15),1,$C302)&gt;0),0,IF(($E302=INDEX(_xlfn.ANCHORARRAY(Sintesi!$C$14),1,$C302))*(INDEX(_xlfn.ANCHORARRAY(Sintesi!$C$15),1,$C302)&lt;0)+($E302&gt;=LOOKUP(2,1/($E:$E&lt;&gt;""),$E:$E))*($E302&lt;=INDEX($E:$E,MATCH(TRUE,INDEX((ISNUMBER($E:$E)),0),0)))*($E302&gt;INDEX(_xlfn.ANCHORARRAY(Sintesi!$C$14),1,$C302))*($E302&lt;=INDEX(_xlfn.ANCHORARRAY(Sintesi!$C$15),1,$C302))*(INDEX(_xlfn.ANCHORARRAY(Sintesi!$C$15),1,$C302)&gt;0),1,IF(($E302&gt;=LOOKUP(2,1/($E:$E&lt;&gt;""),$E:$E))*($E302&lt;=INDEX($E:$E,MATCH(TRUE,INDEX((ISNUMBER($E:$E)),0),0)))*($E302&gt;INDEX(_xlfn.ANCHORARRAY(Sintesi!$C$14),1,$C302))*($E302&lt;INDEX(_xlfn.ANCHORARRAY(Sintesi!$C$16),1,$C302))*(INDEX(_xlfn.ANCHORARRAY(Sintesi!$C$15),1,$C302)&lt;0)+($E302&gt;=LOOKUP(2,1/($E:$E&lt;&gt;""),$E:$E))*($E302&lt;=INDEX($E:$E,MATCH(TRUE,INDEX((ISNUMBER($E:$E)),0),0)))*($E302&gt;INDEX(_xlfn.ANCHORARRAY(Sintesi!$C$15),1,$C302))*($E302&lt;INDEX(_xlfn.ANCHORARRAY(Sintesi!$C$16),1,$C302))*(INDEX(_xlfn.ANCHORARRAY(Sintesi!$C$15),1,$C302)&gt;0),2,IF($E302=(INDEX(_xlfn.ANCHORARRAY(Sintesi!$C$16),1,$C302)),3,4)))),0)),IF(ISNUMBER($E301),IF($C302&gt;0,IF(($E302=INDEX(_xlfn.ANCHORARRAY(Sintesi!$C$14),1,$C302))*(INDEX(_xlfn.ANCHORARRAY(Sintesi!$C$15),1,$C302)&gt;0),0,IF(($E302=INDEX(_xlfn.ANCHORARRAY(Sintesi!$C$14),1,$C302))*(INDEX(_xlfn.ANCHORARRAY(Sintesi!$C$15),1,$C302)&lt;0)+($E302&gt;=$E301)*($E302&lt;=$E303)*($E302&gt;INDEX(_xlfn.ANCHORARRAY(Sintesi!$C$14),1,$C302))*($E302&lt;=INDEX(_xlfn.ANCHORARRAY(Sintesi!$C$15),1,$C302))*(INDEX(_xlfn.ANCHORARRAY(Sintesi!$C$15),1,$C302)&gt;0),1,IF(($E302&gt;=$E301)*($E302&lt;=$E303)*($E302&gt;INDEX(_xlfn.ANCHORARRAY(Sintesi!$C$14),1,$C302))*($E302&lt;INDEX(_xlfn.ANCHORARRAY(Sintesi!$C$16),1,$C302))*(INDEX(_xlfn.ANCHORARRAY(Sintesi!$C$15),1,$C302)&lt;0)+($E302&gt;=$E301)*($E302&lt;=$E303)*($E302&gt;INDEX(_xlfn.ANCHORARRAY(Sintesi!$C$15),1,$C302))*($E302&lt;INDEX(_xlfn.ANCHORARRAY(Sintesi!$C$16),1,$C302))*(INDEX(_xlfn.ANCHORARRAY(Sintesi!$C$15),1,$C302)&gt;0),2,IF($E302=(INDEX(_xlfn.ANCHORARRAY(Sintesi!$C$16),1,$C302)),3,4)))),0),IF($C302&gt;0,IF(($E302=INDEX(_xlfn.ANCHORARRAY(Sintesi!$C$14),1,$C302))*(INDEX(_xlfn.ANCHORARRAY(Sintesi!$C$15),1,$C302)&gt;0),0,IF(($E302=INDEX(_xlfn.ANCHORARRAY(Sintesi!$C$14),1,$C302))*(INDEX(_xlfn.ANCHORARRAY(Sintesi!$C$15),1,$C302)&lt;0)+($E302&gt;=LOOKUP(2,1/($E:$E&lt;&gt;""),$E:$E))*($E302&lt;=$E303)*($E302&gt;INDEX(_xlfn.ANCHORARRAY(Sintesi!$C$14),1,$C302))*($E302&lt;=INDEX(_xlfn.ANCHORARRAY(Sintesi!$C$15),1,$C302))*(INDEX(_xlfn.ANCHORARRAY(Sintesi!$C$15),1,$C302)&gt;0),1,IF(($E302&gt;=LOOKUP(2,1/($E:$E&lt;&gt;""),$E:$E))*($E302&lt;=$E303)*($E302&gt;INDEX(_xlfn.ANCHORARRAY(Sintesi!$C$14),1,$C302))*($E302&lt;INDEX(_xlfn.ANCHORARRAY(Sintesi!$C$16),1,$C302))*(INDEX(_xlfn.ANCHORARRAY(Sintesi!$C$15),1,$C302)&lt;0)+($E302&gt;=LOOKUP(2,1/($E:$E&lt;&gt;""),$E:$E))*($E302&lt;=$E303)*($E302&gt;INDEX(_xlfn.ANCHORARRAY(Sintesi!$C$15),1,$C302))*($E302&lt;INDEX(_xlfn.ANCHORARRAY(Sintesi!$C$16),1,$C302))*(INDEX(_xlfn.ANCHORARRAY(Sintesi!$C$15),1,$C302)&gt;0),2,IF($E302=(INDEX(_xlfn.ANCHORARRAY(Sintesi!$C$16),1,$C302)),3,4)))),0)))</f>
        <v>0</v>
      </c>
      <c r="E302" s="1">
        <f>'Paste cell here'!F302</f>
        <v>0</v>
      </c>
      <c r="F302" s="1">
        <f>'Paste cell here'!C302</f>
        <v>18.527984329999999</v>
      </c>
      <c r="G302" s="1">
        <f>'Paste cell here'!D302</f>
        <v>3.9688511009999998</v>
      </c>
      <c r="H302" s="1">
        <f>'Paste cell here'!E302</f>
        <v>1.1284233669999999</v>
      </c>
      <c r="I302" s="1">
        <f>'Paste cell here'!X302</f>
        <v>0</v>
      </c>
      <c r="J302" s="1">
        <f>'Paste cell here'!Y302+'Paste cell here'!S302</f>
        <v>0</v>
      </c>
      <c r="K302" s="1">
        <f t="shared" si="9"/>
        <v>0</v>
      </c>
      <c r="L302" s="1">
        <f t="shared" si="8"/>
        <v>13.249133317669859</v>
      </c>
      <c r="M302" s="1" cm="1">
        <f t="array" ref="M302">IF(AND(A302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,A302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),IF(L302&lt;_xlfn.IFNA(INDEX(_xlfn.ANCHORARRAY(Sintesi!$C$17)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,1,IF(L302&gt;=_xlfn.IFNA(INDEX(_xlfn.ANCHORARRAY(Sintesi!$C$18)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,0,1-(L302-_xlfn.IFNA(INDEX(_xlfn.ANCHORARRAY(Sintesi!$C$17)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)/(_xlfn.IFNA(INDEX(_xlfn.ANCHORARRAY(Sintesi!$C$18)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-_xlfn.IFNA(INDEX(_xlfn.ANCHORARRAY(Sintesi!$C$17),1,MATCH(1,(_xlfn.ANCHORARRAY(Sintesi!$C$9)&gt;_xlfn.ANCHORARRAY(Sintesi!$C$10))*(A301&gt;=_xlfn.ANCHORARRAY(Sintesi!$C$9))+(_xlfn.ANCHORARRAY(Sintesi!$C$9)&gt;_xlfn.ANCHORARRAY(Sintesi!$C$10))*(A301&lt;=_xlfn.ANCHORARRAY(Sintesi!$C$10))+(_xlfn.ANCHORARRAY(Sintesi!$C$9)&lt;_xlfn.ANCHORARRAY(Sintesi!$C$10))*(A301&gt;=_xlfn.ANCHORARRAY(Sintesi!$C$9))*(A301&lt;=_xlfn.ANCHORARRAY(Sintesi!$C$10)),0)),0)))),0)</f>
        <v>0</v>
      </c>
    </row>
    <row r="303" spans="1:13">
      <c r="A303" s="1">
        <f>'Paste cell here'!A303</f>
        <v>302</v>
      </c>
      <c r="B303" s="2">
        <f>DATE(Sintesi!$C$4-1,12,31)+A303</f>
        <v>44498</v>
      </c>
      <c r="C303" s="34" cm="1">
        <f t="array" ref="C303">_xlfn.IFNA(MATCH(1,(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)*(_xlfn.ANCHORARRAY(Sintesi!$C$15)&gt;=0)+(_xlfn.ANCHORARRAY(Sintesi!$C$15)&lt;0),0),0)</f>
        <v>0</v>
      </c>
      <c r="D303" s="1" cm="1">
        <f t="array" ref="D303">IF(ISBLANK($E304),IF(ISNUMBER($E302),IF($C303&gt;0,IF(($E303=INDEX(_xlfn.ANCHORARRAY(Sintesi!$C$14),1,$C303))*(INDEX(_xlfn.ANCHORARRAY(Sintesi!$C$15),1,$C303)&gt;0),0,IF(($E303=INDEX(_xlfn.ANCHORARRAY(Sintesi!$C$14),1,$C303))*(INDEX(_xlfn.ANCHORARRAY(Sintesi!$C$15),1,$C303)&lt;0)+($E303&gt;=$E302)*($E303&lt;=INDEX($E:$E,MATCH(TRUE,INDEX((ISNUMBER($E:$E)),0),0)))*($E303&gt;INDEX(_xlfn.ANCHORARRAY(Sintesi!$C$14),1,$C303))*($E303&lt;=INDEX(_xlfn.ANCHORARRAY(Sintesi!$C$15),1,$C303))*(INDEX(_xlfn.ANCHORARRAY(Sintesi!$C$15),1,$C303)&gt;0),1,IF(($E303&gt;=$E302)*($E303&lt;=INDEX($E:$E,MATCH(TRUE,INDEX((ISNUMBER($E:$E)),0),0)))*($E303&gt;INDEX(_xlfn.ANCHORARRAY(Sintesi!$C$14),1,$C303))*($E303&lt;INDEX(_xlfn.ANCHORARRAY(Sintesi!$C$16),1,$C303))*(INDEX(_xlfn.ANCHORARRAY(Sintesi!$C$15),1,$C303)&lt;0)+($E303&gt;=$E302)*($E303&lt;=INDEX($E:$E,MATCH(TRUE,INDEX((ISNUMBER($E:$E)),0),0)))*($E303&gt;INDEX(_xlfn.ANCHORARRAY(Sintesi!$C$15),1,$C303))*($E303&lt;INDEX(_xlfn.ANCHORARRAY(Sintesi!$C$16),1,$C303))*(INDEX(_xlfn.ANCHORARRAY(Sintesi!$C$15),1,$C303)&gt;0),2,IF($E303=(INDEX(_xlfn.ANCHORARRAY(Sintesi!$C$16),1,$C303)),3,4)))),0),IF($C303&gt;0,IF(($E303=INDEX(_xlfn.ANCHORARRAY(Sintesi!$C$14),1,$C303))*(INDEX(_xlfn.ANCHORARRAY(Sintesi!$C$15),1,$C303)&gt;0),0,IF(($E303=INDEX(_xlfn.ANCHORARRAY(Sintesi!$C$14),1,$C303))*(INDEX(_xlfn.ANCHORARRAY(Sintesi!$C$15),1,$C303)&lt;0)+($E303&gt;=LOOKUP(2,1/($E:$E&lt;&gt;""),$E:$E))*($E303&lt;=INDEX($E:$E,MATCH(TRUE,INDEX((ISNUMBER($E:$E)),0),0)))*($E303&gt;INDEX(_xlfn.ANCHORARRAY(Sintesi!$C$14),1,$C303))*($E303&lt;=INDEX(_xlfn.ANCHORARRAY(Sintesi!$C$15),1,$C303))*(INDEX(_xlfn.ANCHORARRAY(Sintesi!$C$15),1,$C303)&gt;0),1,IF(($E303&gt;=LOOKUP(2,1/($E:$E&lt;&gt;""),$E:$E))*($E303&lt;=INDEX($E:$E,MATCH(TRUE,INDEX((ISNUMBER($E:$E)),0),0)))*($E303&gt;INDEX(_xlfn.ANCHORARRAY(Sintesi!$C$14),1,$C303))*($E303&lt;INDEX(_xlfn.ANCHORARRAY(Sintesi!$C$16),1,$C303))*(INDEX(_xlfn.ANCHORARRAY(Sintesi!$C$15),1,$C303)&lt;0)+($E303&gt;=LOOKUP(2,1/($E:$E&lt;&gt;""),$E:$E))*($E303&lt;=INDEX($E:$E,MATCH(TRUE,INDEX((ISNUMBER($E:$E)),0),0)))*($E303&gt;INDEX(_xlfn.ANCHORARRAY(Sintesi!$C$15),1,$C303))*($E303&lt;INDEX(_xlfn.ANCHORARRAY(Sintesi!$C$16),1,$C303))*(INDEX(_xlfn.ANCHORARRAY(Sintesi!$C$15),1,$C303)&gt;0),2,IF($E303=(INDEX(_xlfn.ANCHORARRAY(Sintesi!$C$16),1,$C303)),3,4)))),0)),IF(ISNUMBER($E302),IF($C303&gt;0,IF(($E303=INDEX(_xlfn.ANCHORARRAY(Sintesi!$C$14),1,$C303))*(INDEX(_xlfn.ANCHORARRAY(Sintesi!$C$15),1,$C303)&gt;0),0,IF(($E303=INDEX(_xlfn.ANCHORARRAY(Sintesi!$C$14),1,$C303))*(INDEX(_xlfn.ANCHORARRAY(Sintesi!$C$15),1,$C303)&lt;0)+($E303&gt;=$E302)*($E303&lt;=$E304)*($E303&gt;INDEX(_xlfn.ANCHORARRAY(Sintesi!$C$14),1,$C303))*($E303&lt;=INDEX(_xlfn.ANCHORARRAY(Sintesi!$C$15),1,$C303))*(INDEX(_xlfn.ANCHORARRAY(Sintesi!$C$15),1,$C303)&gt;0),1,IF(($E303&gt;=$E302)*($E303&lt;=$E304)*($E303&gt;INDEX(_xlfn.ANCHORARRAY(Sintesi!$C$14),1,$C303))*($E303&lt;INDEX(_xlfn.ANCHORARRAY(Sintesi!$C$16),1,$C303))*(INDEX(_xlfn.ANCHORARRAY(Sintesi!$C$15),1,$C303)&lt;0)+($E303&gt;=$E302)*($E303&lt;=$E304)*($E303&gt;INDEX(_xlfn.ANCHORARRAY(Sintesi!$C$15),1,$C303))*($E303&lt;INDEX(_xlfn.ANCHORARRAY(Sintesi!$C$16),1,$C303))*(INDEX(_xlfn.ANCHORARRAY(Sintesi!$C$15),1,$C303)&gt;0),2,IF($E303=(INDEX(_xlfn.ANCHORARRAY(Sintesi!$C$16),1,$C303)),3,4)))),0),IF($C303&gt;0,IF(($E303=INDEX(_xlfn.ANCHORARRAY(Sintesi!$C$14),1,$C303))*(INDEX(_xlfn.ANCHORARRAY(Sintesi!$C$15),1,$C303)&gt;0),0,IF(($E303=INDEX(_xlfn.ANCHORARRAY(Sintesi!$C$14),1,$C303))*(INDEX(_xlfn.ANCHORARRAY(Sintesi!$C$15),1,$C303)&lt;0)+($E303&gt;=LOOKUP(2,1/($E:$E&lt;&gt;""),$E:$E))*($E303&lt;=$E304)*($E303&gt;INDEX(_xlfn.ANCHORARRAY(Sintesi!$C$14),1,$C303))*($E303&lt;=INDEX(_xlfn.ANCHORARRAY(Sintesi!$C$15),1,$C303))*(INDEX(_xlfn.ANCHORARRAY(Sintesi!$C$15),1,$C303)&gt;0),1,IF(($E303&gt;=LOOKUP(2,1/($E:$E&lt;&gt;""),$E:$E))*($E303&lt;=$E304)*($E303&gt;INDEX(_xlfn.ANCHORARRAY(Sintesi!$C$14),1,$C303))*($E303&lt;INDEX(_xlfn.ANCHORARRAY(Sintesi!$C$16),1,$C303))*(INDEX(_xlfn.ANCHORARRAY(Sintesi!$C$15),1,$C303)&lt;0)+($E303&gt;=LOOKUP(2,1/($E:$E&lt;&gt;""),$E:$E))*($E303&lt;=$E304)*($E303&gt;INDEX(_xlfn.ANCHORARRAY(Sintesi!$C$15),1,$C303))*($E303&lt;INDEX(_xlfn.ANCHORARRAY(Sintesi!$C$16),1,$C303))*(INDEX(_xlfn.ANCHORARRAY(Sintesi!$C$15),1,$C303)&gt;0),2,IF($E303=(INDEX(_xlfn.ANCHORARRAY(Sintesi!$C$16),1,$C303)),3,4)))),0)))</f>
        <v>0</v>
      </c>
      <c r="E303" s="1">
        <f>'Paste cell here'!F303</f>
        <v>0</v>
      </c>
      <c r="F303" s="1">
        <f>'Paste cell here'!C303</f>
        <v>17.764055200000001</v>
      </c>
      <c r="G303" s="1">
        <f>'Paste cell here'!D303</f>
        <v>4.815284568</v>
      </c>
      <c r="H303" s="1">
        <f>'Paste cell here'!E303</f>
        <v>1.0688510849999999</v>
      </c>
      <c r="I303" s="1">
        <f>'Paste cell here'!X303</f>
        <v>0</v>
      </c>
      <c r="J303" s="1">
        <f>'Paste cell here'!Y303+'Paste cell here'!S303</f>
        <v>0</v>
      </c>
      <c r="K303" s="1">
        <f t="shared" si="9"/>
        <v>0</v>
      </c>
      <c r="L303" s="1">
        <f t="shared" si="8"/>
        <v>13.06908951186343</v>
      </c>
      <c r="M303" s="1" cm="1">
        <f t="array" ref="M303">IF(AND(A303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,A303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),IF(L303&lt;_xlfn.IFNA(INDEX(_xlfn.ANCHORARRAY(Sintesi!$C$17)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,1,IF(L303&gt;=_xlfn.IFNA(INDEX(_xlfn.ANCHORARRAY(Sintesi!$C$18)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,0,1-(L303-_xlfn.IFNA(INDEX(_xlfn.ANCHORARRAY(Sintesi!$C$17)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)/(_xlfn.IFNA(INDEX(_xlfn.ANCHORARRAY(Sintesi!$C$18)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-_xlfn.IFNA(INDEX(_xlfn.ANCHORARRAY(Sintesi!$C$17),1,MATCH(1,(_xlfn.ANCHORARRAY(Sintesi!$C$9)&gt;_xlfn.ANCHORARRAY(Sintesi!$C$10))*(A302&gt;=_xlfn.ANCHORARRAY(Sintesi!$C$9))+(_xlfn.ANCHORARRAY(Sintesi!$C$9)&gt;_xlfn.ANCHORARRAY(Sintesi!$C$10))*(A302&lt;=_xlfn.ANCHORARRAY(Sintesi!$C$10))+(_xlfn.ANCHORARRAY(Sintesi!$C$9)&lt;_xlfn.ANCHORARRAY(Sintesi!$C$10))*(A302&gt;=_xlfn.ANCHORARRAY(Sintesi!$C$9))*(A302&lt;=_xlfn.ANCHORARRAY(Sintesi!$C$10)),0)),0)))),0)</f>
        <v>0</v>
      </c>
    </row>
    <row r="304" spans="1:13">
      <c r="A304" s="1">
        <f>'Paste cell here'!A304</f>
        <v>303</v>
      </c>
      <c r="B304" s="2">
        <f>DATE(Sintesi!$C$4-1,12,31)+A304</f>
        <v>44499</v>
      </c>
      <c r="C304" s="34" cm="1">
        <f t="array" ref="C304">_xlfn.IFNA(MATCH(1,(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)*(_xlfn.ANCHORARRAY(Sintesi!$C$15)&gt;=0)+(_xlfn.ANCHORARRAY(Sintesi!$C$15)&lt;0),0),0)</f>
        <v>0</v>
      </c>
      <c r="D304" s="1" cm="1">
        <f t="array" ref="D304">IF(ISBLANK($E305),IF(ISNUMBER($E303),IF($C304&gt;0,IF(($E304=INDEX(_xlfn.ANCHORARRAY(Sintesi!$C$14),1,$C304))*(INDEX(_xlfn.ANCHORARRAY(Sintesi!$C$15),1,$C304)&gt;0),0,IF(($E304=INDEX(_xlfn.ANCHORARRAY(Sintesi!$C$14),1,$C304))*(INDEX(_xlfn.ANCHORARRAY(Sintesi!$C$15),1,$C304)&lt;0)+($E304&gt;=$E303)*($E304&lt;=INDEX($E:$E,MATCH(TRUE,INDEX((ISNUMBER($E:$E)),0),0)))*($E304&gt;INDEX(_xlfn.ANCHORARRAY(Sintesi!$C$14),1,$C304))*($E304&lt;=INDEX(_xlfn.ANCHORARRAY(Sintesi!$C$15),1,$C304))*(INDEX(_xlfn.ANCHORARRAY(Sintesi!$C$15),1,$C304)&gt;0),1,IF(($E304&gt;=$E303)*($E304&lt;=INDEX($E:$E,MATCH(TRUE,INDEX((ISNUMBER($E:$E)),0),0)))*($E304&gt;INDEX(_xlfn.ANCHORARRAY(Sintesi!$C$14),1,$C304))*($E304&lt;INDEX(_xlfn.ANCHORARRAY(Sintesi!$C$16),1,$C304))*(INDEX(_xlfn.ANCHORARRAY(Sintesi!$C$15),1,$C304)&lt;0)+($E304&gt;=$E303)*($E304&lt;=INDEX($E:$E,MATCH(TRUE,INDEX((ISNUMBER($E:$E)),0),0)))*($E304&gt;INDEX(_xlfn.ANCHORARRAY(Sintesi!$C$15),1,$C304))*($E304&lt;INDEX(_xlfn.ANCHORARRAY(Sintesi!$C$16),1,$C304))*(INDEX(_xlfn.ANCHORARRAY(Sintesi!$C$15),1,$C304)&gt;0),2,IF($E304=(INDEX(_xlfn.ANCHORARRAY(Sintesi!$C$16),1,$C304)),3,4)))),0),IF($C304&gt;0,IF(($E304=INDEX(_xlfn.ANCHORARRAY(Sintesi!$C$14),1,$C304))*(INDEX(_xlfn.ANCHORARRAY(Sintesi!$C$15),1,$C304)&gt;0),0,IF(($E304=INDEX(_xlfn.ANCHORARRAY(Sintesi!$C$14),1,$C304))*(INDEX(_xlfn.ANCHORARRAY(Sintesi!$C$15),1,$C304)&lt;0)+($E304&gt;=LOOKUP(2,1/($E:$E&lt;&gt;""),$E:$E))*($E304&lt;=INDEX($E:$E,MATCH(TRUE,INDEX((ISNUMBER($E:$E)),0),0)))*($E304&gt;INDEX(_xlfn.ANCHORARRAY(Sintesi!$C$14),1,$C304))*($E304&lt;=INDEX(_xlfn.ANCHORARRAY(Sintesi!$C$15),1,$C304))*(INDEX(_xlfn.ANCHORARRAY(Sintesi!$C$15),1,$C304)&gt;0),1,IF(($E304&gt;=LOOKUP(2,1/($E:$E&lt;&gt;""),$E:$E))*($E304&lt;=INDEX($E:$E,MATCH(TRUE,INDEX((ISNUMBER($E:$E)),0),0)))*($E304&gt;INDEX(_xlfn.ANCHORARRAY(Sintesi!$C$14),1,$C304))*($E304&lt;INDEX(_xlfn.ANCHORARRAY(Sintesi!$C$16),1,$C304))*(INDEX(_xlfn.ANCHORARRAY(Sintesi!$C$15),1,$C304)&lt;0)+($E304&gt;=LOOKUP(2,1/($E:$E&lt;&gt;""),$E:$E))*($E304&lt;=INDEX($E:$E,MATCH(TRUE,INDEX((ISNUMBER($E:$E)),0),0)))*($E304&gt;INDEX(_xlfn.ANCHORARRAY(Sintesi!$C$15),1,$C304))*($E304&lt;INDEX(_xlfn.ANCHORARRAY(Sintesi!$C$16),1,$C304))*(INDEX(_xlfn.ANCHORARRAY(Sintesi!$C$15),1,$C304)&gt;0),2,IF($E304=(INDEX(_xlfn.ANCHORARRAY(Sintesi!$C$16),1,$C304)),3,4)))),0)),IF(ISNUMBER($E303),IF($C304&gt;0,IF(($E304=INDEX(_xlfn.ANCHORARRAY(Sintesi!$C$14),1,$C304))*(INDEX(_xlfn.ANCHORARRAY(Sintesi!$C$15),1,$C304)&gt;0),0,IF(($E304=INDEX(_xlfn.ANCHORARRAY(Sintesi!$C$14),1,$C304))*(INDEX(_xlfn.ANCHORARRAY(Sintesi!$C$15),1,$C304)&lt;0)+($E304&gt;=$E303)*($E304&lt;=$E305)*($E304&gt;INDEX(_xlfn.ANCHORARRAY(Sintesi!$C$14),1,$C304))*($E304&lt;=INDEX(_xlfn.ANCHORARRAY(Sintesi!$C$15),1,$C304))*(INDEX(_xlfn.ANCHORARRAY(Sintesi!$C$15),1,$C304)&gt;0),1,IF(($E304&gt;=$E303)*($E304&lt;=$E305)*($E304&gt;INDEX(_xlfn.ANCHORARRAY(Sintesi!$C$14),1,$C304))*($E304&lt;INDEX(_xlfn.ANCHORARRAY(Sintesi!$C$16),1,$C304))*(INDEX(_xlfn.ANCHORARRAY(Sintesi!$C$15),1,$C304)&lt;0)+($E304&gt;=$E303)*($E304&lt;=$E305)*($E304&gt;INDEX(_xlfn.ANCHORARRAY(Sintesi!$C$15),1,$C304))*($E304&lt;INDEX(_xlfn.ANCHORARRAY(Sintesi!$C$16),1,$C304))*(INDEX(_xlfn.ANCHORARRAY(Sintesi!$C$15),1,$C304)&gt;0),2,IF($E304=(INDEX(_xlfn.ANCHORARRAY(Sintesi!$C$16),1,$C304)),3,4)))),0),IF($C304&gt;0,IF(($E304=INDEX(_xlfn.ANCHORARRAY(Sintesi!$C$14),1,$C304))*(INDEX(_xlfn.ANCHORARRAY(Sintesi!$C$15),1,$C304)&gt;0),0,IF(($E304=INDEX(_xlfn.ANCHORARRAY(Sintesi!$C$14),1,$C304))*(INDEX(_xlfn.ANCHORARRAY(Sintesi!$C$15),1,$C304)&lt;0)+($E304&gt;=LOOKUP(2,1/($E:$E&lt;&gt;""),$E:$E))*($E304&lt;=$E305)*($E304&gt;INDEX(_xlfn.ANCHORARRAY(Sintesi!$C$14),1,$C304))*($E304&lt;=INDEX(_xlfn.ANCHORARRAY(Sintesi!$C$15),1,$C304))*(INDEX(_xlfn.ANCHORARRAY(Sintesi!$C$15),1,$C304)&gt;0),1,IF(($E304&gt;=LOOKUP(2,1/($E:$E&lt;&gt;""),$E:$E))*($E304&lt;=$E305)*($E304&gt;INDEX(_xlfn.ANCHORARRAY(Sintesi!$C$14),1,$C304))*($E304&lt;INDEX(_xlfn.ANCHORARRAY(Sintesi!$C$16),1,$C304))*(INDEX(_xlfn.ANCHORARRAY(Sintesi!$C$15),1,$C304)&lt;0)+($E304&gt;=LOOKUP(2,1/($E:$E&lt;&gt;""),$E:$E))*($E304&lt;=$E305)*($E304&gt;INDEX(_xlfn.ANCHORARRAY(Sintesi!$C$15),1,$C304))*($E304&lt;INDEX(_xlfn.ANCHORARRAY(Sintesi!$C$16),1,$C304))*(INDEX(_xlfn.ANCHORARRAY(Sintesi!$C$15),1,$C304)&gt;0),2,IF($E304=(INDEX(_xlfn.ANCHORARRAY(Sintesi!$C$16),1,$C304)),3,4)))),0)))</f>
        <v>0</v>
      </c>
      <c r="E304" s="1">
        <f>'Paste cell here'!F304</f>
        <v>0</v>
      </c>
      <c r="F304" s="1">
        <f>'Paste cell here'!C304</f>
        <v>14.020660230000001</v>
      </c>
      <c r="G304" s="1">
        <f>'Paste cell here'!D304</f>
        <v>7.3022141229999997</v>
      </c>
      <c r="H304" s="1">
        <f>'Paste cell here'!E304</f>
        <v>0.69936215999999995</v>
      </c>
      <c r="I304" s="1">
        <f>'Paste cell here'!X304</f>
        <v>0</v>
      </c>
      <c r="J304" s="1">
        <f>'Paste cell here'!Y304+'Paste cell here'!S304</f>
        <v>0</v>
      </c>
      <c r="K304" s="1">
        <f t="shared" si="9"/>
        <v>0</v>
      </c>
      <c r="L304" s="1">
        <f t="shared" si="8"/>
        <v>11.584685816181246</v>
      </c>
      <c r="M304" s="1" cm="1">
        <f t="array" ref="M304">IF(AND(A304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,A304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),IF(L304&lt;_xlfn.IFNA(INDEX(_xlfn.ANCHORARRAY(Sintesi!$C$17)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,1,IF(L304&gt;=_xlfn.IFNA(INDEX(_xlfn.ANCHORARRAY(Sintesi!$C$18)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,0,1-(L304-_xlfn.IFNA(INDEX(_xlfn.ANCHORARRAY(Sintesi!$C$17)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)/(_xlfn.IFNA(INDEX(_xlfn.ANCHORARRAY(Sintesi!$C$18)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-_xlfn.IFNA(INDEX(_xlfn.ANCHORARRAY(Sintesi!$C$17),1,MATCH(1,(_xlfn.ANCHORARRAY(Sintesi!$C$9)&gt;_xlfn.ANCHORARRAY(Sintesi!$C$10))*(A303&gt;=_xlfn.ANCHORARRAY(Sintesi!$C$9))+(_xlfn.ANCHORARRAY(Sintesi!$C$9)&gt;_xlfn.ANCHORARRAY(Sintesi!$C$10))*(A303&lt;=_xlfn.ANCHORARRAY(Sintesi!$C$10))+(_xlfn.ANCHORARRAY(Sintesi!$C$9)&lt;_xlfn.ANCHORARRAY(Sintesi!$C$10))*(A303&gt;=_xlfn.ANCHORARRAY(Sintesi!$C$9))*(A303&lt;=_xlfn.ANCHORARRAY(Sintesi!$C$10)),0)),0)))),0)</f>
        <v>0</v>
      </c>
    </row>
    <row r="305" spans="1:13">
      <c r="A305" s="1">
        <f>'Paste cell here'!A305</f>
        <v>304</v>
      </c>
      <c r="B305" s="2">
        <f>DATE(Sintesi!$C$4-1,12,31)+A305</f>
        <v>44500</v>
      </c>
      <c r="C305" s="34" cm="1">
        <f t="array" ref="C305">_xlfn.IFNA(MATCH(1,(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)*(_xlfn.ANCHORARRAY(Sintesi!$C$15)&gt;=0)+(_xlfn.ANCHORARRAY(Sintesi!$C$15)&lt;0),0),0)</f>
        <v>0</v>
      </c>
      <c r="D305" s="1" cm="1">
        <f t="array" ref="D305">IF(ISBLANK($E306),IF(ISNUMBER($E304),IF($C305&gt;0,IF(($E305=INDEX(_xlfn.ANCHORARRAY(Sintesi!$C$14),1,$C305))*(INDEX(_xlfn.ANCHORARRAY(Sintesi!$C$15),1,$C305)&gt;0),0,IF(($E305=INDEX(_xlfn.ANCHORARRAY(Sintesi!$C$14),1,$C305))*(INDEX(_xlfn.ANCHORARRAY(Sintesi!$C$15),1,$C305)&lt;0)+($E305&gt;=$E304)*($E305&lt;=INDEX($E:$E,MATCH(TRUE,INDEX((ISNUMBER($E:$E)),0),0)))*($E305&gt;INDEX(_xlfn.ANCHORARRAY(Sintesi!$C$14),1,$C305))*($E305&lt;=INDEX(_xlfn.ANCHORARRAY(Sintesi!$C$15),1,$C305))*(INDEX(_xlfn.ANCHORARRAY(Sintesi!$C$15),1,$C305)&gt;0),1,IF(($E305&gt;=$E304)*($E305&lt;=INDEX($E:$E,MATCH(TRUE,INDEX((ISNUMBER($E:$E)),0),0)))*($E305&gt;INDEX(_xlfn.ANCHORARRAY(Sintesi!$C$14),1,$C305))*($E305&lt;INDEX(_xlfn.ANCHORARRAY(Sintesi!$C$16),1,$C305))*(INDEX(_xlfn.ANCHORARRAY(Sintesi!$C$15),1,$C305)&lt;0)+($E305&gt;=$E304)*($E305&lt;=INDEX($E:$E,MATCH(TRUE,INDEX((ISNUMBER($E:$E)),0),0)))*($E305&gt;INDEX(_xlfn.ANCHORARRAY(Sintesi!$C$15),1,$C305))*($E305&lt;INDEX(_xlfn.ANCHORARRAY(Sintesi!$C$16),1,$C305))*(INDEX(_xlfn.ANCHORARRAY(Sintesi!$C$15),1,$C305)&gt;0),2,IF($E305=(INDEX(_xlfn.ANCHORARRAY(Sintesi!$C$16),1,$C305)),3,4)))),0),IF($C305&gt;0,IF(($E305=INDEX(_xlfn.ANCHORARRAY(Sintesi!$C$14),1,$C305))*(INDEX(_xlfn.ANCHORARRAY(Sintesi!$C$15),1,$C305)&gt;0),0,IF(($E305=INDEX(_xlfn.ANCHORARRAY(Sintesi!$C$14),1,$C305))*(INDEX(_xlfn.ANCHORARRAY(Sintesi!$C$15),1,$C305)&lt;0)+($E305&gt;=LOOKUP(2,1/($E:$E&lt;&gt;""),$E:$E))*($E305&lt;=INDEX($E:$E,MATCH(TRUE,INDEX((ISNUMBER($E:$E)),0),0)))*($E305&gt;INDEX(_xlfn.ANCHORARRAY(Sintesi!$C$14),1,$C305))*($E305&lt;=INDEX(_xlfn.ANCHORARRAY(Sintesi!$C$15),1,$C305))*(INDEX(_xlfn.ANCHORARRAY(Sintesi!$C$15),1,$C305)&gt;0),1,IF(($E305&gt;=LOOKUP(2,1/($E:$E&lt;&gt;""),$E:$E))*($E305&lt;=INDEX($E:$E,MATCH(TRUE,INDEX((ISNUMBER($E:$E)),0),0)))*($E305&gt;INDEX(_xlfn.ANCHORARRAY(Sintesi!$C$14),1,$C305))*($E305&lt;INDEX(_xlfn.ANCHORARRAY(Sintesi!$C$16),1,$C305))*(INDEX(_xlfn.ANCHORARRAY(Sintesi!$C$15),1,$C305)&lt;0)+($E305&gt;=LOOKUP(2,1/($E:$E&lt;&gt;""),$E:$E))*($E305&lt;=INDEX($E:$E,MATCH(TRUE,INDEX((ISNUMBER($E:$E)),0),0)))*($E305&gt;INDEX(_xlfn.ANCHORARRAY(Sintesi!$C$15),1,$C305))*($E305&lt;INDEX(_xlfn.ANCHORARRAY(Sintesi!$C$16),1,$C305))*(INDEX(_xlfn.ANCHORARRAY(Sintesi!$C$15),1,$C305)&gt;0),2,IF($E305=(INDEX(_xlfn.ANCHORARRAY(Sintesi!$C$16),1,$C305)),3,4)))),0)),IF(ISNUMBER($E304),IF($C305&gt;0,IF(($E305=INDEX(_xlfn.ANCHORARRAY(Sintesi!$C$14),1,$C305))*(INDEX(_xlfn.ANCHORARRAY(Sintesi!$C$15),1,$C305)&gt;0),0,IF(($E305=INDEX(_xlfn.ANCHORARRAY(Sintesi!$C$14),1,$C305))*(INDEX(_xlfn.ANCHORARRAY(Sintesi!$C$15),1,$C305)&lt;0)+($E305&gt;=$E304)*($E305&lt;=$E306)*($E305&gt;INDEX(_xlfn.ANCHORARRAY(Sintesi!$C$14),1,$C305))*($E305&lt;=INDEX(_xlfn.ANCHORARRAY(Sintesi!$C$15),1,$C305))*(INDEX(_xlfn.ANCHORARRAY(Sintesi!$C$15),1,$C305)&gt;0),1,IF(($E305&gt;=$E304)*($E305&lt;=$E306)*($E305&gt;INDEX(_xlfn.ANCHORARRAY(Sintesi!$C$14),1,$C305))*($E305&lt;INDEX(_xlfn.ANCHORARRAY(Sintesi!$C$16),1,$C305))*(INDEX(_xlfn.ANCHORARRAY(Sintesi!$C$15),1,$C305)&lt;0)+($E305&gt;=$E304)*($E305&lt;=$E306)*($E305&gt;INDEX(_xlfn.ANCHORARRAY(Sintesi!$C$15),1,$C305))*($E305&lt;INDEX(_xlfn.ANCHORARRAY(Sintesi!$C$16),1,$C305))*(INDEX(_xlfn.ANCHORARRAY(Sintesi!$C$15),1,$C305)&gt;0),2,IF($E305=(INDEX(_xlfn.ANCHORARRAY(Sintesi!$C$16),1,$C305)),3,4)))),0),IF($C305&gt;0,IF(($E305=INDEX(_xlfn.ANCHORARRAY(Sintesi!$C$14),1,$C305))*(INDEX(_xlfn.ANCHORARRAY(Sintesi!$C$15),1,$C305)&gt;0),0,IF(($E305=INDEX(_xlfn.ANCHORARRAY(Sintesi!$C$14),1,$C305))*(INDEX(_xlfn.ANCHORARRAY(Sintesi!$C$15),1,$C305)&lt;0)+($E305&gt;=LOOKUP(2,1/($E:$E&lt;&gt;""),$E:$E))*($E305&lt;=$E306)*($E305&gt;INDEX(_xlfn.ANCHORARRAY(Sintesi!$C$14),1,$C305))*($E305&lt;=INDEX(_xlfn.ANCHORARRAY(Sintesi!$C$15),1,$C305))*(INDEX(_xlfn.ANCHORARRAY(Sintesi!$C$15),1,$C305)&gt;0),1,IF(($E305&gt;=LOOKUP(2,1/($E:$E&lt;&gt;""),$E:$E))*($E305&lt;=$E306)*($E305&gt;INDEX(_xlfn.ANCHORARRAY(Sintesi!$C$14),1,$C305))*($E305&lt;INDEX(_xlfn.ANCHORARRAY(Sintesi!$C$16),1,$C305))*(INDEX(_xlfn.ANCHORARRAY(Sintesi!$C$15),1,$C305)&lt;0)+($E305&gt;=LOOKUP(2,1/($E:$E&lt;&gt;""),$E:$E))*($E305&lt;=$E306)*($E305&gt;INDEX(_xlfn.ANCHORARRAY(Sintesi!$C$15),1,$C305))*($E305&lt;INDEX(_xlfn.ANCHORARRAY(Sintesi!$C$16),1,$C305))*(INDEX(_xlfn.ANCHORARRAY(Sintesi!$C$15),1,$C305)&gt;0),2,IF($E305=(INDEX(_xlfn.ANCHORARRAY(Sintesi!$C$16),1,$C305)),3,4)))),0)))</f>
        <v>0</v>
      </c>
      <c r="E305" s="1">
        <f>'Paste cell here'!F305</f>
        <v>0</v>
      </c>
      <c r="F305" s="1">
        <f>'Paste cell here'!C305</f>
        <v>13.68201949</v>
      </c>
      <c r="G305" s="1">
        <f>'Paste cell here'!D305</f>
        <v>10.035944799999999</v>
      </c>
      <c r="H305" s="1">
        <f>'Paste cell here'!E305</f>
        <v>0.610283715</v>
      </c>
      <c r="I305" s="1">
        <f>'Paste cell here'!X305</f>
        <v>0</v>
      </c>
      <c r="J305" s="1">
        <f>'Paste cell here'!Y305+'Paste cell here'!S305</f>
        <v>0</v>
      </c>
      <c r="K305" s="1">
        <f t="shared" si="9"/>
        <v>0</v>
      </c>
      <c r="L305" s="1">
        <f t="shared" si="8"/>
        <v>12.360025607149888</v>
      </c>
      <c r="M305" s="1" cm="1">
        <f t="array" ref="M305">IF(AND(A305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,A305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),IF(L305&lt;_xlfn.IFNA(INDEX(_xlfn.ANCHORARRAY(Sintesi!$C$17)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,1,IF(L305&gt;=_xlfn.IFNA(INDEX(_xlfn.ANCHORARRAY(Sintesi!$C$18)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,0,1-(L305-_xlfn.IFNA(INDEX(_xlfn.ANCHORARRAY(Sintesi!$C$17)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)/(_xlfn.IFNA(INDEX(_xlfn.ANCHORARRAY(Sintesi!$C$18)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-_xlfn.IFNA(INDEX(_xlfn.ANCHORARRAY(Sintesi!$C$17),1,MATCH(1,(_xlfn.ANCHORARRAY(Sintesi!$C$9)&gt;_xlfn.ANCHORARRAY(Sintesi!$C$10))*(A304&gt;=_xlfn.ANCHORARRAY(Sintesi!$C$9))+(_xlfn.ANCHORARRAY(Sintesi!$C$9)&gt;_xlfn.ANCHORARRAY(Sintesi!$C$10))*(A304&lt;=_xlfn.ANCHORARRAY(Sintesi!$C$10))+(_xlfn.ANCHORARRAY(Sintesi!$C$9)&lt;_xlfn.ANCHORARRAY(Sintesi!$C$10))*(A304&gt;=_xlfn.ANCHORARRAY(Sintesi!$C$9))*(A304&lt;=_xlfn.ANCHORARRAY(Sintesi!$C$10)),0)),0)))),0)</f>
        <v>0</v>
      </c>
    </row>
    <row r="306" spans="1:13">
      <c r="A306" s="1">
        <f>'Paste cell here'!A306</f>
        <v>305</v>
      </c>
      <c r="B306" s="2">
        <f>DATE(Sintesi!$C$4-1,12,31)+A306</f>
        <v>44501</v>
      </c>
      <c r="C306" s="34" cm="1">
        <f t="array" ref="C306">_xlfn.IFNA(MATCH(1,(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)*(_xlfn.ANCHORARRAY(Sintesi!$C$15)&gt;=0)+(_xlfn.ANCHORARRAY(Sintesi!$C$15)&lt;0),0),0)</f>
        <v>0</v>
      </c>
      <c r="D306" s="1" cm="1">
        <f t="array" ref="D306">IF(ISBLANK($E307),IF(ISNUMBER($E305),IF($C306&gt;0,IF(($E306=INDEX(_xlfn.ANCHORARRAY(Sintesi!$C$14),1,$C306))*(INDEX(_xlfn.ANCHORARRAY(Sintesi!$C$15),1,$C306)&gt;0),0,IF(($E306=INDEX(_xlfn.ANCHORARRAY(Sintesi!$C$14),1,$C306))*(INDEX(_xlfn.ANCHORARRAY(Sintesi!$C$15),1,$C306)&lt;0)+($E306&gt;=$E305)*($E306&lt;=INDEX($E:$E,MATCH(TRUE,INDEX((ISNUMBER($E:$E)),0),0)))*($E306&gt;INDEX(_xlfn.ANCHORARRAY(Sintesi!$C$14),1,$C306))*($E306&lt;=INDEX(_xlfn.ANCHORARRAY(Sintesi!$C$15),1,$C306))*(INDEX(_xlfn.ANCHORARRAY(Sintesi!$C$15),1,$C306)&gt;0),1,IF(($E306&gt;=$E305)*($E306&lt;=INDEX($E:$E,MATCH(TRUE,INDEX((ISNUMBER($E:$E)),0),0)))*($E306&gt;INDEX(_xlfn.ANCHORARRAY(Sintesi!$C$14),1,$C306))*($E306&lt;INDEX(_xlfn.ANCHORARRAY(Sintesi!$C$16),1,$C306))*(INDEX(_xlfn.ANCHORARRAY(Sintesi!$C$15),1,$C306)&lt;0)+($E306&gt;=$E305)*($E306&lt;=INDEX($E:$E,MATCH(TRUE,INDEX((ISNUMBER($E:$E)),0),0)))*($E306&gt;INDEX(_xlfn.ANCHORARRAY(Sintesi!$C$15),1,$C306))*($E306&lt;INDEX(_xlfn.ANCHORARRAY(Sintesi!$C$16),1,$C306))*(INDEX(_xlfn.ANCHORARRAY(Sintesi!$C$15),1,$C306)&gt;0),2,IF($E306=(INDEX(_xlfn.ANCHORARRAY(Sintesi!$C$16),1,$C306)),3,4)))),0),IF($C306&gt;0,IF(($E306=INDEX(_xlfn.ANCHORARRAY(Sintesi!$C$14),1,$C306))*(INDEX(_xlfn.ANCHORARRAY(Sintesi!$C$15),1,$C306)&gt;0),0,IF(($E306=INDEX(_xlfn.ANCHORARRAY(Sintesi!$C$14),1,$C306))*(INDEX(_xlfn.ANCHORARRAY(Sintesi!$C$15),1,$C306)&lt;0)+($E306&gt;=LOOKUP(2,1/($E:$E&lt;&gt;""),$E:$E))*($E306&lt;=INDEX($E:$E,MATCH(TRUE,INDEX((ISNUMBER($E:$E)),0),0)))*($E306&gt;INDEX(_xlfn.ANCHORARRAY(Sintesi!$C$14),1,$C306))*($E306&lt;=INDEX(_xlfn.ANCHORARRAY(Sintesi!$C$15),1,$C306))*(INDEX(_xlfn.ANCHORARRAY(Sintesi!$C$15),1,$C306)&gt;0),1,IF(($E306&gt;=LOOKUP(2,1/($E:$E&lt;&gt;""),$E:$E))*($E306&lt;=INDEX($E:$E,MATCH(TRUE,INDEX((ISNUMBER($E:$E)),0),0)))*($E306&gt;INDEX(_xlfn.ANCHORARRAY(Sintesi!$C$14),1,$C306))*($E306&lt;INDEX(_xlfn.ANCHORARRAY(Sintesi!$C$16),1,$C306))*(INDEX(_xlfn.ANCHORARRAY(Sintesi!$C$15),1,$C306)&lt;0)+($E306&gt;=LOOKUP(2,1/($E:$E&lt;&gt;""),$E:$E))*($E306&lt;=INDEX($E:$E,MATCH(TRUE,INDEX((ISNUMBER($E:$E)),0),0)))*($E306&gt;INDEX(_xlfn.ANCHORARRAY(Sintesi!$C$15),1,$C306))*($E306&lt;INDEX(_xlfn.ANCHORARRAY(Sintesi!$C$16),1,$C306))*(INDEX(_xlfn.ANCHORARRAY(Sintesi!$C$15),1,$C306)&gt;0),2,IF($E306=(INDEX(_xlfn.ANCHORARRAY(Sintesi!$C$16),1,$C306)),3,4)))),0)),IF(ISNUMBER($E305),IF($C306&gt;0,IF(($E306=INDEX(_xlfn.ANCHORARRAY(Sintesi!$C$14),1,$C306))*(INDEX(_xlfn.ANCHORARRAY(Sintesi!$C$15),1,$C306)&gt;0),0,IF(($E306=INDEX(_xlfn.ANCHORARRAY(Sintesi!$C$14),1,$C306))*(INDEX(_xlfn.ANCHORARRAY(Sintesi!$C$15),1,$C306)&lt;0)+($E306&gt;=$E305)*($E306&lt;=$E307)*($E306&gt;INDEX(_xlfn.ANCHORARRAY(Sintesi!$C$14),1,$C306))*($E306&lt;=INDEX(_xlfn.ANCHORARRAY(Sintesi!$C$15),1,$C306))*(INDEX(_xlfn.ANCHORARRAY(Sintesi!$C$15),1,$C306)&gt;0),1,IF(($E306&gt;=$E305)*($E306&lt;=$E307)*($E306&gt;INDEX(_xlfn.ANCHORARRAY(Sintesi!$C$14),1,$C306))*($E306&lt;INDEX(_xlfn.ANCHORARRAY(Sintesi!$C$16),1,$C306))*(INDEX(_xlfn.ANCHORARRAY(Sintesi!$C$15),1,$C306)&lt;0)+($E306&gt;=$E305)*($E306&lt;=$E307)*($E306&gt;INDEX(_xlfn.ANCHORARRAY(Sintesi!$C$15),1,$C306))*($E306&lt;INDEX(_xlfn.ANCHORARRAY(Sintesi!$C$16),1,$C306))*(INDEX(_xlfn.ANCHORARRAY(Sintesi!$C$15),1,$C306)&gt;0),2,IF($E306=(INDEX(_xlfn.ANCHORARRAY(Sintesi!$C$16),1,$C306)),3,4)))),0),IF($C306&gt;0,IF(($E306=INDEX(_xlfn.ANCHORARRAY(Sintesi!$C$14),1,$C306))*(INDEX(_xlfn.ANCHORARRAY(Sintesi!$C$15),1,$C306)&gt;0),0,IF(($E306=INDEX(_xlfn.ANCHORARRAY(Sintesi!$C$14),1,$C306))*(INDEX(_xlfn.ANCHORARRAY(Sintesi!$C$15),1,$C306)&lt;0)+($E306&gt;=LOOKUP(2,1/($E:$E&lt;&gt;""),$E:$E))*($E306&lt;=$E307)*($E306&gt;INDEX(_xlfn.ANCHORARRAY(Sintesi!$C$14),1,$C306))*($E306&lt;=INDEX(_xlfn.ANCHORARRAY(Sintesi!$C$15),1,$C306))*(INDEX(_xlfn.ANCHORARRAY(Sintesi!$C$15),1,$C306)&gt;0),1,IF(($E306&gt;=LOOKUP(2,1/($E:$E&lt;&gt;""),$E:$E))*($E306&lt;=$E307)*($E306&gt;INDEX(_xlfn.ANCHORARRAY(Sintesi!$C$14),1,$C306))*($E306&lt;INDEX(_xlfn.ANCHORARRAY(Sintesi!$C$16),1,$C306))*(INDEX(_xlfn.ANCHORARRAY(Sintesi!$C$15),1,$C306)&lt;0)+($E306&gt;=LOOKUP(2,1/($E:$E&lt;&gt;""),$E:$E))*($E306&lt;=$E307)*($E306&gt;INDEX(_xlfn.ANCHORARRAY(Sintesi!$C$15),1,$C306))*($E306&lt;INDEX(_xlfn.ANCHORARRAY(Sintesi!$C$16),1,$C306))*(INDEX(_xlfn.ANCHORARRAY(Sintesi!$C$15),1,$C306)&gt;0),2,IF($E306=(INDEX(_xlfn.ANCHORARRAY(Sintesi!$C$16),1,$C306)),3,4)))),0)))</f>
        <v>0</v>
      </c>
      <c r="E306" s="1">
        <f>'Paste cell here'!F306</f>
        <v>0</v>
      </c>
      <c r="F306" s="1">
        <f>'Paste cell here'!C306</f>
        <v>11.3</v>
      </c>
      <c r="G306" s="1">
        <f>'Paste cell here'!D306</f>
        <v>8.6926758989999993</v>
      </c>
      <c r="H306" s="1">
        <f>'Paste cell here'!E306</f>
        <v>0.44499489800000003</v>
      </c>
      <c r="I306" s="1">
        <f>'Paste cell here'!X306</f>
        <v>0</v>
      </c>
      <c r="J306" s="1">
        <f>'Paste cell here'!Y306+'Paste cell here'!S306</f>
        <v>0</v>
      </c>
      <c r="K306" s="1">
        <f t="shared" si="9"/>
        <v>0</v>
      </c>
      <c r="L306" s="1">
        <f t="shared" si="8"/>
        <v>10.354636340395519</v>
      </c>
      <c r="M306" s="1" cm="1">
        <f t="array" ref="M306">IF(AND(A306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,A306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),IF(L306&lt;_xlfn.IFNA(INDEX(_xlfn.ANCHORARRAY(Sintesi!$C$17)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,1,IF(L306&gt;=_xlfn.IFNA(INDEX(_xlfn.ANCHORARRAY(Sintesi!$C$18)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,0,1-(L306-_xlfn.IFNA(INDEX(_xlfn.ANCHORARRAY(Sintesi!$C$17)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)/(_xlfn.IFNA(INDEX(_xlfn.ANCHORARRAY(Sintesi!$C$18)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-_xlfn.IFNA(INDEX(_xlfn.ANCHORARRAY(Sintesi!$C$17),1,MATCH(1,(_xlfn.ANCHORARRAY(Sintesi!$C$9)&gt;_xlfn.ANCHORARRAY(Sintesi!$C$10))*(A305&gt;=_xlfn.ANCHORARRAY(Sintesi!$C$9))+(_xlfn.ANCHORARRAY(Sintesi!$C$9)&gt;_xlfn.ANCHORARRAY(Sintesi!$C$10))*(A305&lt;=_xlfn.ANCHORARRAY(Sintesi!$C$10))+(_xlfn.ANCHORARRAY(Sintesi!$C$9)&lt;_xlfn.ANCHORARRAY(Sintesi!$C$10))*(A305&gt;=_xlfn.ANCHORARRAY(Sintesi!$C$9))*(A305&lt;=_xlfn.ANCHORARRAY(Sintesi!$C$10)),0)),0)))),0)</f>
        <v>0</v>
      </c>
    </row>
    <row r="307" spans="1:13">
      <c r="A307" s="1">
        <f>'Paste cell here'!A307</f>
        <v>306</v>
      </c>
      <c r="B307" s="2">
        <f>DATE(Sintesi!$C$4-1,12,31)+A307</f>
        <v>44502</v>
      </c>
      <c r="C307" s="34" cm="1">
        <f t="array" ref="C307">_xlfn.IFNA(MATCH(1,(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)*(_xlfn.ANCHORARRAY(Sintesi!$C$15)&gt;=0)+(_xlfn.ANCHORARRAY(Sintesi!$C$15)&lt;0),0),0)</f>
        <v>0</v>
      </c>
      <c r="D307" s="1" cm="1">
        <f t="array" ref="D307">IF(ISBLANK($E308),IF(ISNUMBER($E306),IF($C307&gt;0,IF(($E307=INDEX(_xlfn.ANCHORARRAY(Sintesi!$C$14),1,$C307))*(INDEX(_xlfn.ANCHORARRAY(Sintesi!$C$15),1,$C307)&gt;0),0,IF(($E307=INDEX(_xlfn.ANCHORARRAY(Sintesi!$C$14),1,$C307))*(INDEX(_xlfn.ANCHORARRAY(Sintesi!$C$15),1,$C307)&lt;0)+($E307&gt;=$E306)*($E307&lt;=INDEX($E:$E,MATCH(TRUE,INDEX((ISNUMBER($E:$E)),0),0)))*($E307&gt;INDEX(_xlfn.ANCHORARRAY(Sintesi!$C$14),1,$C307))*($E307&lt;=INDEX(_xlfn.ANCHORARRAY(Sintesi!$C$15),1,$C307))*(INDEX(_xlfn.ANCHORARRAY(Sintesi!$C$15),1,$C307)&gt;0),1,IF(($E307&gt;=$E306)*($E307&lt;=INDEX($E:$E,MATCH(TRUE,INDEX((ISNUMBER($E:$E)),0),0)))*($E307&gt;INDEX(_xlfn.ANCHORARRAY(Sintesi!$C$14),1,$C307))*($E307&lt;INDEX(_xlfn.ANCHORARRAY(Sintesi!$C$16),1,$C307))*(INDEX(_xlfn.ANCHORARRAY(Sintesi!$C$15),1,$C307)&lt;0)+($E307&gt;=$E306)*($E307&lt;=INDEX($E:$E,MATCH(TRUE,INDEX((ISNUMBER($E:$E)),0),0)))*($E307&gt;INDEX(_xlfn.ANCHORARRAY(Sintesi!$C$15),1,$C307))*($E307&lt;INDEX(_xlfn.ANCHORARRAY(Sintesi!$C$16),1,$C307))*(INDEX(_xlfn.ANCHORARRAY(Sintesi!$C$15),1,$C307)&gt;0),2,IF($E307=(INDEX(_xlfn.ANCHORARRAY(Sintesi!$C$16),1,$C307)),3,4)))),0),IF($C307&gt;0,IF(($E307=INDEX(_xlfn.ANCHORARRAY(Sintesi!$C$14),1,$C307))*(INDEX(_xlfn.ANCHORARRAY(Sintesi!$C$15),1,$C307)&gt;0),0,IF(($E307=INDEX(_xlfn.ANCHORARRAY(Sintesi!$C$14),1,$C307))*(INDEX(_xlfn.ANCHORARRAY(Sintesi!$C$15),1,$C307)&lt;0)+($E307&gt;=LOOKUP(2,1/($E:$E&lt;&gt;""),$E:$E))*($E307&lt;=INDEX($E:$E,MATCH(TRUE,INDEX((ISNUMBER($E:$E)),0),0)))*($E307&gt;INDEX(_xlfn.ANCHORARRAY(Sintesi!$C$14),1,$C307))*($E307&lt;=INDEX(_xlfn.ANCHORARRAY(Sintesi!$C$15),1,$C307))*(INDEX(_xlfn.ANCHORARRAY(Sintesi!$C$15),1,$C307)&gt;0),1,IF(($E307&gt;=LOOKUP(2,1/($E:$E&lt;&gt;""),$E:$E))*($E307&lt;=INDEX($E:$E,MATCH(TRUE,INDEX((ISNUMBER($E:$E)),0),0)))*($E307&gt;INDEX(_xlfn.ANCHORARRAY(Sintesi!$C$14),1,$C307))*($E307&lt;INDEX(_xlfn.ANCHORARRAY(Sintesi!$C$16),1,$C307))*(INDEX(_xlfn.ANCHORARRAY(Sintesi!$C$15),1,$C307)&lt;0)+($E307&gt;=LOOKUP(2,1/($E:$E&lt;&gt;""),$E:$E))*($E307&lt;=INDEX($E:$E,MATCH(TRUE,INDEX((ISNUMBER($E:$E)),0),0)))*($E307&gt;INDEX(_xlfn.ANCHORARRAY(Sintesi!$C$15),1,$C307))*($E307&lt;INDEX(_xlfn.ANCHORARRAY(Sintesi!$C$16),1,$C307))*(INDEX(_xlfn.ANCHORARRAY(Sintesi!$C$15),1,$C307)&gt;0),2,IF($E307=(INDEX(_xlfn.ANCHORARRAY(Sintesi!$C$16),1,$C307)),3,4)))),0)),IF(ISNUMBER($E306),IF($C307&gt;0,IF(($E307=INDEX(_xlfn.ANCHORARRAY(Sintesi!$C$14),1,$C307))*(INDEX(_xlfn.ANCHORARRAY(Sintesi!$C$15),1,$C307)&gt;0),0,IF(($E307=INDEX(_xlfn.ANCHORARRAY(Sintesi!$C$14),1,$C307))*(INDEX(_xlfn.ANCHORARRAY(Sintesi!$C$15),1,$C307)&lt;0)+($E307&gt;=$E306)*($E307&lt;=$E308)*($E307&gt;INDEX(_xlfn.ANCHORARRAY(Sintesi!$C$14),1,$C307))*($E307&lt;=INDEX(_xlfn.ANCHORARRAY(Sintesi!$C$15),1,$C307))*(INDEX(_xlfn.ANCHORARRAY(Sintesi!$C$15),1,$C307)&gt;0),1,IF(($E307&gt;=$E306)*($E307&lt;=$E308)*($E307&gt;INDEX(_xlfn.ANCHORARRAY(Sintesi!$C$14),1,$C307))*($E307&lt;INDEX(_xlfn.ANCHORARRAY(Sintesi!$C$16),1,$C307))*(INDEX(_xlfn.ANCHORARRAY(Sintesi!$C$15),1,$C307)&lt;0)+($E307&gt;=$E306)*($E307&lt;=$E308)*($E307&gt;INDEX(_xlfn.ANCHORARRAY(Sintesi!$C$15),1,$C307))*($E307&lt;INDEX(_xlfn.ANCHORARRAY(Sintesi!$C$16),1,$C307))*(INDEX(_xlfn.ANCHORARRAY(Sintesi!$C$15),1,$C307)&gt;0),2,IF($E307=(INDEX(_xlfn.ANCHORARRAY(Sintesi!$C$16),1,$C307)),3,4)))),0),IF($C307&gt;0,IF(($E307=INDEX(_xlfn.ANCHORARRAY(Sintesi!$C$14),1,$C307))*(INDEX(_xlfn.ANCHORARRAY(Sintesi!$C$15),1,$C307)&gt;0),0,IF(($E307=INDEX(_xlfn.ANCHORARRAY(Sintesi!$C$14),1,$C307))*(INDEX(_xlfn.ANCHORARRAY(Sintesi!$C$15),1,$C307)&lt;0)+($E307&gt;=LOOKUP(2,1/($E:$E&lt;&gt;""),$E:$E))*($E307&lt;=$E308)*($E307&gt;INDEX(_xlfn.ANCHORARRAY(Sintesi!$C$14),1,$C307))*($E307&lt;=INDEX(_xlfn.ANCHORARRAY(Sintesi!$C$15),1,$C307))*(INDEX(_xlfn.ANCHORARRAY(Sintesi!$C$15),1,$C307)&gt;0),1,IF(($E307&gt;=LOOKUP(2,1/($E:$E&lt;&gt;""),$E:$E))*($E307&lt;=$E308)*($E307&gt;INDEX(_xlfn.ANCHORARRAY(Sintesi!$C$14),1,$C307))*($E307&lt;INDEX(_xlfn.ANCHORARRAY(Sintesi!$C$16),1,$C307))*(INDEX(_xlfn.ANCHORARRAY(Sintesi!$C$15),1,$C307)&lt;0)+($E307&gt;=LOOKUP(2,1/($E:$E&lt;&gt;""),$E:$E))*($E307&lt;=$E308)*($E307&gt;INDEX(_xlfn.ANCHORARRAY(Sintesi!$C$15),1,$C307))*($E307&lt;INDEX(_xlfn.ANCHORARRAY(Sintesi!$C$16),1,$C307))*(INDEX(_xlfn.ANCHORARRAY(Sintesi!$C$15),1,$C307)&gt;0),2,IF($E307=(INDEX(_xlfn.ANCHORARRAY(Sintesi!$C$16),1,$C307)),3,4)))),0)))</f>
        <v>0</v>
      </c>
      <c r="E307" s="1">
        <f>'Paste cell here'!F307</f>
        <v>0</v>
      </c>
      <c r="F307" s="1">
        <f>'Paste cell here'!C307</f>
        <v>13.389511329999999</v>
      </c>
      <c r="G307" s="1">
        <f>'Paste cell here'!D307</f>
        <v>5.3104886679999996</v>
      </c>
      <c r="H307" s="1">
        <f>'Paste cell here'!E307</f>
        <v>0.58464461499999998</v>
      </c>
      <c r="I307" s="1">
        <f>'Paste cell here'!X307</f>
        <v>0</v>
      </c>
      <c r="J307" s="1">
        <f>'Paste cell here'!Y307+'Paste cell here'!S307</f>
        <v>0</v>
      </c>
      <c r="K307" s="1">
        <f t="shared" si="9"/>
        <v>0</v>
      </c>
      <c r="L307" s="1">
        <f t="shared" si="8"/>
        <v>10.460219023436904</v>
      </c>
      <c r="M307" s="1" cm="1">
        <f t="array" ref="M307">IF(AND(A307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,A307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),IF(L307&lt;_xlfn.IFNA(INDEX(_xlfn.ANCHORARRAY(Sintesi!$C$17)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,1,IF(L307&gt;=_xlfn.IFNA(INDEX(_xlfn.ANCHORARRAY(Sintesi!$C$18)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,0,1-(L307-_xlfn.IFNA(INDEX(_xlfn.ANCHORARRAY(Sintesi!$C$17)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)/(_xlfn.IFNA(INDEX(_xlfn.ANCHORARRAY(Sintesi!$C$18)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-_xlfn.IFNA(INDEX(_xlfn.ANCHORARRAY(Sintesi!$C$17),1,MATCH(1,(_xlfn.ANCHORARRAY(Sintesi!$C$9)&gt;_xlfn.ANCHORARRAY(Sintesi!$C$10))*(A306&gt;=_xlfn.ANCHORARRAY(Sintesi!$C$9))+(_xlfn.ANCHORARRAY(Sintesi!$C$9)&gt;_xlfn.ANCHORARRAY(Sintesi!$C$10))*(A306&lt;=_xlfn.ANCHORARRAY(Sintesi!$C$10))+(_xlfn.ANCHORARRAY(Sintesi!$C$9)&lt;_xlfn.ANCHORARRAY(Sintesi!$C$10))*(A306&gt;=_xlfn.ANCHORARRAY(Sintesi!$C$9))*(A306&lt;=_xlfn.ANCHORARRAY(Sintesi!$C$10)),0)),0)))),0)</f>
        <v>0</v>
      </c>
    </row>
    <row r="308" spans="1:13">
      <c r="A308" s="1">
        <f>'Paste cell here'!A308</f>
        <v>307</v>
      </c>
      <c r="B308" s="2">
        <f>DATE(Sintesi!$C$4-1,12,31)+A308</f>
        <v>44503</v>
      </c>
      <c r="C308" s="34" cm="1">
        <f t="array" ref="C308">_xlfn.IFNA(MATCH(1,(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)*(_xlfn.ANCHORARRAY(Sintesi!$C$15)&gt;=0)+(_xlfn.ANCHORARRAY(Sintesi!$C$15)&lt;0),0),0)</f>
        <v>0</v>
      </c>
      <c r="D308" s="1" cm="1">
        <f t="array" ref="D308">IF(ISBLANK($E309),IF(ISNUMBER($E307),IF($C308&gt;0,IF(($E308=INDEX(_xlfn.ANCHORARRAY(Sintesi!$C$14),1,$C308))*(INDEX(_xlfn.ANCHORARRAY(Sintesi!$C$15),1,$C308)&gt;0),0,IF(($E308=INDEX(_xlfn.ANCHORARRAY(Sintesi!$C$14),1,$C308))*(INDEX(_xlfn.ANCHORARRAY(Sintesi!$C$15),1,$C308)&lt;0)+($E308&gt;=$E307)*($E308&lt;=INDEX($E:$E,MATCH(TRUE,INDEX((ISNUMBER($E:$E)),0),0)))*($E308&gt;INDEX(_xlfn.ANCHORARRAY(Sintesi!$C$14),1,$C308))*($E308&lt;=INDEX(_xlfn.ANCHORARRAY(Sintesi!$C$15),1,$C308))*(INDEX(_xlfn.ANCHORARRAY(Sintesi!$C$15),1,$C308)&gt;0),1,IF(($E308&gt;=$E307)*($E308&lt;=INDEX($E:$E,MATCH(TRUE,INDEX((ISNUMBER($E:$E)),0),0)))*($E308&gt;INDEX(_xlfn.ANCHORARRAY(Sintesi!$C$14),1,$C308))*($E308&lt;INDEX(_xlfn.ANCHORARRAY(Sintesi!$C$16),1,$C308))*(INDEX(_xlfn.ANCHORARRAY(Sintesi!$C$15),1,$C308)&lt;0)+($E308&gt;=$E307)*($E308&lt;=INDEX($E:$E,MATCH(TRUE,INDEX((ISNUMBER($E:$E)),0),0)))*($E308&gt;INDEX(_xlfn.ANCHORARRAY(Sintesi!$C$15),1,$C308))*($E308&lt;INDEX(_xlfn.ANCHORARRAY(Sintesi!$C$16),1,$C308))*(INDEX(_xlfn.ANCHORARRAY(Sintesi!$C$15),1,$C308)&gt;0),2,IF($E308=(INDEX(_xlfn.ANCHORARRAY(Sintesi!$C$16),1,$C308)),3,4)))),0),IF($C308&gt;0,IF(($E308=INDEX(_xlfn.ANCHORARRAY(Sintesi!$C$14),1,$C308))*(INDEX(_xlfn.ANCHORARRAY(Sintesi!$C$15),1,$C308)&gt;0),0,IF(($E308=INDEX(_xlfn.ANCHORARRAY(Sintesi!$C$14),1,$C308))*(INDEX(_xlfn.ANCHORARRAY(Sintesi!$C$15),1,$C308)&lt;0)+($E308&gt;=LOOKUP(2,1/($E:$E&lt;&gt;""),$E:$E))*($E308&lt;=INDEX($E:$E,MATCH(TRUE,INDEX((ISNUMBER($E:$E)),0),0)))*($E308&gt;INDEX(_xlfn.ANCHORARRAY(Sintesi!$C$14),1,$C308))*($E308&lt;=INDEX(_xlfn.ANCHORARRAY(Sintesi!$C$15),1,$C308))*(INDEX(_xlfn.ANCHORARRAY(Sintesi!$C$15),1,$C308)&gt;0),1,IF(($E308&gt;=LOOKUP(2,1/($E:$E&lt;&gt;""),$E:$E))*($E308&lt;=INDEX($E:$E,MATCH(TRUE,INDEX((ISNUMBER($E:$E)),0),0)))*($E308&gt;INDEX(_xlfn.ANCHORARRAY(Sintesi!$C$14),1,$C308))*($E308&lt;INDEX(_xlfn.ANCHORARRAY(Sintesi!$C$16),1,$C308))*(INDEX(_xlfn.ANCHORARRAY(Sintesi!$C$15),1,$C308)&lt;0)+($E308&gt;=LOOKUP(2,1/($E:$E&lt;&gt;""),$E:$E))*($E308&lt;=INDEX($E:$E,MATCH(TRUE,INDEX((ISNUMBER($E:$E)),0),0)))*($E308&gt;INDEX(_xlfn.ANCHORARRAY(Sintesi!$C$15),1,$C308))*($E308&lt;INDEX(_xlfn.ANCHORARRAY(Sintesi!$C$16),1,$C308))*(INDEX(_xlfn.ANCHORARRAY(Sintesi!$C$15),1,$C308)&gt;0),2,IF($E308=(INDEX(_xlfn.ANCHORARRAY(Sintesi!$C$16),1,$C308)),3,4)))),0)),IF(ISNUMBER($E307),IF($C308&gt;0,IF(($E308=INDEX(_xlfn.ANCHORARRAY(Sintesi!$C$14),1,$C308))*(INDEX(_xlfn.ANCHORARRAY(Sintesi!$C$15),1,$C308)&gt;0),0,IF(($E308=INDEX(_xlfn.ANCHORARRAY(Sintesi!$C$14),1,$C308))*(INDEX(_xlfn.ANCHORARRAY(Sintesi!$C$15),1,$C308)&lt;0)+($E308&gt;=$E307)*($E308&lt;=$E309)*($E308&gt;INDEX(_xlfn.ANCHORARRAY(Sintesi!$C$14),1,$C308))*($E308&lt;=INDEX(_xlfn.ANCHORARRAY(Sintesi!$C$15),1,$C308))*(INDEX(_xlfn.ANCHORARRAY(Sintesi!$C$15),1,$C308)&gt;0),1,IF(($E308&gt;=$E307)*($E308&lt;=$E309)*($E308&gt;INDEX(_xlfn.ANCHORARRAY(Sintesi!$C$14),1,$C308))*($E308&lt;INDEX(_xlfn.ANCHORARRAY(Sintesi!$C$16),1,$C308))*(INDEX(_xlfn.ANCHORARRAY(Sintesi!$C$15),1,$C308)&lt;0)+($E308&gt;=$E307)*($E308&lt;=$E309)*($E308&gt;INDEX(_xlfn.ANCHORARRAY(Sintesi!$C$15),1,$C308))*($E308&lt;INDEX(_xlfn.ANCHORARRAY(Sintesi!$C$16),1,$C308))*(INDEX(_xlfn.ANCHORARRAY(Sintesi!$C$15),1,$C308)&gt;0),2,IF($E308=(INDEX(_xlfn.ANCHORARRAY(Sintesi!$C$16),1,$C308)),3,4)))),0),IF($C308&gt;0,IF(($E308=INDEX(_xlfn.ANCHORARRAY(Sintesi!$C$14),1,$C308))*(INDEX(_xlfn.ANCHORARRAY(Sintesi!$C$15),1,$C308)&gt;0),0,IF(($E308=INDEX(_xlfn.ANCHORARRAY(Sintesi!$C$14),1,$C308))*(INDEX(_xlfn.ANCHORARRAY(Sintesi!$C$15),1,$C308)&lt;0)+($E308&gt;=LOOKUP(2,1/($E:$E&lt;&gt;""),$E:$E))*($E308&lt;=$E309)*($E308&gt;INDEX(_xlfn.ANCHORARRAY(Sintesi!$C$14),1,$C308))*($E308&lt;=INDEX(_xlfn.ANCHORARRAY(Sintesi!$C$15),1,$C308))*(INDEX(_xlfn.ANCHORARRAY(Sintesi!$C$15),1,$C308)&gt;0),1,IF(($E308&gt;=LOOKUP(2,1/($E:$E&lt;&gt;""),$E:$E))*($E308&lt;=$E309)*($E308&gt;INDEX(_xlfn.ANCHORARRAY(Sintesi!$C$14),1,$C308))*($E308&lt;INDEX(_xlfn.ANCHORARRAY(Sintesi!$C$16),1,$C308))*(INDEX(_xlfn.ANCHORARRAY(Sintesi!$C$15),1,$C308)&lt;0)+($E308&gt;=LOOKUP(2,1/($E:$E&lt;&gt;""),$E:$E))*($E308&lt;=$E309)*($E308&gt;INDEX(_xlfn.ANCHORARRAY(Sintesi!$C$15),1,$C308))*($E308&lt;INDEX(_xlfn.ANCHORARRAY(Sintesi!$C$16),1,$C308))*(INDEX(_xlfn.ANCHORARRAY(Sintesi!$C$15),1,$C308)&gt;0),2,IF($E308=(INDEX(_xlfn.ANCHORARRAY(Sintesi!$C$16),1,$C308)),3,4)))),0)))</f>
        <v>0</v>
      </c>
      <c r="E308" s="1">
        <f>'Paste cell here'!F308</f>
        <v>0</v>
      </c>
      <c r="F308" s="1">
        <f>'Paste cell here'!C308</f>
        <v>12.76673493</v>
      </c>
      <c r="G308" s="1">
        <f>'Paste cell here'!D308</f>
        <v>7.2254561309999996</v>
      </c>
      <c r="H308" s="1">
        <f>'Paste cell here'!E308</f>
        <v>0.45489117200000001</v>
      </c>
      <c r="I308" s="1">
        <f>'Paste cell here'!X308</f>
        <v>0</v>
      </c>
      <c r="J308" s="1">
        <f>'Paste cell here'!Y308+'Paste cell here'!S308</f>
        <v>0</v>
      </c>
      <c r="K308" s="1">
        <f t="shared" si="9"/>
        <v>0</v>
      </c>
      <c r="L308" s="1">
        <f t="shared" si="8"/>
        <v>10.757577878023914</v>
      </c>
      <c r="M308" s="1" cm="1">
        <f t="array" ref="M308">IF(AND(A308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,A308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),IF(L308&lt;_xlfn.IFNA(INDEX(_xlfn.ANCHORARRAY(Sintesi!$C$17)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,1,IF(L308&gt;=_xlfn.IFNA(INDEX(_xlfn.ANCHORARRAY(Sintesi!$C$18)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,0,1-(L308-_xlfn.IFNA(INDEX(_xlfn.ANCHORARRAY(Sintesi!$C$17)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)/(_xlfn.IFNA(INDEX(_xlfn.ANCHORARRAY(Sintesi!$C$18)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-_xlfn.IFNA(INDEX(_xlfn.ANCHORARRAY(Sintesi!$C$17),1,MATCH(1,(_xlfn.ANCHORARRAY(Sintesi!$C$9)&gt;_xlfn.ANCHORARRAY(Sintesi!$C$10))*(A307&gt;=_xlfn.ANCHORARRAY(Sintesi!$C$9))+(_xlfn.ANCHORARRAY(Sintesi!$C$9)&gt;_xlfn.ANCHORARRAY(Sintesi!$C$10))*(A307&lt;=_xlfn.ANCHORARRAY(Sintesi!$C$10))+(_xlfn.ANCHORARRAY(Sintesi!$C$9)&lt;_xlfn.ANCHORARRAY(Sintesi!$C$10))*(A307&gt;=_xlfn.ANCHORARRAY(Sintesi!$C$9))*(A307&lt;=_xlfn.ANCHORARRAY(Sintesi!$C$10)),0)),0)))),0)</f>
        <v>0</v>
      </c>
    </row>
    <row r="309" spans="1:13">
      <c r="A309" s="1">
        <f>'Paste cell here'!A309</f>
        <v>0</v>
      </c>
      <c r="B309" s="2">
        <f>DATE(Sintesi!$C$4-1,12,31)+A309</f>
        <v>44196</v>
      </c>
      <c r="C309" s="34" cm="1">
        <f t="array" ref="C309">_xlfn.IFNA(MATCH(1,(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)*(_xlfn.ANCHORARRAY(Sintesi!$C$15)&gt;=0)+(_xlfn.ANCHORARRAY(Sintesi!$C$15)&lt;0),0),0)</f>
        <v>0</v>
      </c>
      <c r="D309" s="1" cm="1">
        <f t="array" ref="D309">IF(ISBLANK($E310),IF(ISNUMBER($E308),IF($C309&gt;0,IF(($E309=INDEX(_xlfn.ANCHORARRAY(Sintesi!$C$14),1,$C309))*(INDEX(_xlfn.ANCHORARRAY(Sintesi!$C$15),1,$C309)&gt;0),0,IF(($E309=INDEX(_xlfn.ANCHORARRAY(Sintesi!$C$14),1,$C309))*(INDEX(_xlfn.ANCHORARRAY(Sintesi!$C$15),1,$C309)&lt;0)+($E309&gt;=$E308)*($E309&lt;=INDEX($E:$E,MATCH(TRUE,INDEX((ISNUMBER($E:$E)),0),0)))*($E309&gt;INDEX(_xlfn.ANCHORARRAY(Sintesi!$C$14),1,$C309))*($E309&lt;=INDEX(_xlfn.ANCHORARRAY(Sintesi!$C$15),1,$C309))*(INDEX(_xlfn.ANCHORARRAY(Sintesi!$C$15),1,$C309)&gt;0),1,IF(($E309&gt;=$E308)*($E309&lt;=INDEX($E:$E,MATCH(TRUE,INDEX((ISNUMBER($E:$E)),0),0)))*($E309&gt;INDEX(_xlfn.ANCHORARRAY(Sintesi!$C$14),1,$C309))*($E309&lt;INDEX(_xlfn.ANCHORARRAY(Sintesi!$C$16),1,$C309))*(INDEX(_xlfn.ANCHORARRAY(Sintesi!$C$15),1,$C309)&lt;0)+($E309&gt;=$E308)*($E309&lt;=INDEX($E:$E,MATCH(TRUE,INDEX((ISNUMBER($E:$E)),0),0)))*($E309&gt;INDEX(_xlfn.ANCHORARRAY(Sintesi!$C$15),1,$C309))*($E309&lt;INDEX(_xlfn.ANCHORARRAY(Sintesi!$C$16),1,$C309))*(INDEX(_xlfn.ANCHORARRAY(Sintesi!$C$15),1,$C309)&gt;0),2,IF($E309=(INDEX(_xlfn.ANCHORARRAY(Sintesi!$C$16),1,$C309)),3,4)))),0),IF($C309&gt;0,IF(($E309=INDEX(_xlfn.ANCHORARRAY(Sintesi!$C$14),1,$C309))*(INDEX(_xlfn.ANCHORARRAY(Sintesi!$C$15),1,$C309)&gt;0),0,IF(($E309=INDEX(_xlfn.ANCHORARRAY(Sintesi!$C$14),1,$C309))*(INDEX(_xlfn.ANCHORARRAY(Sintesi!$C$15),1,$C309)&lt;0)+($E309&gt;=LOOKUP(2,1/($E:$E&lt;&gt;""),$E:$E))*($E309&lt;=INDEX($E:$E,MATCH(TRUE,INDEX((ISNUMBER($E:$E)),0),0)))*($E309&gt;INDEX(_xlfn.ANCHORARRAY(Sintesi!$C$14),1,$C309))*($E309&lt;=INDEX(_xlfn.ANCHORARRAY(Sintesi!$C$15),1,$C309))*(INDEX(_xlfn.ANCHORARRAY(Sintesi!$C$15),1,$C309)&gt;0),1,IF(($E309&gt;=LOOKUP(2,1/($E:$E&lt;&gt;""),$E:$E))*($E309&lt;=INDEX($E:$E,MATCH(TRUE,INDEX((ISNUMBER($E:$E)),0),0)))*($E309&gt;INDEX(_xlfn.ANCHORARRAY(Sintesi!$C$14),1,$C309))*($E309&lt;INDEX(_xlfn.ANCHORARRAY(Sintesi!$C$16),1,$C309))*(INDEX(_xlfn.ANCHORARRAY(Sintesi!$C$15),1,$C309)&lt;0)+($E309&gt;=LOOKUP(2,1/($E:$E&lt;&gt;""),$E:$E))*($E309&lt;=INDEX($E:$E,MATCH(TRUE,INDEX((ISNUMBER($E:$E)),0),0)))*($E309&gt;INDEX(_xlfn.ANCHORARRAY(Sintesi!$C$15),1,$C309))*($E309&lt;INDEX(_xlfn.ANCHORARRAY(Sintesi!$C$16),1,$C309))*(INDEX(_xlfn.ANCHORARRAY(Sintesi!$C$15),1,$C309)&gt;0),2,IF($E309=(INDEX(_xlfn.ANCHORARRAY(Sintesi!$C$16),1,$C309)),3,4)))),0)),IF(ISNUMBER($E308),IF($C309&gt;0,IF(($E309=INDEX(_xlfn.ANCHORARRAY(Sintesi!$C$14),1,$C309))*(INDEX(_xlfn.ANCHORARRAY(Sintesi!$C$15),1,$C309)&gt;0),0,IF(($E309=INDEX(_xlfn.ANCHORARRAY(Sintesi!$C$14),1,$C309))*(INDEX(_xlfn.ANCHORARRAY(Sintesi!$C$15),1,$C309)&lt;0)+($E309&gt;=$E308)*($E309&lt;=$E310)*($E309&gt;INDEX(_xlfn.ANCHORARRAY(Sintesi!$C$14),1,$C309))*($E309&lt;=INDEX(_xlfn.ANCHORARRAY(Sintesi!$C$15),1,$C309))*(INDEX(_xlfn.ANCHORARRAY(Sintesi!$C$15),1,$C309)&gt;0),1,IF(($E309&gt;=$E308)*($E309&lt;=$E310)*($E309&gt;INDEX(_xlfn.ANCHORARRAY(Sintesi!$C$14),1,$C309))*($E309&lt;INDEX(_xlfn.ANCHORARRAY(Sintesi!$C$16),1,$C309))*(INDEX(_xlfn.ANCHORARRAY(Sintesi!$C$15),1,$C309)&lt;0)+($E309&gt;=$E308)*($E309&lt;=$E310)*($E309&gt;INDEX(_xlfn.ANCHORARRAY(Sintesi!$C$15),1,$C309))*($E309&lt;INDEX(_xlfn.ANCHORARRAY(Sintesi!$C$16),1,$C309))*(INDEX(_xlfn.ANCHORARRAY(Sintesi!$C$15),1,$C309)&gt;0),2,IF($E309=(INDEX(_xlfn.ANCHORARRAY(Sintesi!$C$16),1,$C309)),3,4)))),0),IF($C309&gt;0,IF(($E309=INDEX(_xlfn.ANCHORARRAY(Sintesi!$C$14),1,$C309))*(INDEX(_xlfn.ANCHORARRAY(Sintesi!$C$15),1,$C309)&gt;0),0,IF(($E309=INDEX(_xlfn.ANCHORARRAY(Sintesi!$C$14),1,$C309))*(INDEX(_xlfn.ANCHORARRAY(Sintesi!$C$15),1,$C309)&lt;0)+($E309&gt;=LOOKUP(2,1/($E:$E&lt;&gt;""),$E:$E))*($E309&lt;=$E310)*($E309&gt;INDEX(_xlfn.ANCHORARRAY(Sintesi!$C$14),1,$C309))*($E309&lt;=INDEX(_xlfn.ANCHORARRAY(Sintesi!$C$15),1,$C309))*(INDEX(_xlfn.ANCHORARRAY(Sintesi!$C$15),1,$C309)&gt;0),1,IF(($E309&gt;=LOOKUP(2,1/($E:$E&lt;&gt;""),$E:$E))*($E309&lt;=$E310)*($E309&gt;INDEX(_xlfn.ANCHORARRAY(Sintesi!$C$14),1,$C309))*($E309&lt;INDEX(_xlfn.ANCHORARRAY(Sintesi!$C$16),1,$C309))*(INDEX(_xlfn.ANCHORARRAY(Sintesi!$C$15),1,$C309)&lt;0)+($E309&gt;=LOOKUP(2,1/($E:$E&lt;&gt;""),$E:$E))*($E309&lt;=$E310)*($E309&gt;INDEX(_xlfn.ANCHORARRAY(Sintesi!$C$15),1,$C309))*($E309&lt;INDEX(_xlfn.ANCHORARRAY(Sintesi!$C$16),1,$C309))*(INDEX(_xlfn.ANCHORARRAY(Sintesi!$C$15),1,$C309)&gt;0),2,IF($E309=(INDEX(_xlfn.ANCHORARRAY(Sintesi!$C$16),1,$C309)),3,4)))),0)))</f>
        <v>0</v>
      </c>
      <c r="E309" s="1">
        <f>'Paste cell here'!F309</f>
        <v>0</v>
      </c>
      <c r="F309" s="1">
        <f>'Paste cell here'!C309</f>
        <v>0</v>
      </c>
      <c r="G309" s="1">
        <f>'Paste cell here'!D309</f>
        <v>0</v>
      </c>
      <c r="H309" s="1">
        <f>'Paste cell here'!E309</f>
        <v>0</v>
      </c>
      <c r="I309" s="1">
        <f>'Paste cell here'!X309</f>
        <v>0</v>
      </c>
      <c r="J309" s="1">
        <f>'Paste cell here'!Y309+'Paste cell here'!S309</f>
        <v>0</v>
      </c>
      <c r="K309" s="1" t="e">
        <f t="shared" si="9"/>
        <v>#DIV/0!</v>
      </c>
      <c r="L309" s="1">
        <f t="shared" si="8"/>
        <v>0</v>
      </c>
      <c r="M309" s="1" cm="1">
        <f t="array" ref="M309">IF(AND(A309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,A309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),IF(L309&lt;_xlfn.IFNA(INDEX(_xlfn.ANCHORARRAY(Sintesi!$C$17)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,1,IF(L309&gt;=_xlfn.IFNA(INDEX(_xlfn.ANCHORARRAY(Sintesi!$C$18)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,0,1-(L309-_xlfn.IFNA(INDEX(_xlfn.ANCHORARRAY(Sintesi!$C$17)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)/(_xlfn.IFNA(INDEX(_xlfn.ANCHORARRAY(Sintesi!$C$18)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-_xlfn.IFNA(INDEX(_xlfn.ANCHORARRAY(Sintesi!$C$17),1,MATCH(1,(_xlfn.ANCHORARRAY(Sintesi!$C$9)&gt;_xlfn.ANCHORARRAY(Sintesi!$C$10))*(A308&gt;=_xlfn.ANCHORARRAY(Sintesi!$C$9))+(_xlfn.ANCHORARRAY(Sintesi!$C$9)&gt;_xlfn.ANCHORARRAY(Sintesi!$C$10))*(A308&lt;=_xlfn.ANCHORARRAY(Sintesi!$C$10))+(_xlfn.ANCHORARRAY(Sintesi!$C$9)&lt;_xlfn.ANCHORARRAY(Sintesi!$C$10))*(A308&gt;=_xlfn.ANCHORARRAY(Sintesi!$C$9))*(A308&lt;=_xlfn.ANCHORARRAY(Sintesi!$C$10)),0)),0)))),0)</f>
        <v>0</v>
      </c>
    </row>
    <row r="310" spans="1:13">
      <c r="A310" s="1">
        <f>'Paste cell here'!A310</f>
        <v>0</v>
      </c>
      <c r="B310" s="2">
        <f>DATE(Sintesi!$C$4-1,12,31)+A310</f>
        <v>44196</v>
      </c>
      <c r="C310" s="34" cm="1">
        <f t="array" ref="C310">_xlfn.IFNA(MATCH(1,(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)*(_xlfn.ANCHORARRAY(Sintesi!$C$15)&gt;=0)+(_xlfn.ANCHORARRAY(Sintesi!$C$15)&lt;0),0),0)</f>
        <v>0</v>
      </c>
      <c r="D310" s="1" cm="1">
        <f t="array" ref="D310">IF(ISBLANK($E311),IF(ISNUMBER($E309),IF($C310&gt;0,IF(($E310=INDEX(_xlfn.ANCHORARRAY(Sintesi!$C$14),1,$C310))*(INDEX(_xlfn.ANCHORARRAY(Sintesi!$C$15),1,$C310)&gt;0),0,IF(($E310=INDEX(_xlfn.ANCHORARRAY(Sintesi!$C$14),1,$C310))*(INDEX(_xlfn.ANCHORARRAY(Sintesi!$C$15),1,$C310)&lt;0)+($E310&gt;=$E309)*($E310&lt;=INDEX($E:$E,MATCH(TRUE,INDEX((ISNUMBER($E:$E)),0),0)))*($E310&gt;INDEX(_xlfn.ANCHORARRAY(Sintesi!$C$14),1,$C310))*($E310&lt;=INDEX(_xlfn.ANCHORARRAY(Sintesi!$C$15),1,$C310))*(INDEX(_xlfn.ANCHORARRAY(Sintesi!$C$15),1,$C310)&gt;0),1,IF(($E310&gt;=$E309)*($E310&lt;=INDEX($E:$E,MATCH(TRUE,INDEX((ISNUMBER($E:$E)),0),0)))*($E310&gt;INDEX(_xlfn.ANCHORARRAY(Sintesi!$C$14),1,$C310))*($E310&lt;INDEX(_xlfn.ANCHORARRAY(Sintesi!$C$16),1,$C310))*(INDEX(_xlfn.ANCHORARRAY(Sintesi!$C$15),1,$C310)&lt;0)+($E310&gt;=$E309)*($E310&lt;=INDEX($E:$E,MATCH(TRUE,INDEX((ISNUMBER($E:$E)),0),0)))*($E310&gt;INDEX(_xlfn.ANCHORARRAY(Sintesi!$C$15),1,$C310))*($E310&lt;INDEX(_xlfn.ANCHORARRAY(Sintesi!$C$16),1,$C310))*(INDEX(_xlfn.ANCHORARRAY(Sintesi!$C$15),1,$C310)&gt;0),2,IF($E310=(INDEX(_xlfn.ANCHORARRAY(Sintesi!$C$16),1,$C310)),3,4)))),0),IF($C310&gt;0,IF(($E310=INDEX(_xlfn.ANCHORARRAY(Sintesi!$C$14),1,$C310))*(INDEX(_xlfn.ANCHORARRAY(Sintesi!$C$15),1,$C310)&gt;0),0,IF(($E310=INDEX(_xlfn.ANCHORARRAY(Sintesi!$C$14),1,$C310))*(INDEX(_xlfn.ANCHORARRAY(Sintesi!$C$15),1,$C310)&lt;0)+($E310&gt;=LOOKUP(2,1/($E:$E&lt;&gt;""),$E:$E))*($E310&lt;=INDEX($E:$E,MATCH(TRUE,INDEX((ISNUMBER($E:$E)),0),0)))*($E310&gt;INDEX(_xlfn.ANCHORARRAY(Sintesi!$C$14),1,$C310))*($E310&lt;=INDEX(_xlfn.ANCHORARRAY(Sintesi!$C$15),1,$C310))*(INDEX(_xlfn.ANCHORARRAY(Sintesi!$C$15),1,$C310)&gt;0),1,IF(($E310&gt;=LOOKUP(2,1/($E:$E&lt;&gt;""),$E:$E))*($E310&lt;=INDEX($E:$E,MATCH(TRUE,INDEX((ISNUMBER($E:$E)),0),0)))*($E310&gt;INDEX(_xlfn.ANCHORARRAY(Sintesi!$C$14),1,$C310))*($E310&lt;INDEX(_xlfn.ANCHORARRAY(Sintesi!$C$16),1,$C310))*(INDEX(_xlfn.ANCHORARRAY(Sintesi!$C$15),1,$C310)&lt;0)+($E310&gt;=LOOKUP(2,1/($E:$E&lt;&gt;""),$E:$E))*($E310&lt;=INDEX($E:$E,MATCH(TRUE,INDEX((ISNUMBER($E:$E)),0),0)))*($E310&gt;INDEX(_xlfn.ANCHORARRAY(Sintesi!$C$15),1,$C310))*($E310&lt;INDEX(_xlfn.ANCHORARRAY(Sintesi!$C$16),1,$C310))*(INDEX(_xlfn.ANCHORARRAY(Sintesi!$C$15),1,$C310)&gt;0),2,IF($E310=(INDEX(_xlfn.ANCHORARRAY(Sintesi!$C$16),1,$C310)),3,4)))),0)),IF(ISNUMBER($E309),IF($C310&gt;0,IF(($E310=INDEX(_xlfn.ANCHORARRAY(Sintesi!$C$14),1,$C310))*(INDEX(_xlfn.ANCHORARRAY(Sintesi!$C$15),1,$C310)&gt;0),0,IF(($E310=INDEX(_xlfn.ANCHORARRAY(Sintesi!$C$14),1,$C310))*(INDEX(_xlfn.ANCHORARRAY(Sintesi!$C$15),1,$C310)&lt;0)+($E310&gt;=$E309)*($E310&lt;=$E311)*($E310&gt;INDEX(_xlfn.ANCHORARRAY(Sintesi!$C$14),1,$C310))*($E310&lt;=INDEX(_xlfn.ANCHORARRAY(Sintesi!$C$15),1,$C310))*(INDEX(_xlfn.ANCHORARRAY(Sintesi!$C$15),1,$C310)&gt;0),1,IF(($E310&gt;=$E309)*($E310&lt;=$E311)*($E310&gt;INDEX(_xlfn.ANCHORARRAY(Sintesi!$C$14),1,$C310))*($E310&lt;INDEX(_xlfn.ANCHORARRAY(Sintesi!$C$16),1,$C310))*(INDEX(_xlfn.ANCHORARRAY(Sintesi!$C$15),1,$C310)&lt;0)+($E310&gt;=$E309)*($E310&lt;=$E311)*($E310&gt;INDEX(_xlfn.ANCHORARRAY(Sintesi!$C$15),1,$C310))*($E310&lt;INDEX(_xlfn.ANCHORARRAY(Sintesi!$C$16),1,$C310))*(INDEX(_xlfn.ANCHORARRAY(Sintesi!$C$15),1,$C310)&gt;0),2,IF($E310=(INDEX(_xlfn.ANCHORARRAY(Sintesi!$C$16),1,$C310)),3,4)))),0),IF($C310&gt;0,IF(($E310=INDEX(_xlfn.ANCHORARRAY(Sintesi!$C$14),1,$C310))*(INDEX(_xlfn.ANCHORARRAY(Sintesi!$C$15),1,$C310)&gt;0),0,IF(($E310=INDEX(_xlfn.ANCHORARRAY(Sintesi!$C$14),1,$C310))*(INDEX(_xlfn.ANCHORARRAY(Sintesi!$C$15),1,$C310)&lt;0)+($E310&gt;=LOOKUP(2,1/($E:$E&lt;&gt;""),$E:$E))*($E310&lt;=$E311)*($E310&gt;INDEX(_xlfn.ANCHORARRAY(Sintesi!$C$14),1,$C310))*($E310&lt;=INDEX(_xlfn.ANCHORARRAY(Sintesi!$C$15),1,$C310))*(INDEX(_xlfn.ANCHORARRAY(Sintesi!$C$15),1,$C310)&gt;0),1,IF(($E310&gt;=LOOKUP(2,1/($E:$E&lt;&gt;""),$E:$E))*($E310&lt;=$E311)*($E310&gt;INDEX(_xlfn.ANCHORARRAY(Sintesi!$C$14),1,$C310))*($E310&lt;INDEX(_xlfn.ANCHORARRAY(Sintesi!$C$16),1,$C310))*(INDEX(_xlfn.ANCHORARRAY(Sintesi!$C$15),1,$C310)&lt;0)+($E310&gt;=LOOKUP(2,1/($E:$E&lt;&gt;""),$E:$E))*($E310&lt;=$E311)*($E310&gt;INDEX(_xlfn.ANCHORARRAY(Sintesi!$C$15),1,$C310))*($E310&lt;INDEX(_xlfn.ANCHORARRAY(Sintesi!$C$16),1,$C310))*(INDEX(_xlfn.ANCHORARRAY(Sintesi!$C$15),1,$C310)&gt;0),2,IF($E310=(INDEX(_xlfn.ANCHORARRAY(Sintesi!$C$16),1,$C310)),3,4)))),0)))</f>
        <v>0</v>
      </c>
      <c r="E310" s="1">
        <f>'Paste cell here'!F310</f>
        <v>0</v>
      </c>
      <c r="F310" s="1">
        <f>'Paste cell here'!C310</f>
        <v>0</v>
      </c>
      <c r="G310" s="1">
        <f>'Paste cell here'!D310</f>
        <v>0</v>
      </c>
      <c r="H310" s="1">
        <f>'Paste cell here'!E310</f>
        <v>0</v>
      </c>
      <c r="I310" s="1">
        <f>'Paste cell here'!X310</f>
        <v>0</v>
      </c>
      <c r="J310" s="1">
        <f>'Paste cell here'!Y310+'Paste cell here'!S310</f>
        <v>0</v>
      </c>
      <c r="K310" s="1" t="e">
        <f t="shared" si="9"/>
        <v>#DIV/0!</v>
      </c>
      <c r="L310" s="1">
        <f t="shared" si="8"/>
        <v>0</v>
      </c>
      <c r="M310" s="1" cm="1">
        <f t="array" ref="M310">IF(AND(A310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,A310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),IF(L310&lt;_xlfn.IFNA(INDEX(_xlfn.ANCHORARRAY(Sintesi!$C$17)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,1,IF(L310&gt;=_xlfn.IFNA(INDEX(_xlfn.ANCHORARRAY(Sintesi!$C$18)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,0,1-(L310-_xlfn.IFNA(INDEX(_xlfn.ANCHORARRAY(Sintesi!$C$17)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)/(_xlfn.IFNA(INDEX(_xlfn.ANCHORARRAY(Sintesi!$C$18)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-_xlfn.IFNA(INDEX(_xlfn.ANCHORARRAY(Sintesi!$C$17),1,MATCH(1,(_xlfn.ANCHORARRAY(Sintesi!$C$9)&gt;_xlfn.ANCHORARRAY(Sintesi!$C$10))*(A309&gt;=_xlfn.ANCHORARRAY(Sintesi!$C$9))+(_xlfn.ANCHORARRAY(Sintesi!$C$9)&gt;_xlfn.ANCHORARRAY(Sintesi!$C$10))*(A309&lt;=_xlfn.ANCHORARRAY(Sintesi!$C$10))+(_xlfn.ANCHORARRAY(Sintesi!$C$9)&lt;_xlfn.ANCHORARRAY(Sintesi!$C$10))*(A309&gt;=_xlfn.ANCHORARRAY(Sintesi!$C$9))*(A309&lt;=_xlfn.ANCHORARRAY(Sintesi!$C$10)),0)),0)))),0)</f>
        <v>0</v>
      </c>
    </row>
    <row r="311" spans="1:13">
      <c r="A311" s="1">
        <f>'Paste cell here'!A311</f>
        <v>0</v>
      </c>
      <c r="B311" s="2">
        <f>DATE(Sintesi!$C$4-1,12,31)+A311</f>
        <v>44196</v>
      </c>
      <c r="C311" s="34" cm="1">
        <f t="array" ref="C311">_xlfn.IFNA(MATCH(1,(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)*(_xlfn.ANCHORARRAY(Sintesi!$C$15)&gt;=0)+(_xlfn.ANCHORARRAY(Sintesi!$C$15)&lt;0),0),0)</f>
        <v>0</v>
      </c>
      <c r="D311" s="1" cm="1">
        <f t="array" ref="D311">IF(ISBLANK($E312),IF(ISNUMBER($E310),IF($C311&gt;0,IF(($E311=INDEX(_xlfn.ANCHORARRAY(Sintesi!$C$14),1,$C311))*(INDEX(_xlfn.ANCHORARRAY(Sintesi!$C$15),1,$C311)&gt;0),0,IF(($E311=INDEX(_xlfn.ANCHORARRAY(Sintesi!$C$14),1,$C311))*(INDEX(_xlfn.ANCHORARRAY(Sintesi!$C$15),1,$C311)&lt;0)+($E311&gt;=$E310)*($E311&lt;=INDEX($E:$E,MATCH(TRUE,INDEX((ISNUMBER($E:$E)),0),0)))*($E311&gt;INDEX(_xlfn.ANCHORARRAY(Sintesi!$C$14),1,$C311))*($E311&lt;=INDEX(_xlfn.ANCHORARRAY(Sintesi!$C$15),1,$C311))*(INDEX(_xlfn.ANCHORARRAY(Sintesi!$C$15),1,$C311)&gt;0),1,IF(($E311&gt;=$E310)*($E311&lt;=INDEX($E:$E,MATCH(TRUE,INDEX((ISNUMBER($E:$E)),0),0)))*($E311&gt;INDEX(_xlfn.ANCHORARRAY(Sintesi!$C$14),1,$C311))*($E311&lt;INDEX(_xlfn.ANCHORARRAY(Sintesi!$C$16),1,$C311))*(INDEX(_xlfn.ANCHORARRAY(Sintesi!$C$15),1,$C311)&lt;0)+($E311&gt;=$E310)*($E311&lt;=INDEX($E:$E,MATCH(TRUE,INDEX((ISNUMBER($E:$E)),0),0)))*($E311&gt;INDEX(_xlfn.ANCHORARRAY(Sintesi!$C$15),1,$C311))*($E311&lt;INDEX(_xlfn.ANCHORARRAY(Sintesi!$C$16),1,$C311))*(INDEX(_xlfn.ANCHORARRAY(Sintesi!$C$15),1,$C311)&gt;0),2,IF($E311=(INDEX(_xlfn.ANCHORARRAY(Sintesi!$C$16),1,$C311)),3,4)))),0),IF($C311&gt;0,IF(($E311=INDEX(_xlfn.ANCHORARRAY(Sintesi!$C$14),1,$C311))*(INDEX(_xlfn.ANCHORARRAY(Sintesi!$C$15),1,$C311)&gt;0),0,IF(($E311=INDEX(_xlfn.ANCHORARRAY(Sintesi!$C$14),1,$C311))*(INDEX(_xlfn.ANCHORARRAY(Sintesi!$C$15),1,$C311)&lt;0)+($E311&gt;=LOOKUP(2,1/($E:$E&lt;&gt;""),$E:$E))*($E311&lt;=INDEX($E:$E,MATCH(TRUE,INDEX((ISNUMBER($E:$E)),0),0)))*($E311&gt;INDEX(_xlfn.ANCHORARRAY(Sintesi!$C$14),1,$C311))*($E311&lt;=INDEX(_xlfn.ANCHORARRAY(Sintesi!$C$15),1,$C311))*(INDEX(_xlfn.ANCHORARRAY(Sintesi!$C$15),1,$C311)&gt;0),1,IF(($E311&gt;=LOOKUP(2,1/($E:$E&lt;&gt;""),$E:$E))*($E311&lt;=INDEX($E:$E,MATCH(TRUE,INDEX((ISNUMBER($E:$E)),0),0)))*($E311&gt;INDEX(_xlfn.ANCHORARRAY(Sintesi!$C$14),1,$C311))*($E311&lt;INDEX(_xlfn.ANCHORARRAY(Sintesi!$C$16),1,$C311))*(INDEX(_xlfn.ANCHORARRAY(Sintesi!$C$15),1,$C311)&lt;0)+($E311&gt;=LOOKUP(2,1/($E:$E&lt;&gt;""),$E:$E))*($E311&lt;=INDEX($E:$E,MATCH(TRUE,INDEX((ISNUMBER($E:$E)),0),0)))*($E311&gt;INDEX(_xlfn.ANCHORARRAY(Sintesi!$C$15),1,$C311))*($E311&lt;INDEX(_xlfn.ANCHORARRAY(Sintesi!$C$16),1,$C311))*(INDEX(_xlfn.ANCHORARRAY(Sintesi!$C$15),1,$C311)&gt;0),2,IF($E311=(INDEX(_xlfn.ANCHORARRAY(Sintesi!$C$16),1,$C311)),3,4)))),0)),IF(ISNUMBER($E310),IF($C311&gt;0,IF(($E311=INDEX(_xlfn.ANCHORARRAY(Sintesi!$C$14),1,$C311))*(INDEX(_xlfn.ANCHORARRAY(Sintesi!$C$15),1,$C311)&gt;0),0,IF(($E311=INDEX(_xlfn.ANCHORARRAY(Sintesi!$C$14),1,$C311))*(INDEX(_xlfn.ANCHORARRAY(Sintesi!$C$15),1,$C311)&lt;0)+($E311&gt;=$E310)*($E311&lt;=$E312)*($E311&gt;INDEX(_xlfn.ANCHORARRAY(Sintesi!$C$14),1,$C311))*($E311&lt;=INDEX(_xlfn.ANCHORARRAY(Sintesi!$C$15),1,$C311))*(INDEX(_xlfn.ANCHORARRAY(Sintesi!$C$15),1,$C311)&gt;0),1,IF(($E311&gt;=$E310)*($E311&lt;=$E312)*($E311&gt;INDEX(_xlfn.ANCHORARRAY(Sintesi!$C$14),1,$C311))*($E311&lt;INDEX(_xlfn.ANCHORARRAY(Sintesi!$C$16),1,$C311))*(INDEX(_xlfn.ANCHORARRAY(Sintesi!$C$15),1,$C311)&lt;0)+($E311&gt;=$E310)*($E311&lt;=$E312)*($E311&gt;INDEX(_xlfn.ANCHORARRAY(Sintesi!$C$15),1,$C311))*($E311&lt;INDEX(_xlfn.ANCHORARRAY(Sintesi!$C$16),1,$C311))*(INDEX(_xlfn.ANCHORARRAY(Sintesi!$C$15),1,$C311)&gt;0),2,IF($E311=(INDEX(_xlfn.ANCHORARRAY(Sintesi!$C$16),1,$C311)),3,4)))),0),IF($C311&gt;0,IF(($E311=INDEX(_xlfn.ANCHORARRAY(Sintesi!$C$14),1,$C311))*(INDEX(_xlfn.ANCHORARRAY(Sintesi!$C$15),1,$C311)&gt;0),0,IF(($E311=INDEX(_xlfn.ANCHORARRAY(Sintesi!$C$14),1,$C311))*(INDEX(_xlfn.ANCHORARRAY(Sintesi!$C$15),1,$C311)&lt;0)+($E311&gt;=LOOKUP(2,1/($E:$E&lt;&gt;""),$E:$E))*($E311&lt;=$E312)*($E311&gt;INDEX(_xlfn.ANCHORARRAY(Sintesi!$C$14),1,$C311))*($E311&lt;=INDEX(_xlfn.ANCHORARRAY(Sintesi!$C$15),1,$C311))*(INDEX(_xlfn.ANCHORARRAY(Sintesi!$C$15),1,$C311)&gt;0),1,IF(($E311&gt;=LOOKUP(2,1/($E:$E&lt;&gt;""),$E:$E))*($E311&lt;=$E312)*($E311&gt;INDEX(_xlfn.ANCHORARRAY(Sintesi!$C$14),1,$C311))*($E311&lt;INDEX(_xlfn.ANCHORARRAY(Sintesi!$C$16),1,$C311))*(INDEX(_xlfn.ANCHORARRAY(Sintesi!$C$15),1,$C311)&lt;0)+($E311&gt;=LOOKUP(2,1/($E:$E&lt;&gt;""),$E:$E))*($E311&lt;=$E312)*($E311&gt;INDEX(_xlfn.ANCHORARRAY(Sintesi!$C$15),1,$C311))*($E311&lt;INDEX(_xlfn.ANCHORARRAY(Sintesi!$C$16),1,$C311))*(INDEX(_xlfn.ANCHORARRAY(Sintesi!$C$15),1,$C311)&gt;0),2,IF($E311=(INDEX(_xlfn.ANCHORARRAY(Sintesi!$C$16),1,$C311)),3,4)))),0)))</f>
        <v>0</v>
      </c>
      <c r="E311" s="1">
        <f>'Paste cell here'!F311</f>
        <v>0</v>
      </c>
      <c r="F311" s="1">
        <f>'Paste cell here'!C311</f>
        <v>0</v>
      </c>
      <c r="G311" s="1">
        <f>'Paste cell here'!D311</f>
        <v>0</v>
      </c>
      <c r="H311" s="1">
        <f>'Paste cell here'!E311</f>
        <v>0</v>
      </c>
      <c r="I311" s="1">
        <f>'Paste cell here'!X311</f>
        <v>0</v>
      </c>
      <c r="J311" s="1">
        <f>'Paste cell here'!Y311+'Paste cell here'!S311</f>
        <v>0</v>
      </c>
      <c r="K311" s="1" t="e">
        <f t="shared" si="9"/>
        <v>#DIV/0!</v>
      </c>
      <c r="L311" s="1">
        <f t="shared" si="8"/>
        <v>0</v>
      </c>
      <c r="M311" s="1" cm="1">
        <f t="array" ref="M311">IF(AND(A311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,A311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),IF(L311&lt;_xlfn.IFNA(INDEX(_xlfn.ANCHORARRAY(Sintesi!$C$17)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,1,IF(L311&gt;=_xlfn.IFNA(INDEX(_xlfn.ANCHORARRAY(Sintesi!$C$18)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,0,1-(L311-_xlfn.IFNA(INDEX(_xlfn.ANCHORARRAY(Sintesi!$C$17)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)/(_xlfn.IFNA(INDEX(_xlfn.ANCHORARRAY(Sintesi!$C$18)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-_xlfn.IFNA(INDEX(_xlfn.ANCHORARRAY(Sintesi!$C$17),1,MATCH(1,(_xlfn.ANCHORARRAY(Sintesi!$C$9)&gt;_xlfn.ANCHORARRAY(Sintesi!$C$10))*(A310&gt;=_xlfn.ANCHORARRAY(Sintesi!$C$9))+(_xlfn.ANCHORARRAY(Sintesi!$C$9)&gt;_xlfn.ANCHORARRAY(Sintesi!$C$10))*(A310&lt;=_xlfn.ANCHORARRAY(Sintesi!$C$10))+(_xlfn.ANCHORARRAY(Sintesi!$C$9)&lt;_xlfn.ANCHORARRAY(Sintesi!$C$10))*(A310&gt;=_xlfn.ANCHORARRAY(Sintesi!$C$9))*(A310&lt;=_xlfn.ANCHORARRAY(Sintesi!$C$10)),0)),0)))),0)</f>
        <v>0</v>
      </c>
    </row>
    <row r="312" spans="1:13">
      <c r="A312" s="1">
        <f>'Paste cell here'!A312</f>
        <v>0</v>
      </c>
      <c r="B312" s="2">
        <f>DATE(Sintesi!$C$4-1,12,31)+A312</f>
        <v>44196</v>
      </c>
      <c r="C312" s="34" cm="1">
        <f t="array" ref="C312">_xlfn.IFNA(MATCH(1,(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)*(_xlfn.ANCHORARRAY(Sintesi!$C$15)&gt;=0)+(_xlfn.ANCHORARRAY(Sintesi!$C$15)&lt;0),0),0)</f>
        <v>0</v>
      </c>
      <c r="D312" s="1" cm="1">
        <f t="array" ref="D312">IF(ISBLANK($E313),IF(ISNUMBER($E311),IF($C312&gt;0,IF(($E312=INDEX(_xlfn.ANCHORARRAY(Sintesi!$C$14),1,$C312))*(INDEX(_xlfn.ANCHORARRAY(Sintesi!$C$15),1,$C312)&gt;0),0,IF(($E312=INDEX(_xlfn.ANCHORARRAY(Sintesi!$C$14),1,$C312))*(INDEX(_xlfn.ANCHORARRAY(Sintesi!$C$15),1,$C312)&lt;0)+($E312&gt;=$E311)*($E312&lt;=INDEX($E:$E,MATCH(TRUE,INDEX((ISNUMBER($E:$E)),0),0)))*($E312&gt;INDEX(_xlfn.ANCHORARRAY(Sintesi!$C$14),1,$C312))*($E312&lt;=INDEX(_xlfn.ANCHORARRAY(Sintesi!$C$15),1,$C312))*(INDEX(_xlfn.ANCHORARRAY(Sintesi!$C$15),1,$C312)&gt;0),1,IF(($E312&gt;=$E311)*($E312&lt;=INDEX($E:$E,MATCH(TRUE,INDEX((ISNUMBER($E:$E)),0),0)))*($E312&gt;INDEX(_xlfn.ANCHORARRAY(Sintesi!$C$14),1,$C312))*($E312&lt;INDEX(_xlfn.ANCHORARRAY(Sintesi!$C$16),1,$C312))*(INDEX(_xlfn.ANCHORARRAY(Sintesi!$C$15),1,$C312)&lt;0)+($E312&gt;=$E311)*($E312&lt;=INDEX($E:$E,MATCH(TRUE,INDEX((ISNUMBER($E:$E)),0),0)))*($E312&gt;INDEX(_xlfn.ANCHORARRAY(Sintesi!$C$15),1,$C312))*($E312&lt;INDEX(_xlfn.ANCHORARRAY(Sintesi!$C$16),1,$C312))*(INDEX(_xlfn.ANCHORARRAY(Sintesi!$C$15),1,$C312)&gt;0),2,IF($E312=(INDEX(_xlfn.ANCHORARRAY(Sintesi!$C$16),1,$C312)),3,4)))),0),IF($C312&gt;0,IF(($E312=INDEX(_xlfn.ANCHORARRAY(Sintesi!$C$14),1,$C312))*(INDEX(_xlfn.ANCHORARRAY(Sintesi!$C$15),1,$C312)&gt;0),0,IF(($E312=INDEX(_xlfn.ANCHORARRAY(Sintesi!$C$14),1,$C312))*(INDEX(_xlfn.ANCHORARRAY(Sintesi!$C$15),1,$C312)&lt;0)+($E312&gt;=LOOKUP(2,1/($E:$E&lt;&gt;""),$E:$E))*($E312&lt;=INDEX($E:$E,MATCH(TRUE,INDEX((ISNUMBER($E:$E)),0),0)))*($E312&gt;INDEX(_xlfn.ANCHORARRAY(Sintesi!$C$14),1,$C312))*($E312&lt;=INDEX(_xlfn.ANCHORARRAY(Sintesi!$C$15),1,$C312))*(INDEX(_xlfn.ANCHORARRAY(Sintesi!$C$15),1,$C312)&gt;0),1,IF(($E312&gt;=LOOKUP(2,1/($E:$E&lt;&gt;""),$E:$E))*($E312&lt;=INDEX($E:$E,MATCH(TRUE,INDEX((ISNUMBER($E:$E)),0),0)))*($E312&gt;INDEX(_xlfn.ANCHORARRAY(Sintesi!$C$14),1,$C312))*($E312&lt;INDEX(_xlfn.ANCHORARRAY(Sintesi!$C$16),1,$C312))*(INDEX(_xlfn.ANCHORARRAY(Sintesi!$C$15),1,$C312)&lt;0)+($E312&gt;=LOOKUP(2,1/($E:$E&lt;&gt;""),$E:$E))*($E312&lt;=INDEX($E:$E,MATCH(TRUE,INDEX((ISNUMBER($E:$E)),0),0)))*($E312&gt;INDEX(_xlfn.ANCHORARRAY(Sintesi!$C$15),1,$C312))*($E312&lt;INDEX(_xlfn.ANCHORARRAY(Sintesi!$C$16),1,$C312))*(INDEX(_xlfn.ANCHORARRAY(Sintesi!$C$15),1,$C312)&gt;0),2,IF($E312=(INDEX(_xlfn.ANCHORARRAY(Sintesi!$C$16),1,$C312)),3,4)))),0)),IF(ISNUMBER($E311),IF($C312&gt;0,IF(($E312=INDEX(_xlfn.ANCHORARRAY(Sintesi!$C$14),1,$C312))*(INDEX(_xlfn.ANCHORARRAY(Sintesi!$C$15),1,$C312)&gt;0),0,IF(($E312=INDEX(_xlfn.ANCHORARRAY(Sintesi!$C$14),1,$C312))*(INDEX(_xlfn.ANCHORARRAY(Sintesi!$C$15),1,$C312)&lt;0)+($E312&gt;=$E311)*($E312&lt;=$E313)*($E312&gt;INDEX(_xlfn.ANCHORARRAY(Sintesi!$C$14),1,$C312))*($E312&lt;=INDEX(_xlfn.ANCHORARRAY(Sintesi!$C$15),1,$C312))*(INDEX(_xlfn.ANCHORARRAY(Sintesi!$C$15),1,$C312)&gt;0),1,IF(($E312&gt;=$E311)*($E312&lt;=$E313)*($E312&gt;INDEX(_xlfn.ANCHORARRAY(Sintesi!$C$14),1,$C312))*($E312&lt;INDEX(_xlfn.ANCHORARRAY(Sintesi!$C$16),1,$C312))*(INDEX(_xlfn.ANCHORARRAY(Sintesi!$C$15),1,$C312)&lt;0)+($E312&gt;=$E311)*($E312&lt;=$E313)*($E312&gt;INDEX(_xlfn.ANCHORARRAY(Sintesi!$C$15),1,$C312))*($E312&lt;INDEX(_xlfn.ANCHORARRAY(Sintesi!$C$16),1,$C312))*(INDEX(_xlfn.ANCHORARRAY(Sintesi!$C$15),1,$C312)&gt;0),2,IF($E312=(INDEX(_xlfn.ANCHORARRAY(Sintesi!$C$16),1,$C312)),3,4)))),0),IF($C312&gt;0,IF(($E312=INDEX(_xlfn.ANCHORARRAY(Sintesi!$C$14),1,$C312))*(INDEX(_xlfn.ANCHORARRAY(Sintesi!$C$15),1,$C312)&gt;0),0,IF(($E312=INDEX(_xlfn.ANCHORARRAY(Sintesi!$C$14),1,$C312))*(INDEX(_xlfn.ANCHORARRAY(Sintesi!$C$15),1,$C312)&lt;0)+($E312&gt;=LOOKUP(2,1/($E:$E&lt;&gt;""),$E:$E))*($E312&lt;=$E313)*($E312&gt;INDEX(_xlfn.ANCHORARRAY(Sintesi!$C$14),1,$C312))*($E312&lt;=INDEX(_xlfn.ANCHORARRAY(Sintesi!$C$15),1,$C312))*(INDEX(_xlfn.ANCHORARRAY(Sintesi!$C$15),1,$C312)&gt;0),1,IF(($E312&gt;=LOOKUP(2,1/($E:$E&lt;&gt;""),$E:$E))*($E312&lt;=$E313)*($E312&gt;INDEX(_xlfn.ANCHORARRAY(Sintesi!$C$14),1,$C312))*($E312&lt;INDEX(_xlfn.ANCHORARRAY(Sintesi!$C$16),1,$C312))*(INDEX(_xlfn.ANCHORARRAY(Sintesi!$C$15),1,$C312)&lt;0)+($E312&gt;=LOOKUP(2,1/($E:$E&lt;&gt;""),$E:$E))*($E312&lt;=$E313)*($E312&gt;INDEX(_xlfn.ANCHORARRAY(Sintesi!$C$15),1,$C312))*($E312&lt;INDEX(_xlfn.ANCHORARRAY(Sintesi!$C$16),1,$C312))*(INDEX(_xlfn.ANCHORARRAY(Sintesi!$C$15),1,$C312)&gt;0),2,IF($E312=(INDEX(_xlfn.ANCHORARRAY(Sintesi!$C$16),1,$C312)),3,4)))),0)))</f>
        <v>0</v>
      </c>
      <c r="E312" s="1">
        <f>'Paste cell here'!F312</f>
        <v>0</v>
      </c>
      <c r="F312" s="1">
        <f>'Paste cell here'!C312</f>
        <v>0</v>
      </c>
      <c r="G312" s="1">
        <f>'Paste cell here'!D312</f>
        <v>0</v>
      </c>
      <c r="H312" s="1">
        <f>'Paste cell here'!E312</f>
        <v>0</v>
      </c>
      <c r="I312" s="1">
        <f>'Paste cell here'!X312</f>
        <v>0</v>
      </c>
      <c r="J312" s="1">
        <f>'Paste cell here'!Y312+'Paste cell here'!S312</f>
        <v>0</v>
      </c>
      <c r="K312" s="1" t="e">
        <f t="shared" si="9"/>
        <v>#DIV/0!</v>
      </c>
      <c r="L312" s="1">
        <f t="shared" si="8"/>
        <v>0</v>
      </c>
      <c r="M312" s="1" cm="1">
        <f t="array" ref="M312">IF(AND(A312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,A312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),IF(L312&lt;_xlfn.IFNA(INDEX(_xlfn.ANCHORARRAY(Sintesi!$C$17)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,1,IF(L312&gt;=_xlfn.IFNA(INDEX(_xlfn.ANCHORARRAY(Sintesi!$C$18)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,0,1-(L312-_xlfn.IFNA(INDEX(_xlfn.ANCHORARRAY(Sintesi!$C$17)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)/(_xlfn.IFNA(INDEX(_xlfn.ANCHORARRAY(Sintesi!$C$18)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-_xlfn.IFNA(INDEX(_xlfn.ANCHORARRAY(Sintesi!$C$17),1,MATCH(1,(_xlfn.ANCHORARRAY(Sintesi!$C$9)&gt;_xlfn.ANCHORARRAY(Sintesi!$C$10))*(A311&gt;=_xlfn.ANCHORARRAY(Sintesi!$C$9))+(_xlfn.ANCHORARRAY(Sintesi!$C$9)&gt;_xlfn.ANCHORARRAY(Sintesi!$C$10))*(A311&lt;=_xlfn.ANCHORARRAY(Sintesi!$C$10))+(_xlfn.ANCHORARRAY(Sintesi!$C$9)&lt;_xlfn.ANCHORARRAY(Sintesi!$C$10))*(A311&gt;=_xlfn.ANCHORARRAY(Sintesi!$C$9))*(A311&lt;=_xlfn.ANCHORARRAY(Sintesi!$C$10)),0)),0)))),0)</f>
        <v>0</v>
      </c>
    </row>
    <row r="313" spans="1:13">
      <c r="A313" s="1">
        <f>'Paste cell here'!A313</f>
        <v>0</v>
      </c>
      <c r="B313" s="2">
        <f>DATE(Sintesi!$C$4-1,12,31)+A313</f>
        <v>44196</v>
      </c>
      <c r="C313" s="34" cm="1">
        <f t="array" ref="C313">_xlfn.IFNA(MATCH(1,(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)*(_xlfn.ANCHORARRAY(Sintesi!$C$15)&gt;=0)+(_xlfn.ANCHORARRAY(Sintesi!$C$15)&lt;0),0),0)</f>
        <v>0</v>
      </c>
      <c r="D313" s="1" cm="1">
        <f t="array" ref="D313">IF(ISBLANK($E314),IF(ISNUMBER($E312),IF($C313&gt;0,IF(($E313=INDEX(_xlfn.ANCHORARRAY(Sintesi!$C$14),1,$C313))*(INDEX(_xlfn.ANCHORARRAY(Sintesi!$C$15),1,$C313)&gt;0),0,IF(($E313=INDEX(_xlfn.ANCHORARRAY(Sintesi!$C$14),1,$C313))*(INDEX(_xlfn.ANCHORARRAY(Sintesi!$C$15),1,$C313)&lt;0)+($E313&gt;=$E312)*($E313&lt;=INDEX($E:$E,MATCH(TRUE,INDEX((ISNUMBER($E:$E)),0),0)))*($E313&gt;INDEX(_xlfn.ANCHORARRAY(Sintesi!$C$14),1,$C313))*($E313&lt;=INDEX(_xlfn.ANCHORARRAY(Sintesi!$C$15),1,$C313))*(INDEX(_xlfn.ANCHORARRAY(Sintesi!$C$15),1,$C313)&gt;0),1,IF(($E313&gt;=$E312)*($E313&lt;=INDEX($E:$E,MATCH(TRUE,INDEX((ISNUMBER($E:$E)),0),0)))*($E313&gt;INDEX(_xlfn.ANCHORARRAY(Sintesi!$C$14),1,$C313))*($E313&lt;INDEX(_xlfn.ANCHORARRAY(Sintesi!$C$16),1,$C313))*(INDEX(_xlfn.ANCHORARRAY(Sintesi!$C$15),1,$C313)&lt;0)+($E313&gt;=$E312)*($E313&lt;=INDEX($E:$E,MATCH(TRUE,INDEX((ISNUMBER($E:$E)),0),0)))*($E313&gt;INDEX(_xlfn.ANCHORARRAY(Sintesi!$C$15),1,$C313))*($E313&lt;INDEX(_xlfn.ANCHORARRAY(Sintesi!$C$16),1,$C313))*(INDEX(_xlfn.ANCHORARRAY(Sintesi!$C$15),1,$C313)&gt;0),2,IF($E313=(INDEX(_xlfn.ANCHORARRAY(Sintesi!$C$16),1,$C313)),3,4)))),0),IF($C313&gt;0,IF(($E313=INDEX(_xlfn.ANCHORARRAY(Sintesi!$C$14),1,$C313))*(INDEX(_xlfn.ANCHORARRAY(Sintesi!$C$15),1,$C313)&gt;0),0,IF(($E313=INDEX(_xlfn.ANCHORARRAY(Sintesi!$C$14),1,$C313))*(INDEX(_xlfn.ANCHORARRAY(Sintesi!$C$15),1,$C313)&lt;0)+($E313&gt;=LOOKUP(2,1/($E:$E&lt;&gt;""),$E:$E))*($E313&lt;=INDEX($E:$E,MATCH(TRUE,INDEX((ISNUMBER($E:$E)),0),0)))*($E313&gt;INDEX(_xlfn.ANCHORARRAY(Sintesi!$C$14),1,$C313))*($E313&lt;=INDEX(_xlfn.ANCHORARRAY(Sintesi!$C$15),1,$C313))*(INDEX(_xlfn.ANCHORARRAY(Sintesi!$C$15),1,$C313)&gt;0),1,IF(($E313&gt;=LOOKUP(2,1/($E:$E&lt;&gt;""),$E:$E))*($E313&lt;=INDEX($E:$E,MATCH(TRUE,INDEX((ISNUMBER($E:$E)),0),0)))*($E313&gt;INDEX(_xlfn.ANCHORARRAY(Sintesi!$C$14),1,$C313))*($E313&lt;INDEX(_xlfn.ANCHORARRAY(Sintesi!$C$16),1,$C313))*(INDEX(_xlfn.ANCHORARRAY(Sintesi!$C$15),1,$C313)&lt;0)+($E313&gt;=LOOKUP(2,1/($E:$E&lt;&gt;""),$E:$E))*($E313&lt;=INDEX($E:$E,MATCH(TRUE,INDEX((ISNUMBER($E:$E)),0),0)))*($E313&gt;INDEX(_xlfn.ANCHORARRAY(Sintesi!$C$15),1,$C313))*($E313&lt;INDEX(_xlfn.ANCHORARRAY(Sintesi!$C$16),1,$C313))*(INDEX(_xlfn.ANCHORARRAY(Sintesi!$C$15),1,$C313)&gt;0),2,IF($E313=(INDEX(_xlfn.ANCHORARRAY(Sintesi!$C$16),1,$C313)),3,4)))),0)),IF(ISNUMBER($E312),IF($C313&gt;0,IF(($E313=INDEX(_xlfn.ANCHORARRAY(Sintesi!$C$14),1,$C313))*(INDEX(_xlfn.ANCHORARRAY(Sintesi!$C$15),1,$C313)&gt;0),0,IF(($E313=INDEX(_xlfn.ANCHORARRAY(Sintesi!$C$14),1,$C313))*(INDEX(_xlfn.ANCHORARRAY(Sintesi!$C$15),1,$C313)&lt;0)+($E313&gt;=$E312)*($E313&lt;=$E314)*($E313&gt;INDEX(_xlfn.ANCHORARRAY(Sintesi!$C$14),1,$C313))*($E313&lt;=INDEX(_xlfn.ANCHORARRAY(Sintesi!$C$15),1,$C313))*(INDEX(_xlfn.ANCHORARRAY(Sintesi!$C$15),1,$C313)&gt;0),1,IF(($E313&gt;=$E312)*($E313&lt;=$E314)*($E313&gt;INDEX(_xlfn.ANCHORARRAY(Sintesi!$C$14),1,$C313))*($E313&lt;INDEX(_xlfn.ANCHORARRAY(Sintesi!$C$16),1,$C313))*(INDEX(_xlfn.ANCHORARRAY(Sintesi!$C$15),1,$C313)&lt;0)+($E313&gt;=$E312)*($E313&lt;=$E314)*($E313&gt;INDEX(_xlfn.ANCHORARRAY(Sintesi!$C$15),1,$C313))*($E313&lt;INDEX(_xlfn.ANCHORARRAY(Sintesi!$C$16),1,$C313))*(INDEX(_xlfn.ANCHORARRAY(Sintesi!$C$15),1,$C313)&gt;0),2,IF($E313=(INDEX(_xlfn.ANCHORARRAY(Sintesi!$C$16),1,$C313)),3,4)))),0),IF($C313&gt;0,IF(($E313=INDEX(_xlfn.ANCHORARRAY(Sintesi!$C$14),1,$C313))*(INDEX(_xlfn.ANCHORARRAY(Sintesi!$C$15),1,$C313)&gt;0),0,IF(($E313=INDEX(_xlfn.ANCHORARRAY(Sintesi!$C$14),1,$C313))*(INDEX(_xlfn.ANCHORARRAY(Sintesi!$C$15),1,$C313)&lt;0)+($E313&gt;=LOOKUP(2,1/($E:$E&lt;&gt;""),$E:$E))*($E313&lt;=$E314)*($E313&gt;INDEX(_xlfn.ANCHORARRAY(Sintesi!$C$14),1,$C313))*($E313&lt;=INDEX(_xlfn.ANCHORARRAY(Sintesi!$C$15),1,$C313))*(INDEX(_xlfn.ANCHORARRAY(Sintesi!$C$15),1,$C313)&gt;0),1,IF(($E313&gt;=LOOKUP(2,1/($E:$E&lt;&gt;""),$E:$E))*($E313&lt;=$E314)*($E313&gt;INDEX(_xlfn.ANCHORARRAY(Sintesi!$C$14),1,$C313))*($E313&lt;INDEX(_xlfn.ANCHORARRAY(Sintesi!$C$16),1,$C313))*(INDEX(_xlfn.ANCHORARRAY(Sintesi!$C$15),1,$C313)&lt;0)+($E313&gt;=LOOKUP(2,1/($E:$E&lt;&gt;""),$E:$E))*($E313&lt;=$E314)*($E313&gt;INDEX(_xlfn.ANCHORARRAY(Sintesi!$C$15),1,$C313))*($E313&lt;INDEX(_xlfn.ANCHORARRAY(Sintesi!$C$16),1,$C313))*(INDEX(_xlfn.ANCHORARRAY(Sintesi!$C$15),1,$C313)&gt;0),2,IF($E313=(INDEX(_xlfn.ANCHORARRAY(Sintesi!$C$16),1,$C313)),3,4)))),0)))</f>
        <v>0</v>
      </c>
      <c r="E313" s="1">
        <f>'Paste cell here'!F313</f>
        <v>0</v>
      </c>
      <c r="F313" s="1">
        <f>'Paste cell here'!C313</f>
        <v>0</v>
      </c>
      <c r="G313" s="1">
        <f>'Paste cell here'!D313</f>
        <v>0</v>
      </c>
      <c r="H313" s="1">
        <f>'Paste cell here'!E313</f>
        <v>0</v>
      </c>
      <c r="I313" s="1">
        <f>'Paste cell here'!X313</f>
        <v>0</v>
      </c>
      <c r="J313" s="1">
        <f>'Paste cell here'!Y313+'Paste cell here'!S313</f>
        <v>0</v>
      </c>
      <c r="K313" s="1" t="e">
        <f t="shared" si="9"/>
        <v>#DIV/0!</v>
      </c>
      <c r="L313" s="1">
        <f t="shared" si="8"/>
        <v>0</v>
      </c>
      <c r="M313" s="1" cm="1">
        <f t="array" ref="M313">IF(AND(A313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,A313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),IF(L313&lt;_xlfn.IFNA(INDEX(_xlfn.ANCHORARRAY(Sintesi!$C$17)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,1,IF(L313&gt;=_xlfn.IFNA(INDEX(_xlfn.ANCHORARRAY(Sintesi!$C$18)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,0,1-(L313-_xlfn.IFNA(INDEX(_xlfn.ANCHORARRAY(Sintesi!$C$17)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)/(_xlfn.IFNA(INDEX(_xlfn.ANCHORARRAY(Sintesi!$C$18)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-_xlfn.IFNA(INDEX(_xlfn.ANCHORARRAY(Sintesi!$C$17),1,MATCH(1,(_xlfn.ANCHORARRAY(Sintesi!$C$9)&gt;_xlfn.ANCHORARRAY(Sintesi!$C$10))*(A312&gt;=_xlfn.ANCHORARRAY(Sintesi!$C$9))+(_xlfn.ANCHORARRAY(Sintesi!$C$9)&gt;_xlfn.ANCHORARRAY(Sintesi!$C$10))*(A312&lt;=_xlfn.ANCHORARRAY(Sintesi!$C$10))+(_xlfn.ANCHORARRAY(Sintesi!$C$9)&lt;_xlfn.ANCHORARRAY(Sintesi!$C$10))*(A312&gt;=_xlfn.ANCHORARRAY(Sintesi!$C$9))*(A312&lt;=_xlfn.ANCHORARRAY(Sintesi!$C$10)),0)),0)))),0)</f>
        <v>0</v>
      </c>
    </row>
    <row r="314" spans="1:13">
      <c r="A314" s="1">
        <f>'Paste cell here'!A314</f>
        <v>0</v>
      </c>
      <c r="B314" s="2">
        <f>DATE(Sintesi!$C$4-1,12,31)+A314</f>
        <v>44196</v>
      </c>
      <c r="C314" s="34" cm="1">
        <f t="array" ref="C314">_xlfn.IFNA(MATCH(1,(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)*(_xlfn.ANCHORARRAY(Sintesi!$C$15)&gt;=0)+(_xlfn.ANCHORARRAY(Sintesi!$C$15)&lt;0),0),0)</f>
        <v>0</v>
      </c>
      <c r="D314" s="1" cm="1">
        <f t="array" ref="D314">IF(ISBLANK($E315),IF(ISNUMBER($E313),IF($C314&gt;0,IF(($E314=INDEX(_xlfn.ANCHORARRAY(Sintesi!$C$14),1,$C314))*(INDEX(_xlfn.ANCHORARRAY(Sintesi!$C$15),1,$C314)&gt;0),0,IF(($E314=INDEX(_xlfn.ANCHORARRAY(Sintesi!$C$14),1,$C314))*(INDEX(_xlfn.ANCHORARRAY(Sintesi!$C$15),1,$C314)&lt;0)+($E314&gt;=$E313)*($E314&lt;=INDEX($E:$E,MATCH(TRUE,INDEX((ISNUMBER($E:$E)),0),0)))*($E314&gt;INDEX(_xlfn.ANCHORARRAY(Sintesi!$C$14),1,$C314))*($E314&lt;=INDEX(_xlfn.ANCHORARRAY(Sintesi!$C$15),1,$C314))*(INDEX(_xlfn.ANCHORARRAY(Sintesi!$C$15),1,$C314)&gt;0),1,IF(($E314&gt;=$E313)*($E314&lt;=INDEX($E:$E,MATCH(TRUE,INDEX((ISNUMBER($E:$E)),0),0)))*($E314&gt;INDEX(_xlfn.ANCHORARRAY(Sintesi!$C$14),1,$C314))*($E314&lt;INDEX(_xlfn.ANCHORARRAY(Sintesi!$C$16),1,$C314))*(INDEX(_xlfn.ANCHORARRAY(Sintesi!$C$15),1,$C314)&lt;0)+($E314&gt;=$E313)*($E314&lt;=INDEX($E:$E,MATCH(TRUE,INDEX((ISNUMBER($E:$E)),0),0)))*($E314&gt;INDEX(_xlfn.ANCHORARRAY(Sintesi!$C$15),1,$C314))*($E314&lt;INDEX(_xlfn.ANCHORARRAY(Sintesi!$C$16),1,$C314))*(INDEX(_xlfn.ANCHORARRAY(Sintesi!$C$15),1,$C314)&gt;0),2,IF($E314=(INDEX(_xlfn.ANCHORARRAY(Sintesi!$C$16),1,$C314)),3,4)))),0),IF($C314&gt;0,IF(($E314=INDEX(_xlfn.ANCHORARRAY(Sintesi!$C$14),1,$C314))*(INDEX(_xlfn.ANCHORARRAY(Sintesi!$C$15),1,$C314)&gt;0),0,IF(($E314=INDEX(_xlfn.ANCHORARRAY(Sintesi!$C$14),1,$C314))*(INDEX(_xlfn.ANCHORARRAY(Sintesi!$C$15),1,$C314)&lt;0)+($E314&gt;=LOOKUP(2,1/($E:$E&lt;&gt;""),$E:$E))*($E314&lt;=INDEX($E:$E,MATCH(TRUE,INDEX((ISNUMBER($E:$E)),0),0)))*($E314&gt;INDEX(_xlfn.ANCHORARRAY(Sintesi!$C$14),1,$C314))*($E314&lt;=INDEX(_xlfn.ANCHORARRAY(Sintesi!$C$15),1,$C314))*(INDEX(_xlfn.ANCHORARRAY(Sintesi!$C$15),1,$C314)&gt;0),1,IF(($E314&gt;=LOOKUP(2,1/($E:$E&lt;&gt;""),$E:$E))*($E314&lt;=INDEX($E:$E,MATCH(TRUE,INDEX((ISNUMBER($E:$E)),0),0)))*($E314&gt;INDEX(_xlfn.ANCHORARRAY(Sintesi!$C$14),1,$C314))*($E314&lt;INDEX(_xlfn.ANCHORARRAY(Sintesi!$C$16),1,$C314))*(INDEX(_xlfn.ANCHORARRAY(Sintesi!$C$15),1,$C314)&lt;0)+($E314&gt;=LOOKUP(2,1/($E:$E&lt;&gt;""),$E:$E))*($E314&lt;=INDEX($E:$E,MATCH(TRUE,INDEX((ISNUMBER($E:$E)),0),0)))*($E314&gt;INDEX(_xlfn.ANCHORARRAY(Sintesi!$C$15),1,$C314))*($E314&lt;INDEX(_xlfn.ANCHORARRAY(Sintesi!$C$16),1,$C314))*(INDEX(_xlfn.ANCHORARRAY(Sintesi!$C$15),1,$C314)&gt;0),2,IF($E314=(INDEX(_xlfn.ANCHORARRAY(Sintesi!$C$16),1,$C314)),3,4)))),0)),IF(ISNUMBER($E313),IF($C314&gt;0,IF(($E314=INDEX(_xlfn.ANCHORARRAY(Sintesi!$C$14),1,$C314))*(INDEX(_xlfn.ANCHORARRAY(Sintesi!$C$15),1,$C314)&gt;0),0,IF(($E314=INDEX(_xlfn.ANCHORARRAY(Sintesi!$C$14),1,$C314))*(INDEX(_xlfn.ANCHORARRAY(Sintesi!$C$15),1,$C314)&lt;0)+($E314&gt;=$E313)*($E314&lt;=$E315)*($E314&gt;INDEX(_xlfn.ANCHORARRAY(Sintesi!$C$14),1,$C314))*($E314&lt;=INDEX(_xlfn.ANCHORARRAY(Sintesi!$C$15),1,$C314))*(INDEX(_xlfn.ANCHORARRAY(Sintesi!$C$15),1,$C314)&gt;0),1,IF(($E314&gt;=$E313)*($E314&lt;=$E315)*($E314&gt;INDEX(_xlfn.ANCHORARRAY(Sintesi!$C$14),1,$C314))*($E314&lt;INDEX(_xlfn.ANCHORARRAY(Sintesi!$C$16),1,$C314))*(INDEX(_xlfn.ANCHORARRAY(Sintesi!$C$15),1,$C314)&lt;0)+($E314&gt;=$E313)*($E314&lt;=$E315)*($E314&gt;INDEX(_xlfn.ANCHORARRAY(Sintesi!$C$15),1,$C314))*($E314&lt;INDEX(_xlfn.ANCHORARRAY(Sintesi!$C$16),1,$C314))*(INDEX(_xlfn.ANCHORARRAY(Sintesi!$C$15),1,$C314)&gt;0),2,IF($E314=(INDEX(_xlfn.ANCHORARRAY(Sintesi!$C$16),1,$C314)),3,4)))),0),IF($C314&gt;0,IF(($E314=INDEX(_xlfn.ANCHORARRAY(Sintesi!$C$14),1,$C314))*(INDEX(_xlfn.ANCHORARRAY(Sintesi!$C$15),1,$C314)&gt;0),0,IF(($E314=INDEX(_xlfn.ANCHORARRAY(Sintesi!$C$14),1,$C314))*(INDEX(_xlfn.ANCHORARRAY(Sintesi!$C$15),1,$C314)&lt;0)+($E314&gt;=LOOKUP(2,1/($E:$E&lt;&gt;""),$E:$E))*($E314&lt;=$E315)*($E314&gt;INDEX(_xlfn.ANCHORARRAY(Sintesi!$C$14),1,$C314))*($E314&lt;=INDEX(_xlfn.ANCHORARRAY(Sintesi!$C$15),1,$C314))*(INDEX(_xlfn.ANCHORARRAY(Sintesi!$C$15),1,$C314)&gt;0),1,IF(($E314&gt;=LOOKUP(2,1/($E:$E&lt;&gt;""),$E:$E))*($E314&lt;=$E315)*($E314&gt;INDEX(_xlfn.ANCHORARRAY(Sintesi!$C$14),1,$C314))*($E314&lt;INDEX(_xlfn.ANCHORARRAY(Sintesi!$C$16),1,$C314))*(INDEX(_xlfn.ANCHORARRAY(Sintesi!$C$15),1,$C314)&lt;0)+($E314&gt;=LOOKUP(2,1/($E:$E&lt;&gt;""),$E:$E))*($E314&lt;=$E315)*($E314&gt;INDEX(_xlfn.ANCHORARRAY(Sintesi!$C$15),1,$C314))*($E314&lt;INDEX(_xlfn.ANCHORARRAY(Sintesi!$C$16),1,$C314))*(INDEX(_xlfn.ANCHORARRAY(Sintesi!$C$15),1,$C314)&gt;0),2,IF($E314=(INDEX(_xlfn.ANCHORARRAY(Sintesi!$C$16),1,$C314)),3,4)))),0)))</f>
        <v>0</v>
      </c>
      <c r="E314" s="1">
        <f>'Paste cell here'!F314</f>
        <v>0</v>
      </c>
      <c r="F314" s="1">
        <f>'Paste cell here'!C314</f>
        <v>0</v>
      </c>
      <c r="G314" s="1">
        <f>'Paste cell here'!D314</f>
        <v>0</v>
      </c>
      <c r="H314" s="1">
        <f>'Paste cell here'!E314</f>
        <v>0</v>
      </c>
      <c r="I314" s="1">
        <f>'Paste cell here'!X314</f>
        <v>0</v>
      </c>
      <c r="J314" s="1">
        <f>'Paste cell here'!Y314+'Paste cell here'!S314</f>
        <v>0</v>
      </c>
      <c r="K314" s="1" t="e">
        <f t="shared" si="9"/>
        <v>#DIV/0!</v>
      </c>
      <c r="L314" s="1">
        <f t="shared" si="8"/>
        <v>0</v>
      </c>
      <c r="M314" s="1" cm="1">
        <f t="array" ref="M314">IF(AND(A314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,A314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),IF(L314&lt;_xlfn.IFNA(INDEX(_xlfn.ANCHORARRAY(Sintesi!$C$17)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,1,IF(L314&gt;=_xlfn.IFNA(INDEX(_xlfn.ANCHORARRAY(Sintesi!$C$18)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,0,1-(L314-_xlfn.IFNA(INDEX(_xlfn.ANCHORARRAY(Sintesi!$C$17)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)/(_xlfn.IFNA(INDEX(_xlfn.ANCHORARRAY(Sintesi!$C$18)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-_xlfn.IFNA(INDEX(_xlfn.ANCHORARRAY(Sintesi!$C$17),1,MATCH(1,(_xlfn.ANCHORARRAY(Sintesi!$C$9)&gt;_xlfn.ANCHORARRAY(Sintesi!$C$10))*(A313&gt;=_xlfn.ANCHORARRAY(Sintesi!$C$9))+(_xlfn.ANCHORARRAY(Sintesi!$C$9)&gt;_xlfn.ANCHORARRAY(Sintesi!$C$10))*(A313&lt;=_xlfn.ANCHORARRAY(Sintesi!$C$10))+(_xlfn.ANCHORARRAY(Sintesi!$C$9)&lt;_xlfn.ANCHORARRAY(Sintesi!$C$10))*(A313&gt;=_xlfn.ANCHORARRAY(Sintesi!$C$9))*(A313&lt;=_xlfn.ANCHORARRAY(Sintesi!$C$10)),0)),0)))),0)</f>
        <v>0</v>
      </c>
    </row>
    <row r="315" spans="1:13">
      <c r="A315" s="1">
        <f>'Paste cell here'!A315</f>
        <v>0</v>
      </c>
      <c r="B315" s="2">
        <f>DATE(Sintesi!$C$4-1,12,31)+A315</f>
        <v>44196</v>
      </c>
      <c r="C315" s="34" cm="1">
        <f t="array" ref="C315">_xlfn.IFNA(MATCH(1,(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)*(_xlfn.ANCHORARRAY(Sintesi!$C$15)&gt;=0)+(_xlfn.ANCHORARRAY(Sintesi!$C$15)&lt;0),0),0)</f>
        <v>0</v>
      </c>
      <c r="D315" s="1" cm="1">
        <f t="array" ref="D315">IF(ISBLANK($E316),IF(ISNUMBER($E314),IF($C315&gt;0,IF(($E315=INDEX(_xlfn.ANCHORARRAY(Sintesi!$C$14),1,$C315))*(INDEX(_xlfn.ANCHORARRAY(Sintesi!$C$15),1,$C315)&gt;0),0,IF(($E315=INDEX(_xlfn.ANCHORARRAY(Sintesi!$C$14),1,$C315))*(INDEX(_xlfn.ANCHORARRAY(Sintesi!$C$15),1,$C315)&lt;0)+($E315&gt;=$E314)*($E315&lt;=INDEX($E:$E,MATCH(TRUE,INDEX((ISNUMBER($E:$E)),0),0)))*($E315&gt;INDEX(_xlfn.ANCHORARRAY(Sintesi!$C$14),1,$C315))*($E315&lt;=INDEX(_xlfn.ANCHORARRAY(Sintesi!$C$15),1,$C315))*(INDEX(_xlfn.ANCHORARRAY(Sintesi!$C$15),1,$C315)&gt;0),1,IF(($E315&gt;=$E314)*($E315&lt;=INDEX($E:$E,MATCH(TRUE,INDEX((ISNUMBER($E:$E)),0),0)))*($E315&gt;INDEX(_xlfn.ANCHORARRAY(Sintesi!$C$14),1,$C315))*($E315&lt;INDEX(_xlfn.ANCHORARRAY(Sintesi!$C$16),1,$C315))*(INDEX(_xlfn.ANCHORARRAY(Sintesi!$C$15),1,$C315)&lt;0)+($E315&gt;=$E314)*($E315&lt;=INDEX($E:$E,MATCH(TRUE,INDEX((ISNUMBER($E:$E)),0),0)))*($E315&gt;INDEX(_xlfn.ANCHORARRAY(Sintesi!$C$15),1,$C315))*($E315&lt;INDEX(_xlfn.ANCHORARRAY(Sintesi!$C$16),1,$C315))*(INDEX(_xlfn.ANCHORARRAY(Sintesi!$C$15),1,$C315)&gt;0),2,IF($E315=(INDEX(_xlfn.ANCHORARRAY(Sintesi!$C$16),1,$C315)),3,4)))),0),IF($C315&gt;0,IF(($E315=INDEX(_xlfn.ANCHORARRAY(Sintesi!$C$14),1,$C315))*(INDEX(_xlfn.ANCHORARRAY(Sintesi!$C$15),1,$C315)&gt;0),0,IF(($E315=INDEX(_xlfn.ANCHORARRAY(Sintesi!$C$14),1,$C315))*(INDEX(_xlfn.ANCHORARRAY(Sintesi!$C$15),1,$C315)&lt;0)+($E315&gt;=LOOKUP(2,1/($E:$E&lt;&gt;""),$E:$E))*($E315&lt;=INDEX($E:$E,MATCH(TRUE,INDEX((ISNUMBER($E:$E)),0),0)))*($E315&gt;INDEX(_xlfn.ANCHORARRAY(Sintesi!$C$14),1,$C315))*($E315&lt;=INDEX(_xlfn.ANCHORARRAY(Sintesi!$C$15),1,$C315))*(INDEX(_xlfn.ANCHORARRAY(Sintesi!$C$15),1,$C315)&gt;0),1,IF(($E315&gt;=LOOKUP(2,1/($E:$E&lt;&gt;""),$E:$E))*($E315&lt;=INDEX($E:$E,MATCH(TRUE,INDEX((ISNUMBER($E:$E)),0),0)))*($E315&gt;INDEX(_xlfn.ANCHORARRAY(Sintesi!$C$14),1,$C315))*($E315&lt;INDEX(_xlfn.ANCHORARRAY(Sintesi!$C$16),1,$C315))*(INDEX(_xlfn.ANCHORARRAY(Sintesi!$C$15),1,$C315)&lt;0)+($E315&gt;=LOOKUP(2,1/($E:$E&lt;&gt;""),$E:$E))*($E315&lt;=INDEX($E:$E,MATCH(TRUE,INDEX((ISNUMBER($E:$E)),0),0)))*($E315&gt;INDEX(_xlfn.ANCHORARRAY(Sintesi!$C$15),1,$C315))*($E315&lt;INDEX(_xlfn.ANCHORARRAY(Sintesi!$C$16),1,$C315))*(INDEX(_xlfn.ANCHORARRAY(Sintesi!$C$15),1,$C315)&gt;0),2,IF($E315=(INDEX(_xlfn.ANCHORARRAY(Sintesi!$C$16),1,$C315)),3,4)))),0)),IF(ISNUMBER($E314),IF($C315&gt;0,IF(($E315=INDEX(_xlfn.ANCHORARRAY(Sintesi!$C$14),1,$C315))*(INDEX(_xlfn.ANCHORARRAY(Sintesi!$C$15),1,$C315)&gt;0),0,IF(($E315=INDEX(_xlfn.ANCHORARRAY(Sintesi!$C$14),1,$C315))*(INDEX(_xlfn.ANCHORARRAY(Sintesi!$C$15),1,$C315)&lt;0)+($E315&gt;=$E314)*($E315&lt;=$E316)*($E315&gt;INDEX(_xlfn.ANCHORARRAY(Sintesi!$C$14),1,$C315))*($E315&lt;=INDEX(_xlfn.ANCHORARRAY(Sintesi!$C$15),1,$C315))*(INDEX(_xlfn.ANCHORARRAY(Sintesi!$C$15),1,$C315)&gt;0),1,IF(($E315&gt;=$E314)*($E315&lt;=$E316)*($E315&gt;INDEX(_xlfn.ANCHORARRAY(Sintesi!$C$14),1,$C315))*($E315&lt;INDEX(_xlfn.ANCHORARRAY(Sintesi!$C$16),1,$C315))*(INDEX(_xlfn.ANCHORARRAY(Sintesi!$C$15),1,$C315)&lt;0)+($E315&gt;=$E314)*($E315&lt;=$E316)*($E315&gt;INDEX(_xlfn.ANCHORARRAY(Sintesi!$C$15),1,$C315))*($E315&lt;INDEX(_xlfn.ANCHORARRAY(Sintesi!$C$16),1,$C315))*(INDEX(_xlfn.ANCHORARRAY(Sintesi!$C$15),1,$C315)&gt;0),2,IF($E315=(INDEX(_xlfn.ANCHORARRAY(Sintesi!$C$16),1,$C315)),3,4)))),0),IF($C315&gt;0,IF(($E315=INDEX(_xlfn.ANCHORARRAY(Sintesi!$C$14),1,$C315))*(INDEX(_xlfn.ANCHORARRAY(Sintesi!$C$15),1,$C315)&gt;0),0,IF(($E315=INDEX(_xlfn.ANCHORARRAY(Sintesi!$C$14),1,$C315))*(INDEX(_xlfn.ANCHORARRAY(Sintesi!$C$15),1,$C315)&lt;0)+($E315&gt;=LOOKUP(2,1/($E:$E&lt;&gt;""),$E:$E))*($E315&lt;=$E316)*($E315&gt;INDEX(_xlfn.ANCHORARRAY(Sintesi!$C$14),1,$C315))*($E315&lt;=INDEX(_xlfn.ANCHORARRAY(Sintesi!$C$15),1,$C315))*(INDEX(_xlfn.ANCHORARRAY(Sintesi!$C$15),1,$C315)&gt;0),1,IF(($E315&gt;=LOOKUP(2,1/($E:$E&lt;&gt;""),$E:$E))*($E315&lt;=$E316)*($E315&gt;INDEX(_xlfn.ANCHORARRAY(Sintesi!$C$14),1,$C315))*($E315&lt;INDEX(_xlfn.ANCHORARRAY(Sintesi!$C$16),1,$C315))*(INDEX(_xlfn.ANCHORARRAY(Sintesi!$C$15),1,$C315)&lt;0)+($E315&gt;=LOOKUP(2,1/($E:$E&lt;&gt;""),$E:$E))*($E315&lt;=$E316)*($E315&gt;INDEX(_xlfn.ANCHORARRAY(Sintesi!$C$15),1,$C315))*($E315&lt;INDEX(_xlfn.ANCHORARRAY(Sintesi!$C$16),1,$C315))*(INDEX(_xlfn.ANCHORARRAY(Sintesi!$C$15),1,$C315)&gt;0),2,IF($E315=(INDEX(_xlfn.ANCHORARRAY(Sintesi!$C$16),1,$C315)),3,4)))),0)))</f>
        <v>0</v>
      </c>
      <c r="E315" s="1">
        <f>'Paste cell here'!F315</f>
        <v>0</v>
      </c>
      <c r="F315" s="1">
        <f>'Paste cell here'!C315</f>
        <v>0</v>
      </c>
      <c r="G315" s="1">
        <f>'Paste cell here'!D315</f>
        <v>0</v>
      </c>
      <c r="H315" s="1">
        <f>'Paste cell here'!E315</f>
        <v>0</v>
      </c>
      <c r="I315" s="1">
        <f>'Paste cell here'!X315</f>
        <v>0</v>
      </c>
      <c r="J315" s="1">
        <f>'Paste cell here'!Y315+'Paste cell here'!S315</f>
        <v>0</v>
      </c>
      <c r="K315" s="1" t="e">
        <f t="shared" si="9"/>
        <v>#DIV/0!</v>
      </c>
      <c r="L315" s="1">
        <f t="shared" si="8"/>
        <v>0</v>
      </c>
      <c r="M315" s="1" cm="1">
        <f t="array" ref="M315">IF(AND(A315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,A315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),IF(L315&lt;_xlfn.IFNA(INDEX(_xlfn.ANCHORARRAY(Sintesi!$C$17)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,1,IF(L315&gt;=_xlfn.IFNA(INDEX(_xlfn.ANCHORARRAY(Sintesi!$C$18)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,0,1-(L315-_xlfn.IFNA(INDEX(_xlfn.ANCHORARRAY(Sintesi!$C$17)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)/(_xlfn.IFNA(INDEX(_xlfn.ANCHORARRAY(Sintesi!$C$18)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-_xlfn.IFNA(INDEX(_xlfn.ANCHORARRAY(Sintesi!$C$17),1,MATCH(1,(_xlfn.ANCHORARRAY(Sintesi!$C$9)&gt;_xlfn.ANCHORARRAY(Sintesi!$C$10))*(A314&gt;=_xlfn.ANCHORARRAY(Sintesi!$C$9))+(_xlfn.ANCHORARRAY(Sintesi!$C$9)&gt;_xlfn.ANCHORARRAY(Sintesi!$C$10))*(A314&lt;=_xlfn.ANCHORARRAY(Sintesi!$C$10))+(_xlfn.ANCHORARRAY(Sintesi!$C$9)&lt;_xlfn.ANCHORARRAY(Sintesi!$C$10))*(A314&gt;=_xlfn.ANCHORARRAY(Sintesi!$C$9))*(A314&lt;=_xlfn.ANCHORARRAY(Sintesi!$C$10)),0)),0)))),0)</f>
        <v>0</v>
      </c>
    </row>
    <row r="316" spans="1:13">
      <c r="A316" s="1">
        <f>'Paste cell here'!A316</f>
        <v>0</v>
      </c>
      <c r="B316" s="2">
        <f>DATE(Sintesi!$C$4-1,12,31)+A316</f>
        <v>44196</v>
      </c>
      <c r="C316" s="34" cm="1">
        <f t="array" ref="C316">_xlfn.IFNA(MATCH(1,(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)*(_xlfn.ANCHORARRAY(Sintesi!$C$15)&gt;=0)+(_xlfn.ANCHORARRAY(Sintesi!$C$15)&lt;0),0),0)</f>
        <v>0</v>
      </c>
      <c r="D316" s="1" cm="1">
        <f t="array" ref="D316">IF(ISBLANK($E317),IF(ISNUMBER($E315),IF($C316&gt;0,IF(($E316=INDEX(_xlfn.ANCHORARRAY(Sintesi!$C$14),1,$C316))*(INDEX(_xlfn.ANCHORARRAY(Sintesi!$C$15),1,$C316)&gt;0),0,IF(($E316=INDEX(_xlfn.ANCHORARRAY(Sintesi!$C$14),1,$C316))*(INDEX(_xlfn.ANCHORARRAY(Sintesi!$C$15),1,$C316)&lt;0)+($E316&gt;=$E315)*($E316&lt;=INDEX($E:$E,MATCH(TRUE,INDEX((ISNUMBER($E:$E)),0),0)))*($E316&gt;INDEX(_xlfn.ANCHORARRAY(Sintesi!$C$14),1,$C316))*($E316&lt;=INDEX(_xlfn.ANCHORARRAY(Sintesi!$C$15),1,$C316))*(INDEX(_xlfn.ANCHORARRAY(Sintesi!$C$15),1,$C316)&gt;0),1,IF(($E316&gt;=$E315)*($E316&lt;=INDEX($E:$E,MATCH(TRUE,INDEX((ISNUMBER($E:$E)),0),0)))*($E316&gt;INDEX(_xlfn.ANCHORARRAY(Sintesi!$C$14),1,$C316))*($E316&lt;INDEX(_xlfn.ANCHORARRAY(Sintesi!$C$16),1,$C316))*(INDEX(_xlfn.ANCHORARRAY(Sintesi!$C$15),1,$C316)&lt;0)+($E316&gt;=$E315)*($E316&lt;=INDEX($E:$E,MATCH(TRUE,INDEX((ISNUMBER($E:$E)),0),0)))*($E316&gt;INDEX(_xlfn.ANCHORARRAY(Sintesi!$C$15),1,$C316))*($E316&lt;INDEX(_xlfn.ANCHORARRAY(Sintesi!$C$16),1,$C316))*(INDEX(_xlfn.ANCHORARRAY(Sintesi!$C$15),1,$C316)&gt;0),2,IF($E316=(INDEX(_xlfn.ANCHORARRAY(Sintesi!$C$16),1,$C316)),3,4)))),0),IF($C316&gt;0,IF(($E316=INDEX(_xlfn.ANCHORARRAY(Sintesi!$C$14),1,$C316))*(INDEX(_xlfn.ANCHORARRAY(Sintesi!$C$15),1,$C316)&gt;0),0,IF(($E316=INDEX(_xlfn.ANCHORARRAY(Sintesi!$C$14),1,$C316))*(INDEX(_xlfn.ANCHORARRAY(Sintesi!$C$15),1,$C316)&lt;0)+($E316&gt;=LOOKUP(2,1/($E:$E&lt;&gt;""),$E:$E))*($E316&lt;=INDEX($E:$E,MATCH(TRUE,INDEX((ISNUMBER($E:$E)),0),0)))*($E316&gt;INDEX(_xlfn.ANCHORARRAY(Sintesi!$C$14),1,$C316))*($E316&lt;=INDEX(_xlfn.ANCHORARRAY(Sintesi!$C$15),1,$C316))*(INDEX(_xlfn.ANCHORARRAY(Sintesi!$C$15),1,$C316)&gt;0),1,IF(($E316&gt;=LOOKUP(2,1/($E:$E&lt;&gt;""),$E:$E))*($E316&lt;=INDEX($E:$E,MATCH(TRUE,INDEX((ISNUMBER($E:$E)),0),0)))*($E316&gt;INDEX(_xlfn.ANCHORARRAY(Sintesi!$C$14),1,$C316))*($E316&lt;INDEX(_xlfn.ANCHORARRAY(Sintesi!$C$16),1,$C316))*(INDEX(_xlfn.ANCHORARRAY(Sintesi!$C$15),1,$C316)&lt;0)+($E316&gt;=LOOKUP(2,1/($E:$E&lt;&gt;""),$E:$E))*($E316&lt;=INDEX($E:$E,MATCH(TRUE,INDEX((ISNUMBER($E:$E)),0),0)))*($E316&gt;INDEX(_xlfn.ANCHORARRAY(Sintesi!$C$15),1,$C316))*($E316&lt;INDEX(_xlfn.ANCHORARRAY(Sintesi!$C$16),1,$C316))*(INDEX(_xlfn.ANCHORARRAY(Sintesi!$C$15),1,$C316)&gt;0),2,IF($E316=(INDEX(_xlfn.ANCHORARRAY(Sintesi!$C$16),1,$C316)),3,4)))),0)),IF(ISNUMBER($E315),IF($C316&gt;0,IF(($E316=INDEX(_xlfn.ANCHORARRAY(Sintesi!$C$14),1,$C316))*(INDEX(_xlfn.ANCHORARRAY(Sintesi!$C$15),1,$C316)&gt;0),0,IF(($E316=INDEX(_xlfn.ANCHORARRAY(Sintesi!$C$14),1,$C316))*(INDEX(_xlfn.ANCHORARRAY(Sintesi!$C$15),1,$C316)&lt;0)+($E316&gt;=$E315)*($E316&lt;=$E317)*($E316&gt;INDEX(_xlfn.ANCHORARRAY(Sintesi!$C$14),1,$C316))*($E316&lt;=INDEX(_xlfn.ANCHORARRAY(Sintesi!$C$15),1,$C316))*(INDEX(_xlfn.ANCHORARRAY(Sintesi!$C$15),1,$C316)&gt;0),1,IF(($E316&gt;=$E315)*($E316&lt;=$E317)*($E316&gt;INDEX(_xlfn.ANCHORARRAY(Sintesi!$C$14),1,$C316))*($E316&lt;INDEX(_xlfn.ANCHORARRAY(Sintesi!$C$16),1,$C316))*(INDEX(_xlfn.ANCHORARRAY(Sintesi!$C$15),1,$C316)&lt;0)+($E316&gt;=$E315)*($E316&lt;=$E317)*($E316&gt;INDEX(_xlfn.ANCHORARRAY(Sintesi!$C$15),1,$C316))*($E316&lt;INDEX(_xlfn.ANCHORARRAY(Sintesi!$C$16),1,$C316))*(INDEX(_xlfn.ANCHORARRAY(Sintesi!$C$15),1,$C316)&gt;0),2,IF($E316=(INDEX(_xlfn.ANCHORARRAY(Sintesi!$C$16),1,$C316)),3,4)))),0),IF($C316&gt;0,IF(($E316=INDEX(_xlfn.ANCHORARRAY(Sintesi!$C$14),1,$C316))*(INDEX(_xlfn.ANCHORARRAY(Sintesi!$C$15),1,$C316)&gt;0),0,IF(($E316=INDEX(_xlfn.ANCHORARRAY(Sintesi!$C$14),1,$C316))*(INDEX(_xlfn.ANCHORARRAY(Sintesi!$C$15),1,$C316)&lt;0)+($E316&gt;=LOOKUP(2,1/($E:$E&lt;&gt;""),$E:$E))*($E316&lt;=$E317)*($E316&gt;INDEX(_xlfn.ANCHORARRAY(Sintesi!$C$14),1,$C316))*($E316&lt;=INDEX(_xlfn.ANCHORARRAY(Sintesi!$C$15),1,$C316))*(INDEX(_xlfn.ANCHORARRAY(Sintesi!$C$15),1,$C316)&gt;0),1,IF(($E316&gt;=LOOKUP(2,1/($E:$E&lt;&gt;""),$E:$E))*($E316&lt;=$E317)*($E316&gt;INDEX(_xlfn.ANCHORARRAY(Sintesi!$C$14),1,$C316))*($E316&lt;INDEX(_xlfn.ANCHORARRAY(Sintesi!$C$16),1,$C316))*(INDEX(_xlfn.ANCHORARRAY(Sintesi!$C$15),1,$C316)&lt;0)+($E316&gt;=LOOKUP(2,1/($E:$E&lt;&gt;""),$E:$E))*($E316&lt;=$E317)*($E316&gt;INDEX(_xlfn.ANCHORARRAY(Sintesi!$C$15),1,$C316))*($E316&lt;INDEX(_xlfn.ANCHORARRAY(Sintesi!$C$16),1,$C316))*(INDEX(_xlfn.ANCHORARRAY(Sintesi!$C$15),1,$C316)&gt;0),2,IF($E316=(INDEX(_xlfn.ANCHORARRAY(Sintesi!$C$16),1,$C316)),3,4)))),0)))</f>
        <v>0</v>
      </c>
      <c r="E316" s="1">
        <f>'Paste cell here'!F316</f>
        <v>0</v>
      </c>
      <c r="F316" s="1">
        <f>'Paste cell here'!C316</f>
        <v>0</v>
      </c>
      <c r="G316" s="1">
        <f>'Paste cell here'!D316</f>
        <v>0</v>
      </c>
      <c r="H316" s="1">
        <f>'Paste cell here'!E316</f>
        <v>0</v>
      </c>
      <c r="I316" s="1">
        <f>'Paste cell here'!X316</f>
        <v>0</v>
      </c>
      <c r="J316" s="1">
        <f>'Paste cell here'!Y316+'Paste cell here'!S316</f>
        <v>0</v>
      </c>
      <c r="K316" s="1" t="e">
        <f t="shared" si="9"/>
        <v>#DIV/0!</v>
      </c>
      <c r="L316" s="1">
        <f t="shared" si="8"/>
        <v>0</v>
      </c>
      <c r="M316" s="1" cm="1">
        <f t="array" ref="M316">IF(AND(A316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,A316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),IF(L316&lt;_xlfn.IFNA(INDEX(_xlfn.ANCHORARRAY(Sintesi!$C$17)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,1,IF(L316&gt;=_xlfn.IFNA(INDEX(_xlfn.ANCHORARRAY(Sintesi!$C$18)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,0,1-(L316-_xlfn.IFNA(INDEX(_xlfn.ANCHORARRAY(Sintesi!$C$17)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)/(_xlfn.IFNA(INDEX(_xlfn.ANCHORARRAY(Sintesi!$C$18)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-_xlfn.IFNA(INDEX(_xlfn.ANCHORARRAY(Sintesi!$C$17),1,MATCH(1,(_xlfn.ANCHORARRAY(Sintesi!$C$9)&gt;_xlfn.ANCHORARRAY(Sintesi!$C$10))*(A315&gt;=_xlfn.ANCHORARRAY(Sintesi!$C$9))+(_xlfn.ANCHORARRAY(Sintesi!$C$9)&gt;_xlfn.ANCHORARRAY(Sintesi!$C$10))*(A315&lt;=_xlfn.ANCHORARRAY(Sintesi!$C$10))+(_xlfn.ANCHORARRAY(Sintesi!$C$9)&lt;_xlfn.ANCHORARRAY(Sintesi!$C$10))*(A315&gt;=_xlfn.ANCHORARRAY(Sintesi!$C$9))*(A315&lt;=_xlfn.ANCHORARRAY(Sintesi!$C$10)),0)),0)))),0)</f>
        <v>0</v>
      </c>
    </row>
    <row r="317" spans="1:13">
      <c r="A317" s="1">
        <f>'Paste cell here'!A317</f>
        <v>0</v>
      </c>
      <c r="B317" s="2">
        <f>DATE(Sintesi!$C$4-1,12,31)+A317</f>
        <v>44196</v>
      </c>
      <c r="C317" s="34" cm="1">
        <f t="array" ref="C317">_xlfn.IFNA(MATCH(1,(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)*(_xlfn.ANCHORARRAY(Sintesi!$C$15)&gt;=0)+(_xlfn.ANCHORARRAY(Sintesi!$C$15)&lt;0),0),0)</f>
        <v>0</v>
      </c>
      <c r="D317" s="1" cm="1">
        <f t="array" ref="D317">IF(ISBLANK($E318),IF(ISNUMBER($E316),IF($C317&gt;0,IF(($E317=INDEX(_xlfn.ANCHORARRAY(Sintesi!$C$14),1,$C317))*(INDEX(_xlfn.ANCHORARRAY(Sintesi!$C$15),1,$C317)&gt;0),0,IF(($E317=INDEX(_xlfn.ANCHORARRAY(Sintesi!$C$14),1,$C317))*(INDEX(_xlfn.ANCHORARRAY(Sintesi!$C$15),1,$C317)&lt;0)+($E317&gt;=$E316)*($E317&lt;=INDEX($E:$E,MATCH(TRUE,INDEX((ISNUMBER($E:$E)),0),0)))*($E317&gt;INDEX(_xlfn.ANCHORARRAY(Sintesi!$C$14),1,$C317))*($E317&lt;=INDEX(_xlfn.ANCHORARRAY(Sintesi!$C$15),1,$C317))*(INDEX(_xlfn.ANCHORARRAY(Sintesi!$C$15),1,$C317)&gt;0),1,IF(($E317&gt;=$E316)*($E317&lt;=INDEX($E:$E,MATCH(TRUE,INDEX((ISNUMBER($E:$E)),0),0)))*($E317&gt;INDEX(_xlfn.ANCHORARRAY(Sintesi!$C$14),1,$C317))*($E317&lt;INDEX(_xlfn.ANCHORARRAY(Sintesi!$C$16),1,$C317))*(INDEX(_xlfn.ANCHORARRAY(Sintesi!$C$15),1,$C317)&lt;0)+($E317&gt;=$E316)*($E317&lt;=INDEX($E:$E,MATCH(TRUE,INDEX((ISNUMBER($E:$E)),0),0)))*($E317&gt;INDEX(_xlfn.ANCHORARRAY(Sintesi!$C$15),1,$C317))*($E317&lt;INDEX(_xlfn.ANCHORARRAY(Sintesi!$C$16),1,$C317))*(INDEX(_xlfn.ANCHORARRAY(Sintesi!$C$15),1,$C317)&gt;0),2,IF($E317=(INDEX(_xlfn.ANCHORARRAY(Sintesi!$C$16),1,$C317)),3,4)))),0),IF($C317&gt;0,IF(($E317=INDEX(_xlfn.ANCHORARRAY(Sintesi!$C$14),1,$C317))*(INDEX(_xlfn.ANCHORARRAY(Sintesi!$C$15),1,$C317)&gt;0),0,IF(($E317=INDEX(_xlfn.ANCHORARRAY(Sintesi!$C$14),1,$C317))*(INDEX(_xlfn.ANCHORARRAY(Sintesi!$C$15),1,$C317)&lt;0)+($E317&gt;=LOOKUP(2,1/($E:$E&lt;&gt;""),$E:$E))*($E317&lt;=INDEX($E:$E,MATCH(TRUE,INDEX((ISNUMBER($E:$E)),0),0)))*($E317&gt;INDEX(_xlfn.ANCHORARRAY(Sintesi!$C$14),1,$C317))*($E317&lt;=INDEX(_xlfn.ANCHORARRAY(Sintesi!$C$15),1,$C317))*(INDEX(_xlfn.ANCHORARRAY(Sintesi!$C$15),1,$C317)&gt;0),1,IF(($E317&gt;=LOOKUP(2,1/($E:$E&lt;&gt;""),$E:$E))*($E317&lt;=INDEX($E:$E,MATCH(TRUE,INDEX((ISNUMBER($E:$E)),0),0)))*($E317&gt;INDEX(_xlfn.ANCHORARRAY(Sintesi!$C$14),1,$C317))*($E317&lt;INDEX(_xlfn.ANCHORARRAY(Sintesi!$C$16),1,$C317))*(INDEX(_xlfn.ANCHORARRAY(Sintesi!$C$15),1,$C317)&lt;0)+($E317&gt;=LOOKUP(2,1/($E:$E&lt;&gt;""),$E:$E))*($E317&lt;=INDEX($E:$E,MATCH(TRUE,INDEX((ISNUMBER($E:$E)),0),0)))*($E317&gt;INDEX(_xlfn.ANCHORARRAY(Sintesi!$C$15),1,$C317))*($E317&lt;INDEX(_xlfn.ANCHORARRAY(Sintesi!$C$16),1,$C317))*(INDEX(_xlfn.ANCHORARRAY(Sintesi!$C$15),1,$C317)&gt;0),2,IF($E317=(INDEX(_xlfn.ANCHORARRAY(Sintesi!$C$16),1,$C317)),3,4)))),0)),IF(ISNUMBER($E316),IF($C317&gt;0,IF(($E317=INDEX(_xlfn.ANCHORARRAY(Sintesi!$C$14),1,$C317))*(INDEX(_xlfn.ANCHORARRAY(Sintesi!$C$15),1,$C317)&gt;0),0,IF(($E317=INDEX(_xlfn.ANCHORARRAY(Sintesi!$C$14),1,$C317))*(INDEX(_xlfn.ANCHORARRAY(Sintesi!$C$15),1,$C317)&lt;0)+($E317&gt;=$E316)*($E317&lt;=$E318)*($E317&gt;INDEX(_xlfn.ANCHORARRAY(Sintesi!$C$14),1,$C317))*($E317&lt;=INDEX(_xlfn.ANCHORARRAY(Sintesi!$C$15),1,$C317))*(INDEX(_xlfn.ANCHORARRAY(Sintesi!$C$15),1,$C317)&gt;0),1,IF(($E317&gt;=$E316)*($E317&lt;=$E318)*($E317&gt;INDEX(_xlfn.ANCHORARRAY(Sintesi!$C$14),1,$C317))*($E317&lt;INDEX(_xlfn.ANCHORARRAY(Sintesi!$C$16),1,$C317))*(INDEX(_xlfn.ANCHORARRAY(Sintesi!$C$15),1,$C317)&lt;0)+($E317&gt;=$E316)*($E317&lt;=$E318)*($E317&gt;INDEX(_xlfn.ANCHORARRAY(Sintesi!$C$15),1,$C317))*($E317&lt;INDEX(_xlfn.ANCHORARRAY(Sintesi!$C$16),1,$C317))*(INDEX(_xlfn.ANCHORARRAY(Sintesi!$C$15),1,$C317)&gt;0),2,IF($E317=(INDEX(_xlfn.ANCHORARRAY(Sintesi!$C$16),1,$C317)),3,4)))),0),IF($C317&gt;0,IF(($E317=INDEX(_xlfn.ANCHORARRAY(Sintesi!$C$14),1,$C317))*(INDEX(_xlfn.ANCHORARRAY(Sintesi!$C$15),1,$C317)&gt;0),0,IF(($E317=INDEX(_xlfn.ANCHORARRAY(Sintesi!$C$14),1,$C317))*(INDEX(_xlfn.ANCHORARRAY(Sintesi!$C$15),1,$C317)&lt;0)+($E317&gt;=LOOKUP(2,1/($E:$E&lt;&gt;""),$E:$E))*($E317&lt;=$E318)*($E317&gt;INDEX(_xlfn.ANCHORARRAY(Sintesi!$C$14),1,$C317))*($E317&lt;=INDEX(_xlfn.ANCHORARRAY(Sintesi!$C$15),1,$C317))*(INDEX(_xlfn.ANCHORARRAY(Sintesi!$C$15),1,$C317)&gt;0),1,IF(($E317&gt;=LOOKUP(2,1/($E:$E&lt;&gt;""),$E:$E))*($E317&lt;=$E318)*($E317&gt;INDEX(_xlfn.ANCHORARRAY(Sintesi!$C$14),1,$C317))*($E317&lt;INDEX(_xlfn.ANCHORARRAY(Sintesi!$C$16),1,$C317))*(INDEX(_xlfn.ANCHORARRAY(Sintesi!$C$15),1,$C317)&lt;0)+($E317&gt;=LOOKUP(2,1/($E:$E&lt;&gt;""),$E:$E))*($E317&lt;=$E318)*($E317&gt;INDEX(_xlfn.ANCHORARRAY(Sintesi!$C$15),1,$C317))*($E317&lt;INDEX(_xlfn.ANCHORARRAY(Sintesi!$C$16),1,$C317))*(INDEX(_xlfn.ANCHORARRAY(Sintesi!$C$15),1,$C317)&gt;0),2,IF($E317=(INDEX(_xlfn.ANCHORARRAY(Sintesi!$C$16),1,$C317)),3,4)))),0)))</f>
        <v>0</v>
      </c>
      <c r="E317" s="1">
        <f>'Paste cell here'!F317</f>
        <v>0</v>
      </c>
      <c r="F317" s="1">
        <f>'Paste cell here'!C317</f>
        <v>0</v>
      </c>
      <c r="G317" s="1">
        <f>'Paste cell here'!D317</f>
        <v>0</v>
      </c>
      <c r="H317" s="1">
        <f>'Paste cell here'!E317</f>
        <v>0</v>
      </c>
      <c r="I317" s="1">
        <f>'Paste cell here'!X317</f>
        <v>0</v>
      </c>
      <c r="J317" s="1">
        <f>'Paste cell here'!Y317+'Paste cell here'!S317</f>
        <v>0</v>
      </c>
      <c r="K317" s="1" t="e">
        <f t="shared" si="9"/>
        <v>#DIV/0!</v>
      </c>
      <c r="L317" s="1">
        <f t="shared" si="8"/>
        <v>0</v>
      </c>
      <c r="M317" s="1" cm="1">
        <f t="array" ref="M317">IF(AND(A317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,A317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),IF(L317&lt;_xlfn.IFNA(INDEX(_xlfn.ANCHORARRAY(Sintesi!$C$17)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,1,IF(L317&gt;=_xlfn.IFNA(INDEX(_xlfn.ANCHORARRAY(Sintesi!$C$18)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,0,1-(L317-_xlfn.IFNA(INDEX(_xlfn.ANCHORARRAY(Sintesi!$C$17)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)/(_xlfn.IFNA(INDEX(_xlfn.ANCHORARRAY(Sintesi!$C$18)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-_xlfn.IFNA(INDEX(_xlfn.ANCHORARRAY(Sintesi!$C$17),1,MATCH(1,(_xlfn.ANCHORARRAY(Sintesi!$C$9)&gt;_xlfn.ANCHORARRAY(Sintesi!$C$10))*(A316&gt;=_xlfn.ANCHORARRAY(Sintesi!$C$9))+(_xlfn.ANCHORARRAY(Sintesi!$C$9)&gt;_xlfn.ANCHORARRAY(Sintesi!$C$10))*(A316&lt;=_xlfn.ANCHORARRAY(Sintesi!$C$10))+(_xlfn.ANCHORARRAY(Sintesi!$C$9)&lt;_xlfn.ANCHORARRAY(Sintesi!$C$10))*(A316&gt;=_xlfn.ANCHORARRAY(Sintesi!$C$9))*(A316&lt;=_xlfn.ANCHORARRAY(Sintesi!$C$10)),0)),0)))),0)</f>
        <v>0</v>
      </c>
    </row>
    <row r="318" spans="1:13">
      <c r="A318" s="1">
        <f>'Paste cell here'!A318</f>
        <v>0</v>
      </c>
      <c r="B318" s="2">
        <f>DATE(Sintesi!$C$4-1,12,31)+A318</f>
        <v>44196</v>
      </c>
      <c r="C318" s="34" cm="1">
        <f t="array" ref="C318">_xlfn.IFNA(MATCH(1,(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)*(_xlfn.ANCHORARRAY(Sintesi!$C$15)&gt;=0)+(_xlfn.ANCHORARRAY(Sintesi!$C$15)&lt;0),0),0)</f>
        <v>0</v>
      </c>
      <c r="D318" s="1" cm="1">
        <f t="array" ref="D318">IF(ISBLANK($E319),IF(ISNUMBER($E317),IF($C318&gt;0,IF(($E318=INDEX(_xlfn.ANCHORARRAY(Sintesi!$C$14),1,$C318))*(INDEX(_xlfn.ANCHORARRAY(Sintesi!$C$15),1,$C318)&gt;0),0,IF(($E318=INDEX(_xlfn.ANCHORARRAY(Sintesi!$C$14),1,$C318))*(INDEX(_xlfn.ANCHORARRAY(Sintesi!$C$15),1,$C318)&lt;0)+($E318&gt;=$E317)*($E318&lt;=INDEX($E:$E,MATCH(TRUE,INDEX((ISNUMBER($E:$E)),0),0)))*($E318&gt;INDEX(_xlfn.ANCHORARRAY(Sintesi!$C$14),1,$C318))*($E318&lt;=INDEX(_xlfn.ANCHORARRAY(Sintesi!$C$15),1,$C318))*(INDEX(_xlfn.ANCHORARRAY(Sintesi!$C$15),1,$C318)&gt;0),1,IF(($E318&gt;=$E317)*($E318&lt;=INDEX($E:$E,MATCH(TRUE,INDEX((ISNUMBER($E:$E)),0),0)))*($E318&gt;INDEX(_xlfn.ANCHORARRAY(Sintesi!$C$14),1,$C318))*($E318&lt;INDEX(_xlfn.ANCHORARRAY(Sintesi!$C$16),1,$C318))*(INDEX(_xlfn.ANCHORARRAY(Sintesi!$C$15),1,$C318)&lt;0)+($E318&gt;=$E317)*($E318&lt;=INDEX($E:$E,MATCH(TRUE,INDEX((ISNUMBER($E:$E)),0),0)))*($E318&gt;INDEX(_xlfn.ANCHORARRAY(Sintesi!$C$15),1,$C318))*($E318&lt;INDEX(_xlfn.ANCHORARRAY(Sintesi!$C$16),1,$C318))*(INDEX(_xlfn.ANCHORARRAY(Sintesi!$C$15),1,$C318)&gt;0),2,IF($E318=(INDEX(_xlfn.ANCHORARRAY(Sintesi!$C$16),1,$C318)),3,4)))),0),IF($C318&gt;0,IF(($E318=INDEX(_xlfn.ANCHORARRAY(Sintesi!$C$14),1,$C318))*(INDEX(_xlfn.ANCHORARRAY(Sintesi!$C$15),1,$C318)&gt;0),0,IF(($E318=INDEX(_xlfn.ANCHORARRAY(Sintesi!$C$14),1,$C318))*(INDEX(_xlfn.ANCHORARRAY(Sintesi!$C$15),1,$C318)&lt;0)+($E318&gt;=LOOKUP(2,1/($E:$E&lt;&gt;""),$E:$E))*($E318&lt;=INDEX($E:$E,MATCH(TRUE,INDEX((ISNUMBER($E:$E)),0),0)))*($E318&gt;INDEX(_xlfn.ANCHORARRAY(Sintesi!$C$14),1,$C318))*($E318&lt;=INDEX(_xlfn.ANCHORARRAY(Sintesi!$C$15),1,$C318))*(INDEX(_xlfn.ANCHORARRAY(Sintesi!$C$15),1,$C318)&gt;0),1,IF(($E318&gt;=LOOKUP(2,1/($E:$E&lt;&gt;""),$E:$E))*($E318&lt;=INDEX($E:$E,MATCH(TRUE,INDEX((ISNUMBER($E:$E)),0),0)))*($E318&gt;INDEX(_xlfn.ANCHORARRAY(Sintesi!$C$14),1,$C318))*($E318&lt;INDEX(_xlfn.ANCHORARRAY(Sintesi!$C$16),1,$C318))*(INDEX(_xlfn.ANCHORARRAY(Sintesi!$C$15),1,$C318)&lt;0)+($E318&gt;=LOOKUP(2,1/($E:$E&lt;&gt;""),$E:$E))*($E318&lt;=INDEX($E:$E,MATCH(TRUE,INDEX((ISNUMBER($E:$E)),0),0)))*($E318&gt;INDEX(_xlfn.ANCHORARRAY(Sintesi!$C$15),1,$C318))*($E318&lt;INDEX(_xlfn.ANCHORARRAY(Sintesi!$C$16),1,$C318))*(INDEX(_xlfn.ANCHORARRAY(Sintesi!$C$15),1,$C318)&gt;0),2,IF($E318=(INDEX(_xlfn.ANCHORARRAY(Sintesi!$C$16),1,$C318)),3,4)))),0)),IF(ISNUMBER($E317),IF($C318&gt;0,IF(($E318=INDEX(_xlfn.ANCHORARRAY(Sintesi!$C$14),1,$C318))*(INDEX(_xlfn.ANCHORARRAY(Sintesi!$C$15),1,$C318)&gt;0),0,IF(($E318=INDEX(_xlfn.ANCHORARRAY(Sintesi!$C$14),1,$C318))*(INDEX(_xlfn.ANCHORARRAY(Sintesi!$C$15),1,$C318)&lt;0)+($E318&gt;=$E317)*($E318&lt;=$E319)*($E318&gt;INDEX(_xlfn.ANCHORARRAY(Sintesi!$C$14),1,$C318))*($E318&lt;=INDEX(_xlfn.ANCHORARRAY(Sintesi!$C$15),1,$C318))*(INDEX(_xlfn.ANCHORARRAY(Sintesi!$C$15),1,$C318)&gt;0),1,IF(($E318&gt;=$E317)*($E318&lt;=$E319)*($E318&gt;INDEX(_xlfn.ANCHORARRAY(Sintesi!$C$14),1,$C318))*($E318&lt;INDEX(_xlfn.ANCHORARRAY(Sintesi!$C$16),1,$C318))*(INDEX(_xlfn.ANCHORARRAY(Sintesi!$C$15),1,$C318)&lt;0)+($E318&gt;=$E317)*($E318&lt;=$E319)*($E318&gt;INDEX(_xlfn.ANCHORARRAY(Sintesi!$C$15),1,$C318))*($E318&lt;INDEX(_xlfn.ANCHORARRAY(Sintesi!$C$16),1,$C318))*(INDEX(_xlfn.ANCHORARRAY(Sintesi!$C$15),1,$C318)&gt;0),2,IF($E318=(INDEX(_xlfn.ANCHORARRAY(Sintesi!$C$16),1,$C318)),3,4)))),0),IF($C318&gt;0,IF(($E318=INDEX(_xlfn.ANCHORARRAY(Sintesi!$C$14),1,$C318))*(INDEX(_xlfn.ANCHORARRAY(Sintesi!$C$15),1,$C318)&gt;0),0,IF(($E318=INDEX(_xlfn.ANCHORARRAY(Sintesi!$C$14),1,$C318))*(INDEX(_xlfn.ANCHORARRAY(Sintesi!$C$15),1,$C318)&lt;0)+($E318&gt;=LOOKUP(2,1/($E:$E&lt;&gt;""),$E:$E))*($E318&lt;=$E319)*($E318&gt;INDEX(_xlfn.ANCHORARRAY(Sintesi!$C$14),1,$C318))*($E318&lt;=INDEX(_xlfn.ANCHORARRAY(Sintesi!$C$15),1,$C318))*(INDEX(_xlfn.ANCHORARRAY(Sintesi!$C$15),1,$C318)&gt;0),1,IF(($E318&gt;=LOOKUP(2,1/($E:$E&lt;&gt;""),$E:$E))*($E318&lt;=$E319)*($E318&gt;INDEX(_xlfn.ANCHORARRAY(Sintesi!$C$14),1,$C318))*($E318&lt;INDEX(_xlfn.ANCHORARRAY(Sintesi!$C$16),1,$C318))*(INDEX(_xlfn.ANCHORARRAY(Sintesi!$C$15),1,$C318)&lt;0)+($E318&gt;=LOOKUP(2,1/($E:$E&lt;&gt;""),$E:$E))*($E318&lt;=$E319)*($E318&gt;INDEX(_xlfn.ANCHORARRAY(Sintesi!$C$15),1,$C318))*($E318&lt;INDEX(_xlfn.ANCHORARRAY(Sintesi!$C$16),1,$C318))*(INDEX(_xlfn.ANCHORARRAY(Sintesi!$C$15),1,$C318)&gt;0),2,IF($E318=(INDEX(_xlfn.ANCHORARRAY(Sintesi!$C$16),1,$C318)),3,4)))),0)))</f>
        <v>0</v>
      </c>
      <c r="E318" s="1">
        <f>'Paste cell here'!F318</f>
        <v>0</v>
      </c>
      <c r="F318" s="1">
        <f>'Paste cell here'!C318</f>
        <v>0</v>
      </c>
      <c r="G318" s="1">
        <f>'Paste cell here'!D318</f>
        <v>0</v>
      </c>
      <c r="H318" s="1">
        <f>'Paste cell here'!E318</f>
        <v>0</v>
      </c>
      <c r="I318" s="1">
        <f>'Paste cell here'!X318</f>
        <v>0</v>
      </c>
      <c r="J318" s="1">
        <f>'Paste cell here'!Y318+'Paste cell here'!S318</f>
        <v>0</v>
      </c>
      <c r="K318" s="1" t="e">
        <f t="shared" si="9"/>
        <v>#DIV/0!</v>
      </c>
      <c r="L318" s="1">
        <f t="shared" si="8"/>
        <v>0</v>
      </c>
      <c r="M318" s="1" cm="1">
        <f t="array" ref="M318">IF(AND(A318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,A318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),IF(L318&lt;_xlfn.IFNA(INDEX(_xlfn.ANCHORARRAY(Sintesi!$C$17)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,1,IF(L318&gt;=_xlfn.IFNA(INDEX(_xlfn.ANCHORARRAY(Sintesi!$C$18)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,0,1-(L318-_xlfn.IFNA(INDEX(_xlfn.ANCHORARRAY(Sintesi!$C$17)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)/(_xlfn.IFNA(INDEX(_xlfn.ANCHORARRAY(Sintesi!$C$18)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-_xlfn.IFNA(INDEX(_xlfn.ANCHORARRAY(Sintesi!$C$17),1,MATCH(1,(_xlfn.ANCHORARRAY(Sintesi!$C$9)&gt;_xlfn.ANCHORARRAY(Sintesi!$C$10))*(A317&gt;=_xlfn.ANCHORARRAY(Sintesi!$C$9))+(_xlfn.ANCHORARRAY(Sintesi!$C$9)&gt;_xlfn.ANCHORARRAY(Sintesi!$C$10))*(A317&lt;=_xlfn.ANCHORARRAY(Sintesi!$C$10))+(_xlfn.ANCHORARRAY(Sintesi!$C$9)&lt;_xlfn.ANCHORARRAY(Sintesi!$C$10))*(A317&gt;=_xlfn.ANCHORARRAY(Sintesi!$C$9))*(A317&lt;=_xlfn.ANCHORARRAY(Sintesi!$C$10)),0)),0)))),0)</f>
        <v>0</v>
      </c>
    </row>
    <row r="319" spans="1:13">
      <c r="A319" s="1">
        <f>'Paste cell here'!A319</f>
        <v>0</v>
      </c>
      <c r="B319" s="2">
        <f>DATE(Sintesi!$C$4-1,12,31)+A319</f>
        <v>44196</v>
      </c>
      <c r="C319" s="34" cm="1">
        <f t="array" ref="C319">_xlfn.IFNA(MATCH(1,(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)*(_xlfn.ANCHORARRAY(Sintesi!$C$15)&gt;=0)+(_xlfn.ANCHORARRAY(Sintesi!$C$15)&lt;0),0),0)</f>
        <v>0</v>
      </c>
      <c r="D319" s="1" cm="1">
        <f t="array" ref="D319">IF(ISBLANK($E320),IF(ISNUMBER($E318),IF($C319&gt;0,IF(($E319=INDEX(_xlfn.ANCHORARRAY(Sintesi!$C$14),1,$C319))*(INDEX(_xlfn.ANCHORARRAY(Sintesi!$C$15),1,$C319)&gt;0),0,IF(($E319=INDEX(_xlfn.ANCHORARRAY(Sintesi!$C$14),1,$C319))*(INDEX(_xlfn.ANCHORARRAY(Sintesi!$C$15),1,$C319)&lt;0)+($E319&gt;=$E318)*($E319&lt;=INDEX($E:$E,MATCH(TRUE,INDEX((ISNUMBER($E:$E)),0),0)))*($E319&gt;INDEX(_xlfn.ANCHORARRAY(Sintesi!$C$14),1,$C319))*($E319&lt;=INDEX(_xlfn.ANCHORARRAY(Sintesi!$C$15),1,$C319))*(INDEX(_xlfn.ANCHORARRAY(Sintesi!$C$15),1,$C319)&gt;0),1,IF(($E319&gt;=$E318)*($E319&lt;=INDEX($E:$E,MATCH(TRUE,INDEX((ISNUMBER($E:$E)),0),0)))*($E319&gt;INDEX(_xlfn.ANCHORARRAY(Sintesi!$C$14),1,$C319))*($E319&lt;INDEX(_xlfn.ANCHORARRAY(Sintesi!$C$16),1,$C319))*(INDEX(_xlfn.ANCHORARRAY(Sintesi!$C$15),1,$C319)&lt;0)+($E319&gt;=$E318)*($E319&lt;=INDEX($E:$E,MATCH(TRUE,INDEX((ISNUMBER($E:$E)),0),0)))*($E319&gt;INDEX(_xlfn.ANCHORARRAY(Sintesi!$C$15),1,$C319))*($E319&lt;INDEX(_xlfn.ANCHORARRAY(Sintesi!$C$16),1,$C319))*(INDEX(_xlfn.ANCHORARRAY(Sintesi!$C$15),1,$C319)&gt;0),2,IF($E319=(INDEX(_xlfn.ANCHORARRAY(Sintesi!$C$16),1,$C319)),3,4)))),0),IF($C319&gt;0,IF(($E319=INDEX(_xlfn.ANCHORARRAY(Sintesi!$C$14),1,$C319))*(INDEX(_xlfn.ANCHORARRAY(Sintesi!$C$15),1,$C319)&gt;0),0,IF(($E319=INDEX(_xlfn.ANCHORARRAY(Sintesi!$C$14),1,$C319))*(INDEX(_xlfn.ANCHORARRAY(Sintesi!$C$15),1,$C319)&lt;0)+($E319&gt;=LOOKUP(2,1/($E:$E&lt;&gt;""),$E:$E))*($E319&lt;=INDEX($E:$E,MATCH(TRUE,INDEX((ISNUMBER($E:$E)),0),0)))*($E319&gt;INDEX(_xlfn.ANCHORARRAY(Sintesi!$C$14),1,$C319))*($E319&lt;=INDEX(_xlfn.ANCHORARRAY(Sintesi!$C$15),1,$C319))*(INDEX(_xlfn.ANCHORARRAY(Sintesi!$C$15),1,$C319)&gt;0),1,IF(($E319&gt;=LOOKUP(2,1/($E:$E&lt;&gt;""),$E:$E))*($E319&lt;=INDEX($E:$E,MATCH(TRUE,INDEX((ISNUMBER($E:$E)),0),0)))*($E319&gt;INDEX(_xlfn.ANCHORARRAY(Sintesi!$C$14),1,$C319))*($E319&lt;INDEX(_xlfn.ANCHORARRAY(Sintesi!$C$16),1,$C319))*(INDEX(_xlfn.ANCHORARRAY(Sintesi!$C$15),1,$C319)&lt;0)+($E319&gt;=LOOKUP(2,1/($E:$E&lt;&gt;""),$E:$E))*($E319&lt;=INDEX($E:$E,MATCH(TRUE,INDEX((ISNUMBER($E:$E)),0),0)))*($E319&gt;INDEX(_xlfn.ANCHORARRAY(Sintesi!$C$15),1,$C319))*($E319&lt;INDEX(_xlfn.ANCHORARRAY(Sintesi!$C$16),1,$C319))*(INDEX(_xlfn.ANCHORARRAY(Sintesi!$C$15),1,$C319)&gt;0),2,IF($E319=(INDEX(_xlfn.ANCHORARRAY(Sintesi!$C$16),1,$C319)),3,4)))),0)),IF(ISNUMBER($E318),IF($C319&gt;0,IF(($E319=INDEX(_xlfn.ANCHORARRAY(Sintesi!$C$14),1,$C319))*(INDEX(_xlfn.ANCHORARRAY(Sintesi!$C$15),1,$C319)&gt;0),0,IF(($E319=INDEX(_xlfn.ANCHORARRAY(Sintesi!$C$14),1,$C319))*(INDEX(_xlfn.ANCHORARRAY(Sintesi!$C$15),1,$C319)&lt;0)+($E319&gt;=$E318)*($E319&lt;=$E320)*($E319&gt;INDEX(_xlfn.ANCHORARRAY(Sintesi!$C$14),1,$C319))*($E319&lt;=INDEX(_xlfn.ANCHORARRAY(Sintesi!$C$15),1,$C319))*(INDEX(_xlfn.ANCHORARRAY(Sintesi!$C$15),1,$C319)&gt;0),1,IF(($E319&gt;=$E318)*($E319&lt;=$E320)*($E319&gt;INDEX(_xlfn.ANCHORARRAY(Sintesi!$C$14),1,$C319))*($E319&lt;INDEX(_xlfn.ANCHORARRAY(Sintesi!$C$16),1,$C319))*(INDEX(_xlfn.ANCHORARRAY(Sintesi!$C$15),1,$C319)&lt;0)+($E319&gt;=$E318)*($E319&lt;=$E320)*($E319&gt;INDEX(_xlfn.ANCHORARRAY(Sintesi!$C$15),1,$C319))*($E319&lt;INDEX(_xlfn.ANCHORARRAY(Sintesi!$C$16),1,$C319))*(INDEX(_xlfn.ANCHORARRAY(Sintesi!$C$15),1,$C319)&gt;0),2,IF($E319=(INDEX(_xlfn.ANCHORARRAY(Sintesi!$C$16),1,$C319)),3,4)))),0),IF($C319&gt;0,IF(($E319=INDEX(_xlfn.ANCHORARRAY(Sintesi!$C$14),1,$C319))*(INDEX(_xlfn.ANCHORARRAY(Sintesi!$C$15),1,$C319)&gt;0),0,IF(($E319=INDEX(_xlfn.ANCHORARRAY(Sintesi!$C$14),1,$C319))*(INDEX(_xlfn.ANCHORARRAY(Sintesi!$C$15),1,$C319)&lt;0)+($E319&gt;=LOOKUP(2,1/($E:$E&lt;&gt;""),$E:$E))*($E319&lt;=$E320)*($E319&gt;INDEX(_xlfn.ANCHORARRAY(Sintesi!$C$14),1,$C319))*($E319&lt;=INDEX(_xlfn.ANCHORARRAY(Sintesi!$C$15),1,$C319))*(INDEX(_xlfn.ANCHORARRAY(Sintesi!$C$15),1,$C319)&gt;0),1,IF(($E319&gt;=LOOKUP(2,1/($E:$E&lt;&gt;""),$E:$E))*($E319&lt;=$E320)*($E319&gt;INDEX(_xlfn.ANCHORARRAY(Sintesi!$C$14),1,$C319))*($E319&lt;INDEX(_xlfn.ANCHORARRAY(Sintesi!$C$16),1,$C319))*(INDEX(_xlfn.ANCHORARRAY(Sintesi!$C$15),1,$C319)&lt;0)+($E319&gt;=LOOKUP(2,1/($E:$E&lt;&gt;""),$E:$E))*($E319&lt;=$E320)*($E319&gt;INDEX(_xlfn.ANCHORARRAY(Sintesi!$C$15),1,$C319))*($E319&lt;INDEX(_xlfn.ANCHORARRAY(Sintesi!$C$16),1,$C319))*(INDEX(_xlfn.ANCHORARRAY(Sintesi!$C$15),1,$C319)&gt;0),2,IF($E319=(INDEX(_xlfn.ANCHORARRAY(Sintesi!$C$16),1,$C319)),3,4)))),0)))</f>
        <v>0</v>
      </c>
      <c r="E319" s="1">
        <f>'Paste cell here'!F319</f>
        <v>0</v>
      </c>
      <c r="F319" s="1">
        <f>'Paste cell here'!C319</f>
        <v>0</v>
      </c>
      <c r="G319" s="1">
        <f>'Paste cell here'!D319</f>
        <v>0</v>
      </c>
      <c r="H319" s="1">
        <f>'Paste cell here'!E319</f>
        <v>0</v>
      </c>
      <c r="I319" s="1">
        <f>'Paste cell here'!X319</f>
        <v>0</v>
      </c>
      <c r="J319" s="1">
        <f>'Paste cell here'!Y319+'Paste cell here'!S319</f>
        <v>0</v>
      </c>
      <c r="K319" s="1" t="e">
        <f t="shared" si="9"/>
        <v>#DIV/0!</v>
      </c>
      <c r="L319" s="1">
        <f t="shared" si="8"/>
        <v>0</v>
      </c>
      <c r="M319" s="1" cm="1">
        <f t="array" ref="M319">IF(AND(A319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,A319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),IF(L319&lt;_xlfn.IFNA(INDEX(_xlfn.ANCHORARRAY(Sintesi!$C$17)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,1,IF(L319&gt;=_xlfn.IFNA(INDEX(_xlfn.ANCHORARRAY(Sintesi!$C$18)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,0,1-(L319-_xlfn.IFNA(INDEX(_xlfn.ANCHORARRAY(Sintesi!$C$17)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)/(_xlfn.IFNA(INDEX(_xlfn.ANCHORARRAY(Sintesi!$C$18)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-_xlfn.IFNA(INDEX(_xlfn.ANCHORARRAY(Sintesi!$C$17),1,MATCH(1,(_xlfn.ANCHORARRAY(Sintesi!$C$9)&gt;_xlfn.ANCHORARRAY(Sintesi!$C$10))*(A318&gt;=_xlfn.ANCHORARRAY(Sintesi!$C$9))+(_xlfn.ANCHORARRAY(Sintesi!$C$9)&gt;_xlfn.ANCHORARRAY(Sintesi!$C$10))*(A318&lt;=_xlfn.ANCHORARRAY(Sintesi!$C$10))+(_xlfn.ANCHORARRAY(Sintesi!$C$9)&lt;_xlfn.ANCHORARRAY(Sintesi!$C$10))*(A318&gt;=_xlfn.ANCHORARRAY(Sintesi!$C$9))*(A318&lt;=_xlfn.ANCHORARRAY(Sintesi!$C$10)),0)),0)))),0)</f>
        <v>0</v>
      </c>
    </row>
    <row r="320" spans="1:13">
      <c r="A320" s="1">
        <f>'Paste cell here'!A320</f>
        <v>0</v>
      </c>
      <c r="B320" s="2">
        <f>DATE(Sintesi!$C$4-1,12,31)+A320</f>
        <v>44196</v>
      </c>
      <c r="C320" s="34" cm="1">
        <f t="array" ref="C320">_xlfn.IFNA(MATCH(1,(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)*(_xlfn.ANCHORARRAY(Sintesi!$C$15)&gt;=0)+(_xlfn.ANCHORARRAY(Sintesi!$C$15)&lt;0),0),0)</f>
        <v>0</v>
      </c>
      <c r="D320" s="1" cm="1">
        <f t="array" ref="D320">IF(ISBLANK($E321),IF(ISNUMBER($E319),IF($C320&gt;0,IF(($E320=INDEX(_xlfn.ANCHORARRAY(Sintesi!$C$14),1,$C320))*(INDEX(_xlfn.ANCHORARRAY(Sintesi!$C$15),1,$C320)&gt;0),0,IF(($E320=INDEX(_xlfn.ANCHORARRAY(Sintesi!$C$14),1,$C320))*(INDEX(_xlfn.ANCHORARRAY(Sintesi!$C$15),1,$C320)&lt;0)+($E320&gt;=$E319)*($E320&lt;=INDEX($E:$E,MATCH(TRUE,INDEX((ISNUMBER($E:$E)),0),0)))*($E320&gt;INDEX(_xlfn.ANCHORARRAY(Sintesi!$C$14),1,$C320))*($E320&lt;=INDEX(_xlfn.ANCHORARRAY(Sintesi!$C$15),1,$C320))*(INDEX(_xlfn.ANCHORARRAY(Sintesi!$C$15),1,$C320)&gt;0),1,IF(($E320&gt;=$E319)*($E320&lt;=INDEX($E:$E,MATCH(TRUE,INDEX((ISNUMBER($E:$E)),0),0)))*($E320&gt;INDEX(_xlfn.ANCHORARRAY(Sintesi!$C$14),1,$C320))*($E320&lt;INDEX(_xlfn.ANCHORARRAY(Sintesi!$C$16),1,$C320))*(INDEX(_xlfn.ANCHORARRAY(Sintesi!$C$15),1,$C320)&lt;0)+($E320&gt;=$E319)*($E320&lt;=INDEX($E:$E,MATCH(TRUE,INDEX((ISNUMBER($E:$E)),0),0)))*($E320&gt;INDEX(_xlfn.ANCHORARRAY(Sintesi!$C$15),1,$C320))*($E320&lt;INDEX(_xlfn.ANCHORARRAY(Sintesi!$C$16),1,$C320))*(INDEX(_xlfn.ANCHORARRAY(Sintesi!$C$15),1,$C320)&gt;0),2,IF($E320=(INDEX(_xlfn.ANCHORARRAY(Sintesi!$C$16),1,$C320)),3,4)))),0),IF($C320&gt;0,IF(($E320=INDEX(_xlfn.ANCHORARRAY(Sintesi!$C$14),1,$C320))*(INDEX(_xlfn.ANCHORARRAY(Sintesi!$C$15),1,$C320)&gt;0),0,IF(($E320=INDEX(_xlfn.ANCHORARRAY(Sintesi!$C$14),1,$C320))*(INDEX(_xlfn.ANCHORARRAY(Sintesi!$C$15),1,$C320)&lt;0)+($E320&gt;=LOOKUP(2,1/($E:$E&lt;&gt;""),$E:$E))*($E320&lt;=INDEX($E:$E,MATCH(TRUE,INDEX((ISNUMBER($E:$E)),0),0)))*($E320&gt;INDEX(_xlfn.ANCHORARRAY(Sintesi!$C$14),1,$C320))*($E320&lt;=INDEX(_xlfn.ANCHORARRAY(Sintesi!$C$15),1,$C320))*(INDEX(_xlfn.ANCHORARRAY(Sintesi!$C$15),1,$C320)&gt;0),1,IF(($E320&gt;=LOOKUP(2,1/($E:$E&lt;&gt;""),$E:$E))*($E320&lt;=INDEX($E:$E,MATCH(TRUE,INDEX((ISNUMBER($E:$E)),0),0)))*($E320&gt;INDEX(_xlfn.ANCHORARRAY(Sintesi!$C$14),1,$C320))*($E320&lt;INDEX(_xlfn.ANCHORARRAY(Sintesi!$C$16),1,$C320))*(INDEX(_xlfn.ANCHORARRAY(Sintesi!$C$15),1,$C320)&lt;0)+($E320&gt;=LOOKUP(2,1/($E:$E&lt;&gt;""),$E:$E))*($E320&lt;=INDEX($E:$E,MATCH(TRUE,INDEX((ISNUMBER($E:$E)),0),0)))*($E320&gt;INDEX(_xlfn.ANCHORARRAY(Sintesi!$C$15),1,$C320))*($E320&lt;INDEX(_xlfn.ANCHORARRAY(Sintesi!$C$16),1,$C320))*(INDEX(_xlfn.ANCHORARRAY(Sintesi!$C$15),1,$C320)&gt;0),2,IF($E320=(INDEX(_xlfn.ANCHORARRAY(Sintesi!$C$16),1,$C320)),3,4)))),0)),IF(ISNUMBER($E319),IF($C320&gt;0,IF(($E320=INDEX(_xlfn.ANCHORARRAY(Sintesi!$C$14),1,$C320))*(INDEX(_xlfn.ANCHORARRAY(Sintesi!$C$15),1,$C320)&gt;0),0,IF(($E320=INDEX(_xlfn.ANCHORARRAY(Sintesi!$C$14),1,$C320))*(INDEX(_xlfn.ANCHORARRAY(Sintesi!$C$15),1,$C320)&lt;0)+($E320&gt;=$E319)*($E320&lt;=$E321)*($E320&gt;INDEX(_xlfn.ANCHORARRAY(Sintesi!$C$14),1,$C320))*($E320&lt;=INDEX(_xlfn.ANCHORARRAY(Sintesi!$C$15),1,$C320))*(INDEX(_xlfn.ANCHORARRAY(Sintesi!$C$15),1,$C320)&gt;0),1,IF(($E320&gt;=$E319)*($E320&lt;=$E321)*($E320&gt;INDEX(_xlfn.ANCHORARRAY(Sintesi!$C$14),1,$C320))*($E320&lt;INDEX(_xlfn.ANCHORARRAY(Sintesi!$C$16),1,$C320))*(INDEX(_xlfn.ANCHORARRAY(Sintesi!$C$15),1,$C320)&lt;0)+($E320&gt;=$E319)*($E320&lt;=$E321)*($E320&gt;INDEX(_xlfn.ANCHORARRAY(Sintesi!$C$15),1,$C320))*($E320&lt;INDEX(_xlfn.ANCHORARRAY(Sintesi!$C$16),1,$C320))*(INDEX(_xlfn.ANCHORARRAY(Sintesi!$C$15),1,$C320)&gt;0),2,IF($E320=(INDEX(_xlfn.ANCHORARRAY(Sintesi!$C$16),1,$C320)),3,4)))),0),IF($C320&gt;0,IF(($E320=INDEX(_xlfn.ANCHORARRAY(Sintesi!$C$14),1,$C320))*(INDEX(_xlfn.ANCHORARRAY(Sintesi!$C$15),1,$C320)&gt;0),0,IF(($E320=INDEX(_xlfn.ANCHORARRAY(Sintesi!$C$14),1,$C320))*(INDEX(_xlfn.ANCHORARRAY(Sintesi!$C$15),1,$C320)&lt;0)+($E320&gt;=LOOKUP(2,1/($E:$E&lt;&gt;""),$E:$E))*($E320&lt;=$E321)*($E320&gt;INDEX(_xlfn.ANCHORARRAY(Sintesi!$C$14),1,$C320))*($E320&lt;=INDEX(_xlfn.ANCHORARRAY(Sintesi!$C$15),1,$C320))*(INDEX(_xlfn.ANCHORARRAY(Sintesi!$C$15),1,$C320)&gt;0),1,IF(($E320&gt;=LOOKUP(2,1/($E:$E&lt;&gt;""),$E:$E))*($E320&lt;=$E321)*($E320&gt;INDEX(_xlfn.ANCHORARRAY(Sintesi!$C$14),1,$C320))*($E320&lt;INDEX(_xlfn.ANCHORARRAY(Sintesi!$C$16),1,$C320))*(INDEX(_xlfn.ANCHORARRAY(Sintesi!$C$15),1,$C320)&lt;0)+($E320&gt;=LOOKUP(2,1/($E:$E&lt;&gt;""),$E:$E))*($E320&lt;=$E321)*($E320&gt;INDEX(_xlfn.ANCHORARRAY(Sintesi!$C$15),1,$C320))*($E320&lt;INDEX(_xlfn.ANCHORARRAY(Sintesi!$C$16),1,$C320))*(INDEX(_xlfn.ANCHORARRAY(Sintesi!$C$15),1,$C320)&gt;0),2,IF($E320=(INDEX(_xlfn.ANCHORARRAY(Sintesi!$C$16),1,$C320)),3,4)))),0)))</f>
        <v>0</v>
      </c>
      <c r="E320" s="1">
        <f>'Paste cell here'!F320</f>
        <v>0</v>
      </c>
      <c r="F320" s="1">
        <f>'Paste cell here'!C320</f>
        <v>0</v>
      </c>
      <c r="G320" s="1">
        <f>'Paste cell here'!D320</f>
        <v>0</v>
      </c>
      <c r="H320" s="1">
        <f>'Paste cell here'!E320</f>
        <v>0</v>
      </c>
      <c r="I320" s="1">
        <f>'Paste cell here'!X320</f>
        <v>0</v>
      </c>
      <c r="J320" s="1">
        <f>'Paste cell here'!Y320+'Paste cell here'!S320</f>
        <v>0</v>
      </c>
      <c r="K320" s="1" t="e">
        <f t="shared" si="9"/>
        <v>#DIV/0!</v>
      </c>
      <c r="L320" s="1">
        <f t="shared" si="8"/>
        <v>0</v>
      </c>
      <c r="M320" s="1" cm="1">
        <f t="array" ref="M320">IF(AND(A320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,A320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),IF(L320&lt;_xlfn.IFNA(INDEX(_xlfn.ANCHORARRAY(Sintesi!$C$17)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,1,IF(L320&gt;=_xlfn.IFNA(INDEX(_xlfn.ANCHORARRAY(Sintesi!$C$18)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,0,1-(L320-_xlfn.IFNA(INDEX(_xlfn.ANCHORARRAY(Sintesi!$C$17)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)/(_xlfn.IFNA(INDEX(_xlfn.ANCHORARRAY(Sintesi!$C$18)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-_xlfn.IFNA(INDEX(_xlfn.ANCHORARRAY(Sintesi!$C$17),1,MATCH(1,(_xlfn.ANCHORARRAY(Sintesi!$C$9)&gt;_xlfn.ANCHORARRAY(Sintesi!$C$10))*(A319&gt;=_xlfn.ANCHORARRAY(Sintesi!$C$9))+(_xlfn.ANCHORARRAY(Sintesi!$C$9)&gt;_xlfn.ANCHORARRAY(Sintesi!$C$10))*(A319&lt;=_xlfn.ANCHORARRAY(Sintesi!$C$10))+(_xlfn.ANCHORARRAY(Sintesi!$C$9)&lt;_xlfn.ANCHORARRAY(Sintesi!$C$10))*(A319&gt;=_xlfn.ANCHORARRAY(Sintesi!$C$9))*(A319&lt;=_xlfn.ANCHORARRAY(Sintesi!$C$10)),0)),0)))),0)</f>
        <v>0</v>
      </c>
    </row>
    <row r="321" spans="1:13">
      <c r="A321" s="1">
        <f>'Paste cell here'!A321</f>
        <v>0</v>
      </c>
      <c r="B321" s="2">
        <f>DATE(Sintesi!$C$4-1,12,31)+A321</f>
        <v>44196</v>
      </c>
      <c r="C321" s="34" cm="1">
        <f t="array" ref="C321">_xlfn.IFNA(MATCH(1,(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)*(_xlfn.ANCHORARRAY(Sintesi!$C$15)&gt;=0)+(_xlfn.ANCHORARRAY(Sintesi!$C$15)&lt;0),0),0)</f>
        <v>0</v>
      </c>
      <c r="D321" s="1" cm="1">
        <f t="array" ref="D321">IF(ISBLANK($E322),IF(ISNUMBER($E320),IF($C321&gt;0,IF(($E321=INDEX(_xlfn.ANCHORARRAY(Sintesi!$C$14),1,$C321))*(INDEX(_xlfn.ANCHORARRAY(Sintesi!$C$15),1,$C321)&gt;0),0,IF(($E321=INDEX(_xlfn.ANCHORARRAY(Sintesi!$C$14),1,$C321))*(INDEX(_xlfn.ANCHORARRAY(Sintesi!$C$15),1,$C321)&lt;0)+($E321&gt;=$E320)*($E321&lt;=INDEX($E:$E,MATCH(TRUE,INDEX((ISNUMBER($E:$E)),0),0)))*($E321&gt;INDEX(_xlfn.ANCHORARRAY(Sintesi!$C$14),1,$C321))*($E321&lt;=INDEX(_xlfn.ANCHORARRAY(Sintesi!$C$15),1,$C321))*(INDEX(_xlfn.ANCHORARRAY(Sintesi!$C$15),1,$C321)&gt;0),1,IF(($E321&gt;=$E320)*($E321&lt;=INDEX($E:$E,MATCH(TRUE,INDEX((ISNUMBER($E:$E)),0),0)))*($E321&gt;INDEX(_xlfn.ANCHORARRAY(Sintesi!$C$14),1,$C321))*($E321&lt;INDEX(_xlfn.ANCHORARRAY(Sintesi!$C$16),1,$C321))*(INDEX(_xlfn.ANCHORARRAY(Sintesi!$C$15),1,$C321)&lt;0)+($E321&gt;=$E320)*($E321&lt;=INDEX($E:$E,MATCH(TRUE,INDEX((ISNUMBER($E:$E)),0),0)))*($E321&gt;INDEX(_xlfn.ANCHORARRAY(Sintesi!$C$15),1,$C321))*($E321&lt;INDEX(_xlfn.ANCHORARRAY(Sintesi!$C$16),1,$C321))*(INDEX(_xlfn.ANCHORARRAY(Sintesi!$C$15),1,$C321)&gt;0),2,IF($E321=(INDEX(_xlfn.ANCHORARRAY(Sintesi!$C$16),1,$C321)),3,4)))),0),IF($C321&gt;0,IF(($E321=INDEX(_xlfn.ANCHORARRAY(Sintesi!$C$14),1,$C321))*(INDEX(_xlfn.ANCHORARRAY(Sintesi!$C$15),1,$C321)&gt;0),0,IF(($E321=INDEX(_xlfn.ANCHORARRAY(Sintesi!$C$14),1,$C321))*(INDEX(_xlfn.ANCHORARRAY(Sintesi!$C$15),1,$C321)&lt;0)+($E321&gt;=LOOKUP(2,1/($E:$E&lt;&gt;""),$E:$E))*($E321&lt;=INDEX($E:$E,MATCH(TRUE,INDEX((ISNUMBER($E:$E)),0),0)))*($E321&gt;INDEX(_xlfn.ANCHORARRAY(Sintesi!$C$14),1,$C321))*($E321&lt;=INDEX(_xlfn.ANCHORARRAY(Sintesi!$C$15),1,$C321))*(INDEX(_xlfn.ANCHORARRAY(Sintesi!$C$15),1,$C321)&gt;0),1,IF(($E321&gt;=LOOKUP(2,1/($E:$E&lt;&gt;""),$E:$E))*($E321&lt;=INDEX($E:$E,MATCH(TRUE,INDEX((ISNUMBER($E:$E)),0),0)))*($E321&gt;INDEX(_xlfn.ANCHORARRAY(Sintesi!$C$14),1,$C321))*($E321&lt;INDEX(_xlfn.ANCHORARRAY(Sintesi!$C$16),1,$C321))*(INDEX(_xlfn.ANCHORARRAY(Sintesi!$C$15),1,$C321)&lt;0)+($E321&gt;=LOOKUP(2,1/($E:$E&lt;&gt;""),$E:$E))*($E321&lt;=INDEX($E:$E,MATCH(TRUE,INDEX((ISNUMBER($E:$E)),0),0)))*($E321&gt;INDEX(_xlfn.ANCHORARRAY(Sintesi!$C$15),1,$C321))*($E321&lt;INDEX(_xlfn.ANCHORARRAY(Sintesi!$C$16),1,$C321))*(INDEX(_xlfn.ANCHORARRAY(Sintesi!$C$15),1,$C321)&gt;0),2,IF($E321=(INDEX(_xlfn.ANCHORARRAY(Sintesi!$C$16),1,$C321)),3,4)))),0)),IF(ISNUMBER($E320),IF($C321&gt;0,IF(($E321=INDEX(_xlfn.ANCHORARRAY(Sintesi!$C$14),1,$C321))*(INDEX(_xlfn.ANCHORARRAY(Sintesi!$C$15),1,$C321)&gt;0),0,IF(($E321=INDEX(_xlfn.ANCHORARRAY(Sintesi!$C$14),1,$C321))*(INDEX(_xlfn.ANCHORARRAY(Sintesi!$C$15),1,$C321)&lt;0)+($E321&gt;=$E320)*($E321&lt;=$E322)*($E321&gt;INDEX(_xlfn.ANCHORARRAY(Sintesi!$C$14),1,$C321))*($E321&lt;=INDEX(_xlfn.ANCHORARRAY(Sintesi!$C$15),1,$C321))*(INDEX(_xlfn.ANCHORARRAY(Sintesi!$C$15),1,$C321)&gt;0),1,IF(($E321&gt;=$E320)*($E321&lt;=$E322)*($E321&gt;INDEX(_xlfn.ANCHORARRAY(Sintesi!$C$14),1,$C321))*($E321&lt;INDEX(_xlfn.ANCHORARRAY(Sintesi!$C$16),1,$C321))*(INDEX(_xlfn.ANCHORARRAY(Sintesi!$C$15),1,$C321)&lt;0)+($E321&gt;=$E320)*($E321&lt;=$E322)*($E321&gt;INDEX(_xlfn.ANCHORARRAY(Sintesi!$C$15),1,$C321))*($E321&lt;INDEX(_xlfn.ANCHORARRAY(Sintesi!$C$16),1,$C321))*(INDEX(_xlfn.ANCHORARRAY(Sintesi!$C$15),1,$C321)&gt;0),2,IF($E321=(INDEX(_xlfn.ANCHORARRAY(Sintesi!$C$16),1,$C321)),3,4)))),0),IF($C321&gt;0,IF(($E321=INDEX(_xlfn.ANCHORARRAY(Sintesi!$C$14),1,$C321))*(INDEX(_xlfn.ANCHORARRAY(Sintesi!$C$15),1,$C321)&gt;0),0,IF(($E321=INDEX(_xlfn.ANCHORARRAY(Sintesi!$C$14),1,$C321))*(INDEX(_xlfn.ANCHORARRAY(Sintesi!$C$15),1,$C321)&lt;0)+($E321&gt;=LOOKUP(2,1/($E:$E&lt;&gt;""),$E:$E))*($E321&lt;=$E322)*($E321&gt;INDEX(_xlfn.ANCHORARRAY(Sintesi!$C$14),1,$C321))*($E321&lt;=INDEX(_xlfn.ANCHORARRAY(Sintesi!$C$15),1,$C321))*(INDEX(_xlfn.ANCHORARRAY(Sintesi!$C$15),1,$C321)&gt;0),1,IF(($E321&gt;=LOOKUP(2,1/($E:$E&lt;&gt;""),$E:$E))*($E321&lt;=$E322)*($E321&gt;INDEX(_xlfn.ANCHORARRAY(Sintesi!$C$14),1,$C321))*($E321&lt;INDEX(_xlfn.ANCHORARRAY(Sintesi!$C$16),1,$C321))*(INDEX(_xlfn.ANCHORARRAY(Sintesi!$C$15),1,$C321)&lt;0)+($E321&gt;=LOOKUP(2,1/($E:$E&lt;&gt;""),$E:$E))*($E321&lt;=$E322)*($E321&gt;INDEX(_xlfn.ANCHORARRAY(Sintesi!$C$15),1,$C321))*($E321&lt;INDEX(_xlfn.ANCHORARRAY(Sintesi!$C$16),1,$C321))*(INDEX(_xlfn.ANCHORARRAY(Sintesi!$C$15),1,$C321)&gt;0),2,IF($E321=(INDEX(_xlfn.ANCHORARRAY(Sintesi!$C$16),1,$C321)),3,4)))),0)))</f>
        <v>0</v>
      </c>
      <c r="E321" s="1">
        <f>'Paste cell here'!F321</f>
        <v>0</v>
      </c>
      <c r="F321" s="1">
        <f>'Paste cell here'!C321</f>
        <v>0</v>
      </c>
      <c r="G321" s="1">
        <f>'Paste cell here'!D321</f>
        <v>0</v>
      </c>
      <c r="H321" s="1">
        <f>'Paste cell here'!E321</f>
        <v>0</v>
      </c>
      <c r="I321" s="1">
        <f>'Paste cell here'!X321</f>
        <v>0</v>
      </c>
      <c r="J321" s="1">
        <f>'Paste cell here'!Y321+'Paste cell here'!S321</f>
        <v>0</v>
      </c>
      <c r="K321" s="1" t="e">
        <f t="shared" si="9"/>
        <v>#DIV/0!</v>
      </c>
      <c r="L321" s="1">
        <f t="shared" si="8"/>
        <v>0</v>
      </c>
      <c r="M321" s="1" cm="1">
        <f t="array" ref="M321">IF(AND(A321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,A321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),IF(L321&lt;_xlfn.IFNA(INDEX(_xlfn.ANCHORARRAY(Sintesi!$C$17)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,1,IF(L321&gt;=_xlfn.IFNA(INDEX(_xlfn.ANCHORARRAY(Sintesi!$C$18)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,0,1-(L321-_xlfn.IFNA(INDEX(_xlfn.ANCHORARRAY(Sintesi!$C$17)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)/(_xlfn.IFNA(INDEX(_xlfn.ANCHORARRAY(Sintesi!$C$18)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-_xlfn.IFNA(INDEX(_xlfn.ANCHORARRAY(Sintesi!$C$17),1,MATCH(1,(_xlfn.ANCHORARRAY(Sintesi!$C$9)&gt;_xlfn.ANCHORARRAY(Sintesi!$C$10))*(A320&gt;=_xlfn.ANCHORARRAY(Sintesi!$C$9))+(_xlfn.ANCHORARRAY(Sintesi!$C$9)&gt;_xlfn.ANCHORARRAY(Sintesi!$C$10))*(A320&lt;=_xlfn.ANCHORARRAY(Sintesi!$C$10))+(_xlfn.ANCHORARRAY(Sintesi!$C$9)&lt;_xlfn.ANCHORARRAY(Sintesi!$C$10))*(A320&gt;=_xlfn.ANCHORARRAY(Sintesi!$C$9))*(A320&lt;=_xlfn.ANCHORARRAY(Sintesi!$C$10)),0)),0)))),0)</f>
        <v>0</v>
      </c>
    </row>
    <row r="322" spans="1:13">
      <c r="A322" s="1">
        <f>'Paste cell here'!A322</f>
        <v>0</v>
      </c>
      <c r="B322" s="2">
        <f>DATE(Sintesi!$C$4-1,12,31)+A322</f>
        <v>44196</v>
      </c>
      <c r="C322" s="34" cm="1">
        <f t="array" ref="C322">_xlfn.IFNA(MATCH(1,(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)*(_xlfn.ANCHORARRAY(Sintesi!$C$15)&gt;=0)+(_xlfn.ANCHORARRAY(Sintesi!$C$15)&lt;0),0),0)</f>
        <v>0</v>
      </c>
      <c r="D322" s="1" cm="1">
        <f t="array" ref="D322">IF(ISBLANK($E323),IF(ISNUMBER($E321),IF($C322&gt;0,IF(($E322=INDEX(_xlfn.ANCHORARRAY(Sintesi!$C$14),1,$C322))*(INDEX(_xlfn.ANCHORARRAY(Sintesi!$C$15),1,$C322)&gt;0),0,IF(($E322=INDEX(_xlfn.ANCHORARRAY(Sintesi!$C$14),1,$C322))*(INDEX(_xlfn.ANCHORARRAY(Sintesi!$C$15),1,$C322)&lt;0)+($E322&gt;=$E321)*($E322&lt;=INDEX($E:$E,MATCH(TRUE,INDEX((ISNUMBER($E:$E)),0),0)))*($E322&gt;INDEX(_xlfn.ANCHORARRAY(Sintesi!$C$14),1,$C322))*($E322&lt;=INDEX(_xlfn.ANCHORARRAY(Sintesi!$C$15),1,$C322))*(INDEX(_xlfn.ANCHORARRAY(Sintesi!$C$15),1,$C322)&gt;0),1,IF(($E322&gt;=$E321)*($E322&lt;=INDEX($E:$E,MATCH(TRUE,INDEX((ISNUMBER($E:$E)),0),0)))*($E322&gt;INDEX(_xlfn.ANCHORARRAY(Sintesi!$C$14),1,$C322))*($E322&lt;INDEX(_xlfn.ANCHORARRAY(Sintesi!$C$16),1,$C322))*(INDEX(_xlfn.ANCHORARRAY(Sintesi!$C$15),1,$C322)&lt;0)+($E322&gt;=$E321)*($E322&lt;=INDEX($E:$E,MATCH(TRUE,INDEX((ISNUMBER($E:$E)),0),0)))*($E322&gt;INDEX(_xlfn.ANCHORARRAY(Sintesi!$C$15),1,$C322))*($E322&lt;INDEX(_xlfn.ANCHORARRAY(Sintesi!$C$16),1,$C322))*(INDEX(_xlfn.ANCHORARRAY(Sintesi!$C$15),1,$C322)&gt;0),2,IF($E322=(INDEX(_xlfn.ANCHORARRAY(Sintesi!$C$16),1,$C322)),3,4)))),0),IF($C322&gt;0,IF(($E322=INDEX(_xlfn.ANCHORARRAY(Sintesi!$C$14),1,$C322))*(INDEX(_xlfn.ANCHORARRAY(Sintesi!$C$15),1,$C322)&gt;0),0,IF(($E322=INDEX(_xlfn.ANCHORARRAY(Sintesi!$C$14),1,$C322))*(INDEX(_xlfn.ANCHORARRAY(Sintesi!$C$15),1,$C322)&lt;0)+($E322&gt;=LOOKUP(2,1/($E:$E&lt;&gt;""),$E:$E))*($E322&lt;=INDEX($E:$E,MATCH(TRUE,INDEX((ISNUMBER($E:$E)),0),0)))*($E322&gt;INDEX(_xlfn.ANCHORARRAY(Sintesi!$C$14),1,$C322))*($E322&lt;=INDEX(_xlfn.ANCHORARRAY(Sintesi!$C$15),1,$C322))*(INDEX(_xlfn.ANCHORARRAY(Sintesi!$C$15),1,$C322)&gt;0),1,IF(($E322&gt;=LOOKUP(2,1/($E:$E&lt;&gt;""),$E:$E))*($E322&lt;=INDEX($E:$E,MATCH(TRUE,INDEX((ISNUMBER($E:$E)),0),0)))*($E322&gt;INDEX(_xlfn.ANCHORARRAY(Sintesi!$C$14),1,$C322))*($E322&lt;INDEX(_xlfn.ANCHORARRAY(Sintesi!$C$16),1,$C322))*(INDEX(_xlfn.ANCHORARRAY(Sintesi!$C$15),1,$C322)&lt;0)+($E322&gt;=LOOKUP(2,1/($E:$E&lt;&gt;""),$E:$E))*($E322&lt;=INDEX($E:$E,MATCH(TRUE,INDEX((ISNUMBER($E:$E)),0),0)))*($E322&gt;INDEX(_xlfn.ANCHORARRAY(Sintesi!$C$15),1,$C322))*($E322&lt;INDEX(_xlfn.ANCHORARRAY(Sintesi!$C$16),1,$C322))*(INDEX(_xlfn.ANCHORARRAY(Sintesi!$C$15),1,$C322)&gt;0),2,IF($E322=(INDEX(_xlfn.ANCHORARRAY(Sintesi!$C$16),1,$C322)),3,4)))),0)),IF(ISNUMBER($E321),IF($C322&gt;0,IF(($E322=INDEX(_xlfn.ANCHORARRAY(Sintesi!$C$14),1,$C322))*(INDEX(_xlfn.ANCHORARRAY(Sintesi!$C$15),1,$C322)&gt;0),0,IF(($E322=INDEX(_xlfn.ANCHORARRAY(Sintesi!$C$14),1,$C322))*(INDEX(_xlfn.ANCHORARRAY(Sintesi!$C$15),1,$C322)&lt;0)+($E322&gt;=$E321)*($E322&lt;=$E323)*($E322&gt;INDEX(_xlfn.ANCHORARRAY(Sintesi!$C$14),1,$C322))*($E322&lt;=INDEX(_xlfn.ANCHORARRAY(Sintesi!$C$15),1,$C322))*(INDEX(_xlfn.ANCHORARRAY(Sintesi!$C$15),1,$C322)&gt;0),1,IF(($E322&gt;=$E321)*($E322&lt;=$E323)*($E322&gt;INDEX(_xlfn.ANCHORARRAY(Sintesi!$C$14),1,$C322))*($E322&lt;INDEX(_xlfn.ANCHORARRAY(Sintesi!$C$16),1,$C322))*(INDEX(_xlfn.ANCHORARRAY(Sintesi!$C$15),1,$C322)&lt;0)+($E322&gt;=$E321)*($E322&lt;=$E323)*($E322&gt;INDEX(_xlfn.ANCHORARRAY(Sintesi!$C$15),1,$C322))*($E322&lt;INDEX(_xlfn.ANCHORARRAY(Sintesi!$C$16),1,$C322))*(INDEX(_xlfn.ANCHORARRAY(Sintesi!$C$15),1,$C322)&gt;0),2,IF($E322=(INDEX(_xlfn.ANCHORARRAY(Sintesi!$C$16),1,$C322)),3,4)))),0),IF($C322&gt;0,IF(($E322=INDEX(_xlfn.ANCHORARRAY(Sintesi!$C$14),1,$C322))*(INDEX(_xlfn.ANCHORARRAY(Sintesi!$C$15),1,$C322)&gt;0),0,IF(($E322=INDEX(_xlfn.ANCHORARRAY(Sintesi!$C$14),1,$C322))*(INDEX(_xlfn.ANCHORARRAY(Sintesi!$C$15),1,$C322)&lt;0)+($E322&gt;=LOOKUP(2,1/($E:$E&lt;&gt;""),$E:$E))*($E322&lt;=$E323)*($E322&gt;INDEX(_xlfn.ANCHORARRAY(Sintesi!$C$14),1,$C322))*($E322&lt;=INDEX(_xlfn.ANCHORARRAY(Sintesi!$C$15),1,$C322))*(INDEX(_xlfn.ANCHORARRAY(Sintesi!$C$15),1,$C322)&gt;0),1,IF(($E322&gt;=LOOKUP(2,1/($E:$E&lt;&gt;""),$E:$E))*($E322&lt;=$E323)*($E322&gt;INDEX(_xlfn.ANCHORARRAY(Sintesi!$C$14),1,$C322))*($E322&lt;INDEX(_xlfn.ANCHORARRAY(Sintesi!$C$16),1,$C322))*(INDEX(_xlfn.ANCHORARRAY(Sintesi!$C$15),1,$C322)&lt;0)+($E322&gt;=LOOKUP(2,1/($E:$E&lt;&gt;""),$E:$E))*($E322&lt;=$E323)*($E322&gt;INDEX(_xlfn.ANCHORARRAY(Sintesi!$C$15),1,$C322))*($E322&lt;INDEX(_xlfn.ANCHORARRAY(Sintesi!$C$16),1,$C322))*(INDEX(_xlfn.ANCHORARRAY(Sintesi!$C$15),1,$C322)&gt;0),2,IF($E322=(INDEX(_xlfn.ANCHORARRAY(Sintesi!$C$16),1,$C322)),3,4)))),0)))</f>
        <v>0</v>
      </c>
      <c r="E322" s="1">
        <f>'Paste cell here'!F322</f>
        <v>0</v>
      </c>
      <c r="F322" s="1">
        <f>'Paste cell here'!C322</f>
        <v>0</v>
      </c>
      <c r="G322" s="1">
        <f>'Paste cell here'!D322</f>
        <v>0</v>
      </c>
      <c r="H322" s="1">
        <f>'Paste cell here'!E322</f>
        <v>0</v>
      </c>
      <c r="I322" s="1">
        <f>'Paste cell here'!X322</f>
        <v>0</v>
      </c>
      <c r="J322" s="1">
        <f>'Paste cell here'!Y322+'Paste cell here'!S322</f>
        <v>0</v>
      </c>
      <c r="K322" s="1" t="e">
        <f t="shared" si="9"/>
        <v>#DIV/0!</v>
      </c>
      <c r="L322" s="1">
        <f t="shared" ref="L322:L366" si="10">AVERAGE(($F322+$G322)/2-($F322-$G322)/2*COS(PI()*(8-VLOOKUP(MONTH(B322),$O$1:$Q$13,3))/(VLOOKUP(MONTH(B322),$O$1:$Q$13,2)-VLOOKUP(MONTH(B322),$O$1:$Q$13,3))),($F322+$G322)/2-($F322-$G322)/2*COS(PI()*(9-VLOOKUP(MONTH(B322),$O$1:$Q$13,3))/(VLOOKUP(MONTH(B322),$O$1:$Q$13,2)-VLOOKUP(MONTH(B322),$O$1:$Q$13,3))),($F322+$G322)/2-($F322-$G322)/2*COS(PI()*(10-VLOOKUP(MONTH(B322),$O$1:$Q$13,3))/(VLOOKUP(MONTH(B322),$O$1:$Q$13,2)-VLOOKUP(MONTH(B322),$O$1:$Q$13,3))),($F322+$G322)/2-($F322-$G322)/2*COS(PI()*(11-VLOOKUP(MONTH(B322),$O$1:$Q$13,3))/(VLOOKUP(MONTH(B322),$O$1:$Q$13,2)-VLOOKUP(MONTH(B322),$O$1:$Q$13,3))),($F322+$G322)/2-($F322-$G322)/2*COS(PI()*(12-VLOOKUP(MONTH(B322),$O$1:$Q$13,3))/(VLOOKUP(MONTH(B322),$O$1:$Q$13,2)-VLOOKUP(MONTH(B322),$O$1:$Q$13,3))),($F322+$G322)/2-($F322-$G322)/2*COS(PI()*(13-VLOOKUP(MONTH(B322),$O$1:$Q$13,3))/(VLOOKUP(MONTH(B322),$O$1:$Q$13,2)-VLOOKUP(MONTH(B322),$O$1:$Q$13,3))),($F322+$G322)/2-($F322-$G322)/2*COS(PI()*(14-VLOOKUP(MONTH(B322),$O$1:$Q$13,3))/(VLOOKUP(MONTH(B322),$O$1:$Q$13,2)-VLOOKUP(MONTH(B322),$O$1:$Q$13,3))))</f>
        <v>0</v>
      </c>
      <c r="M322" s="1" cm="1">
        <f t="array" ref="M322">IF(AND(A322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,A322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),IF(L322&lt;_xlfn.IFNA(INDEX(_xlfn.ANCHORARRAY(Sintesi!$C$17)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,1,IF(L322&gt;=_xlfn.IFNA(INDEX(_xlfn.ANCHORARRAY(Sintesi!$C$18)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,0,1-(L322-_xlfn.IFNA(INDEX(_xlfn.ANCHORARRAY(Sintesi!$C$17)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)/(_xlfn.IFNA(INDEX(_xlfn.ANCHORARRAY(Sintesi!$C$18)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-_xlfn.IFNA(INDEX(_xlfn.ANCHORARRAY(Sintesi!$C$17),1,MATCH(1,(_xlfn.ANCHORARRAY(Sintesi!$C$9)&gt;_xlfn.ANCHORARRAY(Sintesi!$C$10))*(A321&gt;=_xlfn.ANCHORARRAY(Sintesi!$C$9))+(_xlfn.ANCHORARRAY(Sintesi!$C$9)&gt;_xlfn.ANCHORARRAY(Sintesi!$C$10))*(A321&lt;=_xlfn.ANCHORARRAY(Sintesi!$C$10))+(_xlfn.ANCHORARRAY(Sintesi!$C$9)&lt;_xlfn.ANCHORARRAY(Sintesi!$C$10))*(A321&gt;=_xlfn.ANCHORARRAY(Sintesi!$C$9))*(A321&lt;=_xlfn.ANCHORARRAY(Sintesi!$C$10)),0)),0)))),0)</f>
        <v>0</v>
      </c>
    </row>
    <row r="323" spans="1:13">
      <c r="A323" s="1">
        <f>'Paste cell here'!A323</f>
        <v>0</v>
      </c>
      <c r="B323" s="2">
        <f>DATE(Sintesi!$C$4-1,12,31)+A323</f>
        <v>44196</v>
      </c>
      <c r="C323" s="34" cm="1">
        <f t="array" ref="C323">_xlfn.IFNA(MATCH(1,(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)*(_xlfn.ANCHORARRAY(Sintesi!$C$15)&gt;=0)+(_xlfn.ANCHORARRAY(Sintesi!$C$15)&lt;0),0),0)</f>
        <v>0</v>
      </c>
      <c r="D323" s="1" cm="1">
        <f t="array" ref="D323">IF(ISBLANK($E324),IF(ISNUMBER($E322),IF($C323&gt;0,IF(($E323=INDEX(_xlfn.ANCHORARRAY(Sintesi!$C$14),1,$C323))*(INDEX(_xlfn.ANCHORARRAY(Sintesi!$C$15),1,$C323)&gt;0),0,IF(($E323=INDEX(_xlfn.ANCHORARRAY(Sintesi!$C$14),1,$C323))*(INDEX(_xlfn.ANCHORARRAY(Sintesi!$C$15),1,$C323)&lt;0)+($E323&gt;=$E322)*($E323&lt;=INDEX($E:$E,MATCH(TRUE,INDEX((ISNUMBER($E:$E)),0),0)))*($E323&gt;INDEX(_xlfn.ANCHORARRAY(Sintesi!$C$14),1,$C323))*($E323&lt;=INDEX(_xlfn.ANCHORARRAY(Sintesi!$C$15),1,$C323))*(INDEX(_xlfn.ANCHORARRAY(Sintesi!$C$15),1,$C323)&gt;0),1,IF(($E323&gt;=$E322)*($E323&lt;=INDEX($E:$E,MATCH(TRUE,INDEX((ISNUMBER($E:$E)),0),0)))*($E323&gt;INDEX(_xlfn.ANCHORARRAY(Sintesi!$C$14),1,$C323))*($E323&lt;INDEX(_xlfn.ANCHORARRAY(Sintesi!$C$16),1,$C323))*(INDEX(_xlfn.ANCHORARRAY(Sintesi!$C$15),1,$C323)&lt;0)+($E323&gt;=$E322)*($E323&lt;=INDEX($E:$E,MATCH(TRUE,INDEX((ISNUMBER($E:$E)),0),0)))*($E323&gt;INDEX(_xlfn.ANCHORARRAY(Sintesi!$C$15),1,$C323))*($E323&lt;INDEX(_xlfn.ANCHORARRAY(Sintesi!$C$16),1,$C323))*(INDEX(_xlfn.ANCHORARRAY(Sintesi!$C$15),1,$C323)&gt;0),2,IF($E323=(INDEX(_xlfn.ANCHORARRAY(Sintesi!$C$16),1,$C323)),3,4)))),0),IF($C323&gt;0,IF(($E323=INDEX(_xlfn.ANCHORARRAY(Sintesi!$C$14),1,$C323))*(INDEX(_xlfn.ANCHORARRAY(Sintesi!$C$15),1,$C323)&gt;0),0,IF(($E323=INDEX(_xlfn.ANCHORARRAY(Sintesi!$C$14),1,$C323))*(INDEX(_xlfn.ANCHORARRAY(Sintesi!$C$15),1,$C323)&lt;0)+($E323&gt;=LOOKUP(2,1/($E:$E&lt;&gt;""),$E:$E))*($E323&lt;=INDEX($E:$E,MATCH(TRUE,INDEX((ISNUMBER($E:$E)),0),0)))*($E323&gt;INDEX(_xlfn.ANCHORARRAY(Sintesi!$C$14),1,$C323))*($E323&lt;=INDEX(_xlfn.ANCHORARRAY(Sintesi!$C$15),1,$C323))*(INDEX(_xlfn.ANCHORARRAY(Sintesi!$C$15),1,$C323)&gt;0),1,IF(($E323&gt;=LOOKUP(2,1/($E:$E&lt;&gt;""),$E:$E))*($E323&lt;=INDEX($E:$E,MATCH(TRUE,INDEX((ISNUMBER($E:$E)),0),0)))*($E323&gt;INDEX(_xlfn.ANCHORARRAY(Sintesi!$C$14),1,$C323))*($E323&lt;INDEX(_xlfn.ANCHORARRAY(Sintesi!$C$16),1,$C323))*(INDEX(_xlfn.ANCHORARRAY(Sintesi!$C$15),1,$C323)&lt;0)+($E323&gt;=LOOKUP(2,1/($E:$E&lt;&gt;""),$E:$E))*($E323&lt;=INDEX($E:$E,MATCH(TRUE,INDEX((ISNUMBER($E:$E)),0),0)))*($E323&gt;INDEX(_xlfn.ANCHORARRAY(Sintesi!$C$15),1,$C323))*($E323&lt;INDEX(_xlfn.ANCHORARRAY(Sintesi!$C$16),1,$C323))*(INDEX(_xlfn.ANCHORARRAY(Sintesi!$C$15),1,$C323)&gt;0),2,IF($E323=(INDEX(_xlfn.ANCHORARRAY(Sintesi!$C$16),1,$C323)),3,4)))),0)),IF(ISNUMBER($E322),IF($C323&gt;0,IF(($E323=INDEX(_xlfn.ANCHORARRAY(Sintesi!$C$14),1,$C323))*(INDEX(_xlfn.ANCHORARRAY(Sintesi!$C$15),1,$C323)&gt;0),0,IF(($E323=INDEX(_xlfn.ANCHORARRAY(Sintesi!$C$14),1,$C323))*(INDEX(_xlfn.ANCHORARRAY(Sintesi!$C$15),1,$C323)&lt;0)+($E323&gt;=$E322)*($E323&lt;=$E324)*($E323&gt;INDEX(_xlfn.ANCHORARRAY(Sintesi!$C$14),1,$C323))*($E323&lt;=INDEX(_xlfn.ANCHORARRAY(Sintesi!$C$15),1,$C323))*(INDEX(_xlfn.ANCHORARRAY(Sintesi!$C$15),1,$C323)&gt;0),1,IF(($E323&gt;=$E322)*($E323&lt;=$E324)*($E323&gt;INDEX(_xlfn.ANCHORARRAY(Sintesi!$C$14),1,$C323))*($E323&lt;INDEX(_xlfn.ANCHORARRAY(Sintesi!$C$16),1,$C323))*(INDEX(_xlfn.ANCHORARRAY(Sintesi!$C$15),1,$C323)&lt;0)+($E323&gt;=$E322)*($E323&lt;=$E324)*($E323&gt;INDEX(_xlfn.ANCHORARRAY(Sintesi!$C$15),1,$C323))*($E323&lt;INDEX(_xlfn.ANCHORARRAY(Sintesi!$C$16),1,$C323))*(INDEX(_xlfn.ANCHORARRAY(Sintesi!$C$15),1,$C323)&gt;0),2,IF($E323=(INDEX(_xlfn.ANCHORARRAY(Sintesi!$C$16),1,$C323)),3,4)))),0),IF($C323&gt;0,IF(($E323=INDEX(_xlfn.ANCHORARRAY(Sintesi!$C$14),1,$C323))*(INDEX(_xlfn.ANCHORARRAY(Sintesi!$C$15),1,$C323)&gt;0),0,IF(($E323=INDEX(_xlfn.ANCHORARRAY(Sintesi!$C$14),1,$C323))*(INDEX(_xlfn.ANCHORARRAY(Sintesi!$C$15),1,$C323)&lt;0)+($E323&gt;=LOOKUP(2,1/($E:$E&lt;&gt;""),$E:$E))*($E323&lt;=$E324)*($E323&gt;INDEX(_xlfn.ANCHORARRAY(Sintesi!$C$14),1,$C323))*($E323&lt;=INDEX(_xlfn.ANCHORARRAY(Sintesi!$C$15),1,$C323))*(INDEX(_xlfn.ANCHORARRAY(Sintesi!$C$15),1,$C323)&gt;0),1,IF(($E323&gt;=LOOKUP(2,1/($E:$E&lt;&gt;""),$E:$E))*($E323&lt;=$E324)*($E323&gt;INDEX(_xlfn.ANCHORARRAY(Sintesi!$C$14),1,$C323))*($E323&lt;INDEX(_xlfn.ANCHORARRAY(Sintesi!$C$16),1,$C323))*(INDEX(_xlfn.ANCHORARRAY(Sintesi!$C$15),1,$C323)&lt;0)+($E323&gt;=LOOKUP(2,1/($E:$E&lt;&gt;""),$E:$E))*($E323&lt;=$E324)*($E323&gt;INDEX(_xlfn.ANCHORARRAY(Sintesi!$C$15),1,$C323))*($E323&lt;INDEX(_xlfn.ANCHORARRAY(Sintesi!$C$16),1,$C323))*(INDEX(_xlfn.ANCHORARRAY(Sintesi!$C$15),1,$C323)&gt;0),2,IF($E323=(INDEX(_xlfn.ANCHORARRAY(Sintesi!$C$16),1,$C323)),3,4)))),0)))</f>
        <v>0</v>
      </c>
      <c r="E323" s="1">
        <f>'Paste cell here'!F323</f>
        <v>0</v>
      </c>
      <c r="F323" s="1">
        <f>'Paste cell here'!C323</f>
        <v>0</v>
      </c>
      <c r="G323" s="1">
        <f>'Paste cell here'!D323</f>
        <v>0</v>
      </c>
      <c r="H323" s="1">
        <f>'Paste cell here'!E323</f>
        <v>0</v>
      </c>
      <c r="I323" s="1">
        <f>'Paste cell here'!X323</f>
        <v>0</v>
      </c>
      <c r="J323" s="1">
        <f>'Paste cell here'!Y323+'Paste cell here'!S323</f>
        <v>0</v>
      </c>
      <c r="K323" s="1" t="e">
        <f t="shared" ref="K323:K366" si="11">I323/H323</f>
        <v>#DIV/0!</v>
      </c>
      <c r="L323" s="1">
        <f t="shared" si="10"/>
        <v>0</v>
      </c>
      <c r="M323" s="1" cm="1">
        <f t="array" ref="M323">IF(AND(A323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,A323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),IF(L323&lt;_xlfn.IFNA(INDEX(_xlfn.ANCHORARRAY(Sintesi!$C$17)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,1,IF(L323&gt;=_xlfn.IFNA(INDEX(_xlfn.ANCHORARRAY(Sintesi!$C$18)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,0,1-(L323-_xlfn.IFNA(INDEX(_xlfn.ANCHORARRAY(Sintesi!$C$17)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)/(_xlfn.IFNA(INDEX(_xlfn.ANCHORARRAY(Sintesi!$C$18)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-_xlfn.IFNA(INDEX(_xlfn.ANCHORARRAY(Sintesi!$C$17),1,MATCH(1,(_xlfn.ANCHORARRAY(Sintesi!$C$9)&gt;_xlfn.ANCHORARRAY(Sintesi!$C$10))*(A322&gt;=_xlfn.ANCHORARRAY(Sintesi!$C$9))+(_xlfn.ANCHORARRAY(Sintesi!$C$9)&gt;_xlfn.ANCHORARRAY(Sintesi!$C$10))*(A322&lt;=_xlfn.ANCHORARRAY(Sintesi!$C$10))+(_xlfn.ANCHORARRAY(Sintesi!$C$9)&lt;_xlfn.ANCHORARRAY(Sintesi!$C$10))*(A322&gt;=_xlfn.ANCHORARRAY(Sintesi!$C$9))*(A322&lt;=_xlfn.ANCHORARRAY(Sintesi!$C$10)),0)),0)))),0)</f>
        <v>0</v>
      </c>
    </row>
    <row r="324" spans="1:13">
      <c r="A324" s="1">
        <f>'Paste cell here'!A324</f>
        <v>0</v>
      </c>
      <c r="B324" s="2">
        <f>DATE(Sintesi!$C$4-1,12,31)+A324</f>
        <v>44196</v>
      </c>
      <c r="C324" s="34" cm="1">
        <f t="array" ref="C324">_xlfn.IFNA(MATCH(1,(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)*(_xlfn.ANCHORARRAY(Sintesi!$C$15)&gt;=0)+(_xlfn.ANCHORARRAY(Sintesi!$C$15)&lt;0),0),0)</f>
        <v>0</v>
      </c>
      <c r="D324" s="1" cm="1">
        <f t="array" ref="D324">IF(ISBLANK($E325),IF(ISNUMBER($E323),IF($C324&gt;0,IF(($E324=INDEX(_xlfn.ANCHORARRAY(Sintesi!$C$14),1,$C324))*(INDEX(_xlfn.ANCHORARRAY(Sintesi!$C$15),1,$C324)&gt;0),0,IF(($E324=INDEX(_xlfn.ANCHORARRAY(Sintesi!$C$14),1,$C324))*(INDEX(_xlfn.ANCHORARRAY(Sintesi!$C$15),1,$C324)&lt;0)+($E324&gt;=$E323)*($E324&lt;=INDEX($E:$E,MATCH(TRUE,INDEX((ISNUMBER($E:$E)),0),0)))*($E324&gt;INDEX(_xlfn.ANCHORARRAY(Sintesi!$C$14),1,$C324))*($E324&lt;=INDEX(_xlfn.ANCHORARRAY(Sintesi!$C$15),1,$C324))*(INDEX(_xlfn.ANCHORARRAY(Sintesi!$C$15),1,$C324)&gt;0),1,IF(($E324&gt;=$E323)*($E324&lt;=INDEX($E:$E,MATCH(TRUE,INDEX((ISNUMBER($E:$E)),0),0)))*($E324&gt;INDEX(_xlfn.ANCHORARRAY(Sintesi!$C$14),1,$C324))*($E324&lt;INDEX(_xlfn.ANCHORARRAY(Sintesi!$C$16),1,$C324))*(INDEX(_xlfn.ANCHORARRAY(Sintesi!$C$15),1,$C324)&lt;0)+($E324&gt;=$E323)*($E324&lt;=INDEX($E:$E,MATCH(TRUE,INDEX((ISNUMBER($E:$E)),0),0)))*($E324&gt;INDEX(_xlfn.ANCHORARRAY(Sintesi!$C$15),1,$C324))*($E324&lt;INDEX(_xlfn.ANCHORARRAY(Sintesi!$C$16),1,$C324))*(INDEX(_xlfn.ANCHORARRAY(Sintesi!$C$15),1,$C324)&gt;0),2,IF($E324=(INDEX(_xlfn.ANCHORARRAY(Sintesi!$C$16),1,$C324)),3,4)))),0),IF($C324&gt;0,IF(($E324=INDEX(_xlfn.ANCHORARRAY(Sintesi!$C$14),1,$C324))*(INDEX(_xlfn.ANCHORARRAY(Sintesi!$C$15),1,$C324)&gt;0),0,IF(($E324=INDEX(_xlfn.ANCHORARRAY(Sintesi!$C$14),1,$C324))*(INDEX(_xlfn.ANCHORARRAY(Sintesi!$C$15),1,$C324)&lt;0)+($E324&gt;=LOOKUP(2,1/($E:$E&lt;&gt;""),$E:$E))*($E324&lt;=INDEX($E:$E,MATCH(TRUE,INDEX((ISNUMBER($E:$E)),0),0)))*($E324&gt;INDEX(_xlfn.ANCHORARRAY(Sintesi!$C$14),1,$C324))*($E324&lt;=INDEX(_xlfn.ANCHORARRAY(Sintesi!$C$15),1,$C324))*(INDEX(_xlfn.ANCHORARRAY(Sintesi!$C$15),1,$C324)&gt;0),1,IF(($E324&gt;=LOOKUP(2,1/($E:$E&lt;&gt;""),$E:$E))*($E324&lt;=INDEX($E:$E,MATCH(TRUE,INDEX((ISNUMBER($E:$E)),0),0)))*($E324&gt;INDEX(_xlfn.ANCHORARRAY(Sintesi!$C$14),1,$C324))*($E324&lt;INDEX(_xlfn.ANCHORARRAY(Sintesi!$C$16),1,$C324))*(INDEX(_xlfn.ANCHORARRAY(Sintesi!$C$15),1,$C324)&lt;0)+($E324&gt;=LOOKUP(2,1/($E:$E&lt;&gt;""),$E:$E))*($E324&lt;=INDEX($E:$E,MATCH(TRUE,INDEX((ISNUMBER($E:$E)),0),0)))*($E324&gt;INDEX(_xlfn.ANCHORARRAY(Sintesi!$C$15),1,$C324))*($E324&lt;INDEX(_xlfn.ANCHORARRAY(Sintesi!$C$16),1,$C324))*(INDEX(_xlfn.ANCHORARRAY(Sintesi!$C$15),1,$C324)&gt;0),2,IF($E324=(INDEX(_xlfn.ANCHORARRAY(Sintesi!$C$16),1,$C324)),3,4)))),0)),IF(ISNUMBER($E323),IF($C324&gt;0,IF(($E324=INDEX(_xlfn.ANCHORARRAY(Sintesi!$C$14),1,$C324))*(INDEX(_xlfn.ANCHORARRAY(Sintesi!$C$15),1,$C324)&gt;0),0,IF(($E324=INDEX(_xlfn.ANCHORARRAY(Sintesi!$C$14),1,$C324))*(INDEX(_xlfn.ANCHORARRAY(Sintesi!$C$15),1,$C324)&lt;0)+($E324&gt;=$E323)*($E324&lt;=$E325)*($E324&gt;INDEX(_xlfn.ANCHORARRAY(Sintesi!$C$14),1,$C324))*($E324&lt;=INDEX(_xlfn.ANCHORARRAY(Sintesi!$C$15),1,$C324))*(INDEX(_xlfn.ANCHORARRAY(Sintesi!$C$15),1,$C324)&gt;0),1,IF(($E324&gt;=$E323)*($E324&lt;=$E325)*($E324&gt;INDEX(_xlfn.ANCHORARRAY(Sintesi!$C$14),1,$C324))*($E324&lt;INDEX(_xlfn.ANCHORARRAY(Sintesi!$C$16),1,$C324))*(INDEX(_xlfn.ANCHORARRAY(Sintesi!$C$15),1,$C324)&lt;0)+($E324&gt;=$E323)*($E324&lt;=$E325)*($E324&gt;INDEX(_xlfn.ANCHORARRAY(Sintesi!$C$15),1,$C324))*($E324&lt;INDEX(_xlfn.ANCHORARRAY(Sintesi!$C$16),1,$C324))*(INDEX(_xlfn.ANCHORARRAY(Sintesi!$C$15),1,$C324)&gt;0),2,IF($E324=(INDEX(_xlfn.ANCHORARRAY(Sintesi!$C$16),1,$C324)),3,4)))),0),IF($C324&gt;0,IF(($E324=INDEX(_xlfn.ANCHORARRAY(Sintesi!$C$14),1,$C324))*(INDEX(_xlfn.ANCHORARRAY(Sintesi!$C$15),1,$C324)&gt;0),0,IF(($E324=INDEX(_xlfn.ANCHORARRAY(Sintesi!$C$14),1,$C324))*(INDEX(_xlfn.ANCHORARRAY(Sintesi!$C$15),1,$C324)&lt;0)+($E324&gt;=LOOKUP(2,1/($E:$E&lt;&gt;""),$E:$E))*($E324&lt;=$E325)*($E324&gt;INDEX(_xlfn.ANCHORARRAY(Sintesi!$C$14),1,$C324))*($E324&lt;=INDEX(_xlfn.ANCHORARRAY(Sintesi!$C$15),1,$C324))*(INDEX(_xlfn.ANCHORARRAY(Sintesi!$C$15),1,$C324)&gt;0),1,IF(($E324&gt;=LOOKUP(2,1/($E:$E&lt;&gt;""),$E:$E))*($E324&lt;=$E325)*($E324&gt;INDEX(_xlfn.ANCHORARRAY(Sintesi!$C$14),1,$C324))*($E324&lt;INDEX(_xlfn.ANCHORARRAY(Sintesi!$C$16),1,$C324))*(INDEX(_xlfn.ANCHORARRAY(Sintesi!$C$15),1,$C324)&lt;0)+($E324&gt;=LOOKUP(2,1/($E:$E&lt;&gt;""),$E:$E))*($E324&lt;=$E325)*($E324&gt;INDEX(_xlfn.ANCHORARRAY(Sintesi!$C$15),1,$C324))*($E324&lt;INDEX(_xlfn.ANCHORARRAY(Sintesi!$C$16),1,$C324))*(INDEX(_xlfn.ANCHORARRAY(Sintesi!$C$15),1,$C324)&gt;0),2,IF($E324=(INDEX(_xlfn.ANCHORARRAY(Sintesi!$C$16),1,$C324)),3,4)))),0)))</f>
        <v>0</v>
      </c>
      <c r="E324" s="1">
        <f>'Paste cell here'!F324</f>
        <v>0</v>
      </c>
      <c r="F324" s="1">
        <f>'Paste cell here'!C324</f>
        <v>0</v>
      </c>
      <c r="G324" s="1">
        <f>'Paste cell here'!D324</f>
        <v>0</v>
      </c>
      <c r="H324" s="1">
        <f>'Paste cell here'!E324</f>
        <v>0</v>
      </c>
      <c r="I324" s="1">
        <f>'Paste cell here'!X324</f>
        <v>0</v>
      </c>
      <c r="J324" s="1">
        <f>'Paste cell here'!Y324+'Paste cell here'!S324</f>
        <v>0</v>
      </c>
      <c r="K324" s="1" t="e">
        <f t="shared" si="11"/>
        <v>#DIV/0!</v>
      </c>
      <c r="L324" s="1">
        <f t="shared" si="10"/>
        <v>0</v>
      </c>
      <c r="M324" s="1" cm="1">
        <f t="array" ref="M324">IF(AND(A324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,A324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),IF(L324&lt;_xlfn.IFNA(INDEX(_xlfn.ANCHORARRAY(Sintesi!$C$17)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,1,IF(L324&gt;=_xlfn.IFNA(INDEX(_xlfn.ANCHORARRAY(Sintesi!$C$18)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,0,1-(L324-_xlfn.IFNA(INDEX(_xlfn.ANCHORARRAY(Sintesi!$C$17)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)/(_xlfn.IFNA(INDEX(_xlfn.ANCHORARRAY(Sintesi!$C$18)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-_xlfn.IFNA(INDEX(_xlfn.ANCHORARRAY(Sintesi!$C$17),1,MATCH(1,(_xlfn.ANCHORARRAY(Sintesi!$C$9)&gt;_xlfn.ANCHORARRAY(Sintesi!$C$10))*(A323&gt;=_xlfn.ANCHORARRAY(Sintesi!$C$9))+(_xlfn.ANCHORARRAY(Sintesi!$C$9)&gt;_xlfn.ANCHORARRAY(Sintesi!$C$10))*(A323&lt;=_xlfn.ANCHORARRAY(Sintesi!$C$10))+(_xlfn.ANCHORARRAY(Sintesi!$C$9)&lt;_xlfn.ANCHORARRAY(Sintesi!$C$10))*(A323&gt;=_xlfn.ANCHORARRAY(Sintesi!$C$9))*(A323&lt;=_xlfn.ANCHORARRAY(Sintesi!$C$10)),0)),0)))),0)</f>
        <v>0</v>
      </c>
    </row>
    <row r="325" spans="1:13">
      <c r="A325" s="1">
        <f>'Paste cell here'!A325</f>
        <v>0</v>
      </c>
      <c r="B325" s="2">
        <f>DATE(Sintesi!$C$4-1,12,31)+A325</f>
        <v>44196</v>
      </c>
      <c r="C325" s="34" cm="1">
        <f t="array" ref="C325">_xlfn.IFNA(MATCH(1,(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)*(_xlfn.ANCHORARRAY(Sintesi!$C$15)&gt;=0)+(_xlfn.ANCHORARRAY(Sintesi!$C$15)&lt;0),0),0)</f>
        <v>0</v>
      </c>
      <c r="D325" s="1" cm="1">
        <f t="array" ref="D325">IF(ISBLANK($E326),IF(ISNUMBER($E324),IF($C325&gt;0,IF(($E325=INDEX(_xlfn.ANCHORARRAY(Sintesi!$C$14),1,$C325))*(INDEX(_xlfn.ANCHORARRAY(Sintesi!$C$15),1,$C325)&gt;0),0,IF(($E325=INDEX(_xlfn.ANCHORARRAY(Sintesi!$C$14),1,$C325))*(INDEX(_xlfn.ANCHORARRAY(Sintesi!$C$15),1,$C325)&lt;0)+($E325&gt;=$E324)*($E325&lt;=INDEX($E:$E,MATCH(TRUE,INDEX((ISNUMBER($E:$E)),0),0)))*($E325&gt;INDEX(_xlfn.ANCHORARRAY(Sintesi!$C$14),1,$C325))*($E325&lt;=INDEX(_xlfn.ANCHORARRAY(Sintesi!$C$15),1,$C325))*(INDEX(_xlfn.ANCHORARRAY(Sintesi!$C$15),1,$C325)&gt;0),1,IF(($E325&gt;=$E324)*($E325&lt;=INDEX($E:$E,MATCH(TRUE,INDEX((ISNUMBER($E:$E)),0),0)))*($E325&gt;INDEX(_xlfn.ANCHORARRAY(Sintesi!$C$14),1,$C325))*($E325&lt;INDEX(_xlfn.ANCHORARRAY(Sintesi!$C$16),1,$C325))*(INDEX(_xlfn.ANCHORARRAY(Sintesi!$C$15),1,$C325)&lt;0)+($E325&gt;=$E324)*($E325&lt;=INDEX($E:$E,MATCH(TRUE,INDEX((ISNUMBER($E:$E)),0),0)))*($E325&gt;INDEX(_xlfn.ANCHORARRAY(Sintesi!$C$15),1,$C325))*($E325&lt;INDEX(_xlfn.ANCHORARRAY(Sintesi!$C$16),1,$C325))*(INDEX(_xlfn.ANCHORARRAY(Sintesi!$C$15),1,$C325)&gt;0),2,IF($E325=(INDEX(_xlfn.ANCHORARRAY(Sintesi!$C$16),1,$C325)),3,4)))),0),IF($C325&gt;0,IF(($E325=INDEX(_xlfn.ANCHORARRAY(Sintesi!$C$14),1,$C325))*(INDEX(_xlfn.ANCHORARRAY(Sintesi!$C$15),1,$C325)&gt;0),0,IF(($E325=INDEX(_xlfn.ANCHORARRAY(Sintesi!$C$14),1,$C325))*(INDEX(_xlfn.ANCHORARRAY(Sintesi!$C$15),1,$C325)&lt;0)+($E325&gt;=LOOKUP(2,1/($E:$E&lt;&gt;""),$E:$E))*($E325&lt;=INDEX($E:$E,MATCH(TRUE,INDEX((ISNUMBER($E:$E)),0),0)))*($E325&gt;INDEX(_xlfn.ANCHORARRAY(Sintesi!$C$14),1,$C325))*($E325&lt;=INDEX(_xlfn.ANCHORARRAY(Sintesi!$C$15),1,$C325))*(INDEX(_xlfn.ANCHORARRAY(Sintesi!$C$15),1,$C325)&gt;0),1,IF(($E325&gt;=LOOKUP(2,1/($E:$E&lt;&gt;""),$E:$E))*($E325&lt;=INDEX($E:$E,MATCH(TRUE,INDEX((ISNUMBER($E:$E)),0),0)))*($E325&gt;INDEX(_xlfn.ANCHORARRAY(Sintesi!$C$14),1,$C325))*($E325&lt;INDEX(_xlfn.ANCHORARRAY(Sintesi!$C$16),1,$C325))*(INDEX(_xlfn.ANCHORARRAY(Sintesi!$C$15),1,$C325)&lt;0)+($E325&gt;=LOOKUP(2,1/($E:$E&lt;&gt;""),$E:$E))*($E325&lt;=INDEX($E:$E,MATCH(TRUE,INDEX((ISNUMBER($E:$E)),0),0)))*($E325&gt;INDEX(_xlfn.ANCHORARRAY(Sintesi!$C$15),1,$C325))*($E325&lt;INDEX(_xlfn.ANCHORARRAY(Sintesi!$C$16),1,$C325))*(INDEX(_xlfn.ANCHORARRAY(Sintesi!$C$15),1,$C325)&gt;0),2,IF($E325=(INDEX(_xlfn.ANCHORARRAY(Sintesi!$C$16),1,$C325)),3,4)))),0)),IF(ISNUMBER($E324),IF($C325&gt;0,IF(($E325=INDEX(_xlfn.ANCHORARRAY(Sintesi!$C$14),1,$C325))*(INDEX(_xlfn.ANCHORARRAY(Sintesi!$C$15),1,$C325)&gt;0),0,IF(($E325=INDEX(_xlfn.ANCHORARRAY(Sintesi!$C$14),1,$C325))*(INDEX(_xlfn.ANCHORARRAY(Sintesi!$C$15),1,$C325)&lt;0)+($E325&gt;=$E324)*($E325&lt;=$E326)*($E325&gt;INDEX(_xlfn.ANCHORARRAY(Sintesi!$C$14),1,$C325))*($E325&lt;=INDEX(_xlfn.ANCHORARRAY(Sintesi!$C$15),1,$C325))*(INDEX(_xlfn.ANCHORARRAY(Sintesi!$C$15),1,$C325)&gt;0),1,IF(($E325&gt;=$E324)*($E325&lt;=$E326)*($E325&gt;INDEX(_xlfn.ANCHORARRAY(Sintesi!$C$14),1,$C325))*($E325&lt;INDEX(_xlfn.ANCHORARRAY(Sintesi!$C$16),1,$C325))*(INDEX(_xlfn.ANCHORARRAY(Sintesi!$C$15),1,$C325)&lt;0)+($E325&gt;=$E324)*($E325&lt;=$E326)*($E325&gt;INDEX(_xlfn.ANCHORARRAY(Sintesi!$C$15),1,$C325))*($E325&lt;INDEX(_xlfn.ANCHORARRAY(Sintesi!$C$16),1,$C325))*(INDEX(_xlfn.ANCHORARRAY(Sintesi!$C$15),1,$C325)&gt;0),2,IF($E325=(INDEX(_xlfn.ANCHORARRAY(Sintesi!$C$16),1,$C325)),3,4)))),0),IF($C325&gt;0,IF(($E325=INDEX(_xlfn.ANCHORARRAY(Sintesi!$C$14),1,$C325))*(INDEX(_xlfn.ANCHORARRAY(Sintesi!$C$15),1,$C325)&gt;0),0,IF(($E325=INDEX(_xlfn.ANCHORARRAY(Sintesi!$C$14),1,$C325))*(INDEX(_xlfn.ANCHORARRAY(Sintesi!$C$15),1,$C325)&lt;0)+($E325&gt;=LOOKUP(2,1/($E:$E&lt;&gt;""),$E:$E))*($E325&lt;=$E326)*($E325&gt;INDEX(_xlfn.ANCHORARRAY(Sintesi!$C$14),1,$C325))*($E325&lt;=INDEX(_xlfn.ANCHORARRAY(Sintesi!$C$15),1,$C325))*(INDEX(_xlfn.ANCHORARRAY(Sintesi!$C$15),1,$C325)&gt;0),1,IF(($E325&gt;=LOOKUP(2,1/($E:$E&lt;&gt;""),$E:$E))*($E325&lt;=$E326)*($E325&gt;INDEX(_xlfn.ANCHORARRAY(Sintesi!$C$14),1,$C325))*($E325&lt;INDEX(_xlfn.ANCHORARRAY(Sintesi!$C$16),1,$C325))*(INDEX(_xlfn.ANCHORARRAY(Sintesi!$C$15),1,$C325)&lt;0)+($E325&gt;=LOOKUP(2,1/($E:$E&lt;&gt;""),$E:$E))*($E325&lt;=$E326)*($E325&gt;INDEX(_xlfn.ANCHORARRAY(Sintesi!$C$15),1,$C325))*($E325&lt;INDEX(_xlfn.ANCHORARRAY(Sintesi!$C$16),1,$C325))*(INDEX(_xlfn.ANCHORARRAY(Sintesi!$C$15),1,$C325)&gt;0),2,IF($E325=(INDEX(_xlfn.ANCHORARRAY(Sintesi!$C$16),1,$C325)),3,4)))),0)))</f>
        <v>0</v>
      </c>
      <c r="E325" s="1">
        <f>'Paste cell here'!F325</f>
        <v>0</v>
      </c>
      <c r="F325" s="1">
        <f>'Paste cell here'!C325</f>
        <v>0</v>
      </c>
      <c r="G325" s="1">
        <f>'Paste cell here'!D325</f>
        <v>0</v>
      </c>
      <c r="H325" s="1">
        <f>'Paste cell here'!E325</f>
        <v>0</v>
      </c>
      <c r="I325" s="1">
        <f>'Paste cell here'!X325</f>
        <v>0</v>
      </c>
      <c r="J325" s="1">
        <f>'Paste cell here'!Y325+'Paste cell here'!S325</f>
        <v>0</v>
      </c>
      <c r="K325" s="1" t="e">
        <f t="shared" si="11"/>
        <v>#DIV/0!</v>
      </c>
      <c r="L325" s="1">
        <f t="shared" si="10"/>
        <v>0</v>
      </c>
      <c r="M325" s="1" cm="1">
        <f t="array" ref="M325">IF(AND(A325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,A325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),IF(L325&lt;_xlfn.IFNA(INDEX(_xlfn.ANCHORARRAY(Sintesi!$C$17)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,1,IF(L325&gt;=_xlfn.IFNA(INDEX(_xlfn.ANCHORARRAY(Sintesi!$C$18)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,0,1-(L325-_xlfn.IFNA(INDEX(_xlfn.ANCHORARRAY(Sintesi!$C$17)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)/(_xlfn.IFNA(INDEX(_xlfn.ANCHORARRAY(Sintesi!$C$18)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-_xlfn.IFNA(INDEX(_xlfn.ANCHORARRAY(Sintesi!$C$17),1,MATCH(1,(_xlfn.ANCHORARRAY(Sintesi!$C$9)&gt;_xlfn.ANCHORARRAY(Sintesi!$C$10))*(A324&gt;=_xlfn.ANCHORARRAY(Sintesi!$C$9))+(_xlfn.ANCHORARRAY(Sintesi!$C$9)&gt;_xlfn.ANCHORARRAY(Sintesi!$C$10))*(A324&lt;=_xlfn.ANCHORARRAY(Sintesi!$C$10))+(_xlfn.ANCHORARRAY(Sintesi!$C$9)&lt;_xlfn.ANCHORARRAY(Sintesi!$C$10))*(A324&gt;=_xlfn.ANCHORARRAY(Sintesi!$C$9))*(A324&lt;=_xlfn.ANCHORARRAY(Sintesi!$C$10)),0)),0)))),0)</f>
        <v>0</v>
      </c>
    </row>
    <row r="326" spans="1:13">
      <c r="A326" s="1">
        <f>'Paste cell here'!A326</f>
        <v>0</v>
      </c>
      <c r="B326" s="2">
        <f>DATE(Sintesi!$C$4-1,12,31)+A326</f>
        <v>44196</v>
      </c>
      <c r="C326" s="34" cm="1">
        <f t="array" ref="C326">_xlfn.IFNA(MATCH(1,(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)*(_xlfn.ANCHORARRAY(Sintesi!$C$15)&gt;=0)+(_xlfn.ANCHORARRAY(Sintesi!$C$15)&lt;0),0),0)</f>
        <v>0</v>
      </c>
      <c r="D326" s="1" cm="1">
        <f t="array" ref="D326">IF(ISBLANK($E327),IF(ISNUMBER($E325),IF($C326&gt;0,IF(($E326=INDEX(_xlfn.ANCHORARRAY(Sintesi!$C$14),1,$C326))*(INDEX(_xlfn.ANCHORARRAY(Sintesi!$C$15),1,$C326)&gt;0),0,IF(($E326=INDEX(_xlfn.ANCHORARRAY(Sintesi!$C$14),1,$C326))*(INDEX(_xlfn.ANCHORARRAY(Sintesi!$C$15),1,$C326)&lt;0)+($E326&gt;=$E325)*($E326&lt;=INDEX($E:$E,MATCH(TRUE,INDEX((ISNUMBER($E:$E)),0),0)))*($E326&gt;INDEX(_xlfn.ANCHORARRAY(Sintesi!$C$14),1,$C326))*($E326&lt;=INDEX(_xlfn.ANCHORARRAY(Sintesi!$C$15),1,$C326))*(INDEX(_xlfn.ANCHORARRAY(Sintesi!$C$15),1,$C326)&gt;0),1,IF(($E326&gt;=$E325)*($E326&lt;=INDEX($E:$E,MATCH(TRUE,INDEX((ISNUMBER($E:$E)),0),0)))*($E326&gt;INDEX(_xlfn.ANCHORARRAY(Sintesi!$C$14),1,$C326))*($E326&lt;INDEX(_xlfn.ANCHORARRAY(Sintesi!$C$16),1,$C326))*(INDEX(_xlfn.ANCHORARRAY(Sintesi!$C$15),1,$C326)&lt;0)+($E326&gt;=$E325)*($E326&lt;=INDEX($E:$E,MATCH(TRUE,INDEX((ISNUMBER($E:$E)),0),0)))*($E326&gt;INDEX(_xlfn.ANCHORARRAY(Sintesi!$C$15),1,$C326))*($E326&lt;INDEX(_xlfn.ANCHORARRAY(Sintesi!$C$16),1,$C326))*(INDEX(_xlfn.ANCHORARRAY(Sintesi!$C$15),1,$C326)&gt;0),2,IF($E326=(INDEX(_xlfn.ANCHORARRAY(Sintesi!$C$16),1,$C326)),3,4)))),0),IF($C326&gt;0,IF(($E326=INDEX(_xlfn.ANCHORARRAY(Sintesi!$C$14),1,$C326))*(INDEX(_xlfn.ANCHORARRAY(Sintesi!$C$15),1,$C326)&gt;0),0,IF(($E326=INDEX(_xlfn.ANCHORARRAY(Sintesi!$C$14),1,$C326))*(INDEX(_xlfn.ANCHORARRAY(Sintesi!$C$15),1,$C326)&lt;0)+($E326&gt;=LOOKUP(2,1/($E:$E&lt;&gt;""),$E:$E))*($E326&lt;=INDEX($E:$E,MATCH(TRUE,INDEX((ISNUMBER($E:$E)),0),0)))*($E326&gt;INDEX(_xlfn.ANCHORARRAY(Sintesi!$C$14),1,$C326))*($E326&lt;=INDEX(_xlfn.ANCHORARRAY(Sintesi!$C$15),1,$C326))*(INDEX(_xlfn.ANCHORARRAY(Sintesi!$C$15),1,$C326)&gt;0),1,IF(($E326&gt;=LOOKUP(2,1/($E:$E&lt;&gt;""),$E:$E))*($E326&lt;=INDEX($E:$E,MATCH(TRUE,INDEX((ISNUMBER($E:$E)),0),0)))*($E326&gt;INDEX(_xlfn.ANCHORARRAY(Sintesi!$C$14),1,$C326))*($E326&lt;INDEX(_xlfn.ANCHORARRAY(Sintesi!$C$16),1,$C326))*(INDEX(_xlfn.ANCHORARRAY(Sintesi!$C$15),1,$C326)&lt;0)+($E326&gt;=LOOKUP(2,1/($E:$E&lt;&gt;""),$E:$E))*($E326&lt;=INDEX($E:$E,MATCH(TRUE,INDEX((ISNUMBER($E:$E)),0),0)))*($E326&gt;INDEX(_xlfn.ANCHORARRAY(Sintesi!$C$15),1,$C326))*($E326&lt;INDEX(_xlfn.ANCHORARRAY(Sintesi!$C$16),1,$C326))*(INDEX(_xlfn.ANCHORARRAY(Sintesi!$C$15),1,$C326)&gt;0),2,IF($E326=(INDEX(_xlfn.ANCHORARRAY(Sintesi!$C$16),1,$C326)),3,4)))),0)),IF(ISNUMBER($E325),IF($C326&gt;0,IF(($E326=INDEX(_xlfn.ANCHORARRAY(Sintesi!$C$14),1,$C326))*(INDEX(_xlfn.ANCHORARRAY(Sintesi!$C$15),1,$C326)&gt;0),0,IF(($E326=INDEX(_xlfn.ANCHORARRAY(Sintesi!$C$14),1,$C326))*(INDEX(_xlfn.ANCHORARRAY(Sintesi!$C$15),1,$C326)&lt;0)+($E326&gt;=$E325)*($E326&lt;=$E327)*($E326&gt;INDEX(_xlfn.ANCHORARRAY(Sintesi!$C$14),1,$C326))*($E326&lt;=INDEX(_xlfn.ANCHORARRAY(Sintesi!$C$15),1,$C326))*(INDEX(_xlfn.ANCHORARRAY(Sintesi!$C$15),1,$C326)&gt;0),1,IF(($E326&gt;=$E325)*($E326&lt;=$E327)*($E326&gt;INDEX(_xlfn.ANCHORARRAY(Sintesi!$C$14),1,$C326))*($E326&lt;INDEX(_xlfn.ANCHORARRAY(Sintesi!$C$16),1,$C326))*(INDEX(_xlfn.ANCHORARRAY(Sintesi!$C$15),1,$C326)&lt;0)+($E326&gt;=$E325)*($E326&lt;=$E327)*($E326&gt;INDEX(_xlfn.ANCHORARRAY(Sintesi!$C$15),1,$C326))*($E326&lt;INDEX(_xlfn.ANCHORARRAY(Sintesi!$C$16),1,$C326))*(INDEX(_xlfn.ANCHORARRAY(Sintesi!$C$15),1,$C326)&gt;0),2,IF($E326=(INDEX(_xlfn.ANCHORARRAY(Sintesi!$C$16),1,$C326)),3,4)))),0),IF($C326&gt;0,IF(($E326=INDEX(_xlfn.ANCHORARRAY(Sintesi!$C$14),1,$C326))*(INDEX(_xlfn.ANCHORARRAY(Sintesi!$C$15),1,$C326)&gt;0),0,IF(($E326=INDEX(_xlfn.ANCHORARRAY(Sintesi!$C$14),1,$C326))*(INDEX(_xlfn.ANCHORARRAY(Sintesi!$C$15),1,$C326)&lt;0)+($E326&gt;=LOOKUP(2,1/($E:$E&lt;&gt;""),$E:$E))*($E326&lt;=$E327)*($E326&gt;INDEX(_xlfn.ANCHORARRAY(Sintesi!$C$14),1,$C326))*($E326&lt;=INDEX(_xlfn.ANCHORARRAY(Sintesi!$C$15),1,$C326))*(INDEX(_xlfn.ANCHORARRAY(Sintesi!$C$15),1,$C326)&gt;0),1,IF(($E326&gt;=LOOKUP(2,1/($E:$E&lt;&gt;""),$E:$E))*($E326&lt;=$E327)*($E326&gt;INDEX(_xlfn.ANCHORARRAY(Sintesi!$C$14),1,$C326))*($E326&lt;INDEX(_xlfn.ANCHORARRAY(Sintesi!$C$16),1,$C326))*(INDEX(_xlfn.ANCHORARRAY(Sintesi!$C$15),1,$C326)&lt;0)+($E326&gt;=LOOKUP(2,1/($E:$E&lt;&gt;""),$E:$E))*($E326&lt;=$E327)*($E326&gt;INDEX(_xlfn.ANCHORARRAY(Sintesi!$C$15),1,$C326))*($E326&lt;INDEX(_xlfn.ANCHORARRAY(Sintesi!$C$16),1,$C326))*(INDEX(_xlfn.ANCHORARRAY(Sintesi!$C$15),1,$C326)&gt;0),2,IF($E326=(INDEX(_xlfn.ANCHORARRAY(Sintesi!$C$16),1,$C326)),3,4)))),0)))</f>
        <v>0</v>
      </c>
      <c r="E326" s="1">
        <f>'Paste cell here'!F326</f>
        <v>0</v>
      </c>
      <c r="F326" s="1">
        <f>'Paste cell here'!C326</f>
        <v>0</v>
      </c>
      <c r="G326" s="1">
        <f>'Paste cell here'!D326</f>
        <v>0</v>
      </c>
      <c r="H326" s="1">
        <f>'Paste cell here'!E326</f>
        <v>0</v>
      </c>
      <c r="I326" s="1">
        <f>'Paste cell here'!X326</f>
        <v>0</v>
      </c>
      <c r="J326" s="1">
        <f>'Paste cell here'!Y326+'Paste cell here'!S326</f>
        <v>0</v>
      </c>
      <c r="K326" s="1" t="e">
        <f t="shared" si="11"/>
        <v>#DIV/0!</v>
      </c>
      <c r="L326" s="1">
        <f t="shared" si="10"/>
        <v>0</v>
      </c>
      <c r="M326" s="1" cm="1">
        <f t="array" ref="M326">IF(AND(A326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,A326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),IF(L326&lt;_xlfn.IFNA(INDEX(_xlfn.ANCHORARRAY(Sintesi!$C$17)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,1,IF(L326&gt;=_xlfn.IFNA(INDEX(_xlfn.ANCHORARRAY(Sintesi!$C$18)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,0,1-(L326-_xlfn.IFNA(INDEX(_xlfn.ANCHORARRAY(Sintesi!$C$17)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)/(_xlfn.IFNA(INDEX(_xlfn.ANCHORARRAY(Sintesi!$C$18)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-_xlfn.IFNA(INDEX(_xlfn.ANCHORARRAY(Sintesi!$C$17),1,MATCH(1,(_xlfn.ANCHORARRAY(Sintesi!$C$9)&gt;_xlfn.ANCHORARRAY(Sintesi!$C$10))*(A325&gt;=_xlfn.ANCHORARRAY(Sintesi!$C$9))+(_xlfn.ANCHORARRAY(Sintesi!$C$9)&gt;_xlfn.ANCHORARRAY(Sintesi!$C$10))*(A325&lt;=_xlfn.ANCHORARRAY(Sintesi!$C$10))+(_xlfn.ANCHORARRAY(Sintesi!$C$9)&lt;_xlfn.ANCHORARRAY(Sintesi!$C$10))*(A325&gt;=_xlfn.ANCHORARRAY(Sintesi!$C$9))*(A325&lt;=_xlfn.ANCHORARRAY(Sintesi!$C$10)),0)),0)))),0)</f>
        <v>0</v>
      </c>
    </row>
    <row r="327" spans="1:13">
      <c r="A327" s="1">
        <f>'Paste cell here'!A327</f>
        <v>0</v>
      </c>
      <c r="B327" s="2">
        <f>DATE(Sintesi!$C$4-1,12,31)+A327</f>
        <v>44196</v>
      </c>
      <c r="C327" s="34" cm="1">
        <f t="array" ref="C327">_xlfn.IFNA(MATCH(1,(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)*(_xlfn.ANCHORARRAY(Sintesi!$C$15)&gt;=0)+(_xlfn.ANCHORARRAY(Sintesi!$C$15)&lt;0),0),0)</f>
        <v>0</v>
      </c>
      <c r="D327" s="1" cm="1">
        <f t="array" ref="D327">IF(ISBLANK($E328),IF(ISNUMBER($E326),IF($C327&gt;0,IF(($E327=INDEX(_xlfn.ANCHORARRAY(Sintesi!$C$14),1,$C327))*(INDEX(_xlfn.ANCHORARRAY(Sintesi!$C$15),1,$C327)&gt;0),0,IF(($E327=INDEX(_xlfn.ANCHORARRAY(Sintesi!$C$14),1,$C327))*(INDEX(_xlfn.ANCHORARRAY(Sintesi!$C$15),1,$C327)&lt;0)+($E327&gt;=$E326)*($E327&lt;=INDEX($E:$E,MATCH(TRUE,INDEX((ISNUMBER($E:$E)),0),0)))*($E327&gt;INDEX(_xlfn.ANCHORARRAY(Sintesi!$C$14),1,$C327))*($E327&lt;=INDEX(_xlfn.ANCHORARRAY(Sintesi!$C$15),1,$C327))*(INDEX(_xlfn.ANCHORARRAY(Sintesi!$C$15),1,$C327)&gt;0),1,IF(($E327&gt;=$E326)*($E327&lt;=INDEX($E:$E,MATCH(TRUE,INDEX((ISNUMBER($E:$E)),0),0)))*($E327&gt;INDEX(_xlfn.ANCHORARRAY(Sintesi!$C$14),1,$C327))*($E327&lt;INDEX(_xlfn.ANCHORARRAY(Sintesi!$C$16),1,$C327))*(INDEX(_xlfn.ANCHORARRAY(Sintesi!$C$15),1,$C327)&lt;0)+($E327&gt;=$E326)*($E327&lt;=INDEX($E:$E,MATCH(TRUE,INDEX((ISNUMBER($E:$E)),0),0)))*($E327&gt;INDEX(_xlfn.ANCHORARRAY(Sintesi!$C$15),1,$C327))*($E327&lt;INDEX(_xlfn.ANCHORARRAY(Sintesi!$C$16),1,$C327))*(INDEX(_xlfn.ANCHORARRAY(Sintesi!$C$15),1,$C327)&gt;0),2,IF($E327=(INDEX(_xlfn.ANCHORARRAY(Sintesi!$C$16),1,$C327)),3,4)))),0),IF($C327&gt;0,IF(($E327=INDEX(_xlfn.ANCHORARRAY(Sintesi!$C$14),1,$C327))*(INDEX(_xlfn.ANCHORARRAY(Sintesi!$C$15),1,$C327)&gt;0),0,IF(($E327=INDEX(_xlfn.ANCHORARRAY(Sintesi!$C$14),1,$C327))*(INDEX(_xlfn.ANCHORARRAY(Sintesi!$C$15),1,$C327)&lt;0)+($E327&gt;=LOOKUP(2,1/($E:$E&lt;&gt;""),$E:$E))*($E327&lt;=INDEX($E:$E,MATCH(TRUE,INDEX((ISNUMBER($E:$E)),0),0)))*($E327&gt;INDEX(_xlfn.ANCHORARRAY(Sintesi!$C$14),1,$C327))*($E327&lt;=INDEX(_xlfn.ANCHORARRAY(Sintesi!$C$15),1,$C327))*(INDEX(_xlfn.ANCHORARRAY(Sintesi!$C$15),1,$C327)&gt;0),1,IF(($E327&gt;=LOOKUP(2,1/($E:$E&lt;&gt;""),$E:$E))*($E327&lt;=INDEX($E:$E,MATCH(TRUE,INDEX((ISNUMBER($E:$E)),0),0)))*($E327&gt;INDEX(_xlfn.ANCHORARRAY(Sintesi!$C$14),1,$C327))*($E327&lt;INDEX(_xlfn.ANCHORARRAY(Sintesi!$C$16),1,$C327))*(INDEX(_xlfn.ANCHORARRAY(Sintesi!$C$15),1,$C327)&lt;0)+($E327&gt;=LOOKUP(2,1/($E:$E&lt;&gt;""),$E:$E))*($E327&lt;=INDEX($E:$E,MATCH(TRUE,INDEX((ISNUMBER($E:$E)),0),0)))*($E327&gt;INDEX(_xlfn.ANCHORARRAY(Sintesi!$C$15),1,$C327))*($E327&lt;INDEX(_xlfn.ANCHORARRAY(Sintesi!$C$16),1,$C327))*(INDEX(_xlfn.ANCHORARRAY(Sintesi!$C$15),1,$C327)&gt;0),2,IF($E327=(INDEX(_xlfn.ANCHORARRAY(Sintesi!$C$16),1,$C327)),3,4)))),0)),IF(ISNUMBER($E326),IF($C327&gt;0,IF(($E327=INDEX(_xlfn.ANCHORARRAY(Sintesi!$C$14),1,$C327))*(INDEX(_xlfn.ANCHORARRAY(Sintesi!$C$15),1,$C327)&gt;0),0,IF(($E327=INDEX(_xlfn.ANCHORARRAY(Sintesi!$C$14),1,$C327))*(INDEX(_xlfn.ANCHORARRAY(Sintesi!$C$15),1,$C327)&lt;0)+($E327&gt;=$E326)*($E327&lt;=$E328)*($E327&gt;INDEX(_xlfn.ANCHORARRAY(Sintesi!$C$14),1,$C327))*($E327&lt;=INDEX(_xlfn.ANCHORARRAY(Sintesi!$C$15),1,$C327))*(INDEX(_xlfn.ANCHORARRAY(Sintesi!$C$15),1,$C327)&gt;0),1,IF(($E327&gt;=$E326)*($E327&lt;=$E328)*($E327&gt;INDEX(_xlfn.ANCHORARRAY(Sintesi!$C$14),1,$C327))*($E327&lt;INDEX(_xlfn.ANCHORARRAY(Sintesi!$C$16),1,$C327))*(INDEX(_xlfn.ANCHORARRAY(Sintesi!$C$15),1,$C327)&lt;0)+($E327&gt;=$E326)*($E327&lt;=$E328)*($E327&gt;INDEX(_xlfn.ANCHORARRAY(Sintesi!$C$15),1,$C327))*($E327&lt;INDEX(_xlfn.ANCHORARRAY(Sintesi!$C$16),1,$C327))*(INDEX(_xlfn.ANCHORARRAY(Sintesi!$C$15),1,$C327)&gt;0),2,IF($E327=(INDEX(_xlfn.ANCHORARRAY(Sintesi!$C$16),1,$C327)),3,4)))),0),IF($C327&gt;0,IF(($E327=INDEX(_xlfn.ANCHORARRAY(Sintesi!$C$14),1,$C327))*(INDEX(_xlfn.ANCHORARRAY(Sintesi!$C$15),1,$C327)&gt;0),0,IF(($E327=INDEX(_xlfn.ANCHORARRAY(Sintesi!$C$14),1,$C327))*(INDEX(_xlfn.ANCHORARRAY(Sintesi!$C$15),1,$C327)&lt;0)+($E327&gt;=LOOKUP(2,1/($E:$E&lt;&gt;""),$E:$E))*($E327&lt;=$E328)*($E327&gt;INDEX(_xlfn.ANCHORARRAY(Sintesi!$C$14),1,$C327))*($E327&lt;=INDEX(_xlfn.ANCHORARRAY(Sintesi!$C$15),1,$C327))*(INDEX(_xlfn.ANCHORARRAY(Sintesi!$C$15),1,$C327)&gt;0),1,IF(($E327&gt;=LOOKUP(2,1/($E:$E&lt;&gt;""),$E:$E))*($E327&lt;=$E328)*($E327&gt;INDEX(_xlfn.ANCHORARRAY(Sintesi!$C$14),1,$C327))*($E327&lt;INDEX(_xlfn.ANCHORARRAY(Sintesi!$C$16),1,$C327))*(INDEX(_xlfn.ANCHORARRAY(Sintesi!$C$15),1,$C327)&lt;0)+($E327&gt;=LOOKUP(2,1/($E:$E&lt;&gt;""),$E:$E))*($E327&lt;=$E328)*($E327&gt;INDEX(_xlfn.ANCHORARRAY(Sintesi!$C$15),1,$C327))*($E327&lt;INDEX(_xlfn.ANCHORARRAY(Sintesi!$C$16),1,$C327))*(INDEX(_xlfn.ANCHORARRAY(Sintesi!$C$15),1,$C327)&gt;0),2,IF($E327=(INDEX(_xlfn.ANCHORARRAY(Sintesi!$C$16),1,$C327)),3,4)))),0)))</f>
        <v>0</v>
      </c>
      <c r="E327" s="1">
        <f>'Paste cell here'!F327</f>
        <v>0</v>
      </c>
      <c r="F327" s="1">
        <f>'Paste cell here'!C327</f>
        <v>0</v>
      </c>
      <c r="G327" s="1">
        <f>'Paste cell here'!D327</f>
        <v>0</v>
      </c>
      <c r="H327" s="1">
        <f>'Paste cell here'!E327</f>
        <v>0</v>
      </c>
      <c r="I327" s="1">
        <f>'Paste cell here'!X327</f>
        <v>0</v>
      </c>
      <c r="J327" s="1">
        <f>'Paste cell here'!Y327+'Paste cell here'!S327</f>
        <v>0</v>
      </c>
      <c r="K327" s="1" t="e">
        <f t="shared" si="11"/>
        <v>#DIV/0!</v>
      </c>
      <c r="L327" s="1">
        <f t="shared" si="10"/>
        <v>0</v>
      </c>
      <c r="M327" s="1" cm="1">
        <f t="array" ref="M327">IF(AND(A327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,A327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),IF(L327&lt;_xlfn.IFNA(INDEX(_xlfn.ANCHORARRAY(Sintesi!$C$17)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,1,IF(L327&gt;=_xlfn.IFNA(INDEX(_xlfn.ANCHORARRAY(Sintesi!$C$18)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,0,1-(L327-_xlfn.IFNA(INDEX(_xlfn.ANCHORARRAY(Sintesi!$C$17)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)/(_xlfn.IFNA(INDEX(_xlfn.ANCHORARRAY(Sintesi!$C$18)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-_xlfn.IFNA(INDEX(_xlfn.ANCHORARRAY(Sintesi!$C$17),1,MATCH(1,(_xlfn.ANCHORARRAY(Sintesi!$C$9)&gt;_xlfn.ANCHORARRAY(Sintesi!$C$10))*(A326&gt;=_xlfn.ANCHORARRAY(Sintesi!$C$9))+(_xlfn.ANCHORARRAY(Sintesi!$C$9)&gt;_xlfn.ANCHORARRAY(Sintesi!$C$10))*(A326&lt;=_xlfn.ANCHORARRAY(Sintesi!$C$10))+(_xlfn.ANCHORARRAY(Sintesi!$C$9)&lt;_xlfn.ANCHORARRAY(Sintesi!$C$10))*(A326&gt;=_xlfn.ANCHORARRAY(Sintesi!$C$9))*(A326&lt;=_xlfn.ANCHORARRAY(Sintesi!$C$10)),0)),0)))),0)</f>
        <v>0</v>
      </c>
    </row>
    <row r="328" spans="1:13">
      <c r="A328" s="1">
        <f>'Paste cell here'!A328</f>
        <v>0</v>
      </c>
      <c r="B328" s="2">
        <f>DATE(Sintesi!$C$4-1,12,31)+A328</f>
        <v>44196</v>
      </c>
      <c r="C328" s="34" cm="1">
        <f t="array" ref="C328">_xlfn.IFNA(MATCH(1,(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)*(_xlfn.ANCHORARRAY(Sintesi!$C$15)&gt;=0)+(_xlfn.ANCHORARRAY(Sintesi!$C$15)&lt;0),0),0)</f>
        <v>0</v>
      </c>
      <c r="D328" s="1" cm="1">
        <f t="array" ref="D328">IF(ISBLANK($E329),IF(ISNUMBER($E327),IF($C328&gt;0,IF(($E328=INDEX(_xlfn.ANCHORARRAY(Sintesi!$C$14),1,$C328))*(INDEX(_xlfn.ANCHORARRAY(Sintesi!$C$15),1,$C328)&gt;0),0,IF(($E328=INDEX(_xlfn.ANCHORARRAY(Sintesi!$C$14),1,$C328))*(INDEX(_xlfn.ANCHORARRAY(Sintesi!$C$15),1,$C328)&lt;0)+($E328&gt;=$E327)*($E328&lt;=INDEX($E:$E,MATCH(TRUE,INDEX((ISNUMBER($E:$E)),0),0)))*($E328&gt;INDEX(_xlfn.ANCHORARRAY(Sintesi!$C$14),1,$C328))*($E328&lt;=INDEX(_xlfn.ANCHORARRAY(Sintesi!$C$15),1,$C328))*(INDEX(_xlfn.ANCHORARRAY(Sintesi!$C$15),1,$C328)&gt;0),1,IF(($E328&gt;=$E327)*($E328&lt;=INDEX($E:$E,MATCH(TRUE,INDEX((ISNUMBER($E:$E)),0),0)))*($E328&gt;INDEX(_xlfn.ANCHORARRAY(Sintesi!$C$14),1,$C328))*($E328&lt;INDEX(_xlfn.ANCHORARRAY(Sintesi!$C$16),1,$C328))*(INDEX(_xlfn.ANCHORARRAY(Sintesi!$C$15),1,$C328)&lt;0)+($E328&gt;=$E327)*($E328&lt;=INDEX($E:$E,MATCH(TRUE,INDEX((ISNUMBER($E:$E)),0),0)))*($E328&gt;INDEX(_xlfn.ANCHORARRAY(Sintesi!$C$15),1,$C328))*($E328&lt;INDEX(_xlfn.ANCHORARRAY(Sintesi!$C$16),1,$C328))*(INDEX(_xlfn.ANCHORARRAY(Sintesi!$C$15),1,$C328)&gt;0),2,IF($E328=(INDEX(_xlfn.ANCHORARRAY(Sintesi!$C$16),1,$C328)),3,4)))),0),IF($C328&gt;0,IF(($E328=INDEX(_xlfn.ANCHORARRAY(Sintesi!$C$14),1,$C328))*(INDEX(_xlfn.ANCHORARRAY(Sintesi!$C$15),1,$C328)&gt;0),0,IF(($E328=INDEX(_xlfn.ANCHORARRAY(Sintesi!$C$14),1,$C328))*(INDEX(_xlfn.ANCHORARRAY(Sintesi!$C$15),1,$C328)&lt;0)+($E328&gt;=LOOKUP(2,1/($E:$E&lt;&gt;""),$E:$E))*($E328&lt;=INDEX($E:$E,MATCH(TRUE,INDEX((ISNUMBER($E:$E)),0),0)))*($E328&gt;INDEX(_xlfn.ANCHORARRAY(Sintesi!$C$14),1,$C328))*($E328&lt;=INDEX(_xlfn.ANCHORARRAY(Sintesi!$C$15),1,$C328))*(INDEX(_xlfn.ANCHORARRAY(Sintesi!$C$15),1,$C328)&gt;0),1,IF(($E328&gt;=LOOKUP(2,1/($E:$E&lt;&gt;""),$E:$E))*($E328&lt;=INDEX($E:$E,MATCH(TRUE,INDEX((ISNUMBER($E:$E)),0),0)))*($E328&gt;INDEX(_xlfn.ANCHORARRAY(Sintesi!$C$14),1,$C328))*($E328&lt;INDEX(_xlfn.ANCHORARRAY(Sintesi!$C$16),1,$C328))*(INDEX(_xlfn.ANCHORARRAY(Sintesi!$C$15),1,$C328)&lt;0)+($E328&gt;=LOOKUP(2,1/($E:$E&lt;&gt;""),$E:$E))*($E328&lt;=INDEX($E:$E,MATCH(TRUE,INDEX((ISNUMBER($E:$E)),0),0)))*($E328&gt;INDEX(_xlfn.ANCHORARRAY(Sintesi!$C$15),1,$C328))*($E328&lt;INDEX(_xlfn.ANCHORARRAY(Sintesi!$C$16),1,$C328))*(INDEX(_xlfn.ANCHORARRAY(Sintesi!$C$15),1,$C328)&gt;0),2,IF($E328=(INDEX(_xlfn.ANCHORARRAY(Sintesi!$C$16),1,$C328)),3,4)))),0)),IF(ISNUMBER($E327),IF($C328&gt;0,IF(($E328=INDEX(_xlfn.ANCHORARRAY(Sintesi!$C$14),1,$C328))*(INDEX(_xlfn.ANCHORARRAY(Sintesi!$C$15),1,$C328)&gt;0),0,IF(($E328=INDEX(_xlfn.ANCHORARRAY(Sintesi!$C$14),1,$C328))*(INDEX(_xlfn.ANCHORARRAY(Sintesi!$C$15),1,$C328)&lt;0)+($E328&gt;=$E327)*($E328&lt;=$E329)*($E328&gt;INDEX(_xlfn.ANCHORARRAY(Sintesi!$C$14),1,$C328))*($E328&lt;=INDEX(_xlfn.ANCHORARRAY(Sintesi!$C$15),1,$C328))*(INDEX(_xlfn.ANCHORARRAY(Sintesi!$C$15),1,$C328)&gt;0),1,IF(($E328&gt;=$E327)*($E328&lt;=$E329)*($E328&gt;INDEX(_xlfn.ANCHORARRAY(Sintesi!$C$14),1,$C328))*($E328&lt;INDEX(_xlfn.ANCHORARRAY(Sintesi!$C$16),1,$C328))*(INDEX(_xlfn.ANCHORARRAY(Sintesi!$C$15),1,$C328)&lt;0)+($E328&gt;=$E327)*($E328&lt;=$E329)*($E328&gt;INDEX(_xlfn.ANCHORARRAY(Sintesi!$C$15),1,$C328))*($E328&lt;INDEX(_xlfn.ANCHORARRAY(Sintesi!$C$16),1,$C328))*(INDEX(_xlfn.ANCHORARRAY(Sintesi!$C$15),1,$C328)&gt;0),2,IF($E328=(INDEX(_xlfn.ANCHORARRAY(Sintesi!$C$16),1,$C328)),3,4)))),0),IF($C328&gt;0,IF(($E328=INDEX(_xlfn.ANCHORARRAY(Sintesi!$C$14),1,$C328))*(INDEX(_xlfn.ANCHORARRAY(Sintesi!$C$15),1,$C328)&gt;0),0,IF(($E328=INDEX(_xlfn.ANCHORARRAY(Sintesi!$C$14),1,$C328))*(INDEX(_xlfn.ANCHORARRAY(Sintesi!$C$15),1,$C328)&lt;0)+($E328&gt;=LOOKUP(2,1/($E:$E&lt;&gt;""),$E:$E))*($E328&lt;=$E329)*($E328&gt;INDEX(_xlfn.ANCHORARRAY(Sintesi!$C$14),1,$C328))*($E328&lt;=INDEX(_xlfn.ANCHORARRAY(Sintesi!$C$15),1,$C328))*(INDEX(_xlfn.ANCHORARRAY(Sintesi!$C$15),1,$C328)&gt;0),1,IF(($E328&gt;=LOOKUP(2,1/($E:$E&lt;&gt;""),$E:$E))*($E328&lt;=$E329)*($E328&gt;INDEX(_xlfn.ANCHORARRAY(Sintesi!$C$14),1,$C328))*($E328&lt;INDEX(_xlfn.ANCHORARRAY(Sintesi!$C$16),1,$C328))*(INDEX(_xlfn.ANCHORARRAY(Sintesi!$C$15),1,$C328)&lt;0)+($E328&gt;=LOOKUP(2,1/($E:$E&lt;&gt;""),$E:$E))*($E328&lt;=$E329)*($E328&gt;INDEX(_xlfn.ANCHORARRAY(Sintesi!$C$15),1,$C328))*($E328&lt;INDEX(_xlfn.ANCHORARRAY(Sintesi!$C$16),1,$C328))*(INDEX(_xlfn.ANCHORARRAY(Sintesi!$C$15),1,$C328)&gt;0),2,IF($E328=(INDEX(_xlfn.ANCHORARRAY(Sintesi!$C$16),1,$C328)),3,4)))),0)))</f>
        <v>0</v>
      </c>
      <c r="E328" s="1">
        <f>'Paste cell here'!F328</f>
        <v>0</v>
      </c>
      <c r="F328" s="1">
        <f>'Paste cell here'!C328</f>
        <v>0</v>
      </c>
      <c r="G328" s="1">
        <f>'Paste cell here'!D328</f>
        <v>0</v>
      </c>
      <c r="H328" s="1">
        <f>'Paste cell here'!E328</f>
        <v>0</v>
      </c>
      <c r="I328" s="1">
        <f>'Paste cell here'!X328</f>
        <v>0</v>
      </c>
      <c r="J328" s="1">
        <f>'Paste cell here'!Y328+'Paste cell here'!S328</f>
        <v>0</v>
      </c>
      <c r="K328" s="1" t="e">
        <f t="shared" si="11"/>
        <v>#DIV/0!</v>
      </c>
      <c r="L328" s="1">
        <f t="shared" si="10"/>
        <v>0</v>
      </c>
      <c r="M328" s="1" cm="1">
        <f t="array" ref="M328">IF(AND(A328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,A328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),IF(L328&lt;_xlfn.IFNA(INDEX(_xlfn.ANCHORARRAY(Sintesi!$C$17)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,1,IF(L328&gt;=_xlfn.IFNA(INDEX(_xlfn.ANCHORARRAY(Sintesi!$C$18)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,0,1-(L328-_xlfn.IFNA(INDEX(_xlfn.ANCHORARRAY(Sintesi!$C$17)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)/(_xlfn.IFNA(INDEX(_xlfn.ANCHORARRAY(Sintesi!$C$18)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-_xlfn.IFNA(INDEX(_xlfn.ANCHORARRAY(Sintesi!$C$17),1,MATCH(1,(_xlfn.ANCHORARRAY(Sintesi!$C$9)&gt;_xlfn.ANCHORARRAY(Sintesi!$C$10))*(A327&gt;=_xlfn.ANCHORARRAY(Sintesi!$C$9))+(_xlfn.ANCHORARRAY(Sintesi!$C$9)&gt;_xlfn.ANCHORARRAY(Sintesi!$C$10))*(A327&lt;=_xlfn.ANCHORARRAY(Sintesi!$C$10))+(_xlfn.ANCHORARRAY(Sintesi!$C$9)&lt;_xlfn.ANCHORARRAY(Sintesi!$C$10))*(A327&gt;=_xlfn.ANCHORARRAY(Sintesi!$C$9))*(A327&lt;=_xlfn.ANCHORARRAY(Sintesi!$C$10)),0)),0)))),0)</f>
        <v>0</v>
      </c>
    </row>
    <row r="329" spans="1:13">
      <c r="A329" s="1">
        <f>'Paste cell here'!A329</f>
        <v>0</v>
      </c>
      <c r="B329" s="2">
        <f>DATE(Sintesi!$C$4-1,12,31)+A329</f>
        <v>44196</v>
      </c>
      <c r="C329" s="34" cm="1">
        <f t="array" ref="C329">_xlfn.IFNA(MATCH(1,(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)*(_xlfn.ANCHORARRAY(Sintesi!$C$15)&gt;=0)+(_xlfn.ANCHORARRAY(Sintesi!$C$15)&lt;0),0),0)</f>
        <v>0</v>
      </c>
      <c r="D329" s="1" cm="1">
        <f t="array" ref="D329">IF(ISBLANK($E330),IF(ISNUMBER($E328),IF($C329&gt;0,IF(($E329=INDEX(_xlfn.ANCHORARRAY(Sintesi!$C$14),1,$C329))*(INDEX(_xlfn.ANCHORARRAY(Sintesi!$C$15),1,$C329)&gt;0),0,IF(($E329=INDEX(_xlfn.ANCHORARRAY(Sintesi!$C$14),1,$C329))*(INDEX(_xlfn.ANCHORARRAY(Sintesi!$C$15),1,$C329)&lt;0)+($E329&gt;=$E328)*($E329&lt;=INDEX($E:$E,MATCH(TRUE,INDEX((ISNUMBER($E:$E)),0),0)))*($E329&gt;INDEX(_xlfn.ANCHORARRAY(Sintesi!$C$14),1,$C329))*($E329&lt;=INDEX(_xlfn.ANCHORARRAY(Sintesi!$C$15),1,$C329))*(INDEX(_xlfn.ANCHORARRAY(Sintesi!$C$15),1,$C329)&gt;0),1,IF(($E329&gt;=$E328)*($E329&lt;=INDEX($E:$E,MATCH(TRUE,INDEX((ISNUMBER($E:$E)),0),0)))*($E329&gt;INDEX(_xlfn.ANCHORARRAY(Sintesi!$C$14),1,$C329))*($E329&lt;INDEX(_xlfn.ANCHORARRAY(Sintesi!$C$16),1,$C329))*(INDEX(_xlfn.ANCHORARRAY(Sintesi!$C$15),1,$C329)&lt;0)+($E329&gt;=$E328)*($E329&lt;=INDEX($E:$E,MATCH(TRUE,INDEX((ISNUMBER($E:$E)),0),0)))*($E329&gt;INDEX(_xlfn.ANCHORARRAY(Sintesi!$C$15),1,$C329))*($E329&lt;INDEX(_xlfn.ANCHORARRAY(Sintesi!$C$16),1,$C329))*(INDEX(_xlfn.ANCHORARRAY(Sintesi!$C$15),1,$C329)&gt;0),2,IF($E329=(INDEX(_xlfn.ANCHORARRAY(Sintesi!$C$16),1,$C329)),3,4)))),0),IF($C329&gt;0,IF(($E329=INDEX(_xlfn.ANCHORARRAY(Sintesi!$C$14),1,$C329))*(INDEX(_xlfn.ANCHORARRAY(Sintesi!$C$15),1,$C329)&gt;0),0,IF(($E329=INDEX(_xlfn.ANCHORARRAY(Sintesi!$C$14),1,$C329))*(INDEX(_xlfn.ANCHORARRAY(Sintesi!$C$15),1,$C329)&lt;0)+($E329&gt;=LOOKUP(2,1/($E:$E&lt;&gt;""),$E:$E))*($E329&lt;=INDEX($E:$E,MATCH(TRUE,INDEX((ISNUMBER($E:$E)),0),0)))*($E329&gt;INDEX(_xlfn.ANCHORARRAY(Sintesi!$C$14),1,$C329))*($E329&lt;=INDEX(_xlfn.ANCHORARRAY(Sintesi!$C$15),1,$C329))*(INDEX(_xlfn.ANCHORARRAY(Sintesi!$C$15),1,$C329)&gt;0),1,IF(($E329&gt;=LOOKUP(2,1/($E:$E&lt;&gt;""),$E:$E))*($E329&lt;=INDEX($E:$E,MATCH(TRUE,INDEX((ISNUMBER($E:$E)),0),0)))*($E329&gt;INDEX(_xlfn.ANCHORARRAY(Sintesi!$C$14),1,$C329))*($E329&lt;INDEX(_xlfn.ANCHORARRAY(Sintesi!$C$16),1,$C329))*(INDEX(_xlfn.ANCHORARRAY(Sintesi!$C$15),1,$C329)&lt;0)+($E329&gt;=LOOKUP(2,1/($E:$E&lt;&gt;""),$E:$E))*($E329&lt;=INDEX($E:$E,MATCH(TRUE,INDEX((ISNUMBER($E:$E)),0),0)))*($E329&gt;INDEX(_xlfn.ANCHORARRAY(Sintesi!$C$15),1,$C329))*($E329&lt;INDEX(_xlfn.ANCHORARRAY(Sintesi!$C$16),1,$C329))*(INDEX(_xlfn.ANCHORARRAY(Sintesi!$C$15),1,$C329)&gt;0),2,IF($E329=(INDEX(_xlfn.ANCHORARRAY(Sintesi!$C$16),1,$C329)),3,4)))),0)),IF(ISNUMBER($E328),IF($C329&gt;0,IF(($E329=INDEX(_xlfn.ANCHORARRAY(Sintesi!$C$14),1,$C329))*(INDEX(_xlfn.ANCHORARRAY(Sintesi!$C$15),1,$C329)&gt;0),0,IF(($E329=INDEX(_xlfn.ANCHORARRAY(Sintesi!$C$14),1,$C329))*(INDEX(_xlfn.ANCHORARRAY(Sintesi!$C$15),1,$C329)&lt;0)+($E329&gt;=$E328)*($E329&lt;=$E330)*($E329&gt;INDEX(_xlfn.ANCHORARRAY(Sintesi!$C$14),1,$C329))*($E329&lt;=INDEX(_xlfn.ANCHORARRAY(Sintesi!$C$15),1,$C329))*(INDEX(_xlfn.ANCHORARRAY(Sintesi!$C$15),1,$C329)&gt;0),1,IF(($E329&gt;=$E328)*($E329&lt;=$E330)*($E329&gt;INDEX(_xlfn.ANCHORARRAY(Sintesi!$C$14),1,$C329))*($E329&lt;INDEX(_xlfn.ANCHORARRAY(Sintesi!$C$16),1,$C329))*(INDEX(_xlfn.ANCHORARRAY(Sintesi!$C$15),1,$C329)&lt;0)+($E329&gt;=$E328)*($E329&lt;=$E330)*($E329&gt;INDEX(_xlfn.ANCHORARRAY(Sintesi!$C$15),1,$C329))*($E329&lt;INDEX(_xlfn.ANCHORARRAY(Sintesi!$C$16),1,$C329))*(INDEX(_xlfn.ANCHORARRAY(Sintesi!$C$15),1,$C329)&gt;0),2,IF($E329=(INDEX(_xlfn.ANCHORARRAY(Sintesi!$C$16),1,$C329)),3,4)))),0),IF($C329&gt;0,IF(($E329=INDEX(_xlfn.ANCHORARRAY(Sintesi!$C$14),1,$C329))*(INDEX(_xlfn.ANCHORARRAY(Sintesi!$C$15),1,$C329)&gt;0),0,IF(($E329=INDEX(_xlfn.ANCHORARRAY(Sintesi!$C$14),1,$C329))*(INDEX(_xlfn.ANCHORARRAY(Sintesi!$C$15),1,$C329)&lt;0)+($E329&gt;=LOOKUP(2,1/($E:$E&lt;&gt;""),$E:$E))*($E329&lt;=$E330)*($E329&gt;INDEX(_xlfn.ANCHORARRAY(Sintesi!$C$14),1,$C329))*($E329&lt;=INDEX(_xlfn.ANCHORARRAY(Sintesi!$C$15),1,$C329))*(INDEX(_xlfn.ANCHORARRAY(Sintesi!$C$15),1,$C329)&gt;0),1,IF(($E329&gt;=LOOKUP(2,1/($E:$E&lt;&gt;""),$E:$E))*($E329&lt;=$E330)*($E329&gt;INDEX(_xlfn.ANCHORARRAY(Sintesi!$C$14),1,$C329))*($E329&lt;INDEX(_xlfn.ANCHORARRAY(Sintesi!$C$16),1,$C329))*(INDEX(_xlfn.ANCHORARRAY(Sintesi!$C$15),1,$C329)&lt;0)+($E329&gt;=LOOKUP(2,1/($E:$E&lt;&gt;""),$E:$E))*($E329&lt;=$E330)*($E329&gt;INDEX(_xlfn.ANCHORARRAY(Sintesi!$C$15),1,$C329))*($E329&lt;INDEX(_xlfn.ANCHORARRAY(Sintesi!$C$16),1,$C329))*(INDEX(_xlfn.ANCHORARRAY(Sintesi!$C$15),1,$C329)&gt;0),2,IF($E329=(INDEX(_xlfn.ANCHORARRAY(Sintesi!$C$16),1,$C329)),3,4)))),0)))</f>
        <v>0</v>
      </c>
      <c r="E329" s="1">
        <f>'Paste cell here'!F329</f>
        <v>0</v>
      </c>
      <c r="F329" s="1">
        <f>'Paste cell here'!C329</f>
        <v>0</v>
      </c>
      <c r="G329" s="1">
        <f>'Paste cell here'!D329</f>
        <v>0</v>
      </c>
      <c r="H329" s="1">
        <f>'Paste cell here'!E329</f>
        <v>0</v>
      </c>
      <c r="I329" s="1">
        <f>'Paste cell here'!X329</f>
        <v>0</v>
      </c>
      <c r="J329" s="1">
        <f>'Paste cell here'!Y329+'Paste cell here'!S329</f>
        <v>0</v>
      </c>
      <c r="K329" s="1" t="e">
        <f t="shared" si="11"/>
        <v>#DIV/0!</v>
      </c>
      <c r="L329" s="1">
        <f t="shared" si="10"/>
        <v>0</v>
      </c>
      <c r="M329" s="1" cm="1">
        <f t="array" ref="M329">IF(AND(A329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,A329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),IF(L329&lt;_xlfn.IFNA(INDEX(_xlfn.ANCHORARRAY(Sintesi!$C$17)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,1,IF(L329&gt;=_xlfn.IFNA(INDEX(_xlfn.ANCHORARRAY(Sintesi!$C$18)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,0,1-(L329-_xlfn.IFNA(INDEX(_xlfn.ANCHORARRAY(Sintesi!$C$17)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)/(_xlfn.IFNA(INDEX(_xlfn.ANCHORARRAY(Sintesi!$C$18)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-_xlfn.IFNA(INDEX(_xlfn.ANCHORARRAY(Sintesi!$C$17),1,MATCH(1,(_xlfn.ANCHORARRAY(Sintesi!$C$9)&gt;_xlfn.ANCHORARRAY(Sintesi!$C$10))*(A328&gt;=_xlfn.ANCHORARRAY(Sintesi!$C$9))+(_xlfn.ANCHORARRAY(Sintesi!$C$9)&gt;_xlfn.ANCHORARRAY(Sintesi!$C$10))*(A328&lt;=_xlfn.ANCHORARRAY(Sintesi!$C$10))+(_xlfn.ANCHORARRAY(Sintesi!$C$9)&lt;_xlfn.ANCHORARRAY(Sintesi!$C$10))*(A328&gt;=_xlfn.ANCHORARRAY(Sintesi!$C$9))*(A328&lt;=_xlfn.ANCHORARRAY(Sintesi!$C$10)),0)),0)))),0)</f>
        <v>0</v>
      </c>
    </row>
    <row r="330" spans="1:13">
      <c r="A330" s="1">
        <f>'Paste cell here'!A330</f>
        <v>0</v>
      </c>
      <c r="B330" s="2">
        <f>DATE(Sintesi!$C$4-1,12,31)+A330</f>
        <v>44196</v>
      </c>
      <c r="C330" s="34" cm="1">
        <f t="array" ref="C330">_xlfn.IFNA(MATCH(1,(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)*(_xlfn.ANCHORARRAY(Sintesi!$C$15)&gt;=0)+(_xlfn.ANCHORARRAY(Sintesi!$C$15)&lt;0),0),0)</f>
        <v>0</v>
      </c>
      <c r="D330" s="1" cm="1">
        <f t="array" ref="D330">IF(ISBLANK($E331),IF(ISNUMBER($E329),IF($C330&gt;0,IF(($E330=INDEX(_xlfn.ANCHORARRAY(Sintesi!$C$14),1,$C330))*(INDEX(_xlfn.ANCHORARRAY(Sintesi!$C$15),1,$C330)&gt;0),0,IF(($E330=INDEX(_xlfn.ANCHORARRAY(Sintesi!$C$14),1,$C330))*(INDEX(_xlfn.ANCHORARRAY(Sintesi!$C$15),1,$C330)&lt;0)+($E330&gt;=$E329)*($E330&lt;=INDEX($E:$E,MATCH(TRUE,INDEX((ISNUMBER($E:$E)),0),0)))*($E330&gt;INDEX(_xlfn.ANCHORARRAY(Sintesi!$C$14),1,$C330))*($E330&lt;=INDEX(_xlfn.ANCHORARRAY(Sintesi!$C$15),1,$C330))*(INDEX(_xlfn.ANCHORARRAY(Sintesi!$C$15),1,$C330)&gt;0),1,IF(($E330&gt;=$E329)*($E330&lt;=INDEX($E:$E,MATCH(TRUE,INDEX((ISNUMBER($E:$E)),0),0)))*($E330&gt;INDEX(_xlfn.ANCHORARRAY(Sintesi!$C$14),1,$C330))*($E330&lt;INDEX(_xlfn.ANCHORARRAY(Sintesi!$C$16),1,$C330))*(INDEX(_xlfn.ANCHORARRAY(Sintesi!$C$15),1,$C330)&lt;0)+($E330&gt;=$E329)*($E330&lt;=INDEX($E:$E,MATCH(TRUE,INDEX((ISNUMBER($E:$E)),0),0)))*($E330&gt;INDEX(_xlfn.ANCHORARRAY(Sintesi!$C$15),1,$C330))*($E330&lt;INDEX(_xlfn.ANCHORARRAY(Sintesi!$C$16),1,$C330))*(INDEX(_xlfn.ANCHORARRAY(Sintesi!$C$15),1,$C330)&gt;0),2,IF($E330=(INDEX(_xlfn.ANCHORARRAY(Sintesi!$C$16),1,$C330)),3,4)))),0),IF($C330&gt;0,IF(($E330=INDEX(_xlfn.ANCHORARRAY(Sintesi!$C$14),1,$C330))*(INDEX(_xlfn.ANCHORARRAY(Sintesi!$C$15),1,$C330)&gt;0),0,IF(($E330=INDEX(_xlfn.ANCHORARRAY(Sintesi!$C$14),1,$C330))*(INDEX(_xlfn.ANCHORARRAY(Sintesi!$C$15),1,$C330)&lt;0)+($E330&gt;=LOOKUP(2,1/($E:$E&lt;&gt;""),$E:$E))*($E330&lt;=INDEX($E:$E,MATCH(TRUE,INDEX((ISNUMBER($E:$E)),0),0)))*($E330&gt;INDEX(_xlfn.ANCHORARRAY(Sintesi!$C$14),1,$C330))*($E330&lt;=INDEX(_xlfn.ANCHORARRAY(Sintesi!$C$15),1,$C330))*(INDEX(_xlfn.ANCHORARRAY(Sintesi!$C$15),1,$C330)&gt;0),1,IF(($E330&gt;=LOOKUP(2,1/($E:$E&lt;&gt;""),$E:$E))*($E330&lt;=INDEX($E:$E,MATCH(TRUE,INDEX((ISNUMBER($E:$E)),0),0)))*($E330&gt;INDEX(_xlfn.ANCHORARRAY(Sintesi!$C$14),1,$C330))*($E330&lt;INDEX(_xlfn.ANCHORARRAY(Sintesi!$C$16),1,$C330))*(INDEX(_xlfn.ANCHORARRAY(Sintesi!$C$15),1,$C330)&lt;0)+($E330&gt;=LOOKUP(2,1/($E:$E&lt;&gt;""),$E:$E))*($E330&lt;=INDEX($E:$E,MATCH(TRUE,INDEX((ISNUMBER($E:$E)),0),0)))*($E330&gt;INDEX(_xlfn.ANCHORARRAY(Sintesi!$C$15),1,$C330))*($E330&lt;INDEX(_xlfn.ANCHORARRAY(Sintesi!$C$16),1,$C330))*(INDEX(_xlfn.ANCHORARRAY(Sintesi!$C$15),1,$C330)&gt;0),2,IF($E330=(INDEX(_xlfn.ANCHORARRAY(Sintesi!$C$16),1,$C330)),3,4)))),0)),IF(ISNUMBER($E329),IF($C330&gt;0,IF(($E330=INDEX(_xlfn.ANCHORARRAY(Sintesi!$C$14),1,$C330))*(INDEX(_xlfn.ANCHORARRAY(Sintesi!$C$15),1,$C330)&gt;0),0,IF(($E330=INDEX(_xlfn.ANCHORARRAY(Sintesi!$C$14),1,$C330))*(INDEX(_xlfn.ANCHORARRAY(Sintesi!$C$15),1,$C330)&lt;0)+($E330&gt;=$E329)*($E330&lt;=$E331)*($E330&gt;INDEX(_xlfn.ANCHORARRAY(Sintesi!$C$14),1,$C330))*($E330&lt;=INDEX(_xlfn.ANCHORARRAY(Sintesi!$C$15),1,$C330))*(INDEX(_xlfn.ANCHORARRAY(Sintesi!$C$15),1,$C330)&gt;0),1,IF(($E330&gt;=$E329)*($E330&lt;=$E331)*($E330&gt;INDEX(_xlfn.ANCHORARRAY(Sintesi!$C$14),1,$C330))*($E330&lt;INDEX(_xlfn.ANCHORARRAY(Sintesi!$C$16),1,$C330))*(INDEX(_xlfn.ANCHORARRAY(Sintesi!$C$15),1,$C330)&lt;0)+($E330&gt;=$E329)*($E330&lt;=$E331)*($E330&gt;INDEX(_xlfn.ANCHORARRAY(Sintesi!$C$15),1,$C330))*($E330&lt;INDEX(_xlfn.ANCHORARRAY(Sintesi!$C$16),1,$C330))*(INDEX(_xlfn.ANCHORARRAY(Sintesi!$C$15),1,$C330)&gt;0),2,IF($E330=(INDEX(_xlfn.ANCHORARRAY(Sintesi!$C$16),1,$C330)),3,4)))),0),IF($C330&gt;0,IF(($E330=INDEX(_xlfn.ANCHORARRAY(Sintesi!$C$14),1,$C330))*(INDEX(_xlfn.ANCHORARRAY(Sintesi!$C$15),1,$C330)&gt;0),0,IF(($E330=INDEX(_xlfn.ANCHORARRAY(Sintesi!$C$14),1,$C330))*(INDEX(_xlfn.ANCHORARRAY(Sintesi!$C$15),1,$C330)&lt;0)+($E330&gt;=LOOKUP(2,1/($E:$E&lt;&gt;""),$E:$E))*($E330&lt;=$E331)*($E330&gt;INDEX(_xlfn.ANCHORARRAY(Sintesi!$C$14),1,$C330))*($E330&lt;=INDEX(_xlfn.ANCHORARRAY(Sintesi!$C$15),1,$C330))*(INDEX(_xlfn.ANCHORARRAY(Sintesi!$C$15),1,$C330)&gt;0),1,IF(($E330&gt;=LOOKUP(2,1/($E:$E&lt;&gt;""),$E:$E))*($E330&lt;=$E331)*($E330&gt;INDEX(_xlfn.ANCHORARRAY(Sintesi!$C$14),1,$C330))*($E330&lt;INDEX(_xlfn.ANCHORARRAY(Sintesi!$C$16),1,$C330))*(INDEX(_xlfn.ANCHORARRAY(Sintesi!$C$15),1,$C330)&lt;0)+($E330&gt;=LOOKUP(2,1/($E:$E&lt;&gt;""),$E:$E))*($E330&lt;=$E331)*($E330&gt;INDEX(_xlfn.ANCHORARRAY(Sintesi!$C$15),1,$C330))*($E330&lt;INDEX(_xlfn.ANCHORARRAY(Sintesi!$C$16),1,$C330))*(INDEX(_xlfn.ANCHORARRAY(Sintesi!$C$15),1,$C330)&gt;0),2,IF($E330=(INDEX(_xlfn.ANCHORARRAY(Sintesi!$C$16),1,$C330)),3,4)))),0)))</f>
        <v>0</v>
      </c>
      <c r="E330" s="1">
        <f>'Paste cell here'!F330</f>
        <v>0</v>
      </c>
      <c r="F330" s="1">
        <f>'Paste cell here'!C330</f>
        <v>0</v>
      </c>
      <c r="G330" s="1">
        <f>'Paste cell here'!D330</f>
        <v>0</v>
      </c>
      <c r="H330" s="1">
        <f>'Paste cell here'!E330</f>
        <v>0</v>
      </c>
      <c r="I330" s="1">
        <f>'Paste cell here'!X330</f>
        <v>0</v>
      </c>
      <c r="J330" s="1">
        <f>'Paste cell here'!Y330+'Paste cell here'!S330</f>
        <v>0</v>
      </c>
      <c r="K330" s="1" t="e">
        <f t="shared" si="11"/>
        <v>#DIV/0!</v>
      </c>
      <c r="L330" s="1">
        <f t="shared" si="10"/>
        <v>0</v>
      </c>
      <c r="M330" s="1" cm="1">
        <f t="array" ref="M330">IF(AND(A330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,A330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),IF(L330&lt;_xlfn.IFNA(INDEX(_xlfn.ANCHORARRAY(Sintesi!$C$17)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,1,IF(L330&gt;=_xlfn.IFNA(INDEX(_xlfn.ANCHORARRAY(Sintesi!$C$18)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,0,1-(L330-_xlfn.IFNA(INDEX(_xlfn.ANCHORARRAY(Sintesi!$C$17)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)/(_xlfn.IFNA(INDEX(_xlfn.ANCHORARRAY(Sintesi!$C$18)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-_xlfn.IFNA(INDEX(_xlfn.ANCHORARRAY(Sintesi!$C$17),1,MATCH(1,(_xlfn.ANCHORARRAY(Sintesi!$C$9)&gt;_xlfn.ANCHORARRAY(Sintesi!$C$10))*(A329&gt;=_xlfn.ANCHORARRAY(Sintesi!$C$9))+(_xlfn.ANCHORARRAY(Sintesi!$C$9)&gt;_xlfn.ANCHORARRAY(Sintesi!$C$10))*(A329&lt;=_xlfn.ANCHORARRAY(Sintesi!$C$10))+(_xlfn.ANCHORARRAY(Sintesi!$C$9)&lt;_xlfn.ANCHORARRAY(Sintesi!$C$10))*(A329&gt;=_xlfn.ANCHORARRAY(Sintesi!$C$9))*(A329&lt;=_xlfn.ANCHORARRAY(Sintesi!$C$10)),0)),0)))),0)</f>
        <v>0</v>
      </c>
    </row>
    <row r="331" spans="1:13">
      <c r="A331" s="1">
        <f>'Paste cell here'!A331</f>
        <v>0</v>
      </c>
      <c r="B331" s="2">
        <f>DATE(Sintesi!$C$4-1,12,31)+A331</f>
        <v>44196</v>
      </c>
      <c r="C331" s="34" cm="1">
        <f t="array" ref="C331">_xlfn.IFNA(MATCH(1,(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)*(_xlfn.ANCHORARRAY(Sintesi!$C$15)&gt;=0)+(_xlfn.ANCHORARRAY(Sintesi!$C$15)&lt;0),0),0)</f>
        <v>0</v>
      </c>
      <c r="D331" s="1" cm="1">
        <f t="array" ref="D331">IF(ISBLANK($E332),IF(ISNUMBER($E330),IF($C331&gt;0,IF(($E331=INDEX(_xlfn.ANCHORARRAY(Sintesi!$C$14),1,$C331))*(INDEX(_xlfn.ANCHORARRAY(Sintesi!$C$15),1,$C331)&gt;0),0,IF(($E331=INDEX(_xlfn.ANCHORARRAY(Sintesi!$C$14),1,$C331))*(INDEX(_xlfn.ANCHORARRAY(Sintesi!$C$15),1,$C331)&lt;0)+($E331&gt;=$E330)*($E331&lt;=INDEX($E:$E,MATCH(TRUE,INDEX((ISNUMBER($E:$E)),0),0)))*($E331&gt;INDEX(_xlfn.ANCHORARRAY(Sintesi!$C$14),1,$C331))*($E331&lt;=INDEX(_xlfn.ANCHORARRAY(Sintesi!$C$15),1,$C331))*(INDEX(_xlfn.ANCHORARRAY(Sintesi!$C$15),1,$C331)&gt;0),1,IF(($E331&gt;=$E330)*($E331&lt;=INDEX($E:$E,MATCH(TRUE,INDEX((ISNUMBER($E:$E)),0),0)))*($E331&gt;INDEX(_xlfn.ANCHORARRAY(Sintesi!$C$14),1,$C331))*($E331&lt;INDEX(_xlfn.ANCHORARRAY(Sintesi!$C$16),1,$C331))*(INDEX(_xlfn.ANCHORARRAY(Sintesi!$C$15),1,$C331)&lt;0)+($E331&gt;=$E330)*($E331&lt;=INDEX($E:$E,MATCH(TRUE,INDEX((ISNUMBER($E:$E)),0),0)))*($E331&gt;INDEX(_xlfn.ANCHORARRAY(Sintesi!$C$15),1,$C331))*($E331&lt;INDEX(_xlfn.ANCHORARRAY(Sintesi!$C$16),1,$C331))*(INDEX(_xlfn.ANCHORARRAY(Sintesi!$C$15),1,$C331)&gt;0),2,IF($E331=(INDEX(_xlfn.ANCHORARRAY(Sintesi!$C$16),1,$C331)),3,4)))),0),IF($C331&gt;0,IF(($E331=INDEX(_xlfn.ANCHORARRAY(Sintesi!$C$14),1,$C331))*(INDEX(_xlfn.ANCHORARRAY(Sintesi!$C$15),1,$C331)&gt;0),0,IF(($E331=INDEX(_xlfn.ANCHORARRAY(Sintesi!$C$14),1,$C331))*(INDEX(_xlfn.ANCHORARRAY(Sintesi!$C$15),1,$C331)&lt;0)+($E331&gt;=LOOKUP(2,1/($E:$E&lt;&gt;""),$E:$E))*($E331&lt;=INDEX($E:$E,MATCH(TRUE,INDEX((ISNUMBER($E:$E)),0),0)))*($E331&gt;INDEX(_xlfn.ANCHORARRAY(Sintesi!$C$14),1,$C331))*($E331&lt;=INDEX(_xlfn.ANCHORARRAY(Sintesi!$C$15),1,$C331))*(INDEX(_xlfn.ANCHORARRAY(Sintesi!$C$15),1,$C331)&gt;0),1,IF(($E331&gt;=LOOKUP(2,1/($E:$E&lt;&gt;""),$E:$E))*($E331&lt;=INDEX($E:$E,MATCH(TRUE,INDEX((ISNUMBER($E:$E)),0),0)))*($E331&gt;INDEX(_xlfn.ANCHORARRAY(Sintesi!$C$14),1,$C331))*($E331&lt;INDEX(_xlfn.ANCHORARRAY(Sintesi!$C$16),1,$C331))*(INDEX(_xlfn.ANCHORARRAY(Sintesi!$C$15),1,$C331)&lt;0)+($E331&gt;=LOOKUP(2,1/($E:$E&lt;&gt;""),$E:$E))*($E331&lt;=INDEX($E:$E,MATCH(TRUE,INDEX((ISNUMBER($E:$E)),0),0)))*($E331&gt;INDEX(_xlfn.ANCHORARRAY(Sintesi!$C$15),1,$C331))*($E331&lt;INDEX(_xlfn.ANCHORARRAY(Sintesi!$C$16),1,$C331))*(INDEX(_xlfn.ANCHORARRAY(Sintesi!$C$15),1,$C331)&gt;0),2,IF($E331=(INDEX(_xlfn.ANCHORARRAY(Sintesi!$C$16),1,$C331)),3,4)))),0)),IF(ISNUMBER($E330),IF($C331&gt;0,IF(($E331=INDEX(_xlfn.ANCHORARRAY(Sintesi!$C$14),1,$C331))*(INDEX(_xlfn.ANCHORARRAY(Sintesi!$C$15),1,$C331)&gt;0),0,IF(($E331=INDEX(_xlfn.ANCHORARRAY(Sintesi!$C$14),1,$C331))*(INDEX(_xlfn.ANCHORARRAY(Sintesi!$C$15),1,$C331)&lt;0)+($E331&gt;=$E330)*($E331&lt;=$E332)*($E331&gt;INDEX(_xlfn.ANCHORARRAY(Sintesi!$C$14),1,$C331))*($E331&lt;=INDEX(_xlfn.ANCHORARRAY(Sintesi!$C$15),1,$C331))*(INDEX(_xlfn.ANCHORARRAY(Sintesi!$C$15),1,$C331)&gt;0),1,IF(($E331&gt;=$E330)*($E331&lt;=$E332)*($E331&gt;INDEX(_xlfn.ANCHORARRAY(Sintesi!$C$14),1,$C331))*($E331&lt;INDEX(_xlfn.ANCHORARRAY(Sintesi!$C$16),1,$C331))*(INDEX(_xlfn.ANCHORARRAY(Sintesi!$C$15),1,$C331)&lt;0)+($E331&gt;=$E330)*($E331&lt;=$E332)*($E331&gt;INDEX(_xlfn.ANCHORARRAY(Sintesi!$C$15),1,$C331))*($E331&lt;INDEX(_xlfn.ANCHORARRAY(Sintesi!$C$16),1,$C331))*(INDEX(_xlfn.ANCHORARRAY(Sintesi!$C$15),1,$C331)&gt;0),2,IF($E331=(INDEX(_xlfn.ANCHORARRAY(Sintesi!$C$16),1,$C331)),3,4)))),0),IF($C331&gt;0,IF(($E331=INDEX(_xlfn.ANCHORARRAY(Sintesi!$C$14),1,$C331))*(INDEX(_xlfn.ANCHORARRAY(Sintesi!$C$15),1,$C331)&gt;0),0,IF(($E331=INDEX(_xlfn.ANCHORARRAY(Sintesi!$C$14),1,$C331))*(INDEX(_xlfn.ANCHORARRAY(Sintesi!$C$15),1,$C331)&lt;0)+($E331&gt;=LOOKUP(2,1/($E:$E&lt;&gt;""),$E:$E))*($E331&lt;=$E332)*($E331&gt;INDEX(_xlfn.ANCHORARRAY(Sintesi!$C$14),1,$C331))*($E331&lt;=INDEX(_xlfn.ANCHORARRAY(Sintesi!$C$15),1,$C331))*(INDEX(_xlfn.ANCHORARRAY(Sintesi!$C$15),1,$C331)&gt;0),1,IF(($E331&gt;=LOOKUP(2,1/($E:$E&lt;&gt;""),$E:$E))*($E331&lt;=$E332)*($E331&gt;INDEX(_xlfn.ANCHORARRAY(Sintesi!$C$14),1,$C331))*($E331&lt;INDEX(_xlfn.ANCHORARRAY(Sintesi!$C$16),1,$C331))*(INDEX(_xlfn.ANCHORARRAY(Sintesi!$C$15),1,$C331)&lt;0)+($E331&gt;=LOOKUP(2,1/($E:$E&lt;&gt;""),$E:$E))*($E331&lt;=$E332)*($E331&gt;INDEX(_xlfn.ANCHORARRAY(Sintesi!$C$15),1,$C331))*($E331&lt;INDEX(_xlfn.ANCHORARRAY(Sintesi!$C$16),1,$C331))*(INDEX(_xlfn.ANCHORARRAY(Sintesi!$C$15),1,$C331)&gt;0),2,IF($E331=(INDEX(_xlfn.ANCHORARRAY(Sintesi!$C$16),1,$C331)),3,4)))),0)))</f>
        <v>0</v>
      </c>
      <c r="E331" s="1">
        <f>'Paste cell here'!F331</f>
        <v>0</v>
      </c>
      <c r="F331" s="1">
        <f>'Paste cell here'!C331</f>
        <v>0</v>
      </c>
      <c r="G331" s="1">
        <f>'Paste cell here'!D331</f>
        <v>0</v>
      </c>
      <c r="H331" s="1">
        <f>'Paste cell here'!E331</f>
        <v>0</v>
      </c>
      <c r="I331" s="1">
        <f>'Paste cell here'!X331</f>
        <v>0</v>
      </c>
      <c r="J331" s="1">
        <f>'Paste cell here'!Y331+'Paste cell here'!S331</f>
        <v>0</v>
      </c>
      <c r="K331" s="1" t="e">
        <f t="shared" si="11"/>
        <v>#DIV/0!</v>
      </c>
      <c r="L331" s="1">
        <f t="shared" si="10"/>
        <v>0</v>
      </c>
      <c r="M331" s="1" cm="1">
        <f t="array" ref="M331">IF(AND(A331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,A331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),IF(L331&lt;_xlfn.IFNA(INDEX(_xlfn.ANCHORARRAY(Sintesi!$C$17)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,1,IF(L331&gt;=_xlfn.IFNA(INDEX(_xlfn.ANCHORARRAY(Sintesi!$C$18)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,0,1-(L331-_xlfn.IFNA(INDEX(_xlfn.ANCHORARRAY(Sintesi!$C$17)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)/(_xlfn.IFNA(INDEX(_xlfn.ANCHORARRAY(Sintesi!$C$18)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-_xlfn.IFNA(INDEX(_xlfn.ANCHORARRAY(Sintesi!$C$17),1,MATCH(1,(_xlfn.ANCHORARRAY(Sintesi!$C$9)&gt;_xlfn.ANCHORARRAY(Sintesi!$C$10))*(A330&gt;=_xlfn.ANCHORARRAY(Sintesi!$C$9))+(_xlfn.ANCHORARRAY(Sintesi!$C$9)&gt;_xlfn.ANCHORARRAY(Sintesi!$C$10))*(A330&lt;=_xlfn.ANCHORARRAY(Sintesi!$C$10))+(_xlfn.ANCHORARRAY(Sintesi!$C$9)&lt;_xlfn.ANCHORARRAY(Sintesi!$C$10))*(A330&gt;=_xlfn.ANCHORARRAY(Sintesi!$C$9))*(A330&lt;=_xlfn.ANCHORARRAY(Sintesi!$C$10)),0)),0)))),0)</f>
        <v>0</v>
      </c>
    </row>
    <row r="332" spans="1:13">
      <c r="A332" s="1">
        <f>'Paste cell here'!A332</f>
        <v>0</v>
      </c>
      <c r="B332" s="2">
        <f>DATE(Sintesi!$C$4-1,12,31)+A332</f>
        <v>44196</v>
      </c>
      <c r="C332" s="34" cm="1">
        <f t="array" ref="C332">_xlfn.IFNA(MATCH(1,(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)*(_xlfn.ANCHORARRAY(Sintesi!$C$15)&gt;=0)+(_xlfn.ANCHORARRAY(Sintesi!$C$15)&lt;0),0),0)</f>
        <v>0</v>
      </c>
      <c r="D332" s="1" cm="1">
        <f t="array" ref="D332">IF(ISBLANK($E333),IF(ISNUMBER($E331),IF($C332&gt;0,IF(($E332=INDEX(_xlfn.ANCHORARRAY(Sintesi!$C$14),1,$C332))*(INDEX(_xlfn.ANCHORARRAY(Sintesi!$C$15),1,$C332)&gt;0),0,IF(($E332=INDEX(_xlfn.ANCHORARRAY(Sintesi!$C$14),1,$C332))*(INDEX(_xlfn.ANCHORARRAY(Sintesi!$C$15),1,$C332)&lt;0)+($E332&gt;=$E331)*($E332&lt;=INDEX($E:$E,MATCH(TRUE,INDEX((ISNUMBER($E:$E)),0),0)))*($E332&gt;INDEX(_xlfn.ANCHORARRAY(Sintesi!$C$14),1,$C332))*($E332&lt;=INDEX(_xlfn.ANCHORARRAY(Sintesi!$C$15),1,$C332))*(INDEX(_xlfn.ANCHORARRAY(Sintesi!$C$15),1,$C332)&gt;0),1,IF(($E332&gt;=$E331)*($E332&lt;=INDEX($E:$E,MATCH(TRUE,INDEX((ISNUMBER($E:$E)),0),0)))*($E332&gt;INDEX(_xlfn.ANCHORARRAY(Sintesi!$C$14),1,$C332))*($E332&lt;INDEX(_xlfn.ANCHORARRAY(Sintesi!$C$16),1,$C332))*(INDEX(_xlfn.ANCHORARRAY(Sintesi!$C$15),1,$C332)&lt;0)+($E332&gt;=$E331)*($E332&lt;=INDEX($E:$E,MATCH(TRUE,INDEX((ISNUMBER($E:$E)),0),0)))*($E332&gt;INDEX(_xlfn.ANCHORARRAY(Sintesi!$C$15),1,$C332))*($E332&lt;INDEX(_xlfn.ANCHORARRAY(Sintesi!$C$16),1,$C332))*(INDEX(_xlfn.ANCHORARRAY(Sintesi!$C$15),1,$C332)&gt;0),2,IF($E332=(INDEX(_xlfn.ANCHORARRAY(Sintesi!$C$16),1,$C332)),3,4)))),0),IF($C332&gt;0,IF(($E332=INDEX(_xlfn.ANCHORARRAY(Sintesi!$C$14),1,$C332))*(INDEX(_xlfn.ANCHORARRAY(Sintesi!$C$15),1,$C332)&gt;0),0,IF(($E332=INDEX(_xlfn.ANCHORARRAY(Sintesi!$C$14),1,$C332))*(INDEX(_xlfn.ANCHORARRAY(Sintesi!$C$15),1,$C332)&lt;0)+($E332&gt;=LOOKUP(2,1/($E:$E&lt;&gt;""),$E:$E))*($E332&lt;=INDEX($E:$E,MATCH(TRUE,INDEX((ISNUMBER($E:$E)),0),0)))*($E332&gt;INDEX(_xlfn.ANCHORARRAY(Sintesi!$C$14),1,$C332))*($E332&lt;=INDEX(_xlfn.ANCHORARRAY(Sintesi!$C$15),1,$C332))*(INDEX(_xlfn.ANCHORARRAY(Sintesi!$C$15),1,$C332)&gt;0),1,IF(($E332&gt;=LOOKUP(2,1/($E:$E&lt;&gt;""),$E:$E))*($E332&lt;=INDEX($E:$E,MATCH(TRUE,INDEX((ISNUMBER($E:$E)),0),0)))*($E332&gt;INDEX(_xlfn.ANCHORARRAY(Sintesi!$C$14),1,$C332))*($E332&lt;INDEX(_xlfn.ANCHORARRAY(Sintesi!$C$16),1,$C332))*(INDEX(_xlfn.ANCHORARRAY(Sintesi!$C$15),1,$C332)&lt;0)+($E332&gt;=LOOKUP(2,1/($E:$E&lt;&gt;""),$E:$E))*($E332&lt;=INDEX($E:$E,MATCH(TRUE,INDEX((ISNUMBER($E:$E)),0),0)))*($E332&gt;INDEX(_xlfn.ANCHORARRAY(Sintesi!$C$15),1,$C332))*($E332&lt;INDEX(_xlfn.ANCHORARRAY(Sintesi!$C$16),1,$C332))*(INDEX(_xlfn.ANCHORARRAY(Sintesi!$C$15),1,$C332)&gt;0),2,IF($E332=(INDEX(_xlfn.ANCHORARRAY(Sintesi!$C$16),1,$C332)),3,4)))),0)),IF(ISNUMBER($E331),IF($C332&gt;0,IF(($E332=INDEX(_xlfn.ANCHORARRAY(Sintesi!$C$14),1,$C332))*(INDEX(_xlfn.ANCHORARRAY(Sintesi!$C$15),1,$C332)&gt;0),0,IF(($E332=INDEX(_xlfn.ANCHORARRAY(Sintesi!$C$14),1,$C332))*(INDEX(_xlfn.ANCHORARRAY(Sintesi!$C$15),1,$C332)&lt;0)+($E332&gt;=$E331)*($E332&lt;=$E333)*($E332&gt;INDEX(_xlfn.ANCHORARRAY(Sintesi!$C$14),1,$C332))*($E332&lt;=INDEX(_xlfn.ANCHORARRAY(Sintesi!$C$15),1,$C332))*(INDEX(_xlfn.ANCHORARRAY(Sintesi!$C$15),1,$C332)&gt;0),1,IF(($E332&gt;=$E331)*($E332&lt;=$E333)*($E332&gt;INDEX(_xlfn.ANCHORARRAY(Sintesi!$C$14),1,$C332))*($E332&lt;INDEX(_xlfn.ANCHORARRAY(Sintesi!$C$16),1,$C332))*(INDEX(_xlfn.ANCHORARRAY(Sintesi!$C$15),1,$C332)&lt;0)+($E332&gt;=$E331)*($E332&lt;=$E333)*($E332&gt;INDEX(_xlfn.ANCHORARRAY(Sintesi!$C$15),1,$C332))*($E332&lt;INDEX(_xlfn.ANCHORARRAY(Sintesi!$C$16),1,$C332))*(INDEX(_xlfn.ANCHORARRAY(Sintesi!$C$15),1,$C332)&gt;0),2,IF($E332=(INDEX(_xlfn.ANCHORARRAY(Sintesi!$C$16),1,$C332)),3,4)))),0),IF($C332&gt;0,IF(($E332=INDEX(_xlfn.ANCHORARRAY(Sintesi!$C$14),1,$C332))*(INDEX(_xlfn.ANCHORARRAY(Sintesi!$C$15),1,$C332)&gt;0),0,IF(($E332=INDEX(_xlfn.ANCHORARRAY(Sintesi!$C$14),1,$C332))*(INDEX(_xlfn.ANCHORARRAY(Sintesi!$C$15),1,$C332)&lt;0)+($E332&gt;=LOOKUP(2,1/($E:$E&lt;&gt;""),$E:$E))*($E332&lt;=$E333)*($E332&gt;INDEX(_xlfn.ANCHORARRAY(Sintesi!$C$14),1,$C332))*($E332&lt;=INDEX(_xlfn.ANCHORARRAY(Sintesi!$C$15),1,$C332))*(INDEX(_xlfn.ANCHORARRAY(Sintesi!$C$15),1,$C332)&gt;0),1,IF(($E332&gt;=LOOKUP(2,1/($E:$E&lt;&gt;""),$E:$E))*($E332&lt;=$E333)*($E332&gt;INDEX(_xlfn.ANCHORARRAY(Sintesi!$C$14),1,$C332))*($E332&lt;INDEX(_xlfn.ANCHORARRAY(Sintesi!$C$16),1,$C332))*(INDEX(_xlfn.ANCHORARRAY(Sintesi!$C$15),1,$C332)&lt;0)+($E332&gt;=LOOKUP(2,1/($E:$E&lt;&gt;""),$E:$E))*($E332&lt;=$E333)*($E332&gt;INDEX(_xlfn.ANCHORARRAY(Sintesi!$C$15),1,$C332))*($E332&lt;INDEX(_xlfn.ANCHORARRAY(Sintesi!$C$16),1,$C332))*(INDEX(_xlfn.ANCHORARRAY(Sintesi!$C$15),1,$C332)&gt;0),2,IF($E332=(INDEX(_xlfn.ANCHORARRAY(Sintesi!$C$16),1,$C332)),3,4)))),0)))</f>
        <v>0</v>
      </c>
      <c r="E332" s="1">
        <f>'Paste cell here'!F332</f>
        <v>0</v>
      </c>
      <c r="F332" s="1">
        <f>'Paste cell here'!C332</f>
        <v>0</v>
      </c>
      <c r="G332" s="1">
        <f>'Paste cell here'!D332</f>
        <v>0</v>
      </c>
      <c r="H332" s="1">
        <f>'Paste cell here'!E332</f>
        <v>0</v>
      </c>
      <c r="I332" s="1">
        <f>'Paste cell here'!X332</f>
        <v>0</v>
      </c>
      <c r="J332" s="1">
        <f>'Paste cell here'!Y332+'Paste cell here'!S332</f>
        <v>0</v>
      </c>
      <c r="K332" s="1" t="e">
        <f t="shared" si="11"/>
        <v>#DIV/0!</v>
      </c>
      <c r="L332" s="1">
        <f t="shared" si="10"/>
        <v>0</v>
      </c>
      <c r="M332" s="1" cm="1">
        <f t="array" ref="M332">IF(AND(A332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,A332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),IF(L332&lt;_xlfn.IFNA(INDEX(_xlfn.ANCHORARRAY(Sintesi!$C$17)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,1,IF(L332&gt;=_xlfn.IFNA(INDEX(_xlfn.ANCHORARRAY(Sintesi!$C$18)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,0,1-(L332-_xlfn.IFNA(INDEX(_xlfn.ANCHORARRAY(Sintesi!$C$17)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)/(_xlfn.IFNA(INDEX(_xlfn.ANCHORARRAY(Sintesi!$C$18)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-_xlfn.IFNA(INDEX(_xlfn.ANCHORARRAY(Sintesi!$C$17),1,MATCH(1,(_xlfn.ANCHORARRAY(Sintesi!$C$9)&gt;_xlfn.ANCHORARRAY(Sintesi!$C$10))*(A331&gt;=_xlfn.ANCHORARRAY(Sintesi!$C$9))+(_xlfn.ANCHORARRAY(Sintesi!$C$9)&gt;_xlfn.ANCHORARRAY(Sintesi!$C$10))*(A331&lt;=_xlfn.ANCHORARRAY(Sintesi!$C$10))+(_xlfn.ANCHORARRAY(Sintesi!$C$9)&lt;_xlfn.ANCHORARRAY(Sintesi!$C$10))*(A331&gt;=_xlfn.ANCHORARRAY(Sintesi!$C$9))*(A331&lt;=_xlfn.ANCHORARRAY(Sintesi!$C$10)),0)),0)))),0)</f>
        <v>0</v>
      </c>
    </row>
    <row r="333" spans="1:13">
      <c r="A333" s="1">
        <f>'Paste cell here'!A333</f>
        <v>0</v>
      </c>
      <c r="B333" s="2">
        <f>DATE(Sintesi!$C$4-1,12,31)+A333</f>
        <v>44196</v>
      </c>
      <c r="C333" s="34" cm="1">
        <f t="array" ref="C333">_xlfn.IFNA(MATCH(1,(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)*(_xlfn.ANCHORARRAY(Sintesi!$C$15)&gt;=0)+(_xlfn.ANCHORARRAY(Sintesi!$C$15)&lt;0),0),0)</f>
        <v>0</v>
      </c>
      <c r="D333" s="1" cm="1">
        <f t="array" ref="D333">IF(ISBLANK($E334),IF(ISNUMBER($E332),IF($C333&gt;0,IF(($E333=INDEX(_xlfn.ANCHORARRAY(Sintesi!$C$14),1,$C333))*(INDEX(_xlfn.ANCHORARRAY(Sintesi!$C$15),1,$C333)&gt;0),0,IF(($E333=INDEX(_xlfn.ANCHORARRAY(Sintesi!$C$14),1,$C333))*(INDEX(_xlfn.ANCHORARRAY(Sintesi!$C$15),1,$C333)&lt;0)+($E333&gt;=$E332)*($E333&lt;=INDEX($E:$E,MATCH(TRUE,INDEX((ISNUMBER($E:$E)),0),0)))*($E333&gt;INDEX(_xlfn.ANCHORARRAY(Sintesi!$C$14),1,$C333))*($E333&lt;=INDEX(_xlfn.ANCHORARRAY(Sintesi!$C$15),1,$C333))*(INDEX(_xlfn.ANCHORARRAY(Sintesi!$C$15),1,$C333)&gt;0),1,IF(($E333&gt;=$E332)*($E333&lt;=INDEX($E:$E,MATCH(TRUE,INDEX((ISNUMBER($E:$E)),0),0)))*($E333&gt;INDEX(_xlfn.ANCHORARRAY(Sintesi!$C$14),1,$C333))*($E333&lt;INDEX(_xlfn.ANCHORARRAY(Sintesi!$C$16),1,$C333))*(INDEX(_xlfn.ANCHORARRAY(Sintesi!$C$15),1,$C333)&lt;0)+($E333&gt;=$E332)*($E333&lt;=INDEX($E:$E,MATCH(TRUE,INDEX((ISNUMBER($E:$E)),0),0)))*($E333&gt;INDEX(_xlfn.ANCHORARRAY(Sintesi!$C$15),1,$C333))*($E333&lt;INDEX(_xlfn.ANCHORARRAY(Sintesi!$C$16),1,$C333))*(INDEX(_xlfn.ANCHORARRAY(Sintesi!$C$15),1,$C333)&gt;0),2,IF($E333=(INDEX(_xlfn.ANCHORARRAY(Sintesi!$C$16),1,$C333)),3,4)))),0),IF($C333&gt;0,IF(($E333=INDEX(_xlfn.ANCHORARRAY(Sintesi!$C$14),1,$C333))*(INDEX(_xlfn.ANCHORARRAY(Sintesi!$C$15),1,$C333)&gt;0),0,IF(($E333=INDEX(_xlfn.ANCHORARRAY(Sintesi!$C$14),1,$C333))*(INDEX(_xlfn.ANCHORARRAY(Sintesi!$C$15),1,$C333)&lt;0)+($E333&gt;=LOOKUP(2,1/($E:$E&lt;&gt;""),$E:$E))*($E333&lt;=INDEX($E:$E,MATCH(TRUE,INDEX((ISNUMBER($E:$E)),0),0)))*($E333&gt;INDEX(_xlfn.ANCHORARRAY(Sintesi!$C$14),1,$C333))*($E333&lt;=INDEX(_xlfn.ANCHORARRAY(Sintesi!$C$15),1,$C333))*(INDEX(_xlfn.ANCHORARRAY(Sintesi!$C$15),1,$C333)&gt;0),1,IF(($E333&gt;=LOOKUP(2,1/($E:$E&lt;&gt;""),$E:$E))*($E333&lt;=INDEX($E:$E,MATCH(TRUE,INDEX((ISNUMBER($E:$E)),0),0)))*($E333&gt;INDEX(_xlfn.ANCHORARRAY(Sintesi!$C$14),1,$C333))*($E333&lt;INDEX(_xlfn.ANCHORARRAY(Sintesi!$C$16),1,$C333))*(INDEX(_xlfn.ANCHORARRAY(Sintesi!$C$15),1,$C333)&lt;0)+($E333&gt;=LOOKUP(2,1/($E:$E&lt;&gt;""),$E:$E))*($E333&lt;=INDEX($E:$E,MATCH(TRUE,INDEX((ISNUMBER($E:$E)),0),0)))*($E333&gt;INDEX(_xlfn.ANCHORARRAY(Sintesi!$C$15),1,$C333))*($E333&lt;INDEX(_xlfn.ANCHORARRAY(Sintesi!$C$16),1,$C333))*(INDEX(_xlfn.ANCHORARRAY(Sintesi!$C$15),1,$C333)&gt;0),2,IF($E333=(INDEX(_xlfn.ANCHORARRAY(Sintesi!$C$16),1,$C333)),3,4)))),0)),IF(ISNUMBER($E332),IF($C333&gt;0,IF(($E333=INDEX(_xlfn.ANCHORARRAY(Sintesi!$C$14),1,$C333))*(INDEX(_xlfn.ANCHORARRAY(Sintesi!$C$15),1,$C333)&gt;0),0,IF(($E333=INDEX(_xlfn.ANCHORARRAY(Sintesi!$C$14),1,$C333))*(INDEX(_xlfn.ANCHORARRAY(Sintesi!$C$15),1,$C333)&lt;0)+($E333&gt;=$E332)*($E333&lt;=$E334)*($E333&gt;INDEX(_xlfn.ANCHORARRAY(Sintesi!$C$14),1,$C333))*($E333&lt;=INDEX(_xlfn.ANCHORARRAY(Sintesi!$C$15),1,$C333))*(INDEX(_xlfn.ANCHORARRAY(Sintesi!$C$15),1,$C333)&gt;0),1,IF(($E333&gt;=$E332)*($E333&lt;=$E334)*($E333&gt;INDEX(_xlfn.ANCHORARRAY(Sintesi!$C$14),1,$C333))*($E333&lt;INDEX(_xlfn.ANCHORARRAY(Sintesi!$C$16),1,$C333))*(INDEX(_xlfn.ANCHORARRAY(Sintesi!$C$15),1,$C333)&lt;0)+($E333&gt;=$E332)*($E333&lt;=$E334)*($E333&gt;INDEX(_xlfn.ANCHORARRAY(Sintesi!$C$15),1,$C333))*($E333&lt;INDEX(_xlfn.ANCHORARRAY(Sintesi!$C$16),1,$C333))*(INDEX(_xlfn.ANCHORARRAY(Sintesi!$C$15),1,$C333)&gt;0),2,IF($E333=(INDEX(_xlfn.ANCHORARRAY(Sintesi!$C$16),1,$C333)),3,4)))),0),IF($C333&gt;0,IF(($E333=INDEX(_xlfn.ANCHORARRAY(Sintesi!$C$14),1,$C333))*(INDEX(_xlfn.ANCHORARRAY(Sintesi!$C$15),1,$C333)&gt;0),0,IF(($E333=INDEX(_xlfn.ANCHORARRAY(Sintesi!$C$14),1,$C333))*(INDEX(_xlfn.ANCHORARRAY(Sintesi!$C$15),1,$C333)&lt;0)+($E333&gt;=LOOKUP(2,1/($E:$E&lt;&gt;""),$E:$E))*($E333&lt;=$E334)*($E333&gt;INDEX(_xlfn.ANCHORARRAY(Sintesi!$C$14),1,$C333))*($E333&lt;=INDEX(_xlfn.ANCHORARRAY(Sintesi!$C$15),1,$C333))*(INDEX(_xlfn.ANCHORARRAY(Sintesi!$C$15),1,$C333)&gt;0),1,IF(($E333&gt;=LOOKUP(2,1/($E:$E&lt;&gt;""),$E:$E))*($E333&lt;=$E334)*($E333&gt;INDEX(_xlfn.ANCHORARRAY(Sintesi!$C$14),1,$C333))*($E333&lt;INDEX(_xlfn.ANCHORARRAY(Sintesi!$C$16),1,$C333))*(INDEX(_xlfn.ANCHORARRAY(Sintesi!$C$15),1,$C333)&lt;0)+($E333&gt;=LOOKUP(2,1/($E:$E&lt;&gt;""),$E:$E))*($E333&lt;=$E334)*($E333&gt;INDEX(_xlfn.ANCHORARRAY(Sintesi!$C$15),1,$C333))*($E333&lt;INDEX(_xlfn.ANCHORARRAY(Sintesi!$C$16),1,$C333))*(INDEX(_xlfn.ANCHORARRAY(Sintesi!$C$15),1,$C333)&gt;0),2,IF($E333=(INDEX(_xlfn.ANCHORARRAY(Sintesi!$C$16),1,$C333)),3,4)))),0)))</f>
        <v>0</v>
      </c>
      <c r="E333" s="1">
        <f>'Paste cell here'!F333</f>
        <v>0</v>
      </c>
      <c r="F333" s="1">
        <f>'Paste cell here'!C333</f>
        <v>0</v>
      </c>
      <c r="G333" s="1">
        <f>'Paste cell here'!D333</f>
        <v>0</v>
      </c>
      <c r="H333" s="1">
        <f>'Paste cell here'!E333</f>
        <v>0</v>
      </c>
      <c r="I333" s="1">
        <f>'Paste cell here'!X333</f>
        <v>0</v>
      </c>
      <c r="J333" s="1">
        <f>'Paste cell here'!Y333+'Paste cell here'!S333</f>
        <v>0</v>
      </c>
      <c r="K333" s="1" t="e">
        <f t="shared" si="11"/>
        <v>#DIV/0!</v>
      </c>
      <c r="L333" s="1">
        <f t="shared" si="10"/>
        <v>0</v>
      </c>
      <c r="M333" s="1" cm="1">
        <f t="array" ref="M333">IF(AND(A333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,A333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),IF(L333&lt;_xlfn.IFNA(INDEX(_xlfn.ANCHORARRAY(Sintesi!$C$17)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,1,IF(L333&gt;=_xlfn.IFNA(INDEX(_xlfn.ANCHORARRAY(Sintesi!$C$18)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,0,1-(L333-_xlfn.IFNA(INDEX(_xlfn.ANCHORARRAY(Sintesi!$C$17)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)/(_xlfn.IFNA(INDEX(_xlfn.ANCHORARRAY(Sintesi!$C$18)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-_xlfn.IFNA(INDEX(_xlfn.ANCHORARRAY(Sintesi!$C$17),1,MATCH(1,(_xlfn.ANCHORARRAY(Sintesi!$C$9)&gt;_xlfn.ANCHORARRAY(Sintesi!$C$10))*(A332&gt;=_xlfn.ANCHORARRAY(Sintesi!$C$9))+(_xlfn.ANCHORARRAY(Sintesi!$C$9)&gt;_xlfn.ANCHORARRAY(Sintesi!$C$10))*(A332&lt;=_xlfn.ANCHORARRAY(Sintesi!$C$10))+(_xlfn.ANCHORARRAY(Sintesi!$C$9)&lt;_xlfn.ANCHORARRAY(Sintesi!$C$10))*(A332&gt;=_xlfn.ANCHORARRAY(Sintesi!$C$9))*(A332&lt;=_xlfn.ANCHORARRAY(Sintesi!$C$10)),0)),0)))),0)</f>
        <v>0</v>
      </c>
    </row>
    <row r="334" spans="1:13">
      <c r="A334" s="1">
        <f>'Paste cell here'!A334</f>
        <v>0</v>
      </c>
      <c r="B334" s="2">
        <f>DATE(Sintesi!$C$4-1,12,31)+A334</f>
        <v>44196</v>
      </c>
      <c r="C334" s="34" cm="1">
        <f t="array" ref="C334">_xlfn.IFNA(MATCH(1,(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)*(_xlfn.ANCHORARRAY(Sintesi!$C$15)&gt;=0)+(_xlfn.ANCHORARRAY(Sintesi!$C$15)&lt;0),0),0)</f>
        <v>0</v>
      </c>
      <c r="D334" s="1" cm="1">
        <f t="array" ref="D334">IF(ISBLANK($E335),IF(ISNUMBER($E333),IF($C334&gt;0,IF(($E334=INDEX(_xlfn.ANCHORARRAY(Sintesi!$C$14),1,$C334))*(INDEX(_xlfn.ANCHORARRAY(Sintesi!$C$15),1,$C334)&gt;0),0,IF(($E334=INDEX(_xlfn.ANCHORARRAY(Sintesi!$C$14),1,$C334))*(INDEX(_xlfn.ANCHORARRAY(Sintesi!$C$15),1,$C334)&lt;0)+($E334&gt;=$E333)*($E334&lt;=INDEX($E:$E,MATCH(TRUE,INDEX((ISNUMBER($E:$E)),0),0)))*($E334&gt;INDEX(_xlfn.ANCHORARRAY(Sintesi!$C$14),1,$C334))*($E334&lt;=INDEX(_xlfn.ANCHORARRAY(Sintesi!$C$15),1,$C334))*(INDEX(_xlfn.ANCHORARRAY(Sintesi!$C$15),1,$C334)&gt;0),1,IF(($E334&gt;=$E333)*($E334&lt;=INDEX($E:$E,MATCH(TRUE,INDEX((ISNUMBER($E:$E)),0),0)))*($E334&gt;INDEX(_xlfn.ANCHORARRAY(Sintesi!$C$14),1,$C334))*($E334&lt;INDEX(_xlfn.ANCHORARRAY(Sintesi!$C$16),1,$C334))*(INDEX(_xlfn.ANCHORARRAY(Sintesi!$C$15),1,$C334)&lt;0)+($E334&gt;=$E333)*($E334&lt;=INDEX($E:$E,MATCH(TRUE,INDEX((ISNUMBER($E:$E)),0),0)))*($E334&gt;INDEX(_xlfn.ANCHORARRAY(Sintesi!$C$15),1,$C334))*($E334&lt;INDEX(_xlfn.ANCHORARRAY(Sintesi!$C$16),1,$C334))*(INDEX(_xlfn.ANCHORARRAY(Sintesi!$C$15),1,$C334)&gt;0),2,IF($E334=(INDEX(_xlfn.ANCHORARRAY(Sintesi!$C$16),1,$C334)),3,4)))),0),IF($C334&gt;0,IF(($E334=INDEX(_xlfn.ANCHORARRAY(Sintesi!$C$14),1,$C334))*(INDEX(_xlfn.ANCHORARRAY(Sintesi!$C$15),1,$C334)&gt;0),0,IF(($E334=INDEX(_xlfn.ANCHORARRAY(Sintesi!$C$14),1,$C334))*(INDEX(_xlfn.ANCHORARRAY(Sintesi!$C$15),1,$C334)&lt;0)+($E334&gt;=LOOKUP(2,1/($E:$E&lt;&gt;""),$E:$E))*($E334&lt;=INDEX($E:$E,MATCH(TRUE,INDEX((ISNUMBER($E:$E)),0),0)))*($E334&gt;INDEX(_xlfn.ANCHORARRAY(Sintesi!$C$14),1,$C334))*($E334&lt;=INDEX(_xlfn.ANCHORARRAY(Sintesi!$C$15),1,$C334))*(INDEX(_xlfn.ANCHORARRAY(Sintesi!$C$15),1,$C334)&gt;0),1,IF(($E334&gt;=LOOKUP(2,1/($E:$E&lt;&gt;""),$E:$E))*($E334&lt;=INDEX($E:$E,MATCH(TRUE,INDEX((ISNUMBER($E:$E)),0),0)))*($E334&gt;INDEX(_xlfn.ANCHORARRAY(Sintesi!$C$14),1,$C334))*($E334&lt;INDEX(_xlfn.ANCHORARRAY(Sintesi!$C$16),1,$C334))*(INDEX(_xlfn.ANCHORARRAY(Sintesi!$C$15),1,$C334)&lt;0)+($E334&gt;=LOOKUP(2,1/($E:$E&lt;&gt;""),$E:$E))*($E334&lt;=INDEX($E:$E,MATCH(TRUE,INDEX((ISNUMBER($E:$E)),0),0)))*($E334&gt;INDEX(_xlfn.ANCHORARRAY(Sintesi!$C$15),1,$C334))*($E334&lt;INDEX(_xlfn.ANCHORARRAY(Sintesi!$C$16),1,$C334))*(INDEX(_xlfn.ANCHORARRAY(Sintesi!$C$15),1,$C334)&gt;0),2,IF($E334=(INDEX(_xlfn.ANCHORARRAY(Sintesi!$C$16),1,$C334)),3,4)))),0)),IF(ISNUMBER($E333),IF($C334&gt;0,IF(($E334=INDEX(_xlfn.ANCHORARRAY(Sintesi!$C$14),1,$C334))*(INDEX(_xlfn.ANCHORARRAY(Sintesi!$C$15),1,$C334)&gt;0),0,IF(($E334=INDEX(_xlfn.ANCHORARRAY(Sintesi!$C$14),1,$C334))*(INDEX(_xlfn.ANCHORARRAY(Sintesi!$C$15),1,$C334)&lt;0)+($E334&gt;=$E333)*($E334&lt;=$E335)*($E334&gt;INDEX(_xlfn.ANCHORARRAY(Sintesi!$C$14),1,$C334))*($E334&lt;=INDEX(_xlfn.ANCHORARRAY(Sintesi!$C$15),1,$C334))*(INDEX(_xlfn.ANCHORARRAY(Sintesi!$C$15),1,$C334)&gt;0),1,IF(($E334&gt;=$E333)*($E334&lt;=$E335)*($E334&gt;INDEX(_xlfn.ANCHORARRAY(Sintesi!$C$14),1,$C334))*($E334&lt;INDEX(_xlfn.ANCHORARRAY(Sintesi!$C$16),1,$C334))*(INDEX(_xlfn.ANCHORARRAY(Sintesi!$C$15),1,$C334)&lt;0)+($E334&gt;=$E333)*($E334&lt;=$E335)*($E334&gt;INDEX(_xlfn.ANCHORARRAY(Sintesi!$C$15),1,$C334))*($E334&lt;INDEX(_xlfn.ANCHORARRAY(Sintesi!$C$16),1,$C334))*(INDEX(_xlfn.ANCHORARRAY(Sintesi!$C$15),1,$C334)&gt;0),2,IF($E334=(INDEX(_xlfn.ANCHORARRAY(Sintesi!$C$16),1,$C334)),3,4)))),0),IF($C334&gt;0,IF(($E334=INDEX(_xlfn.ANCHORARRAY(Sintesi!$C$14),1,$C334))*(INDEX(_xlfn.ANCHORARRAY(Sintesi!$C$15),1,$C334)&gt;0),0,IF(($E334=INDEX(_xlfn.ANCHORARRAY(Sintesi!$C$14),1,$C334))*(INDEX(_xlfn.ANCHORARRAY(Sintesi!$C$15),1,$C334)&lt;0)+($E334&gt;=LOOKUP(2,1/($E:$E&lt;&gt;""),$E:$E))*($E334&lt;=$E335)*($E334&gt;INDEX(_xlfn.ANCHORARRAY(Sintesi!$C$14),1,$C334))*($E334&lt;=INDEX(_xlfn.ANCHORARRAY(Sintesi!$C$15),1,$C334))*(INDEX(_xlfn.ANCHORARRAY(Sintesi!$C$15),1,$C334)&gt;0),1,IF(($E334&gt;=LOOKUP(2,1/($E:$E&lt;&gt;""),$E:$E))*($E334&lt;=$E335)*($E334&gt;INDEX(_xlfn.ANCHORARRAY(Sintesi!$C$14),1,$C334))*($E334&lt;INDEX(_xlfn.ANCHORARRAY(Sintesi!$C$16),1,$C334))*(INDEX(_xlfn.ANCHORARRAY(Sintesi!$C$15),1,$C334)&lt;0)+($E334&gt;=LOOKUP(2,1/($E:$E&lt;&gt;""),$E:$E))*($E334&lt;=$E335)*($E334&gt;INDEX(_xlfn.ANCHORARRAY(Sintesi!$C$15),1,$C334))*($E334&lt;INDEX(_xlfn.ANCHORARRAY(Sintesi!$C$16),1,$C334))*(INDEX(_xlfn.ANCHORARRAY(Sintesi!$C$15),1,$C334)&gt;0),2,IF($E334=(INDEX(_xlfn.ANCHORARRAY(Sintesi!$C$16),1,$C334)),3,4)))),0)))</f>
        <v>0</v>
      </c>
      <c r="E334" s="1">
        <f>'Paste cell here'!F334</f>
        <v>0</v>
      </c>
      <c r="F334" s="1">
        <f>'Paste cell here'!C334</f>
        <v>0</v>
      </c>
      <c r="G334" s="1">
        <f>'Paste cell here'!D334</f>
        <v>0</v>
      </c>
      <c r="H334" s="1">
        <f>'Paste cell here'!E334</f>
        <v>0</v>
      </c>
      <c r="I334" s="1">
        <f>'Paste cell here'!X334</f>
        <v>0</v>
      </c>
      <c r="J334" s="1">
        <f>'Paste cell here'!Y334+'Paste cell here'!S334</f>
        <v>0</v>
      </c>
      <c r="K334" s="1" t="e">
        <f t="shared" si="11"/>
        <v>#DIV/0!</v>
      </c>
      <c r="L334" s="1">
        <f t="shared" si="10"/>
        <v>0</v>
      </c>
      <c r="M334" s="1" cm="1">
        <f t="array" ref="M334">IF(AND(A334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,A334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),IF(L334&lt;_xlfn.IFNA(INDEX(_xlfn.ANCHORARRAY(Sintesi!$C$17)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,1,IF(L334&gt;=_xlfn.IFNA(INDEX(_xlfn.ANCHORARRAY(Sintesi!$C$18)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,0,1-(L334-_xlfn.IFNA(INDEX(_xlfn.ANCHORARRAY(Sintesi!$C$17)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)/(_xlfn.IFNA(INDEX(_xlfn.ANCHORARRAY(Sintesi!$C$18)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-_xlfn.IFNA(INDEX(_xlfn.ANCHORARRAY(Sintesi!$C$17),1,MATCH(1,(_xlfn.ANCHORARRAY(Sintesi!$C$9)&gt;_xlfn.ANCHORARRAY(Sintesi!$C$10))*(A333&gt;=_xlfn.ANCHORARRAY(Sintesi!$C$9))+(_xlfn.ANCHORARRAY(Sintesi!$C$9)&gt;_xlfn.ANCHORARRAY(Sintesi!$C$10))*(A333&lt;=_xlfn.ANCHORARRAY(Sintesi!$C$10))+(_xlfn.ANCHORARRAY(Sintesi!$C$9)&lt;_xlfn.ANCHORARRAY(Sintesi!$C$10))*(A333&gt;=_xlfn.ANCHORARRAY(Sintesi!$C$9))*(A333&lt;=_xlfn.ANCHORARRAY(Sintesi!$C$10)),0)),0)))),0)</f>
        <v>0</v>
      </c>
    </row>
    <row r="335" spans="1:13">
      <c r="A335" s="1">
        <f>'Paste cell here'!A335</f>
        <v>0</v>
      </c>
      <c r="B335" s="2">
        <f>DATE(Sintesi!$C$4-1,12,31)+A335</f>
        <v>44196</v>
      </c>
      <c r="C335" s="34" cm="1">
        <f t="array" ref="C335">_xlfn.IFNA(MATCH(1,(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)*(_xlfn.ANCHORARRAY(Sintesi!$C$15)&gt;=0)+(_xlfn.ANCHORARRAY(Sintesi!$C$15)&lt;0),0),0)</f>
        <v>0</v>
      </c>
      <c r="D335" s="1" cm="1">
        <f t="array" ref="D335">IF(ISBLANK($E336),IF(ISNUMBER($E334),IF($C335&gt;0,IF(($E335=INDEX(_xlfn.ANCHORARRAY(Sintesi!$C$14),1,$C335))*(INDEX(_xlfn.ANCHORARRAY(Sintesi!$C$15),1,$C335)&gt;0),0,IF(($E335=INDEX(_xlfn.ANCHORARRAY(Sintesi!$C$14),1,$C335))*(INDEX(_xlfn.ANCHORARRAY(Sintesi!$C$15),1,$C335)&lt;0)+($E335&gt;=$E334)*($E335&lt;=INDEX($E:$E,MATCH(TRUE,INDEX((ISNUMBER($E:$E)),0),0)))*($E335&gt;INDEX(_xlfn.ANCHORARRAY(Sintesi!$C$14),1,$C335))*($E335&lt;=INDEX(_xlfn.ANCHORARRAY(Sintesi!$C$15),1,$C335))*(INDEX(_xlfn.ANCHORARRAY(Sintesi!$C$15),1,$C335)&gt;0),1,IF(($E335&gt;=$E334)*($E335&lt;=INDEX($E:$E,MATCH(TRUE,INDEX((ISNUMBER($E:$E)),0),0)))*($E335&gt;INDEX(_xlfn.ANCHORARRAY(Sintesi!$C$14),1,$C335))*($E335&lt;INDEX(_xlfn.ANCHORARRAY(Sintesi!$C$16),1,$C335))*(INDEX(_xlfn.ANCHORARRAY(Sintesi!$C$15),1,$C335)&lt;0)+($E335&gt;=$E334)*($E335&lt;=INDEX($E:$E,MATCH(TRUE,INDEX((ISNUMBER($E:$E)),0),0)))*($E335&gt;INDEX(_xlfn.ANCHORARRAY(Sintesi!$C$15),1,$C335))*($E335&lt;INDEX(_xlfn.ANCHORARRAY(Sintesi!$C$16),1,$C335))*(INDEX(_xlfn.ANCHORARRAY(Sintesi!$C$15),1,$C335)&gt;0),2,IF($E335=(INDEX(_xlfn.ANCHORARRAY(Sintesi!$C$16),1,$C335)),3,4)))),0),IF($C335&gt;0,IF(($E335=INDEX(_xlfn.ANCHORARRAY(Sintesi!$C$14),1,$C335))*(INDEX(_xlfn.ANCHORARRAY(Sintesi!$C$15),1,$C335)&gt;0),0,IF(($E335=INDEX(_xlfn.ANCHORARRAY(Sintesi!$C$14),1,$C335))*(INDEX(_xlfn.ANCHORARRAY(Sintesi!$C$15),1,$C335)&lt;0)+($E335&gt;=LOOKUP(2,1/($E:$E&lt;&gt;""),$E:$E))*($E335&lt;=INDEX($E:$E,MATCH(TRUE,INDEX((ISNUMBER($E:$E)),0),0)))*($E335&gt;INDEX(_xlfn.ANCHORARRAY(Sintesi!$C$14),1,$C335))*($E335&lt;=INDEX(_xlfn.ANCHORARRAY(Sintesi!$C$15),1,$C335))*(INDEX(_xlfn.ANCHORARRAY(Sintesi!$C$15),1,$C335)&gt;0),1,IF(($E335&gt;=LOOKUP(2,1/($E:$E&lt;&gt;""),$E:$E))*($E335&lt;=INDEX($E:$E,MATCH(TRUE,INDEX((ISNUMBER($E:$E)),0),0)))*($E335&gt;INDEX(_xlfn.ANCHORARRAY(Sintesi!$C$14),1,$C335))*($E335&lt;INDEX(_xlfn.ANCHORARRAY(Sintesi!$C$16),1,$C335))*(INDEX(_xlfn.ANCHORARRAY(Sintesi!$C$15),1,$C335)&lt;0)+($E335&gt;=LOOKUP(2,1/($E:$E&lt;&gt;""),$E:$E))*($E335&lt;=INDEX($E:$E,MATCH(TRUE,INDEX((ISNUMBER($E:$E)),0),0)))*($E335&gt;INDEX(_xlfn.ANCHORARRAY(Sintesi!$C$15),1,$C335))*($E335&lt;INDEX(_xlfn.ANCHORARRAY(Sintesi!$C$16),1,$C335))*(INDEX(_xlfn.ANCHORARRAY(Sintesi!$C$15),1,$C335)&gt;0),2,IF($E335=(INDEX(_xlfn.ANCHORARRAY(Sintesi!$C$16),1,$C335)),3,4)))),0)),IF(ISNUMBER($E334),IF($C335&gt;0,IF(($E335=INDEX(_xlfn.ANCHORARRAY(Sintesi!$C$14),1,$C335))*(INDEX(_xlfn.ANCHORARRAY(Sintesi!$C$15),1,$C335)&gt;0),0,IF(($E335=INDEX(_xlfn.ANCHORARRAY(Sintesi!$C$14),1,$C335))*(INDEX(_xlfn.ANCHORARRAY(Sintesi!$C$15),1,$C335)&lt;0)+($E335&gt;=$E334)*($E335&lt;=$E336)*($E335&gt;INDEX(_xlfn.ANCHORARRAY(Sintesi!$C$14),1,$C335))*($E335&lt;=INDEX(_xlfn.ANCHORARRAY(Sintesi!$C$15),1,$C335))*(INDEX(_xlfn.ANCHORARRAY(Sintesi!$C$15),1,$C335)&gt;0),1,IF(($E335&gt;=$E334)*($E335&lt;=$E336)*($E335&gt;INDEX(_xlfn.ANCHORARRAY(Sintesi!$C$14),1,$C335))*($E335&lt;INDEX(_xlfn.ANCHORARRAY(Sintesi!$C$16),1,$C335))*(INDEX(_xlfn.ANCHORARRAY(Sintesi!$C$15),1,$C335)&lt;0)+($E335&gt;=$E334)*($E335&lt;=$E336)*($E335&gt;INDEX(_xlfn.ANCHORARRAY(Sintesi!$C$15),1,$C335))*($E335&lt;INDEX(_xlfn.ANCHORARRAY(Sintesi!$C$16),1,$C335))*(INDEX(_xlfn.ANCHORARRAY(Sintesi!$C$15),1,$C335)&gt;0),2,IF($E335=(INDEX(_xlfn.ANCHORARRAY(Sintesi!$C$16),1,$C335)),3,4)))),0),IF($C335&gt;0,IF(($E335=INDEX(_xlfn.ANCHORARRAY(Sintesi!$C$14),1,$C335))*(INDEX(_xlfn.ANCHORARRAY(Sintesi!$C$15),1,$C335)&gt;0),0,IF(($E335=INDEX(_xlfn.ANCHORARRAY(Sintesi!$C$14),1,$C335))*(INDEX(_xlfn.ANCHORARRAY(Sintesi!$C$15),1,$C335)&lt;0)+($E335&gt;=LOOKUP(2,1/($E:$E&lt;&gt;""),$E:$E))*($E335&lt;=$E336)*($E335&gt;INDEX(_xlfn.ANCHORARRAY(Sintesi!$C$14),1,$C335))*($E335&lt;=INDEX(_xlfn.ANCHORARRAY(Sintesi!$C$15),1,$C335))*(INDEX(_xlfn.ANCHORARRAY(Sintesi!$C$15),1,$C335)&gt;0),1,IF(($E335&gt;=LOOKUP(2,1/($E:$E&lt;&gt;""),$E:$E))*($E335&lt;=$E336)*($E335&gt;INDEX(_xlfn.ANCHORARRAY(Sintesi!$C$14),1,$C335))*($E335&lt;INDEX(_xlfn.ANCHORARRAY(Sintesi!$C$16),1,$C335))*(INDEX(_xlfn.ANCHORARRAY(Sintesi!$C$15),1,$C335)&lt;0)+($E335&gt;=LOOKUP(2,1/($E:$E&lt;&gt;""),$E:$E))*($E335&lt;=$E336)*($E335&gt;INDEX(_xlfn.ANCHORARRAY(Sintesi!$C$15),1,$C335))*($E335&lt;INDEX(_xlfn.ANCHORARRAY(Sintesi!$C$16),1,$C335))*(INDEX(_xlfn.ANCHORARRAY(Sintesi!$C$15),1,$C335)&gt;0),2,IF($E335=(INDEX(_xlfn.ANCHORARRAY(Sintesi!$C$16),1,$C335)),3,4)))),0)))</f>
        <v>0</v>
      </c>
      <c r="E335" s="1">
        <f>'Paste cell here'!F335</f>
        <v>0</v>
      </c>
      <c r="F335" s="1">
        <f>'Paste cell here'!C335</f>
        <v>0</v>
      </c>
      <c r="G335" s="1">
        <f>'Paste cell here'!D335</f>
        <v>0</v>
      </c>
      <c r="H335" s="1">
        <f>'Paste cell here'!E335</f>
        <v>0</v>
      </c>
      <c r="I335" s="1">
        <f>'Paste cell here'!X335</f>
        <v>0</v>
      </c>
      <c r="J335" s="1">
        <f>'Paste cell here'!Y335+'Paste cell here'!S335</f>
        <v>0</v>
      </c>
      <c r="K335" s="1" t="e">
        <f t="shared" si="11"/>
        <v>#DIV/0!</v>
      </c>
      <c r="L335" s="1">
        <f t="shared" si="10"/>
        <v>0</v>
      </c>
      <c r="M335" s="1" cm="1">
        <f t="array" ref="M335">IF(AND(A335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,A335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),IF(L335&lt;_xlfn.IFNA(INDEX(_xlfn.ANCHORARRAY(Sintesi!$C$17)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,1,IF(L335&gt;=_xlfn.IFNA(INDEX(_xlfn.ANCHORARRAY(Sintesi!$C$18)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,0,1-(L335-_xlfn.IFNA(INDEX(_xlfn.ANCHORARRAY(Sintesi!$C$17)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)/(_xlfn.IFNA(INDEX(_xlfn.ANCHORARRAY(Sintesi!$C$18)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-_xlfn.IFNA(INDEX(_xlfn.ANCHORARRAY(Sintesi!$C$17),1,MATCH(1,(_xlfn.ANCHORARRAY(Sintesi!$C$9)&gt;_xlfn.ANCHORARRAY(Sintesi!$C$10))*(A334&gt;=_xlfn.ANCHORARRAY(Sintesi!$C$9))+(_xlfn.ANCHORARRAY(Sintesi!$C$9)&gt;_xlfn.ANCHORARRAY(Sintesi!$C$10))*(A334&lt;=_xlfn.ANCHORARRAY(Sintesi!$C$10))+(_xlfn.ANCHORARRAY(Sintesi!$C$9)&lt;_xlfn.ANCHORARRAY(Sintesi!$C$10))*(A334&gt;=_xlfn.ANCHORARRAY(Sintesi!$C$9))*(A334&lt;=_xlfn.ANCHORARRAY(Sintesi!$C$10)),0)),0)))),0)</f>
        <v>0</v>
      </c>
    </row>
    <row r="336" spans="1:13">
      <c r="A336" s="1">
        <f>'Paste cell here'!A336</f>
        <v>0</v>
      </c>
      <c r="B336" s="2">
        <f>DATE(Sintesi!$C$4-1,12,31)+A336</f>
        <v>44196</v>
      </c>
      <c r="C336" s="34" cm="1">
        <f t="array" ref="C336">_xlfn.IFNA(MATCH(1,(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)*(_xlfn.ANCHORARRAY(Sintesi!$C$15)&gt;=0)+(_xlfn.ANCHORARRAY(Sintesi!$C$15)&lt;0),0),0)</f>
        <v>0</v>
      </c>
      <c r="D336" s="1" cm="1">
        <f t="array" ref="D336">IF(ISBLANK($E337),IF(ISNUMBER($E335),IF($C336&gt;0,IF(($E336=INDEX(_xlfn.ANCHORARRAY(Sintesi!$C$14),1,$C336))*(INDEX(_xlfn.ANCHORARRAY(Sintesi!$C$15),1,$C336)&gt;0),0,IF(($E336=INDEX(_xlfn.ANCHORARRAY(Sintesi!$C$14),1,$C336))*(INDEX(_xlfn.ANCHORARRAY(Sintesi!$C$15),1,$C336)&lt;0)+($E336&gt;=$E335)*($E336&lt;=INDEX($E:$E,MATCH(TRUE,INDEX((ISNUMBER($E:$E)),0),0)))*($E336&gt;INDEX(_xlfn.ANCHORARRAY(Sintesi!$C$14),1,$C336))*($E336&lt;=INDEX(_xlfn.ANCHORARRAY(Sintesi!$C$15),1,$C336))*(INDEX(_xlfn.ANCHORARRAY(Sintesi!$C$15),1,$C336)&gt;0),1,IF(($E336&gt;=$E335)*($E336&lt;=INDEX($E:$E,MATCH(TRUE,INDEX((ISNUMBER($E:$E)),0),0)))*($E336&gt;INDEX(_xlfn.ANCHORARRAY(Sintesi!$C$14),1,$C336))*($E336&lt;INDEX(_xlfn.ANCHORARRAY(Sintesi!$C$16),1,$C336))*(INDEX(_xlfn.ANCHORARRAY(Sintesi!$C$15),1,$C336)&lt;0)+($E336&gt;=$E335)*($E336&lt;=INDEX($E:$E,MATCH(TRUE,INDEX((ISNUMBER($E:$E)),0),0)))*($E336&gt;INDEX(_xlfn.ANCHORARRAY(Sintesi!$C$15),1,$C336))*($E336&lt;INDEX(_xlfn.ANCHORARRAY(Sintesi!$C$16),1,$C336))*(INDEX(_xlfn.ANCHORARRAY(Sintesi!$C$15),1,$C336)&gt;0),2,IF($E336=(INDEX(_xlfn.ANCHORARRAY(Sintesi!$C$16),1,$C336)),3,4)))),0),IF($C336&gt;0,IF(($E336=INDEX(_xlfn.ANCHORARRAY(Sintesi!$C$14),1,$C336))*(INDEX(_xlfn.ANCHORARRAY(Sintesi!$C$15),1,$C336)&gt;0),0,IF(($E336=INDEX(_xlfn.ANCHORARRAY(Sintesi!$C$14),1,$C336))*(INDEX(_xlfn.ANCHORARRAY(Sintesi!$C$15),1,$C336)&lt;0)+($E336&gt;=LOOKUP(2,1/($E:$E&lt;&gt;""),$E:$E))*($E336&lt;=INDEX($E:$E,MATCH(TRUE,INDEX((ISNUMBER($E:$E)),0),0)))*($E336&gt;INDEX(_xlfn.ANCHORARRAY(Sintesi!$C$14),1,$C336))*($E336&lt;=INDEX(_xlfn.ANCHORARRAY(Sintesi!$C$15),1,$C336))*(INDEX(_xlfn.ANCHORARRAY(Sintesi!$C$15),1,$C336)&gt;0),1,IF(($E336&gt;=LOOKUP(2,1/($E:$E&lt;&gt;""),$E:$E))*($E336&lt;=INDEX($E:$E,MATCH(TRUE,INDEX((ISNUMBER($E:$E)),0),0)))*($E336&gt;INDEX(_xlfn.ANCHORARRAY(Sintesi!$C$14),1,$C336))*($E336&lt;INDEX(_xlfn.ANCHORARRAY(Sintesi!$C$16),1,$C336))*(INDEX(_xlfn.ANCHORARRAY(Sintesi!$C$15),1,$C336)&lt;0)+($E336&gt;=LOOKUP(2,1/($E:$E&lt;&gt;""),$E:$E))*($E336&lt;=INDEX($E:$E,MATCH(TRUE,INDEX((ISNUMBER($E:$E)),0),0)))*($E336&gt;INDEX(_xlfn.ANCHORARRAY(Sintesi!$C$15),1,$C336))*($E336&lt;INDEX(_xlfn.ANCHORARRAY(Sintesi!$C$16),1,$C336))*(INDEX(_xlfn.ANCHORARRAY(Sintesi!$C$15),1,$C336)&gt;0),2,IF($E336=(INDEX(_xlfn.ANCHORARRAY(Sintesi!$C$16),1,$C336)),3,4)))),0)),IF(ISNUMBER($E335),IF($C336&gt;0,IF(($E336=INDEX(_xlfn.ANCHORARRAY(Sintesi!$C$14),1,$C336))*(INDEX(_xlfn.ANCHORARRAY(Sintesi!$C$15),1,$C336)&gt;0),0,IF(($E336=INDEX(_xlfn.ANCHORARRAY(Sintesi!$C$14),1,$C336))*(INDEX(_xlfn.ANCHORARRAY(Sintesi!$C$15),1,$C336)&lt;0)+($E336&gt;=$E335)*($E336&lt;=$E337)*($E336&gt;INDEX(_xlfn.ANCHORARRAY(Sintesi!$C$14),1,$C336))*($E336&lt;=INDEX(_xlfn.ANCHORARRAY(Sintesi!$C$15),1,$C336))*(INDEX(_xlfn.ANCHORARRAY(Sintesi!$C$15),1,$C336)&gt;0),1,IF(($E336&gt;=$E335)*($E336&lt;=$E337)*($E336&gt;INDEX(_xlfn.ANCHORARRAY(Sintesi!$C$14),1,$C336))*($E336&lt;INDEX(_xlfn.ANCHORARRAY(Sintesi!$C$16),1,$C336))*(INDEX(_xlfn.ANCHORARRAY(Sintesi!$C$15),1,$C336)&lt;0)+($E336&gt;=$E335)*($E336&lt;=$E337)*($E336&gt;INDEX(_xlfn.ANCHORARRAY(Sintesi!$C$15),1,$C336))*($E336&lt;INDEX(_xlfn.ANCHORARRAY(Sintesi!$C$16),1,$C336))*(INDEX(_xlfn.ANCHORARRAY(Sintesi!$C$15),1,$C336)&gt;0),2,IF($E336=(INDEX(_xlfn.ANCHORARRAY(Sintesi!$C$16),1,$C336)),3,4)))),0),IF($C336&gt;0,IF(($E336=INDEX(_xlfn.ANCHORARRAY(Sintesi!$C$14),1,$C336))*(INDEX(_xlfn.ANCHORARRAY(Sintesi!$C$15),1,$C336)&gt;0),0,IF(($E336=INDEX(_xlfn.ANCHORARRAY(Sintesi!$C$14),1,$C336))*(INDEX(_xlfn.ANCHORARRAY(Sintesi!$C$15),1,$C336)&lt;0)+($E336&gt;=LOOKUP(2,1/($E:$E&lt;&gt;""),$E:$E))*($E336&lt;=$E337)*($E336&gt;INDEX(_xlfn.ANCHORARRAY(Sintesi!$C$14),1,$C336))*($E336&lt;=INDEX(_xlfn.ANCHORARRAY(Sintesi!$C$15),1,$C336))*(INDEX(_xlfn.ANCHORARRAY(Sintesi!$C$15),1,$C336)&gt;0),1,IF(($E336&gt;=LOOKUP(2,1/($E:$E&lt;&gt;""),$E:$E))*($E336&lt;=$E337)*($E336&gt;INDEX(_xlfn.ANCHORARRAY(Sintesi!$C$14),1,$C336))*($E336&lt;INDEX(_xlfn.ANCHORARRAY(Sintesi!$C$16),1,$C336))*(INDEX(_xlfn.ANCHORARRAY(Sintesi!$C$15),1,$C336)&lt;0)+($E336&gt;=LOOKUP(2,1/($E:$E&lt;&gt;""),$E:$E))*($E336&lt;=$E337)*($E336&gt;INDEX(_xlfn.ANCHORARRAY(Sintesi!$C$15),1,$C336))*($E336&lt;INDEX(_xlfn.ANCHORARRAY(Sintesi!$C$16),1,$C336))*(INDEX(_xlfn.ANCHORARRAY(Sintesi!$C$15),1,$C336)&gt;0),2,IF($E336=(INDEX(_xlfn.ANCHORARRAY(Sintesi!$C$16),1,$C336)),3,4)))),0)))</f>
        <v>0</v>
      </c>
      <c r="E336" s="1">
        <f>'Paste cell here'!F336</f>
        <v>0</v>
      </c>
      <c r="F336" s="1">
        <f>'Paste cell here'!C336</f>
        <v>0</v>
      </c>
      <c r="G336" s="1">
        <f>'Paste cell here'!D336</f>
        <v>0</v>
      </c>
      <c r="H336" s="1">
        <f>'Paste cell here'!E336</f>
        <v>0</v>
      </c>
      <c r="I336" s="1">
        <f>'Paste cell here'!X336</f>
        <v>0</v>
      </c>
      <c r="J336" s="1">
        <f>'Paste cell here'!Y336+'Paste cell here'!S336</f>
        <v>0</v>
      </c>
      <c r="K336" s="1" t="e">
        <f t="shared" si="11"/>
        <v>#DIV/0!</v>
      </c>
      <c r="L336" s="1">
        <f t="shared" si="10"/>
        <v>0</v>
      </c>
      <c r="M336" s="1" cm="1">
        <f t="array" ref="M336">IF(AND(A336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,A336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),IF(L336&lt;_xlfn.IFNA(INDEX(_xlfn.ANCHORARRAY(Sintesi!$C$17)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,1,IF(L336&gt;=_xlfn.IFNA(INDEX(_xlfn.ANCHORARRAY(Sintesi!$C$18)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,0,1-(L336-_xlfn.IFNA(INDEX(_xlfn.ANCHORARRAY(Sintesi!$C$17)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)/(_xlfn.IFNA(INDEX(_xlfn.ANCHORARRAY(Sintesi!$C$18)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-_xlfn.IFNA(INDEX(_xlfn.ANCHORARRAY(Sintesi!$C$17),1,MATCH(1,(_xlfn.ANCHORARRAY(Sintesi!$C$9)&gt;_xlfn.ANCHORARRAY(Sintesi!$C$10))*(A335&gt;=_xlfn.ANCHORARRAY(Sintesi!$C$9))+(_xlfn.ANCHORARRAY(Sintesi!$C$9)&gt;_xlfn.ANCHORARRAY(Sintesi!$C$10))*(A335&lt;=_xlfn.ANCHORARRAY(Sintesi!$C$10))+(_xlfn.ANCHORARRAY(Sintesi!$C$9)&lt;_xlfn.ANCHORARRAY(Sintesi!$C$10))*(A335&gt;=_xlfn.ANCHORARRAY(Sintesi!$C$9))*(A335&lt;=_xlfn.ANCHORARRAY(Sintesi!$C$10)),0)),0)))),0)</f>
        <v>0</v>
      </c>
    </row>
    <row r="337" spans="1:13">
      <c r="A337" s="1">
        <f>'Paste cell here'!A337</f>
        <v>0</v>
      </c>
      <c r="B337" s="2">
        <f>DATE(Sintesi!$C$4-1,12,31)+A337</f>
        <v>44196</v>
      </c>
      <c r="C337" s="34" cm="1">
        <f t="array" ref="C337">_xlfn.IFNA(MATCH(1,(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)*(_xlfn.ANCHORARRAY(Sintesi!$C$15)&gt;=0)+(_xlfn.ANCHORARRAY(Sintesi!$C$15)&lt;0),0),0)</f>
        <v>0</v>
      </c>
      <c r="D337" s="1" cm="1">
        <f t="array" ref="D337">IF(ISBLANK($E338),IF(ISNUMBER($E336),IF($C337&gt;0,IF(($E337=INDEX(_xlfn.ANCHORARRAY(Sintesi!$C$14),1,$C337))*(INDEX(_xlfn.ANCHORARRAY(Sintesi!$C$15),1,$C337)&gt;0),0,IF(($E337=INDEX(_xlfn.ANCHORARRAY(Sintesi!$C$14),1,$C337))*(INDEX(_xlfn.ANCHORARRAY(Sintesi!$C$15),1,$C337)&lt;0)+($E337&gt;=$E336)*($E337&lt;=INDEX($E:$E,MATCH(TRUE,INDEX((ISNUMBER($E:$E)),0),0)))*($E337&gt;INDEX(_xlfn.ANCHORARRAY(Sintesi!$C$14),1,$C337))*($E337&lt;=INDEX(_xlfn.ANCHORARRAY(Sintesi!$C$15),1,$C337))*(INDEX(_xlfn.ANCHORARRAY(Sintesi!$C$15),1,$C337)&gt;0),1,IF(($E337&gt;=$E336)*($E337&lt;=INDEX($E:$E,MATCH(TRUE,INDEX((ISNUMBER($E:$E)),0),0)))*($E337&gt;INDEX(_xlfn.ANCHORARRAY(Sintesi!$C$14),1,$C337))*($E337&lt;INDEX(_xlfn.ANCHORARRAY(Sintesi!$C$16),1,$C337))*(INDEX(_xlfn.ANCHORARRAY(Sintesi!$C$15),1,$C337)&lt;0)+($E337&gt;=$E336)*($E337&lt;=INDEX($E:$E,MATCH(TRUE,INDEX((ISNUMBER($E:$E)),0),0)))*($E337&gt;INDEX(_xlfn.ANCHORARRAY(Sintesi!$C$15),1,$C337))*($E337&lt;INDEX(_xlfn.ANCHORARRAY(Sintesi!$C$16),1,$C337))*(INDEX(_xlfn.ANCHORARRAY(Sintesi!$C$15),1,$C337)&gt;0),2,IF($E337=(INDEX(_xlfn.ANCHORARRAY(Sintesi!$C$16),1,$C337)),3,4)))),0),IF($C337&gt;0,IF(($E337=INDEX(_xlfn.ANCHORARRAY(Sintesi!$C$14),1,$C337))*(INDEX(_xlfn.ANCHORARRAY(Sintesi!$C$15),1,$C337)&gt;0),0,IF(($E337=INDEX(_xlfn.ANCHORARRAY(Sintesi!$C$14),1,$C337))*(INDEX(_xlfn.ANCHORARRAY(Sintesi!$C$15),1,$C337)&lt;0)+($E337&gt;=LOOKUP(2,1/($E:$E&lt;&gt;""),$E:$E))*($E337&lt;=INDEX($E:$E,MATCH(TRUE,INDEX((ISNUMBER($E:$E)),0),0)))*($E337&gt;INDEX(_xlfn.ANCHORARRAY(Sintesi!$C$14),1,$C337))*($E337&lt;=INDEX(_xlfn.ANCHORARRAY(Sintesi!$C$15),1,$C337))*(INDEX(_xlfn.ANCHORARRAY(Sintesi!$C$15),1,$C337)&gt;0),1,IF(($E337&gt;=LOOKUP(2,1/($E:$E&lt;&gt;""),$E:$E))*($E337&lt;=INDEX($E:$E,MATCH(TRUE,INDEX((ISNUMBER($E:$E)),0),0)))*($E337&gt;INDEX(_xlfn.ANCHORARRAY(Sintesi!$C$14),1,$C337))*($E337&lt;INDEX(_xlfn.ANCHORARRAY(Sintesi!$C$16),1,$C337))*(INDEX(_xlfn.ANCHORARRAY(Sintesi!$C$15),1,$C337)&lt;0)+($E337&gt;=LOOKUP(2,1/($E:$E&lt;&gt;""),$E:$E))*($E337&lt;=INDEX($E:$E,MATCH(TRUE,INDEX((ISNUMBER($E:$E)),0),0)))*($E337&gt;INDEX(_xlfn.ANCHORARRAY(Sintesi!$C$15),1,$C337))*($E337&lt;INDEX(_xlfn.ANCHORARRAY(Sintesi!$C$16),1,$C337))*(INDEX(_xlfn.ANCHORARRAY(Sintesi!$C$15),1,$C337)&gt;0),2,IF($E337=(INDEX(_xlfn.ANCHORARRAY(Sintesi!$C$16),1,$C337)),3,4)))),0)),IF(ISNUMBER($E336),IF($C337&gt;0,IF(($E337=INDEX(_xlfn.ANCHORARRAY(Sintesi!$C$14),1,$C337))*(INDEX(_xlfn.ANCHORARRAY(Sintesi!$C$15),1,$C337)&gt;0),0,IF(($E337=INDEX(_xlfn.ANCHORARRAY(Sintesi!$C$14),1,$C337))*(INDEX(_xlfn.ANCHORARRAY(Sintesi!$C$15),1,$C337)&lt;0)+($E337&gt;=$E336)*($E337&lt;=$E338)*($E337&gt;INDEX(_xlfn.ANCHORARRAY(Sintesi!$C$14),1,$C337))*($E337&lt;=INDEX(_xlfn.ANCHORARRAY(Sintesi!$C$15),1,$C337))*(INDEX(_xlfn.ANCHORARRAY(Sintesi!$C$15),1,$C337)&gt;0),1,IF(($E337&gt;=$E336)*($E337&lt;=$E338)*($E337&gt;INDEX(_xlfn.ANCHORARRAY(Sintesi!$C$14),1,$C337))*($E337&lt;INDEX(_xlfn.ANCHORARRAY(Sintesi!$C$16),1,$C337))*(INDEX(_xlfn.ANCHORARRAY(Sintesi!$C$15),1,$C337)&lt;0)+($E337&gt;=$E336)*($E337&lt;=$E338)*($E337&gt;INDEX(_xlfn.ANCHORARRAY(Sintesi!$C$15),1,$C337))*($E337&lt;INDEX(_xlfn.ANCHORARRAY(Sintesi!$C$16),1,$C337))*(INDEX(_xlfn.ANCHORARRAY(Sintesi!$C$15),1,$C337)&gt;0),2,IF($E337=(INDEX(_xlfn.ANCHORARRAY(Sintesi!$C$16),1,$C337)),3,4)))),0),IF($C337&gt;0,IF(($E337=INDEX(_xlfn.ANCHORARRAY(Sintesi!$C$14),1,$C337))*(INDEX(_xlfn.ANCHORARRAY(Sintesi!$C$15),1,$C337)&gt;0),0,IF(($E337=INDEX(_xlfn.ANCHORARRAY(Sintesi!$C$14),1,$C337))*(INDEX(_xlfn.ANCHORARRAY(Sintesi!$C$15),1,$C337)&lt;0)+($E337&gt;=LOOKUP(2,1/($E:$E&lt;&gt;""),$E:$E))*($E337&lt;=$E338)*($E337&gt;INDEX(_xlfn.ANCHORARRAY(Sintesi!$C$14),1,$C337))*($E337&lt;=INDEX(_xlfn.ANCHORARRAY(Sintesi!$C$15),1,$C337))*(INDEX(_xlfn.ANCHORARRAY(Sintesi!$C$15),1,$C337)&gt;0),1,IF(($E337&gt;=LOOKUP(2,1/($E:$E&lt;&gt;""),$E:$E))*($E337&lt;=$E338)*($E337&gt;INDEX(_xlfn.ANCHORARRAY(Sintesi!$C$14),1,$C337))*($E337&lt;INDEX(_xlfn.ANCHORARRAY(Sintesi!$C$16),1,$C337))*(INDEX(_xlfn.ANCHORARRAY(Sintesi!$C$15),1,$C337)&lt;0)+($E337&gt;=LOOKUP(2,1/($E:$E&lt;&gt;""),$E:$E))*($E337&lt;=$E338)*($E337&gt;INDEX(_xlfn.ANCHORARRAY(Sintesi!$C$15),1,$C337))*($E337&lt;INDEX(_xlfn.ANCHORARRAY(Sintesi!$C$16),1,$C337))*(INDEX(_xlfn.ANCHORARRAY(Sintesi!$C$15),1,$C337)&gt;0),2,IF($E337=(INDEX(_xlfn.ANCHORARRAY(Sintesi!$C$16),1,$C337)),3,4)))),0)))</f>
        <v>0</v>
      </c>
      <c r="E337" s="1">
        <f>'Paste cell here'!F337</f>
        <v>0</v>
      </c>
      <c r="F337" s="1">
        <f>'Paste cell here'!C337</f>
        <v>0</v>
      </c>
      <c r="G337" s="1">
        <f>'Paste cell here'!D337</f>
        <v>0</v>
      </c>
      <c r="H337" s="1">
        <f>'Paste cell here'!E337</f>
        <v>0</v>
      </c>
      <c r="I337" s="1">
        <f>'Paste cell here'!X337</f>
        <v>0</v>
      </c>
      <c r="J337" s="1">
        <f>'Paste cell here'!Y337+'Paste cell here'!S337</f>
        <v>0</v>
      </c>
      <c r="K337" s="1" t="e">
        <f t="shared" si="11"/>
        <v>#DIV/0!</v>
      </c>
      <c r="L337" s="1">
        <f t="shared" si="10"/>
        <v>0</v>
      </c>
      <c r="M337" s="1" cm="1">
        <f t="array" ref="M337">IF(AND(A337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,A337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),IF(L337&lt;_xlfn.IFNA(INDEX(_xlfn.ANCHORARRAY(Sintesi!$C$17)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,1,IF(L337&gt;=_xlfn.IFNA(INDEX(_xlfn.ANCHORARRAY(Sintesi!$C$18)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,0,1-(L337-_xlfn.IFNA(INDEX(_xlfn.ANCHORARRAY(Sintesi!$C$17)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)/(_xlfn.IFNA(INDEX(_xlfn.ANCHORARRAY(Sintesi!$C$18)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-_xlfn.IFNA(INDEX(_xlfn.ANCHORARRAY(Sintesi!$C$17),1,MATCH(1,(_xlfn.ANCHORARRAY(Sintesi!$C$9)&gt;_xlfn.ANCHORARRAY(Sintesi!$C$10))*(A336&gt;=_xlfn.ANCHORARRAY(Sintesi!$C$9))+(_xlfn.ANCHORARRAY(Sintesi!$C$9)&gt;_xlfn.ANCHORARRAY(Sintesi!$C$10))*(A336&lt;=_xlfn.ANCHORARRAY(Sintesi!$C$10))+(_xlfn.ANCHORARRAY(Sintesi!$C$9)&lt;_xlfn.ANCHORARRAY(Sintesi!$C$10))*(A336&gt;=_xlfn.ANCHORARRAY(Sintesi!$C$9))*(A336&lt;=_xlfn.ANCHORARRAY(Sintesi!$C$10)),0)),0)))),0)</f>
        <v>0</v>
      </c>
    </row>
    <row r="338" spans="1:13">
      <c r="A338" s="1">
        <f>'Paste cell here'!A338</f>
        <v>0</v>
      </c>
      <c r="B338" s="2">
        <f>DATE(Sintesi!$C$4-1,12,31)+A338</f>
        <v>44196</v>
      </c>
      <c r="C338" s="34" cm="1">
        <f t="array" ref="C338">_xlfn.IFNA(MATCH(1,(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)*(_xlfn.ANCHORARRAY(Sintesi!$C$15)&gt;=0)+(_xlfn.ANCHORARRAY(Sintesi!$C$15)&lt;0),0),0)</f>
        <v>0</v>
      </c>
      <c r="D338" s="1" cm="1">
        <f t="array" ref="D338">IF(ISBLANK($E339),IF(ISNUMBER($E337),IF($C338&gt;0,IF(($E338=INDEX(_xlfn.ANCHORARRAY(Sintesi!$C$14),1,$C338))*(INDEX(_xlfn.ANCHORARRAY(Sintesi!$C$15),1,$C338)&gt;0),0,IF(($E338=INDEX(_xlfn.ANCHORARRAY(Sintesi!$C$14),1,$C338))*(INDEX(_xlfn.ANCHORARRAY(Sintesi!$C$15),1,$C338)&lt;0)+($E338&gt;=$E337)*($E338&lt;=INDEX($E:$E,MATCH(TRUE,INDEX((ISNUMBER($E:$E)),0),0)))*($E338&gt;INDEX(_xlfn.ANCHORARRAY(Sintesi!$C$14),1,$C338))*($E338&lt;=INDEX(_xlfn.ANCHORARRAY(Sintesi!$C$15),1,$C338))*(INDEX(_xlfn.ANCHORARRAY(Sintesi!$C$15),1,$C338)&gt;0),1,IF(($E338&gt;=$E337)*($E338&lt;=INDEX($E:$E,MATCH(TRUE,INDEX((ISNUMBER($E:$E)),0),0)))*($E338&gt;INDEX(_xlfn.ANCHORARRAY(Sintesi!$C$14),1,$C338))*($E338&lt;INDEX(_xlfn.ANCHORARRAY(Sintesi!$C$16),1,$C338))*(INDEX(_xlfn.ANCHORARRAY(Sintesi!$C$15),1,$C338)&lt;0)+($E338&gt;=$E337)*($E338&lt;=INDEX($E:$E,MATCH(TRUE,INDEX((ISNUMBER($E:$E)),0),0)))*($E338&gt;INDEX(_xlfn.ANCHORARRAY(Sintesi!$C$15),1,$C338))*($E338&lt;INDEX(_xlfn.ANCHORARRAY(Sintesi!$C$16),1,$C338))*(INDEX(_xlfn.ANCHORARRAY(Sintesi!$C$15),1,$C338)&gt;0),2,IF($E338=(INDEX(_xlfn.ANCHORARRAY(Sintesi!$C$16),1,$C338)),3,4)))),0),IF($C338&gt;0,IF(($E338=INDEX(_xlfn.ANCHORARRAY(Sintesi!$C$14),1,$C338))*(INDEX(_xlfn.ANCHORARRAY(Sintesi!$C$15),1,$C338)&gt;0),0,IF(($E338=INDEX(_xlfn.ANCHORARRAY(Sintesi!$C$14),1,$C338))*(INDEX(_xlfn.ANCHORARRAY(Sintesi!$C$15),1,$C338)&lt;0)+($E338&gt;=LOOKUP(2,1/($E:$E&lt;&gt;""),$E:$E))*($E338&lt;=INDEX($E:$E,MATCH(TRUE,INDEX((ISNUMBER($E:$E)),0),0)))*($E338&gt;INDEX(_xlfn.ANCHORARRAY(Sintesi!$C$14),1,$C338))*($E338&lt;=INDEX(_xlfn.ANCHORARRAY(Sintesi!$C$15),1,$C338))*(INDEX(_xlfn.ANCHORARRAY(Sintesi!$C$15),1,$C338)&gt;0),1,IF(($E338&gt;=LOOKUP(2,1/($E:$E&lt;&gt;""),$E:$E))*($E338&lt;=INDEX($E:$E,MATCH(TRUE,INDEX((ISNUMBER($E:$E)),0),0)))*($E338&gt;INDEX(_xlfn.ANCHORARRAY(Sintesi!$C$14),1,$C338))*($E338&lt;INDEX(_xlfn.ANCHORARRAY(Sintesi!$C$16),1,$C338))*(INDEX(_xlfn.ANCHORARRAY(Sintesi!$C$15),1,$C338)&lt;0)+($E338&gt;=LOOKUP(2,1/($E:$E&lt;&gt;""),$E:$E))*($E338&lt;=INDEX($E:$E,MATCH(TRUE,INDEX((ISNUMBER($E:$E)),0),0)))*($E338&gt;INDEX(_xlfn.ANCHORARRAY(Sintesi!$C$15),1,$C338))*($E338&lt;INDEX(_xlfn.ANCHORARRAY(Sintesi!$C$16),1,$C338))*(INDEX(_xlfn.ANCHORARRAY(Sintesi!$C$15),1,$C338)&gt;0),2,IF($E338=(INDEX(_xlfn.ANCHORARRAY(Sintesi!$C$16),1,$C338)),3,4)))),0)),IF(ISNUMBER($E337),IF($C338&gt;0,IF(($E338=INDEX(_xlfn.ANCHORARRAY(Sintesi!$C$14),1,$C338))*(INDEX(_xlfn.ANCHORARRAY(Sintesi!$C$15),1,$C338)&gt;0),0,IF(($E338=INDEX(_xlfn.ANCHORARRAY(Sintesi!$C$14),1,$C338))*(INDEX(_xlfn.ANCHORARRAY(Sintesi!$C$15),1,$C338)&lt;0)+($E338&gt;=$E337)*($E338&lt;=$E339)*($E338&gt;INDEX(_xlfn.ANCHORARRAY(Sintesi!$C$14),1,$C338))*($E338&lt;=INDEX(_xlfn.ANCHORARRAY(Sintesi!$C$15),1,$C338))*(INDEX(_xlfn.ANCHORARRAY(Sintesi!$C$15),1,$C338)&gt;0),1,IF(($E338&gt;=$E337)*($E338&lt;=$E339)*($E338&gt;INDEX(_xlfn.ANCHORARRAY(Sintesi!$C$14),1,$C338))*($E338&lt;INDEX(_xlfn.ANCHORARRAY(Sintesi!$C$16),1,$C338))*(INDEX(_xlfn.ANCHORARRAY(Sintesi!$C$15),1,$C338)&lt;0)+($E338&gt;=$E337)*($E338&lt;=$E339)*($E338&gt;INDEX(_xlfn.ANCHORARRAY(Sintesi!$C$15),1,$C338))*($E338&lt;INDEX(_xlfn.ANCHORARRAY(Sintesi!$C$16),1,$C338))*(INDEX(_xlfn.ANCHORARRAY(Sintesi!$C$15),1,$C338)&gt;0),2,IF($E338=(INDEX(_xlfn.ANCHORARRAY(Sintesi!$C$16),1,$C338)),3,4)))),0),IF($C338&gt;0,IF(($E338=INDEX(_xlfn.ANCHORARRAY(Sintesi!$C$14),1,$C338))*(INDEX(_xlfn.ANCHORARRAY(Sintesi!$C$15),1,$C338)&gt;0),0,IF(($E338=INDEX(_xlfn.ANCHORARRAY(Sintesi!$C$14),1,$C338))*(INDEX(_xlfn.ANCHORARRAY(Sintesi!$C$15),1,$C338)&lt;0)+($E338&gt;=LOOKUP(2,1/($E:$E&lt;&gt;""),$E:$E))*($E338&lt;=$E339)*($E338&gt;INDEX(_xlfn.ANCHORARRAY(Sintesi!$C$14),1,$C338))*($E338&lt;=INDEX(_xlfn.ANCHORARRAY(Sintesi!$C$15),1,$C338))*(INDEX(_xlfn.ANCHORARRAY(Sintesi!$C$15),1,$C338)&gt;0),1,IF(($E338&gt;=LOOKUP(2,1/($E:$E&lt;&gt;""),$E:$E))*($E338&lt;=$E339)*($E338&gt;INDEX(_xlfn.ANCHORARRAY(Sintesi!$C$14),1,$C338))*($E338&lt;INDEX(_xlfn.ANCHORARRAY(Sintesi!$C$16),1,$C338))*(INDEX(_xlfn.ANCHORARRAY(Sintesi!$C$15),1,$C338)&lt;0)+($E338&gt;=LOOKUP(2,1/($E:$E&lt;&gt;""),$E:$E))*($E338&lt;=$E339)*($E338&gt;INDEX(_xlfn.ANCHORARRAY(Sintesi!$C$15),1,$C338))*($E338&lt;INDEX(_xlfn.ANCHORARRAY(Sintesi!$C$16),1,$C338))*(INDEX(_xlfn.ANCHORARRAY(Sintesi!$C$15),1,$C338)&gt;0),2,IF($E338=(INDEX(_xlfn.ANCHORARRAY(Sintesi!$C$16),1,$C338)),3,4)))),0)))</f>
        <v>0</v>
      </c>
      <c r="E338" s="1">
        <f>'Paste cell here'!F338</f>
        <v>0</v>
      </c>
      <c r="F338" s="1">
        <f>'Paste cell here'!C338</f>
        <v>0</v>
      </c>
      <c r="G338" s="1">
        <f>'Paste cell here'!D338</f>
        <v>0</v>
      </c>
      <c r="H338" s="1">
        <f>'Paste cell here'!E338</f>
        <v>0</v>
      </c>
      <c r="I338" s="1">
        <f>'Paste cell here'!X338</f>
        <v>0</v>
      </c>
      <c r="J338" s="1">
        <f>'Paste cell here'!Y338+'Paste cell here'!S338</f>
        <v>0</v>
      </c>
      <c r="K338" s="1" t="e">
        <f t="shared" si="11"/>
        <v>#DIV/0!</v>
      </c>
      <c r="L338" s="1">
        <f t="shared" si="10"/>
        <v>0</v>
      </c>
      <c r="M338" s="1" cm="1">
        <f t="array" ref="M338">IF(AND(A338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,A338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),IF(L338&lt;_xlfn.IFNA(INDEX(_xlfn.ANCHORARRAY(Sintesi!$C$17)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,1,IF(L338&gt;=_xlfn.IFNA(INDEX(_xlfn.ANCHORARRAY(Sintesi!$C$18)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,0,1-(L338-_xlfn.IFNA(INDEX(_xlfn.ANCHORARRAY(Sintesi!$C$17)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)/(_xlfn.IFNA(INDEX(_xlfn.ANCHORARRAY(Sintesi!$C$18)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-_xlfn.IFNA(INDEX(_xlfn.ANCHORARRAY(Sintesi!$C$17),1,MATCH(1,(_xlfn.ANCHORARRAY(Sintesi!$C$9)&gt;_xlfn.ANCHORARRAY(Sintesi!$C$10))*(A337&gt;=_xlfn.ANCHORARRAY(Sintesi!$C$9))+(_xlfn.ANCHORARRAY(Sintesi!$C$9)&gt;_xlfn.ANCHORARRAY(Sintesi!$C$10))*(A337&lt;=_xlfn.ANCHORARRAY(Sintesi!$C$10))+(_xlfn.ANCHORARRAY(Sintesi!$C$9)&lt;_xlfn.ANCHORARRAY(Sintesi!$C$10))*(A337&gt;=_xlfn.ANCHORARRAY(Sintesi!$C$9))*(A337&lt;=_xlfn.ANCHORARRAY(Sintesi!$C$10)),0)),0)))),0)</f>
        <v>0</v>
      </c>
    </row>
    <row r="339" spans="1:13">
      <c r="A339" s="1">
        <f>'Paste cell here'!A339</f>
        <v>0</v>
      </c>
      <c r="B339" s="2">
        <f>DATE(Sintesi!$C$4-1,12,31)+A339</f>
        <v>44196</v>
      </c>
      <c r="C339" s="34" cm="1">
        <f t="array" ref="C339">_xlfn.IFNA(MATCH(1,(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)*(_xlfn.ANCHORARRAY(Sintesi!$C$15)&gt;=0)+(_xlfn.ANCHORARRAY(Sintesi!$C$15)&lt;0),0),0)</f>
        <v>0</v>
      </c>
      <c r="D339" s="1" cm="1">
        <f t="array" ref="D339">IF(ISBLANK($E340),IF(ISNUMBER($E338),IF($C339&gt;0,IF(($E339=INDEX(_xlfn.ANCHORARRAY(Sintesi!$C$14),1,$C339))*(INDEX(_xlfn.ANCHORARRAY(Sintesi!$C$15),1,$C339)&gt;0),0,IF(($E339=INDEX(_xlfn.ANCHORARRAY(Sintesi!$C$14),1,$C339))*(INDEX(_xlfn.ANCHORARRAY(Sintesi!$C$15),1,$C339)&lt;0)+($E339&gt;=$E338)*($E339&lt;=INDEX($E:$E,MATCH(TRUE,INDEX((ISNUMBER($E:$E)),0),0)))*($E339&gt;INDEX(_xlfn.ANCHORARRAY(Sintesi!$C$14),1,$C339))*($E339&lt;=INDEX(_xlfn.ANCHORARRAY(Sintesi!$C$15),1,$C339))*(INDEX(_xlfn.ANCHORARRAY(Sintesi!$C$15),1,$C339)&gt;0),1,IF(($E339&gt;=$E338)*($E339&lt;=INDEX($E:$E,MATCH(TRUE,INDEX((ISNUMBER($E:$E)),0),0)))*($E339&gt;INDEX(_xlfn.ANCHORARRAY(Sintesi!$C$14),1,$C339))*($E339&lt;INDEX(_xlfn.ANCHORARRAY(Sintesi!$C$16),1,$C339))*(INDEX(_xlfn.ANCHORARRAY(Sintesi!$C$15),1,$C339)&lt;0)+($E339&gt;=$E338)*($E339&lt;=INDEX($E:$E,MATCH(TRUE,INDEX((ISNUMBER($E:$E)),0),0)))*($E339&gt;INDEX(_xlfn.ANCHORARRAY(Sintesi!$C$15),1,$C339))*($E339&lt;INDEX(_xlfn.ANCHORARRAY(Sintesi!$C$16),1,$C339))*(INDEX(_xlfn.ANCHORARRAY(Sintesi!$C$15),1,$C339)&gt;0),2,IF($E339=(INDEX(_xlfn.ANCHORARRAY(Sintesi!$C$16),1,$C339)),3,4)))),0),IF($C339&gt;0,IF(($E339=INDEX(_xlfn.ANCHORARRAY(Sintesi!$C$14),1,$C339))*(INDEX(_xlfn.ANCHORARRAY(Sintesi!$C$15),1,$C339)&gt;0),0,IF(($E339=INDEX(_xlfn.ANCHORARRAY(Sintesi!$C$14),1,$C339))*(INDEX(_xlfn.ANCHORARRAY(Sintesi!$C$15),1,$C339)&lt;0)+($E339&gt;=LOOKUP(2,1/($E:$E&lt;&gt;""),$E:$E))*($E339&lt;=INDEX($E:$E,MATCH(TRUE,INDEX((ISNUMBER($E:$E)),0),0)))*($E339&gt;INDEX(_xlfn.ANCHORARRAY(Sintesi!$C$14),1,$C339))*($E339&lt;=INDEX(_xlfn.ANCHORARRAY(Sintesi!$C$15),1,$C339))*(INDEX(_xlfn.ANCHORARRAY(Sintesi!$C$15),1,$C339)&gt;0),1,IF(($E339&gt;=LOOKUP(2,1/($E:$E&lt;&gt;""),$E:$E))*($E339&lt;=INDEX($E:$E,MATCH(TRUE,INDEX((ISNUMBER($E:$E)),0),0)))*($E339&gt;INDEX(_xlfn.ANCHORARRAY(Sintesi!$C$14),1,$C339))*($E339&lt;INDEX(_xlfn.ANCHORARRAY(Sintesi!$C$16),1,$C339))*(INDEX(_xlfn.ANCHORARRAY(Sintesi!$C$15),1,$C339)&lt;0)+($E339&gt;=LOOKUP(2,1/($E:$E&lt;&gt;""),$E:$E))*($E339&lt;=INDEX($E:$E,MATCH(TRUE,INDEX((ISNUMBER($E:$E)),0),0)))*($E339&gt;INDEX(_xlfn.ANCHORARRAY(Sintesi!$C$15),1,$C339))*($E339&lt;INDEX(_xlfn.ANCHORARRAY(Sintesi!$C$16),1,$C339))*(INDEX(_xlfn.ANCHORARRAY(Sintesi!$C$15),1,$C339)&gt;0),2,IF($E339=(INDEX(_xlfn.ANCHORARRAY(Sintesi!$C$16),1,$C339)),3,4)))),0)),IF(ISNUMBER($E338),IF($C339&gt;0,IF(($E339=INDEX(_xlfn.ANCHORARRAY(Sintesi!$C$14),1,$C339))*(INDEX(_xlfn.ANCHORARRAY(Sintesi!$C$15),1,$C339)&gt;0),0,IF(($E339=INDEX(_xlfn.ANCHORARRAY(Sintesi!$C$14),1,$C339))*(INDEX(_xlfn.ANCHORARRAY(Sintesi!$C$15),1,$C339)&lt;0)+($E339&gt;=$E338)*($E339&lt;=$E340)*($E339&gt;INDEX(_xlfn.ANCHORARRAY(Sintesi!$C$14),1,$C339))*($E339&lt;=INDEX(_xlfn.ANCHORARRAY(Sintesi!$C$15),1,$C339))*(INDEX(_xlfn.ANCHORARRAY(Sintesi!$C$15),1,$C339)&gt;0),1,IF(($E339&gt;=$E338)*($E339&lt;=$E340)*($E339&gt;INDEX(_xlfn.ANCHORARRAY(Sintesi!$C$14),1,$C339))*($E339&lt;INDEX(_xlfn.ANCHORARRAY(Sintesi!$C$16),1,$C339))*(INDEX(_xlfn.ANCHORARRAY(Sintesi!$C$15),1,$C339)&lt;0)+($E339&gt;=$E338)*($E339&lt;=$E340)*($E339&gt;INDEX(_xlfn.ANCHORARRAY(Sintesi!$C$15),1,$C339))*($E339&lt;INDEX(_xlfn.ANCHORARRAY(Sintesi!$C$16),1,$C339))*(INDEX(_xlfn.ANCHORARRAY(Sintesi!$C$15),1,$C339)&gt;0),2,IF($E339=(INDEX(_xlfn.ANCHORARRAY(Sintesi!$C$16),1,$C339)),3,4)))),0),IF($C339&gt;0,IF(($E339=INDEX(_xlfn.ANCHORARRAY(Sintesi!$C$14),1,$C339))*(INDEX(_xlfn.ANCHORARRAY(Sintesi!$C$15),1,$C339)&gt;0),0,IF(($E339=INDEX(_xlfn.ANCHORARRAY(Sintesi!$C$14),1,$C339))*(INDEX(_xlfn.ANCHORARRAY(Sintesi!$C$15),1,$C339)&lt;0)+($E339&gt;=LOOKUP(2,1/($E:$E&lt;&gt;""),$E:$E))*($E339&lt;=$E340)*($E339&gt;INDEX(_xlfn.ANCHORARRAY(Sintesi!$C$14),1,$C339))*($E339&lt;=INDEX(_xlfn.ANCHORARRAY(Sintesi!$C$15),1,$C339))*(INDEX(_xlfn.ANCHORARRAY(Sintesi!$C$15),1,$C339)&gt;0),1,IF(($E339&gt;=LOOKUP(2,1/($E:$E&lt;&gt;""),$E:$E))*($E339&lt;=$E340)*($E339&gt;INDEX(_xlfn.ANCHORARRAY(Sintesi!$C$14),1,$C339))*($E339&lt;INDEX(_xlfn.ANCHORARRAY(Sintesi!$C$16),1,$C339))*(INDEX(_xlfn.ANCHORARRAY(Sintesi!$C$15),1,$C339)&lt;0)+($E339&gt;=LOOKUP(2,1/($E:$E&lt;&gt;""),$E:$E))*($E339&lt;=$E340)*($E339&gt;INDEX(_xlfn.ANCHORARRAY(Sintesi!$C$15),1,$C339))*($E339&lt;INDEX(_xlfn.ANCHORARRAY(Sintesi!$C$16),1,$C339))*(INDEX(_xlfn.ANCHORARRAY(Sintesi!$C$15),1,$C339)&gt;0),2,IF($E339=(INDEX(_xlfn.ANCHORARRAY(Sintesi!$C$16),1,$C339)),3,4)))),0)))</f>
        <v>0</v>
      </c>
      <c r="E339" s="1">
        <f>'Paste cell here'!F339</f>
        <v>0</v>
      </c>
      <c r="F339" s="1">
        <f>'Paste cell here'!C339</f>
        <v>0</v>
      </c>
      <c r="G339" s="1">
        <f>'Paste cell here'!D339</f>
        <v>0</v>
      </c>
      <c r="H339" s="1">
        <f>'Paste cell here'!E339</f>
        <v>0</v>
      </c>
      <c r="I339" s="1">
        <f>'Paste cell here'!X339</f>
        <v>0</v>
      </c>
      <c r="J339" s="1">
        <f>'Paste cell here'!Y339+'Paste cell here'!S339</f>
        <v>0</v>
      </c>
      <c r="K339" s="1" t="e">
        <f t="shared" si="11"/>
        <v>#DIV/0!</v>
      </c>
      <c r="L339" s="1">
        <f t="shared" si="10"/>
        <v>0</v>
      </c>
      <c r="M339" s="1" cm="1">
        <f t="array" ref="M339">IF(AND(A339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,A339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),IF(L339&lt;_xlfn.IFNA(INDEX(_xlfn.ANCHORARRAY(Sintesi!$C$17)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,1,IF(L339&gt;=_xlfn.IFNA(INDEX(_xlfn.ANCHORARRAY(Sintesi!$C$18)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,0,1-(L339-_xlfn.IFNA(INDEX(_xlfn.ANCHORARRAY(Sintesi!$C$17)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)/(_xlfn.IFNA(INDEX(_xlfn.ANCHORARRAY(Sintesi!$C$18)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-_xlfn.IFNA(INDEX(_xlfn.ANCHORARRAY(Sintesi!$C$17),1,MATCH(1,(_xlfn.ANCHORARRAY(Sintesi!$C$9)&gt;_xlfn.ANCHORARRAY(Sintesi!$C$10))*(A338&gt;=_xlfn.ANCHORARRAY(Sintesi!$C$9))+(_xlfn.ANCHORARRAY(Sintesi!$C$9)&gt;_xlfn.ANCHORARRAY(Sintesi!$C$10))*(A338&lt;=_xlfn.ANCHORARRAY(Sintesi!$C$10))+(_xlfn.ANCHORARRAY(Sintesi!$C$9)&lt;_xlfn.ANCHORARRAY(Sintesi!$C$10))*(A338&gt;=_xlfn.ANCHORARRAY(Sintesi!$C$9))*(A338&lt;=_xlfn.ANCHORARRAY(Sintesi!$C$10)),0)),0)))),0)</f>
        <v>0</v>
      </c>
    </row>
    <row r="340" spans="1:13">
      <c r="A340" s="1">
        <f>'Paste cell here'!A340</f>
        <v>0</v>
      </c>
      <c r="B340" s="2">
        <f>DATE(Sintesi!$C$4-1,12,31)+A340</f>
        <v>44196</v>
      </c>
      <c r="C340" s="34" cm="1">
        <f t="array" ref="C340">_xlfn.IFNA(MATCH(1,(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)*(_xlfn.ANCHORARRAY(Sintesi!$C$15)&gt;=0)+(_xlfn.ANCHORARRAY(Sintesi!$C$15)&lt;0),0),0)</f>
        <v>0</v>
      </c>
      <c r="D340" s="1" cm="1">
        <f t="array" ref="D340">IF(ISBLANK($E341),IF(ISNUMBER($E339),IF($C340&gt;0,IF(($E340=INDEX(_xlfn.ANCHORARRAY(Sintesi!$C$14),1,$C340))*(INDEX(_xlfn.ANCHORARRAY(Sintesi!$C$15),1,$C340)&gt;0),0,IF(($E340=INDEX(_xlfn.ANCHORARRAY(Sintesi!$C$14),1,$C340))*(INDEX(_xlfn.ANCHORARRAY(Sintesi!$C$15),1,$C340)&lt;0)+($E340&gt;=$E339)*($E340&lt;=INDEX($E:$E,MATCH(TRUE,INDEX((ISNUMBER($E:$E)),0),0)))*($E340&gt;INDEX(_xlfn.ANCHORARRAY(Sintesi!$C$14),1,$C340))*($E340&lt;=INDEX(_xlfn.ANCHORARRAY(Sintesi!$C$15),1,$C340))*(INDEX(_xlfn.ANCHORARRAY(Sintesi!$C$15),1,$C340)&gt;0),1,IF(($E340&gt;=$E339)*($E340&lt;=INDEX($E:$E,MATCH(TRUE,INDEX((ISNUMBER($E:$E)),0),0)))*($E340&gt;INDEX(_xlfn.ANCHORARRAY(Sintesi!$C$14),1,$C340))*($E340&lt;INDEX(_xlfn.ANCHORARRAY(Sintesi!$C$16),1,$C340))*(INDEX(_xlfn.ANCHORARRAY(Sintesi!$C$15),1,$C340)&lt;0)+($E340&gt;=$E339)*($E340&lt;=INDEX($E:$E,MATCH(TRUE,INDEX((ISNUMBER($E:$E)),0),0)))*($E340&gt;INDEX(_xlfn.ANCHORARRAY(Sintesi!$C$15),1,$C340))*($E340&lt;INDEX(_xlfn.ANCHORARRAY(Sintesi!$C$16),1,$C340))*(INDEX(_xlfn.ANCHORARRAY(Sintesi!$C$15),1,$C340)&gt;0),2,IF($E340=(INDEX(_xlfn.ANCHORARRAY(Sintesi!$C$16),1,$C340)),3,4)))),0),IF($C340&gt;0,IF(($E340=INDEX(_xlfn.ANCHORARRAY(Sintesi!$C$14),1,$C340))*(INDEX(_xlfn.ANCHORARRAY(Sintesi!$C$15),1,$C340)&gt;0),0,IF(($E340=INDEX(_xlfn.ANCHORARRAY(Sintesi!$C$14),1,$C340))*(INDEX(_xlfn.ANCHORARRAY(Sintesi!$C$15),1,$C340)&lt;0)+($E340&gt;=LOOKUP(2,1/($E:$E&lt;&gt;""),$E:$E))*($E340&lt;=INDEX($E:$E,MATCH(TRUE,INDEX((ISNUMBER($E:$E)),0),0)))*($E340&gt;INDEX(_xlfn.ANCHORARRAY(Sintesi!$C$14),1,$C340))*($E340&lt;=INDEX(_xlfn.ANCHORARRAY(Sintesi!$C$15),1,$C340))*(INDEX(_xlfn.ANCHORARRAY(Sintesi!$C$15),1,$C340)&gt;0),1,IF(($E340&gt;=LOOKUP(2,1/($E:$E&lt;&gt;""),$E:$E))*($E340&lt;=INDEX($E:$E,MATCH(TRUE,INDEX((ISNUMBER($E:$E)),0),0)))*($E340&gt;INDEX(_xlfn.ANCHORARRAY(Sintesi!$C$14),1,$C340))*($E340&lt;INDEX(_xlfn.ANCHORARRAY(Sintesi!$C$16),1,$C340))*(INDEX(_xlfn.ANCHORARRAY(Sintesi!$C$15),1,$C340)&lt;0)+($E340&gt;=LOOKUP(2,1/($E:$E&lt;&gt;""),$E:$E))*($E340&lt;=INDEX($E:$E,MATCH(TRUE,INDEX((ISNUMBER($E:$E)),0),0)))*($E340&gt;INDEX(_xlfn.ANCHORARRAY(Sintesi!$C$15),1,$C340))*($E340&lt;INDEX(_xlfn.ANCHORARRAY(Sintesi!$C$16),1,$C340))*(INDEX(_xlfn.ANCHORARRAY(Sintesi!$C$15),1,$C340)&gt;0),2,IF($E340=(INDEX(_xlfn.ANCHORARRAY(Sintesi!$C$16),1,$C340)),3,4)))),0)),IF(ISNUMBER($E339),IF($C340&gt;0,IF(($E340=INDEX(_xlfn.ANCHORARRAY(Sintesi!$C$14),1,$C340))*(INDEX(_xlfn.ANCHORARRAY(Sintesi!$C$15),1,$C340)&gt;0),0,IF(($E340=INDEX(_xlfn.ANCHORARRAY(Sintesi!$C$14),1,$C340))*(INDEX(_xlfn.ANCHORARRAY(Sintesi!$C$15),1,$C340)&lt;0)+($E340&gt;=$E339)*($E340&lt;=$E341)*($E340&gt;INDEX(_xlfn.ANCHORARRAY(Sintesi!$C$14),1,$C340))*($E340&lt;=INDEX(_xlfn.ANCHORARRAY(Sintesi!$C$15),1,$C340))*(INDEX(_xlfn.ANCHORARRAY(Sintesi!$C$15),1,$C340)&gt;0),1,IF(($E340&gt;=$E339)*($E340&lt;=$E341)*($E340&gt;INDEX(_xlfn.ANCHORARRAY(Sintesi!$C$14),1,$C340))*($E340&lt;INDEX(_xlfn.ANCHORARRAY(Sintesi!$C$16),1,$C340))*(INDEX(_xlfn.ANCHORARRAY(Sintesi!$C$15),1,$C340)&lt;0)+($E340&gt;=$E339)*($E340&lt;=$E341)*($E340&gt;INDEX(_xlfn.ANCHORARRAY(Sintesi!$C$15),1,$C340))*($E340&lt;INDEX(_xlfn.ANCHORARRAY(Sintesi!$C$16),1,$C340))*(INDEX(_xlfn.ANCHORARRAY(Sintesi!$C$15),1,$C340)&gt;0),2,IF($E340=(INDEX(_xlfn.ANCHORARRAY(Sintesi!$C$16),1,$C340)),3,4)))),0),IF($C340&gt;0,IF(($E340=INDEX(_xlfn.ANCHORARRAY(Sintesi!$C$14),1,$C340))*(INDEX(_xlfn.ANCHORARRAY(Sintesi!$C$15),1,$C340)&gt;0),0,IF(($E340=INDEX(_xlfn.ANCHORARRAY(Sintesi!$C$14),1,$C340))*(INDEX(_xlfn.ANCHORARRAY(Sintesi!$C$15),1,$C340)&lt;0)+($E340&gt;=LOOKUP(2,1/($E:$E&lt;&gt;""),$E:$E))*($E340&lt;=$E341)*($E340&gt;INDEX(_xlfn.ANCHORARRAY(Sintesi!$C$14),1,$C340))*($E340&lt;=INDEX(_xlfn.ANCHORARRAY(Sintesi!$C$15),1,$C340))*(INDEX(_xlfn.ANCHORARRAY(Sintesi!$C$15),1,$C340)&gt;0),1,IF(($E340&gt;=LOOKUP(2,1/($E:$E&lt;&gt;""),$E:$E))*($E340&lt;=$E341)*($E340&gt;INDEX(_xlfn.ANCHORARRAY(Sintesi!$C$14),1,$C340))*($E340&lt;INDEX(_xlfn.ANCHORARRAY(Sintesi!$C$16),1,$C340))*(INDEX(_xlfn.ANCHORARRAY(Sintesi!$C$15),1,$C340)&lt;0)+($E340&gt;=LOOKUP(2,1/($E:$E&lt;&gt;""),$E:$E))*($E340&lt;=$E341)*($E340&gt;INDEX(_xlfn.ANCHORARRAY(Sintesi!$C$15),1,$C340))*($E340&lt;INDEX(_xlfn.ANCHORARRAY(Sintesi!$C$16),1,$C340))*(INDEX(_xlfn.ANCHORARRAY(Sintesi!$C$15),1,$C340)&gt;0),2,IF($E340=(INDEX(_xlfn.ANCHORARRAY(Sintesi!$C$16),1,$C340)),3,4)))),0)))</f>
        <v>0</v>
      </c>
      <c r="E340" s="1">
        <f>'Paste cell here'!F340</f>
        <v>0</v>
      </c>
      <c r="F340" s="1">
        <f>'Paste cell here'!C340</f>
        <v>0</v>
      </c>
      <c r="G340" s="1">
        <f>'Paste cell here'!D340</f>
        <v>0</v>
      </c>
      <c r="H340" s="1">
        <f>'Paste cell here'!E340</f>
        <v>0</v>
      </c>
      <c r="I340" s="1">
        <f>'Paste cell here'!X340</f>
        <v>0</v>
      </c>
      <c r="J340" s="1">
        <f>'Paste cell here'!Y340+'Paste cell here'!S340</f>
        <v>0</v>
      </c>
      <c r="K340" s="1" t="e">
        <f t="shared" si="11"/>
        <v>#DIV/0!</v>
      </c>
      <c r="L340" s="1">
        <f t="shared" si="10"/>
        <v>0</v>
      </c>
      <c r="M340" s="1" cm="1">
        <f t="array" ref="M340">IF(AND(A340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,A340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),IF(L340&lt;_xlfn.IFNA(INDEX(_xlfn.ANCHORARRAY(Sintesi!$C$17)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,1,IF(L340&gt;=_xlfn.IFNA(INDEX(_xlfn.ANCHORARRAY(Sintesi!$C$18)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,0,1-(L340-_xlfn.IFNA(INDEX(_xlfn.ANCHORARRAY(Sintesi!$C$17)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)/(_xlfn.IFNA(INDEX(_xlfn.ANCHORARRAY(Sintesi!$C$18)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-_xlfn.IFNA(INDEX(_xlfn.ANCHORARRAY(Sintesi!$C$17),1,MATCH(1,(_xlfn.ANCHORARRAY(Sintesi!$C$9)&gt;_xlfn.ANCHORARRAY(Sintesi!$C$10))*(A339&gt;=_xlfn.ANCHORARRAY(Sintesi!$C$9))+(_xlfn.ANCHORARRAY(Sintesi!$C$9)&gt;_xlfn.ANCHORARRAY(Sintesi!$C$10))*(A339&lt;=_xlfn.ANCHORARRAY(Sintesi!$C$10))+(_xlfn.ANCHORARRAY(Sintesi!$C$9)&lt;_xlfn.ANCHORARRAY(Sintesi!$C$10))*(A339&gt;=_xlfn.ANCHORARRAY(Sintesi!$C$9))*(A339&lt;=_xlfn.ANCHORARRAY(Sintesi!$C$10)),0)),0)))),0)</f>
        <v>0</v>
      </c>
    </row>
    <row r="341" spans="1:13">
      <c r="A341" s="1">
        <f>'Paste cell here'!A341</f>
        <v>0</v>
      </c>
      <c r="B341" s="2">
        <f>DATE(Sintesi!$C$4-1,12,31)+A341</f>
        <v>44196</v>
      </c>
      <c r="C341" s="34" cm="1">
        <f t="array" ref="C341">_xlfn.IFNA(MATCH(1,(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)*(_xlfn.ANCHORARRAY(Sintesi!$C$15)&gt;=0)+(_xlfn.ANCHORARRAY(Sintesi!$C$15)&lt;0),0),0)</f>
        <v>0</v>
      </c>
      <c r="D341" s="1" cm="1">
        <f t="array" ref="D341">IF(ISBLANK($E342),IF(ISNUMBER($E340),IF($C341&gt;0,IF(($E341=INDEX(_xlfn.ANCHORARRAY(Sintesi!$C$14),1,$C341))*(INDEX(_xlfn.ANCHORARRAY(Sintesi!$C$15),1,$C341)&gt;0),0,IF(($E341=INDEX(_xlfn.ANCHORARRAY(Sintesi!$C$14),1,$C341))*(INDEX(_xlfn.ANCHORARRAY(Sintesi!$C$15),1,$C341)&lt;0)+($E341&gt;=$E340)*($E341&lt;=INDEX($E:$E,MATCH(TRUE,INDEX((ISNUMBER($E:$E)),0),0)))*($E341&gt;INDEX(_xlfn.ANCHORARRAY(Sintesi!$C$14),1,$C341))*($E341&lt;=INDEX(_xlfn.ANCHORARRAY(Sintesi!$C$15),1,$C341))*(INDEX(_xlfn.ANCHORARRAY(Sintesi!$C$15),1,$C341)&gt;0),1,IF(($E341&gt;=$E340)*($E341&lt;=INDEX($E:$E,MATCH(TRUE,INDEX((ISNUMBER($E:$E)),0),0)))*($E341&gt;INDEX(_xlfn.ANCHORARRAY(Sintesi!$C$14),1,$C341))*($E341&lt;INDEX(_xlfn.ANCHORARRAY(Sintesi!$C$16),1,$C341))*(INDEX(_xlfn.ANCHORARRAY(Sintesi!$C$15),1,$C341)&lt;0)+($E341&gt;=$E340)*($E341&lt;=INDEX($E:$E,MATCH(TRUE,INDEX((ISNUMBER($E:$E)),0),0)))*($E341&gt;INDEX(_xlfn.ANCHORARRAY(Sintesi!$C$15),1,$C341))*($E341&lt;INDEX(_xlfn.ANCHORARRAY(Sintesi!$C$16),1,$C341))*(INDEX(_xlfn.ANCHORARRAY(Sintesi!$C$15),1,$C341)&gt;0),2,IF($E341=(INDEX(_xlfn.ANCHORARRAY(Sintesi!$C$16),1,$C341)),3,4)))),0),IF($C341&gt;0,IF(($E341=INDEX(_xlfn.ANCHORARRAY(Sintesi!$C$14),1,$C341))*(INDEX(_xlfn.ANCHORARRAY(Sintesi!$C$15),1,$C341)&gt;0),0,IF(($E341=INDEX(_xlfn.ANCHORARRAY(Sintesi!$C$14),1,$C341))*(INDEX(_xlfn.ANCHORARRAY(Sintesi!$C$15),1,$C341)&lt;0)+($E341&gt;=LOOKUP(2,1/($E:$E&lt;&gt;""),$E:$E))*($E341&lt;=INDEX($E:$E,MATCH(TRUE,INDEX((ISNUMBER($E:$E)),0),0)))*($E341&gt;INDEX(_xlfn.ANCHORARRAY(Sintesi!$C$14),1,$C341))*($E341&lt;=INDEX(_xlfn.ANCHORARRAY(Sintesi!$C$15),1,$C341))*(INDEX(_xlfn.ANCHORARRAY(Sintesi!$C$15),1,$C341)&gt;0),1,IF(($E341&gt;=LOOKUP(2,1/($E:$E&lt;&gt;""),$E:$E))*($E341&lt;=INDEX($E:$E,MATCH(TRUE,INDEX((ISNUMBER($E:$E)),0),0)))*($E341&gt;INDEX(_xlfn.ANCHORARRAY(Sintesi!$C$14),1,$C341))*($E341&lt;INDEX(_xlfn.ANCHORARRAY(Sintesi!$C$16),1,$C341))*(INDEX(_xlfn.ANCHORARRAY(Sintesi!$C$15),1,$C341)&lt;0)+($E341&gt;=LOOKUP(2,1/($E:$E&lt;&gt;""),$E:$E))*($E341&lt;=INDEX($E:$E,MATCH(TRUE,INDEX((ISNUMBER($E:$E)),0),0)))*($E341&gt;INDEX(_xlfn.ANCHORARRAY(Sintesi!$C$15),1,$C341))*($E341&lt;INDEX(_xlfn.ANCHORARRAY(Sintesi!$C$16),1,$C341))*(INDEX(_xlfn.ANCHORARRAY(Sintesi!$C$15),1,$C341)&gt;0),2,IF($E341=(INDEX(_xlfn.ANCHORARRAY(Sintesi!$C$16),1,$C341)),3,4)))),0)),IF(ISNUMBER($E340),IF($C341&gt;0,IF(($E341=INDEX(_xlfn.ANCHORARRAY(Sintesi!$C$14),1,$C341))*(INDEX(_xlfn.ANCHORARRAY(Sintesi!$C$15),1,$C341)&gt;0),0,IF(($E341=INDEX(_xlfn.ANCHORARRAY(Sintesi!$C$14),1,$C341))*(INDEX(_xlfn.ANCHORARRAY(Sintesi!$C$15),1,$C341)&lt;0)+($E341&gt;=$E340)*($E341&lt;=$E342)*($E341&gt;INDEX(_xlfn.ANCHORARRAY(Sintesi!$C$14),1,$C341))*($E341&lt;=INDEX(_xlfn.ANCHORARRAY(Sintesi!$C$15),1,$C341))*(INDEX(_xlfn.ANCHORARRAY(Sintesi!$C$15),1,$C341)&gt;0),1,IF(($E341&gt;=$E340)*($E341&lt;=$E342)*($E341&gt;INDEX(_xlfn.ANCHORARRAY(Sintesi!$C$14),1,$C341))*($E341&lt;INDEX(_xlfn.ANCHORARRAY(Sintesi!$C$16),1,$C341))*(INDEX(_xlfn.ANCHORARRAY(Sintesi!$C$15),1,$C341)&lt;0)+($E341&gt;=$E340)*($E341&lt;=$E342)*($E341&gt;INDEX(_xlfn.ANCHORARRAY(Sintesi!$C$15),1,$C341))*($E341&lt;INDEX(_xlfn.ANCHORARRAY(Sintesi!$C$16),1,$C341))*(INDEX(_xlfn.ANCHORARRAY(Sintesi!$C$15),1,$C341)&gt;0),2,IF($E341=(INDEX(_xlfn.ANCHORARRAY(Sintesi!$C$16),1,$C341)),3,4)))),0),IF($C341&gt;0,IF(($E341=INDEX(_xlfn.ANCHORARRAY(Sintesi!$C$14),1,$C341))*(INDEX(_xlfn.ANCHORARRAY(Sintesi!$C$15),1,$C341)&gt;0),0,IF(($E341=INDEX(_xlfn.ANCHORARRAY(Sintesi!$C$14),1,$C341))*(INDEX(_xlfn.ANCHORARRAY(Sintesi!$C$15),1,$C341)&lt;0)+($E341&gt;=LOOKUP(2,1/($E:$E&lt;&gt;""),$E:$E))*($E341&lt;=$E342)*($E341&gt;INDEX(_xlfn.ANCHORARRAY(Sintesi!$C$14),1,$C341))*($E341&lt;=INDEX(_xlfn.ANCHORARRAY(Sintesi!$C$15),1,$C341))*(INDEX(_xlfn.ANCHORARRAY(Sintesi!$C$15),1,$C341)&gt;0),1,IF(($E341&gt;=LOOKUP(2,1/($E:$E&lt;&gt;""),$E:$E))*($E341&lt;=$E342)*($E341&gt;INDEX(_xlfn.ANCHORARRAY(Sintesi!$C$14),1,$C341))*($E341&lt;INDEX(_xlfn.ANCHORARRAY(Sintesi!$C$16),1,$C341))*(INDEX(_xlfn.ANCHORARRAY(Sintesi!$C$15),1,$C341)&lt;0)+($E341&gt;=LOOKUP(2,1/($E:$E&lt;&gt;""),$E:$E))*($E341&lt;=$E342)*($E341&gt;INDEX(_xlfn.ANCHORARRAY(Sintesi!$C$15),1,$C341))*($E341&lt;INDEX(_xlfn.ANCHORARRAY(Sintesi!$C$16),1,$C341))*(INDEX(_xlfn.ANCHORARRAY(Sintesi!$C$15),1,$C341)&gt;0),2,IF($E341=(INDEX(_xlfn.ANCHORARRAY(Sintesi!$C$16),1,$C341)),3,4)))),0)))</f>
        <v>0</v>
      </c>
      <c r="E341" s="1">
        <f>'Paste cell here'!F341</f>
        <v>0</v>
      </c>
      <c r="F341" s="1">
        <f>'Paste cell here'!C341</f>
        <v>0</v>
      </c>
      <c r="G341" s="1">
        <f>'Paste cell here'!D341</f>
        <v>0</v>
      </c>
      <c r="H341" s="1">
        <f>'Paste cell here'!E341</f>
        <v>0</v>
      </c>
      <c r="I341" s="1">
        <f>'Paste cell here'!X341</f>
        <v>0</v>
      </c>
      <c r="J341" s="1">
        <f>'Paste cell here'!Y341+'Paste cell here'!S341</f>
        <v>0</v>
      </c>
      <c r="K341" s="1" t="e">
        <f t="shared" si="11"/>
        <v>#DIV/0!</v>
      </c>
      <c r="L341" s="1">
        <f t="shared" si="10"/>
        <v>0</v>
      </c>
      <c r="M341" s="1" cm="1">
        <f t="array" ref="M341">IF(AND(A341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,A341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),IF(L341&lt;_xlfn.IFNA(INDEX(_xlfn.ANCHORARRAY(Sintesi!$C$17)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,1,IF(L341&gt;=_xlfn.IFNA(INDEX(_xlfn.ANCHORARRAY(Sintesi!$C$18)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,0,1-(L341-_xlfn.IFNA(INDEX(_xlfn.ANCHORARRAY(Sintesi!$C$17)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)/(_xlfn.IFNA(INDEX(_xlfn.ANCHORARRAY(Sintesi!$C$18)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-_xlfn.IFNA(INDEX(_xlfn.ANCHORARRAY(Sintesi!$C$17),1,MATCH(1,(_xlfn.ANCHORARRAY(Sintesi!$C$9)&gt;_xlfn.ANCHORARRAY(Sintesi!$C$10))*(A340&gt;=_xlfn.ANCHORARRAY(Sintesi!$C$9))+(_xlfn.ANCHORARRAY(Sintesi!$C$9)&gt;_xlfn.ANCHORARRAY(Sintesi!$C$10))*(A340&lt;=_xlfn.ANCHORARRAY(Sintesi!$C$10))+(_xlfn.ANCHORARRAY(Sintesi!$C$9)&lt;_xlfn.ANCHORARRAY(Sintesi!$C$10))*(A340&gt;=_xlfn.ANCHORARRAY(Sintesi!$C$9))*(A340&lt;=_xlfn.ANCHORARRAY(Sintesi!$C$10)),0)),0)))),0)</f>
        <v>0</v>
      </c>
    </row>
    <row r="342" spans="1:13">
      <c r="A342" s="1">
        <f>'Paste cell here'!A342</f>
        <v>0</v>
      </c>
      <c r="B342" s="2">
        <f>DATE(Sintesi!$C$4-1,12,31)+A342</f>
        <v>44196</v>
      </c>
      <c r="C342" s="34" cm="1">
        <f t="array" ref="C342">_xlfn.IFNA(MATCH(1,(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)*(_xlfn.ANCHORARRAY(Sintesi!$C$15)&gt;=0)+(_xlfn.ANCHORARRAY(Sintesi!$C$15)&lt;0),0),0)</f>
        <v>0</v>
      </c>
      <c r="D342" s="1" cm="1">
        <f t="array" ref="D342">IF(ISBLANK($E343),IF(ISNUMBER($E341),IF($C342&gt;0,IF(($E342=INDEX(_xlfn.ANCHORARRAY(Sintesi!$C$14),1,$C342))*(INDEX(_xlfn.ANCHORARRAY(Sintesi!$C$15),1,$C342)&gt;0),0,IF(($E342=INDEX(_xlfn.ANCHORARRAY(Sintesi!$C$14),1,$C342))*(INDEX(_xlfn.ANCHORARRAY(Sintesi!$C$15),1,$C342)&lt;0)+($E342&gt;=$E341)*($E342&lt;=INDEX($E:$E,MATCH(TRUE,INDEX((ISNUMBER($E:$E)),0),0)))*($E342&gt;INDEX(_xlfn.ANCHORARRAY(Sintesi!$C$14),1,$C342))*($E342&lt;=INDEX(_xlfn.ANCHORARRAY(Sintesi!$C$15),1,$C342))*(INDEX(_xlfn.ANCHORARRAY(Sintesi!$C$15),1,$C342)&gt;0),1,IF(($E342&gt;=$E341)*($E342&lt;=INDEX($E:$E,MATCH(TRUE,INDEX((ISNUMBER($E:$E)),0),0)))*($E342&gt;INDEX(_xlfn.ANCHORARRAY(Sintesi!$C$14),1,$C342))*($E342&lt;INDEX(_xlfn.ANCHORARRAY(Sintesi!$C$16),1,$C342))*(INDEX(_xlfn.ANCHORARRAY(Sintesi!$C$15),1,$C342)&lt;0)+($E342&gt;=$E341)*($E342&lt;=INDEX($E:$E,MATCH(TRUE,INDEX((ISNUMBER($E:$E)),0),0)))*($E342&gt;INDEX(_xlfn.ANCHORARRAY(Sintesi!$C$15),1,$C342))*($E342&lt;INDEX(_xlfn.ANCHORARRAY(Sintesi!$C$16),1,$C342))*(INDEX(_xlfn.ANCHORARRAY(Sintesi!$C$15),1,$C342)&gt;0),2,IF($E342=(INDEX(_xlfn.ANCHORARRAY(Sintesi!$C$16),1,$C342)),3,4)))),0),IF($C342&gt;0,IF(($E342=INDEX(_xlfn.ANCHORARRAY(Sintesi!$C$14),1,$C342))*(INDEX(_xlfn.ANCHORARRAY(Sintesi!$C$15),1,$C342)&gt;0),0,IF(($E342=INDEX(_xlfn.ANCHORARRAY(Sintesi!$C$14),1,$C342))*(INDEX(_xlfn.ANCHORARRAY(Sintesi!$C$15),1,$C342)&lt;0)+($E342&gt;=LOOKUP(2,1/($E:$E&lt;&gt;""),$E:$E))*($E342&lt;=INDEX($E:$E,MATCH(TRUE,INDEX((ISNUMBER($E:$E)),0),0)))*($E342&gt;INDEX(_xlfn.ANCHORARRAY(Sintesi!$C$14),1,$C342))*($E342&lt;=INDEX(_xlfn.ANCHORARRAY(Sintesi!$C$15),1,$C342))*(INDEX(_xlfn.ANCHORARRAY(Sintesi!$C$15),1,$C342)&gt;0),1,IF(($E342&gt;=LOOKUP(2,1/($E:$E&lt;&gt;""),$E:$E))*($E342&lt;=INDEX($E:$E,MATCH(TRUE,INDEX((ISNUMBER($E:$E)),0),0)))*($E342&gt;INDEX(_xlfn.ANCHORARRAY(Sintesi!$C$14),1,$C342))*($E342&lt;INDEX(_xlfn.ANCHORARRAY(Sintesi!$C$16),1,$C342))*(INDEX(_xlfn.ANCHORARRAY(Sintesi!$C$15),1,$C342)&lt;0)+($E342&gt;=LOOKUP(2,1/($E:$E&lt;&gt;""),$E:$E))*($E342&lt;=INDEX($E:$E,MATCH(TRUE,INDEX((ISNUMBER($E:$E)),0),0)))*($E342&gt;INDEX(_xlfn.ANCHORARRAY(Sintesi!$C$15),1,$C342))*($E342&lt;INDEX(_xlfn.ANCHORARRAY(Sintesi!$C$16),1,$C342))*(INDEX(_xlfn.ANCHORARRAY(Sintesi!$C$15),1,$C342)&gt;0),2,IF($E342=(INDEX(_xlfn.ANCHORARRAY(Sintesi!$C$16),1,$C342)),3,4)))),0)),IF(ISNUMBER($E341),IF($C342&gt;0,IF(($E342=INDEX(_xlfn.ANCHORARRAY(Sintesi!$C$14),1,$C342))*(INDEX(_xlfn.ANCHORARRAY(Sintesi!$C$15),1,$C342)&gt;0),0,IF(($E342=INDEX(_xlfn.ANCHORARRAY(Sintesi!$C$14),1,$C342))*(INDEX(_xlfn.ANCHORARRAY(Sintesi!$C$15),1,$C342)&lt;0)+($E342&gt;=$E341)*($E342&lt;=$E343)*($E342&gt;INDEX(_xlfn.ANCHORARRAY(Sintesi!$C$14),1,$C342))*($E342&lt;=INDEX(_xlfn.ANCHORARRAY(Sintesi!$C$15),1,$C342))*(INDEX(_xlfn.ANCHORARRAY(Sintesi!$C$15),1,$C342)&gt;0),1,IF(($E342&gt;=$E341)*($E342&lt;=$E343)*($E342&gt;INDEX(_xlfn.ANCHORARRAY(Sintesi!$C$14),1,$C342))*($E342&lt;INDEX(_xlfn.ANCHORARRAY(Sintesi!$C$16),1,$C342))*(INDEX(_xlfn.ANCHORARRAY(Sintesi!$C$15),1,$C342)&lt;0)+($E342&gt;=$E341)*($E342&lt;=$E343)*($E342&gt;INDEX(_xlfn.ANCHORARRAY(Sintesi!$C$15),1,$C342))*($E342&lt;INDEX(_xlfn.ANCHORARRAY(Sintesi!$C$16),1,$C342))*(INDEX(_xlfn.ANCHORARRAY(Sintesi!$C$15),1,$C342)&gt;0),2,IF($E342=(INDEX(_xlfn.ANCHORARRAY(Sintesi!$C$16),1,$C342)),3,4)))),0),IF($C342&gt;0,IF(($E342=INDEX(_xlfn.ANCHORARRAY(Sintesi!$C$14),1,$C342))*(INDEX(_xlfn.ANCHORARRAY(Sintesi!$C$15),1,$C342)&gt;0),0,IF(($E342=INDEX(_xlfn.ANCHORARRAY(Sintesi!$C$14),1,$C342))*(INDEX(_xlfn.ANCHORARRAY(Sintesi!$C$15),1,$C342)&lt;0)+($E342&gt;=LOOKUP(2,1/($E:$E&lt;&gt;""),$E:$E))*($E342&lt;=$E343)*($E342&gt;INDEX(_xlfn.ANCHORARRAY(Sintesi!$C$14),1,$C342))*($E342&lt;=INDEX(_xlfn.ANCHORARRAY(Sintesi!$C$15),1,$C342))*(INDEX(_xlfn.ANCHORARRAY(Sintesi!$C$15),1,$C342)&gt;0),1,IF(($E342&gt;=LOOKUP(2,1/($E:$E&lt;&gt;""),$E:$E))*($E342&lt;=$E343)*($E342&gt;INDEX(_xlfn.ANCHORARRAY(Sintesi!$C$14),1,$C342))*($E342&lt;INDEX(_xlfn.ANCHORARRAY(Sintesi!$C$16),1,$C342))*(INDEX(_xlfn.ANCHORARRAY(Sintesi!$C$15),1,$C342)&lt;0)+($E342&gt;=LOOKUP(2,1/($E:$E&lt;&gt;""),$E:$E))*($E342&lt;=$E343)*($E342&gt;INDEX(_xlfn.ANCHORARRAY(Sintesi!$C$15),1,$C342))*($E342&lt;INDEX(_xlfn.ANCHORARRAY(Sintesi!$C$16),1,$C342))*(INDEX(_xlfn.ANCHORARRAY(Sintesi!$C$15),1,$C342)&gt;0),2,IF($E342=(INDEX(_xlfn.ANCHORARRAY(Sintesi!$C$16),1,$C342)),3,4)))),0)))</f>
        <v>0</v>
      </c>
      <c r="E342" s="1">
        <f>'Paste cell here'!F342</f>
        <v>0</v>
      </c>
      <c r="F342" s="1">
        <f>'Paste cell here'!C342</f>
        <v>0</v>
      </c>
      <c r="G342" s="1">
        <f>'Paste cell here'!D342</f>
        <v>0</v>
      </c>
      <c r="H342" s="1">
        <f>'Paste cell here'!E342</f>
        <v>0</v>
      </c>
      <c r="I342" s="1">
        <f>'Paste cell here'!X342</f>
        <v>0</v>
      </c>
      <c r="J342" s="1">
        <f>'Paste cell here'!Y342+'Paste cell here'!S342</f>
        <v>0</v>
      </c>
      <c r="K342" s="1" t="e">
        <f t="shared" si="11"/>
        <v>#DIV/0!</v>
      </c>
      <c r="L342" s="1">
        <f t="shared" si="10"/>
        <v>0</v>
      </c>
      <c r="M342" s="1" cm="1">
        <f t="array" ref="M342">IF(AND(A342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,A342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),IF(L342&lt;_xlfn.IFNA(INDEX(_xlfn.ANCHORARRAY(Sintesi!$C$17)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,1,IF(L342&gt;=_xlfn.IFNA(INDEX(_xlfn.ANCHORARRAY(Sintesi!$C$18)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,0,1-(L342-_xlfn.IFNA(INDEX(_xlfn.ANCHORARRAY(Sintesi!$C$17)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)/(_xlfn.IFNA(INDEX(_xlfn.ANCHORARRAY(Sintesi!$C$18)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-_xlfn.IFNA(INDEX(_xlfn.ANCHORARRAY(Sintesi!$C$17),1,MATCH(1,(_xlfn.ANCHORARRAY(Sintesi!$C$9)&gt;_xlfn.ANCHORARRAY(Sintesi!$C$10))*(A341&gt;=_xlfn.ANCHORARRAY(Sintesi!$C$9))+(_xlfn.ANCHORARRAY(Sintesi!$C$9)&gt;_xlfn.ANCHORARRAY(Sintesi!$C$10))*(A341&lt;=_xlfn.ANCHORARRAY(Sintesi!$C$10))+(_xlfn.ANCHORARRAY(Sintesi!$C$9)&lt;_xlfn.ANCHORARRAY(Sintesi!$C$10))*(A341&gt;=_xlfn.ANCHORARRAY(Sintesi!$C$9))*(A341&lt;=_xlfn.ANCHORARRAY(Sintesi!$C$10)),0)),0)))),0)</f>
        <v>0</v>
      </c>
    </row>
    <row r="343" spans="1:13">
      <c r="A343" s="1">
        <f>'Paste cell here'!A343</f>
        <v>0</v>
      </c>
      <c r="B343" s="2">
        <f>DATE(Sintesi!$C$4-1,12,31)+A343</f>
        <v>44196</v>
      </c>
      <c r="C343" s="34" cm="1">
        <f t="array" ref="C343">_xlfn.IFNA(MATCH(1,(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)*(_xlfn.ANCHORARRAY(Sintesi!$C$15)&gt;=0)+(_xlfn.ANCHORARRAY(Sintesi!$C$15)&lt;0),0),0)</f>
        <v>0</v>
      </c>
      <c r="D343" s="1" cm="1">
        <f t="array" ref="D343">IF(ISBLANK($E344),IF(ISNUMBER($E342),IF($C343&gt;0,IF(($E343=INDEX(_xlfn.ANCHORARRAY(Sintesi!$C$14),1,$C343))*(INDEX(_xlfn.ANCHORARRAY(Sintesi!$C$15),1,$C343)&gt;0),0,IF(($E343=INDEX(_xlfn.ANCHORARRAY(Sintesi!$C$14),1,$C343))*(INDEX(_xlfn.ANCHORARRAY(Sintesi!$C$15),1,$C343)&lt;0)+($E343&gt;=$E342)*($E343&lt;=INDEX($E:$E,MATCH(TRUE,INDEX((ISNUMBER($E:$E)),0),0)))*($E343&gt;INDEX(_xlfn.ANCHORARRAY(Sintesi!$C$14),1,$C343))*($E343&lt;=INDEX(_xlfn.ANCHORARRAY(Sintesi!$C$15),1,$C343))*(INDEX(_xlfn.ANCHORARRAY(Sintesi!$C$15),1,$C343)&gt;0),1,IF(($E343&gt;=$E342)*($E343&lt;=INDEX($E:$E,MATCH(TRUE,INDEX((ISNUMBER($E:$E)),0),0)))*($E343&gt;INDEX(_xlfn.ANCHORARRAY(Sintesi!$C$14),1,$C343))*($E343&lt;INDEX(_xlfn.ANCHORARRAY(Sintesi!$C$16),1,$C343))*(INDEX(_xlfn.ANCHORARRAY(Sintesi!$C$15),1,$C343)&lt;0)+($E343&gt;=$E342)*($E343&lt;=INDEX($E:$E,MATCH(TRUE,INDEX((ISNUMBER($E:$E)),0),0)))*($E343&gt;INDEX(_xlfn.ANCHORARRAY(Sintesi!$C$15),1,$C343))*($E343&lt;INDEX(_xlfn.ANCHORARRAY(Sintesi!$C$16),1,$C343))*(INDEX(_xlfn.ANCHORARRAY(Sintesi!$C$15),1,$C343)&gt;0),2,IF($E343=(INDEX(_xlfn.ANCHORARRAY(Sintesi!$C$16),1,$C343)),3,4)))),0),IF($C343&gt;0,IF(($E343=INDEX(_xlfn.ANCHORARRAY(Sintesi!$C$14),1,$C343))*(INDEX(_xlfn.ANCHORARRAY(Sintesi!$C$15),1,$C343)&gt;0),0,IF(($E343=INDEX(_xlfn.ANCHORARRAY(Sintesi!$C$14),1,$C343))*(INDEX(_xlfn.ANCHORARRAY(Sintesi!$C$15),1,$C343)&lt;0)+($E343&gt;=LOOKUP(2,1/($E:$E&lt;&gt;""),$E:$E))*($E343&lt;=INDEX($E:$E,MATCH(TRUE,INDEX((ISNUMBER($E:$E)),0),0)))*($E343&gt;INDEX(_xlfn.ANCHORARRAY(Sintesi!$C$14),1,$C343))*($E343&lt;=INDEX(_xlfn.ANCHORARRAY(Sintesi!$C$15),1,$C343))*(INDEX(_xlfn.ANCHORARRAY(Sintesi!$C$15),1,$C343)&gt;0),1,IF(($E343&gt;=LOOKUP(2,1/($E:$E&lt;&gt;""),$E:$E))*($E343&lt;=INDEX($E:$E,MATCH(TRUE,INDEX((ISNUMBER($E:$E)),0),0)))*($E343&gt;INDEX(_xlfn.ANCHORARRAY(Sintesi!$C$14),1,$C343))*($E343&lt;INDEX(_xlfn.ANCHORARRAY(Sintesi!$C$16),1,$C343))*(INDEX(_xlfn.ANCHORARRAY(Sintesi!$C$15),1,$C343)&lt;0)+($E343&gt;=LOOKUP(2,1/($E:$E&lt;&gt;""),$E:$E))*($E343&lt;=INDEX($E:$E,MATCH(TRUE,INDEX((ISNUMBER($E:$E)),0),0)))*($E343&gt;INDEX(_xlfn.ANCHORARRAY(Sintesi!$C$15),1,$C343))*($E343&lt;INDEX(_xlfn.ANCHORARRAY(Sintesi!$C$16),1,$C343))*(INDEX(_xlfn.ANCHORARRAY(Sintesi!$C$15),1,$C343)&gt;0),2,IF($E343=(INDEX(_xlfn.ANCHORARRAY(Sintesi!$C$16),1,$C343)),3,4)))),0)),IF(ISNUMBER($E342),IF($C343&gt;0,IF(($E343=INDEX(_xlfn.ANCHORARRAY(Sintesi!$C$14),1,$C343))*(INDEX(_xlfn.ANCHORARRAY(Sintesi!$C$15),1,$C343)&gt;0),0,IF(($E343=INDEX(_xlfn.ANCHORARRAY(Sintesi!$C$14),1,$C343))*(INDEX(_xlfn.ANCHORARRAY(Sintesi!$C$15),1,$C343)&lt;0)+($E343&gt;=$E342)*($E343&lt;=$E344)*($E343&gt;INDEX(_xlfn.ANCHORARRAY(Sintesi!$C$14),1,$C343))*($E343&lt;=INDEX(_xlfn.ANCHORARRAY(Sintesi!$C$15),1,$C343))*(INDEX(_xlfn.ANCHORARRAY(Sintesi!$C$15),1,$C343)&gt;0),1,IF(($E343&gt;=$E342)*($E343&lt;=$E344)*($E343&gt;INDEX(_xlfn.ANCHORARRAY(Sintesi!$C$14),1,$C343))*($E343&lt;INDEX(_xlfn.ANCHORARRAY(Sintesi!$C$16),1,$C343))*(INDEX(_xlfn.ANCHORARRAY(Sintesi!$C$15),1,$C343)&lt;0)+($E343&gt;=$E342)*($E343&lt;=$E344)*($E343&gt;INDEX(_xlfn.ANCHORARRAY(Sintesi!$C$15),1,$C343))*($E343&lt;INDEX(_xlfn.ANCHORARRAY(Sintesi!$C$16),1,$C343))*(INDEX(_xlfn.ANCHORARRAY(Sintesi!$C$15),1,$C343)&gt;0),2,IF($E343=(INDEX(_xlfn.ANCHORARRAY(Sintesi!$C$16),1,$C343)),3,4)))),0),IF($C343&gt;0,IF(($E343=INDEX(_xlfn.ANCHORARRAY(Sintesi!$C$14),1,$C343))*(INDEX(_xlfn.ANCHORARRAY(Sintesi!$C$15),1,$C343)&gt;0),0,IF(($E343=INDEX(_xlfn.ANCHORARRAY(Sintesi!$C$14),1,$C343))*(INDEX(_xlfn.ANCHORARRAY(Sintesi!$C$15),1,$C343)&lt;0)+($E343&gt;=LOOKUP(2,1/($E:$E&lt;&gt;""),$E:$E))*($E343&lt;=$E344)*($E343&gt;INDEX(_xlfn.ANCHORARRAY(Sintesi!$C$14),1,$C343))*($E343&lt;=INDEX(_xlfn.ANCHORARRAY(Sintesi!$C$15),1,$C343))*(INDEX(_xlfn.ANCHORARRAY(Sintesi!$C$15),1,$C343)&gt;0),1,IF(($E343&gt;=LOOKUP(2,1/($E:$E&lt;&gt;""),$E:$E))*($E343&lt;=$E344)*($E343&gt;INDEX(_xlfn.ANCHORARRAY(Sintesi!$C$14),1,$C343))*($E343&lt;INDEX(_xlfn.ANCHORARRAY(Sintesi!$C$16),1,$C343))*(INDEX(_xlfn.ANCHORARRAY(Sintesi!$C$15),1,$C343)&lt;0)+($E343&gt;=LOOKUP(2,1/($E:$E&lt;&gt;""),$E:$E))*($E343&lt;=$E344)*($E343&gt;INDEX(_xlfn.ANCHORARRAY(Sintesi!$C$15),1,$C343))*($E343&lt;INDEX(_xlfn.ANCHORARRAY(Sintesi!$C$16),1,$C343))*(INDEX(_xlfn.ANCHORARRAY(Sintesi!$C$15),1,$C343)&gt;0),2,IF($E343=(INDEX(_xlfn.ANCHORARRAY(Sintesi!$C$16),1,$C343)),3,4)))),0)))</f>
        <v>0</v>
      </c>
      <c r="E343" s="1">
        <f>'Paste cell here'!F343</f>
        <v>0</v>
      </c>
      <c r="F343" s="1">
        <f>'Paste cell here'!C343</f>
        <v>0</v>
      </c>
      <c r="G343" s="1">
        <f>'Paste cell here'!D343</f>
        <v>0</v>
      </c>
      <c r="H343" s="1">
        <f>'Paste cell here'!E343</f>
        <v>0</v>
      </c>
      <c r="I343" s="1">
        <f>'Paste cell here'!X343</f>
        <v>0</v>
      </c>
      <c r="J343" s="1">
        <f>'Paste cell here'!Y343+'Paste cell here'!S343</f>
        <v>0</v>
      </c>
      <c r="K343" s="1" t="e">
        <f t="shared" si="11"/>
        <v>#DIV/0!</v>
      </c>
      <c r="L343" s="1">
        <f t="shared" si="10"/>
        <v>0</v>
      </c>
      <c r="M343" s="1" cm="1">
        <f t="array" ref="M343">IF(AND(A343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,A343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),IF(L343&lt;_xlfn.IFNA(INDEX(_xlfn.ANCHORARRAY(Sintesi!$C$17)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,1,IF(L343&gt;=_xlfn.IFNA(INDEX(_xlfn.ANCHORARRAY(Sintesi!$C$18)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,0,1-(L343-_xlfn.IFNA(INDEX(_xlfn.ANCHORARRAY(Sintesi!$C$17)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)/(_xlfn.IFNA(INDEX(_xlfn.ANCHORARRAY(Sintesi!$C$18)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-_xlfn.IFNA(INDEX(_xlfn.ANCHORARRAY(Sintesi!$C$17),1,MATCH(1,(_xlfn.ANCHORARRAY(Sintesi!$C$9)&gt;_xlfn.ANCHORARRAY(Sintesi!$C$10))*(A342&gt;=_xlfn.ANCHORARRAY(Sintesi!$C$9))+(_xlfn.ANCHORARRAY(Sintesi!$C$9)&gt;_xlfn.ANCHORARRAY(Sintesi!$C$10))*(A342&lt;=_xlfn.ANCHORARRAY(Sintesi!$C$10))+(_xlfn.ANCHORARRAY(Sintesi!$C$9)&lt;_xlfn.ANCHORARRAY(Sintesi!$C$10))*(A342&gt;=_xlfn.ANCHORARRAY(Sintesi!$C$9))*(A342&lt;=_xlfn.ANCHORARRAY(Sintesi!$C$10)),0)),0)))),0)</f>
        <v>0</v>
      </c>
    </row>
    <row r="344" spans="1:13">
      <c r="A344" s="1">
        <f>'Paste cell here'!A344</f>
        <v>0</v>
      </c>
      <c r="B344" s="2">
        <f>DATE(Sintesi!$C$4-1,12,31)+A344</f>
        <v>44196</v>
      </c>
      <c r="C344" s="34" cm="1">
        <f t="array" ref="C344">_xlfn.IFNA(MATCH(1,(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)*(_xlfn.ANCHORARRAY(Sintesi!$C$15)&gt;=0)+(_xlfn.ANCHORARRAY(Sintesi!$C$15)&lt;0),0),0)</f>
        <v>0</v>
      </c>
      <c r="D344" s="1" cm="1">
        <f t="array" ref="D344">IF(ISBLANK($E345),IF(ISNUMBER($E343),IF($C344&gt;0,IF(($E344=INDEX(_xlfn.ANCHORARRAY(Sintesi!$C$14),1,$C344))*(INDEX(_xlfn.ANCHORARRAY(Sintesi!$C$15),1,$C344)&gt;0),0,IF(($E344=INDEX(_xlfn.ANCHORARRAY(Sintesi!$C$14),1,$C344))*(INDEX(_xlfn.ANCHORARRAY(Sintesi!$C$15),1,$C344)&lt;0)+($E344&gt;=$E343)*($E344&lt;=INDEX($E:$E,MATCH(TRUE,INDEX((ISNUMBER($E:$E)),0),0)))*($E344&gt;INDEX(_xlfn.ANCHORARRAY(Sintesi!$C$14),1,$C344))*($E344&lt;=INDEX(_xlfn.ANCHORARRAY(Sintesi!$C$15),1,$C344))*(INDEX(_xlfn.ANCHORARRAY(Sintesi!$C$15),1,$C344)&gt;0),1,IF(($E344&gt;=$E343)*($E344&lt;=INDEX($E:$E,MATCH(TRUE,INDEX((ISNUMBER($E:$E)),0),0)))*($E344&gt;INDEX(_xlfn.ANCHORARRAY(Sintesi!$C$14),1,$C344))*($E344&lt;INDEX(_xlfn.ANCHORARRAY(Sintesi!$C$16),1,$C344))*(INDEX(_xlfn.ANCHORARRAY(Sintesi!$C$15),1,$C344)&lt;0)+($E344&gt;=$E343)*($E344&lt;=INDEX($E:$E,MATCH(TRUE,INDEX((ISNUMBER($E:$E)),0),0)))*($E344&gt;INDEX(_xlfn.ANCHORARRAY(Sintesi!$C$15),1,$C344))*($E344&lt;INDEX(_xlfn.ANCHORARRAY(Sintesi!$C$16),1,$C344))*(INDEX(_xlfn.ANCHORARRAY(Sintesi!$C$15),1,$C344)&gt;0),2,IF($E344=(INDEX(_xlfn.ANCHORARRAY(Sintesi!$C$16),1,$C344)),3,4)))),0),IF($C344&gt;0,IF(($E344=INDEX(_xlfn.ANCHORARRAY(Sintesi!$C$14),1,$C344))*(INDEX(_xlfn.ANCHORARRAY(Sintesi!$C$15),1,$C344)&gt;0),0,IF(($E344=INDEX(_xlfn.ANCHORARRAY(Sintesi!$C$14),1,$C344))*(INDEX(_xlfn.ANCHORARRAY(Sintesi!$C$15),1,$C344)&lt;0)+($E344&gt;=LOOKUP(2,1/($E:$E&lt;&gt;""),$E:$E))*($E344&lt;=INDEX($E:$E,MATCH(TRUE,INDEX((ISNUMBER($E:$E)),0),0)))*($E344&gt;INDEX(_xlfn.ANCHORARRAY(Sintesi!$C$14),1,$C344))*($E344&lt;=INDEX(_xlfn.ANCHORARRAY(Sintesi!$C$15),1,$C344))*(INDEX(_xlfn.ANCHORARRAY(Sintesi!$C$15),1,$C344)&gt;0),1,IF(($E344&gt;=LOOKUP(2,1/($E:$E&lt;&gt;""),$E:$E))*($E344&lt;=INDEX($E:$E,MATCH(TRUE,INDEX((ISNUMBER($E:$E)),0),0)))*($E344&gt;INDEX(_xlfn.ANCHORARRAY(Sintesi!$C$14),1,$C344))*($E344&lt;INDEX(_xlfn.ANCHORARRAY(Sintesi!$C$16),1,$C344))*(INDEX(_xlfn.ANCHORARRAY(Sintesi!$C$15),1,$C344)&lt;0)+($E344&gt;=LOOKUP(2,1/($E:$E&lt;&gt;""),$E:$E))*($E344&lt;=INDEX($E:$E,MATCH(TRUE,INDEX((ISNUMBER($E:$E)),0),0)))*($E344&gt;INDEX(_xlfn.ANCHORARRAY(Sintesi!$C$15),1,$C344))*($E344&lt;INDEX(_xlfn.ANCHORARRAY(Sintesi!$C$16),1,$C344))*(INDEX(_xlfn.ANCHORARRAY(Sintesi!$C$15),1,$C344)&gt;0),2,IF($E344=(INDEX(_xlfn.ANCHORARRAY(Sintesi!$C$16),1,$C344)),3,4)))),0)),IF(ISNUMBER($E343),IF($C344&gt;0,IF(($E344=INDEX(_xlfn.ANCHORARRAY(Sintesi!$C$14),1,$C344))*(INDEX(_xlfn.ANCHORARRAY(Sintesi!$C$15),1,$C344)&gt;0),0,IF(($E344=INDEX(_xlfn.ANCHORARRAY(Sintesi!$C$14),1,$C344))*(INDEX(_xlfn.ANCHORARRAY(Sintesi!$C$15),1,$C344)&lt;0)+($E344&gt;=$E343)*($E344&lt;=$E345)*($E344&gt;INDEX(_xlfn.ANCHORARRAY(Sintesi!$C$14),1,$C344))*($E344&lt;=INDEX(_xlfn.ANCHORARRAY(Sintesi!$C$15),1,$C344))*(INDEX(_xlfn.ANCHORARRAY(Sintesi!$C$15),1,$C344)&gt;0),1,IF(($E344&gt;=$E343)*($E344&lt;=$E345)*($E344&gt;INDEX(_xlfn.ANCHORARRAY(Sintesi!$C$14),1,$C344))*($E344&lt;INDEX(_xlfn.ANCHORARRAY(Sintesi!$C$16),1,$C344))*(INDEX(_xlfn.ANCHORARRAY(Sintesi!$C$15),1,$C344)&lt;0)+($E344&gt;=$E343)*($E344&lt;=$E345)*($E344&gt;INDEX(_xlfn.ANCHORARRAY(Sintesi!$C$15),1,$C344))*($E344&lt;INDEX(_xlfn.ANCHORARRAY(Sintesi!$C$16),1,$C344))*(INDEX(_xlfn.ANCHORARRAY(Sintesi!$C$15),1,$C344)&gt;0),2,IF($E344=(INDEX(_xlfn.ANCHORARRAY(Sintesi!$C$16),1,$C344)),3,4)))),0),IF($C344&gt;0,IF(($E344=INDEX(_xlfn.ANCHORARRAY(Sintesi!$C$14),1,$C344))*(INDEX(_xlfn.ANCHORARRAY(Sintesi!$C$15),1,$C344)&gt;0),0,IF(($E344=INDEX(_xlfn.ANCHORARRAY(Sintesi!$C$14),1,$C344))*(INDEX(_xlfn.ANCHORARRAY(Sintesi!$C$15),1,$C344)&lt;0)+($E344&gt;=LOOKUP(2,1/($E:$E&lt;&gt;""),$E:$E))*($E344&lt;=$E345)*($E344&gt;INDEX(_xlfn.ANCHORARRAY(Sintesi!$C$14),1,$C344))*($E344&lt;=INDEX(_xlfn.ANCHORARRAY(Sintesi!$C$15),1,$C344))*(INDEX(_xlfn.ANCHORARRAY(Sintesi!$C$15),1,$C344)&gt;0),1,IF(($E344&gt;=LOOKUP(2,1/($E:$E&lt;&gt;""),$E:$E))*($E344&lt;=$E345)*($E344&gt;INDEX(_xlfn.ANCHORARRAY(Sintesi!$C$14),1,$C344))*($E344&lt;INDEX(_xlfn.ANCHORARRAY(Sintesi!$C$16),1,$C344))*(INDEX(_xlfn.ANCHORARRAY(Sintesi!$C$15),1,$C344)&lt;0)+($E344&gt;=LOOKUP(2,1/($E:$E&lt;&gt;""),$E:$E))*($E344&lt;=$E345)*($E344&gt;INDEX(_xlfn.ANCHORARRAY(Sintesi!$C$15),1,$C344))*($E344&lt;INDEX(_xlfn.ANCHORARRAY(Sintesi!$C$16),1,$C344))*(INDEX(_xlfn.ANCHORARRAY(Sintesi!$C$15),1,$C344)&gt;0),2,IF($E344=(INDEX(_xlfn.ANCHORARRAY(Sintesi!$C$16),1,$C344)),3,4)))),0)))</f>
        <v>0</v>
      </c>
      <c r="E344" s="1">
        <f>'Paste cell here'!F344</f>
        <v>0</v>
      </c>
      <c r="F344" s="1">
        <f>'Paste cell here'!C344</f>
        <v>0</v>
      </c>
      <c r="G344" s="1">
        <f>'Paste cell here'!D344</f>
        <v>0</v>
      </c>
      <c r="H344" s="1">
        <f>'Paste cell here'!E344</f>
        <v>0</v>
      </c>
      <c r="I344" s="1">
        <f>'Paste cell here'!X344</f>
        <v>0</v>
      </c>
      <c r="J344" s="1">
        <f>'Paste cell here'!Y344+'Paste cell here'!S344</f>
        <v>0</v>
      </c>
      <c r="K344" s="1" t="e">
        <f t="shared" si="11"/>
        <v>#DIV/0!</v>
      </c>
      <c r="L344" s="1">
        <f t="shared" si="10"/>
        <v>0</v>
      </c>
      <c r="M344" s="1" cm="1">
        <f t="array" ref="M344">IF(AND(A344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,A344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),IF(L344&lt;_xlfn.IFNA(INDEX(_xlfn.ANCHORARRAY(Sintesi!$C$17)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,1,IF(L344&gt;=_xlfn.IFNA(INDEX(_xlfn.ANCHORARRAY(Sintesi!$C$18)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,0,1-(L344-_xlfn.IFNA(INDEX(_xlfn.ANCHORARRAY(Sintesi!$C$17)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)/(_xlfn.IFNA(INDEX(_xlfn.ANCHORARRAY(Sintesi!$C$18)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-_xlfn.IFNA(INDEX(_xlfn.ANCHORARRAY(Sintesi!$C$17),1,MATCH(1,(_xlfn.ANCHORARRAY(Sintesi!$C$9)&gt;_xlfn.ANCHORARRAY(Sintesi!$C$10))*(A343&gt;=_xlfn.ANCHORARRAY(Sintesi!$C$9))+(_xlfn.ANCHORARRAY(Sintesi!$C$9)&gt;_xlfn.ANCHORARRAY(Sintesi!$C$10))*(A343&lt;=_xlfn.ANCHORARRAY(Sintesi!$C$10))+(_xlfn.ANCHORARRAY(Sintesi!$C$9)&lt;_xlfn.ANCHORARRAY(Sintesi!$C$10))*(A343&gt;=_xlfn.ANCHORARRAY(Sintesi!$C$9))*(A343&lt;=_xlfn.ANCHORARRAY(Sintesi!$C$10)),0)),0)))),0)</f>
        <v>0</v>
      </c>
    </row>
    <row r="345" spans="1:13">
      <c r="A345" s="1">
        <f>'Paste cell here'!A345</f>
        <v>0</v>
      </c>
      <c r="B345" s="2">
        <f>DATE(Sintesi!$C$4-1,12,31)+A345</f>
        <v>44196</v>
      </c>
      <c r="C345" s="34" cm="1">
        <f t="array" ref="C345">_xlfn.IFNA(MATCH(1,(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)*(_xlfn.ANCHORARRAY(Sintesi!$C$15)&gt;=0)+(_xlfn.ANCHORARRAY(Sintesi!$C$15)&lt;0),0),0)</f>
        <v>0</v>
      </c>
      <c r="D345" s="1" cm="1">
        <f t="array" ref="D345">IF(ISBLANK($E346),IF(ISNUMBER($E344),IF($C345&gt;0,IF(($E345=INDEX(_xlfn.ANCHORARRAY(Sintesi!$C$14),1,$C345))*(INDEX(_xlfn.ANCHORARRAY(Sintesi!$C$15),1,$C345)&gt;0),0,IF(($E345=INDEX(_xlfn.ANCHORARRAY(Sintesi!$C$14),1,$C345))*(INDEX(_xlfn.ANCHORARRAY(Sintesi!$C$15),1,$C345)&lt;0)+($E345&gt;=$E344)*($E345&lt;=INDEX($E:$E,MATCH(TRUE,INDEX((ISNUMBER($E:$E)),0),0)))*($E345&gt;INDEX(_xlfn.ANCHORARRAY(Sintesi!$C$14),1,$C345))*($E345&lt;=INDEX(_xlfn.ANCHORARRAY(Sintesi!$C$15),1,$C345))*(INDEX(_xlfn.ANCHORARRAY(Sintesi!$C$15),1,$C345)&gt;0),1,IF(($E345&gt;=$E344)*($E345&lt;=INDEX($E:$E,MATCH(TRUE,INDEX((ISNUMBER($E:$E)),0),0)))*($E345&gt;INDEX(_xlfn.ANCHORARRAY(Sintesi!$C$14),1,$C345))*($E345&lt;INDEX(_xlfn.ANCHORARRAY(Sintesi!$C$16),1,$C345))*(INDEX(_xlfn.ANCHORARRAY(Sintesi!$C$15),1,$C345)&lt;0)+($E345&gt;=$E344)*($E345&lt;=INDEX($E:$E,MATCH(TRUE,INDEX((ISNUMBER($E:$E)),0),0)))*($E345&gt;INDEX(_xlfn.ANCHORARRAY(Sintesi!$C$15),1,$C345))*($E345&lt;INDEX(_xlfn.ANCHORARRAY(Sintesi!$C$16),1,$C345))*(INDEX(_xlfn.ANCHORARRAY(Sintesi!$C$15),1,$C345)&gt;0),2,IF($E345=(INDEX(_xlfn.ANCHORARRAY(Sintesi!$C$16),1,$C345)),3,4)))),0),IF($C345&gt;0,IF(($E345=INDEX(_xlfn.ANCHORARRAY(Sintesi!$C$14),1,$C345))*(INDEX(_xlfn.ANCHORARRAY(Sintesi!$C$15),1,$C345)&gt;0),0,IF(($E345=INDEX(_xlfn.ANCHORARRAY(Sintesi!$C$14),1,$C345))*(INDEX(_xlfn.ANCHORARRAY(Sintesi!$C$15),1,$C345)&lt;0)+($E345&gt;=LOOKUP(2,1/($E:$E&lt;&gt;""),$E:$E))*($E345&lt;=INDEX($E:$E,MATCH(TRUE,INDEX((ISNUMBER($E:$E)),0),0)))*($E345&gt;INDEX(_xlfn.ANCHORARRAY(Sintesi!$C$14),1,$C345))*($E345&lt;=INDEX(_xlfn.ANCHORARRAY(Sintesi!$C$15),1,$C345))*(INDEX(_xlfn.ANCHORARRAY(Sintesi!$C$15),1,$C345)&gt;0),1,IF(($E345&gt;=LOOKUP(2,1/($E:$E&lt;&gt;""),$E:$E))*($E345&lt;=INDEX($E:$E,MATCH(TRUE,INDEX((ISNUMBER($E:$E)),0),0)))*($E345&gt;INDEX(_xlfn.ANCHORARRAY(Sintesi!$C$14),1,$C345))*($E345&lt;INDEX(_xlfn.ANCHORARRAY(Sintesi!$C$16),1,$C345))*(INDEX(_xlfn.ANCHORARRAY(Sintesi!$C$15),1,$C345)&lt;0)+($E345&gt;=LOOKUP(2,1/($E:$E&lt;&gt;""),$E:$E))*($E345&lt;=INDEX($E:$E,MATCH(TRUE,INDEX((ISNUMBER($E:$E)),0),0)))*($E345&gt;INDEX(_xlfn.ANCHORARRAY(Sintesi!$C$15),1,$C345))*($E345&lt;INDEX(_xlfn.ANCHORARRAY(Sintesi!$C$16),1,$C345))*(INDEX(_xlfn.ANCHORARRAY(Sintesi!$C$15),1,$C345)&gt;0),2,IF($E345=(INDEX(_xlfn.ANCHORARRAY(Sintesi!$C$16),1,$C345)),3,4)))),0)),IF(ISNUMBER($E344),IF($C345&gt;0,IF(($E345=INDEX(_xlfn.ANCHORARRAY(Sintesi!$C$14),1,$C345))*(INDEX(_xlfn.ANCHORARRAY(Sintesi!$C$15),1,$C345)&gt;0),0,IF(($E345=INDEX(_xlfn.ANCHORARRAY(Sintesi!$C$14),1,$C345))*(INDEX(_xlfn.ANCHORARRAY(Sintesi!$C$15),1,$C345)&lt;0)+($E345&gt;=$E344)*($E345&lt;=$E346)*($E345&gt;INDEX(_xlfn.ANCHORARRAY(Sintesi!$C$14),1,$C345))*($E345&lt;=INDEX(_xlfn.ANCHORARRAY(Sintesi!$C$15),1,$C345))*(INDEX(_xlfn.ANCHORARRAY(Sintesi!$C$15),1,$C345)&gt;0),1,IF(($E345&gt;=$E344)*($E345&lt;=$E346)*($E345&gt;INDEX(_xlfn.ANCHORARRAY(Sintesi!$C$14),1,$C345))*($E345&lt;INDEX(_xlfn.ANCHORARRAY(Sintesi!$C$16),1,$C345))*(INDEX(_xlfn.ANCHORARRAY(Sintesi!$C$15),1,$C345)&lt;0)+($E345&gt;=$E344)*($E345&lt;=$E346)*($E345&gt;INDEX(_xlfn.ANCHORARRAY(Sintesi!$C$15),1,$C345))*($E345&lt;INDEX(_xlfn.ANCHORARRAY(Sintesi!$C$16),1,$C345))*(INDEX(_xlfn.ANCHORARRAY(Sintesi!$C$15),1,$C345)&gt;0),2,IF($E345=(INDEX(_xlfn.ANCHORARRAY(Sintesi!$C$16),1,$C345)),3,4)))),0),IF($C345&gt;0,IF(($E345=INDEX(_xlfn.ANCHORARRAY(Sintesi!$C$14),1,$C345))*(INDEX(_xlfn.ANCHORARRAY(Sintesi!$C$15),1,$C345)&gt;0),0,IF(($E345=INDEX(_xlfn.ANCHORARRAY(Sintesi!$C$14),1,$C345))*(INDEX(_xlfn.ANCHORARRAY(Sintesi!$C$15),1,$C345)&lt;0)+($E345&gt;=LOOKUP(2,1/($E:$E&lt;&gt;""),$E:$E))*($E345&lt;=$E346)*($E345&gt;INDEX(_xlfn.ANCHORARRAY(Sintesi!$C$14),1,$C345))*($E345&lt;=INDEX(_xlfn.ANCHORARRAY(Sintesi!$C$15),1,$C345))*(INDEX(_xlfn.ANCHORARRAY(Sintesi!$C$15),1,$C345)&gt;0),1,IF(($E345&gt;=LOOKUP(2,1/($E:$E&lt;&gt;""),$E:$E))*($E345&lt;=$E346)*($E345&gt;INDEX(_xlfn.ANCHORARRAY(Sintesi!$C$14),1,$C345))*($E345&lt;INDEX(_xlfn.ANCHORARRAY(Sintesi!$C$16),1,$C345))*(INDEX(_xlfn.ANCHORARRAY(Sintesi!$C$15),1,$C345)&lt;0)+($E345&gt;=LOOKUP(2,1/($E:$E&lt;&gt;""),$E:$E))*($E345&lt;=$E346)*($E345&gt;INDEX(_xlfn.ANCHORARRAY(Sintesi!$C$15),1,$C345))*($E345&lt;INDEX(_xlfn.ANCHORARRAY(Sintesi!$C$16),1,$C345))*(INDEX(_xlfn.ANCHORARRAY(Sintesi!$C$15),1,$C345)&gt;0),2,IF($E345=(INDEX(_xlfn.ANCHORARRAY(Sintesi!$C$16),1,$C345)),3,4)))),0)))</f>
        <v>0</v>
      </c>
      <c r="E345" s="1">
        <f>'Paste cell here'!F345</f>
        <v>0</v>
      </c>
      <c r="F345" s="1">
        <f>'Paste cell here'!C345</f>
        <v>0</v>
      </c>
      <c r="G345" s="1">
        <f>'Paste cell here'!D345</f>
        <v>0</v>
      </c>
      <c r="H345" s="1">
        <f>'Paste cell here'!E345</f>
        <v>0</v>
      </c>
      <c r="I345" s="1">
        <f>'Paste cell here'!X345</f>
        <v>0</v>
      </c>
      <c r="J345" s="1">
        <f>'Paste cell here'!Y345+'Paste cell here'!S345</f>
        <v>0</v>
      </c>
      <c r="K345" s="1" t="e">
        <f t="shared" si="11"/>
        <v>#DIV/0!</v>
      </c>
      <c r="L345" s="1">
        <f t="shared" si="10"/>
        <v>0</v>
      </c>
      <c r="M345" s="1" cm="1">
        <f t="array" ref="M345">IF(AND(A345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,A345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),IF(L345&lt;_xlfn.IFNA(INDEX(_xlfn.ANCHORARRAY(Sintesi!$C$17)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,1,IF(L345&gt;=_xlfn.IFNA(INDEX(_xlfn.ANCHORARRAY(Sintesi!$C$18)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,0,1-(L345-_xlfn.IFNA(INDEX(_xlfn.ANCHORARRAY(Sintesi!$C$17)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)/(_xlfn.IFNA(INDEX(_xlfn.ANCHORARRAY(Sintesi!$C$18)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-_xlfn.IFNA(INDEX(_xlfn.ANCHORARRAY(Sintesi!$C$17),1,MATCH(1,(_xlfn.ANCHORARRAY(Sintesi!$C$9)&gt;_xlfn.ANCHORARRAY(Sintesi!$C$10))*(A344&gt;=_xlfn.ANCHORARRAY(Sintesi!$C$9))+(_xlfn.ANCHORARRAY(Sintesi!$C$9)&gt;_xlfn.ANCHORARRAY(Sintesi!$C$10))*(A344&lt;=_xlfn.ANCHORARRAY(Sintesi!$C$10))+(_xlfn.ANCHORARRAY(Sintesi!$C$9)&lt;_xlfn.ANCHORARRAY(Sintesi!$C$10))*(A344&gt;=_xlfn.ANCHORARRAY(Sintesi!$C$9))*(A344&lt;=_xlfn.ANCHORARRAY(Sintesi!$C$10)),0)),0)))),0)</f>
        <v>0</v>
      </c>
    </row>
    <row r="346" spans="1:13">
      <c r="A346" s="1">
        <f>'Paste cell here'!A346</f>
        <v>0</v>
      </c>
      <c r="B346" s="2">
        <f>DATE(Sintesi!$C$4-1,12,31)+A346</f>
        <v>44196</v>
      </c>
      <c r="C346" s="34" cm="1">
        <f t="array" ref="C346">_xlfn.IFNA(MATCH(1,(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)*(_xlfn.ANCHORARRAY(Sintesi!$C$15)&gt;=0)+(_xlfn.ANCHORARRAY(Sintesi!$C$15)&lt;0),0),0)</f>
        <v>0</v>
      </c>
      <c r="D346" s="1" cm="1">
        <f t="array" ref="D346">IF(ISBLANK($E347),IF(ISNUMBER($E345),IF($C346&gt;0,IF(($E346=INDEX(_xlfn.ANCHORARRAY(Sintesi!$C$14),1,$C346))*(INDEX(_xlfn.ANCHORARRAY(Sintesi!$C$15),1,$C346)&gt;0),0,IF(($E346=INDEX(_xlfn.ANCHORARRAY(Sintesi!$C$14),1,$C346))*(INDEX(_xlfn.ANCHORARRAY(Sintesi!$C$15),1,$C346)&lt;0)+($E346&gt;=$E345)*($E346&lt;=INDEX($E:$E,MATCH(TRUE,INDEX((ISNUMBER($E:$E)),0),0)))*($E346&gt;INDEX(_xlfn.ANCHORARRAY(Sintesi!$C$14),1,$C346))*($E346&lt;=INDEX(_xlfn.ANCHORARRAY(Sintesi!$C$15),1,$C346))*(INDEX(_xlfn.ANCHORARRAY(Sintesi!$C$15),1,$C346)&gt;0),1,IF(($E346&gt;=$E345)*($E346&lt;=INDEX($E:$E,MATCH(TRUE,INDEX((ISNUMBER($E:$E)),0),0)))*($E346&gt;INDEX(_xlfn.ANCHORARRAY(Sintesi!$C$14),1,$C346))*($E346&lt;INDEX(_xlfn.ANCHORARRAY(Sintesi!$C$16),1,$C346))*(INDEX(_xlfn.ANCHORARRAY(Sintesi!$C$15),1,$C346)&lt;0)+($E346&gt;=$E345)*($E346&lt;=INDEX($E:$E,MATCH(TRUE,INDEX((ISNUMBER($E:$E)),0),0)))*($E346&gt;INDEX(_xlfn.ANCHORARRAY(Sintesi!$C$15),1,$C346))*($E346&lt;INDEX(_xlfn.ANCHORARRAY(Sintesi!$C$16),1,$C346))*(INDEX(_xlfn.ANCHORARRAY(Sintesi!$C$15),1,$C346)&gt;0),2,IF($E346=(INDEX(_xlfn.ANCHORARRAY(Sintesi!$C$16),1,$C346)),3,4)))),0),IF($C346&gt;0,IF(($E346=INDEX(_xlfn.ANCHORARRAY(Sintesi!$C$14),1,$C346))*(INDEX(_xlfn.ANCHORARRAY(Sintesi!$C$15),1,$C346)&gt;0),0,IF(($E346=INDEX(_xlfn.ANCHORARRAY(Sintesi!$C$14),1,$C346))*(INDEX(_xlfn.ANCHORARRAY(Sintesi!$C$15),1,$C346)&lt;0)+($E346&gt;=LOOKUP(2,1/($E:$E&lt;&gt;""),$E:$E))*($E346&lt;=INDEX($E:$E,MATCH(TRUE,INDEX((ISNUMBER($E:$E)),0),0)))*($E346&gt;INDEX(_xlfn.ANCHORARRAY(Sintesi!$C$14),1,$C346))*($E346&lt;=INDEX(_xlfn.ANCHORARRAY(Sintesi!$C$15),1,$C346))*(INDEX(_xlfn.ANCHORARRAY(Sintesi!$C$15),1,$C346)&gt;0),1,IF(($E346&gt;=LOOKUP(2,1/($E:$E&lt;&gt;""),$E:$E))*($E346&lt;=INDEX($E:$E,MATCH(TRUE,INDEX((ISNUMBER($E:$E)),0),0)))*($E346&gt;INDEX(_xlfn.ANCHORARRAY(Sintesi!$C$14),1,$C346))*($E346&lt;INDEX(_xlfn.ANCHORARRAY(Sintesi!$C$16),1,$C346))*(INDEX(_xlfn.ANCHORARRAY(Sintesi!$C$15),1,$C346)&lt;0)+($E346&gt;=LOOKUP(2,1/($E:$E&lt;&gt;""),$E:$E))*($E346&lt;=INDEX($E:$E,MATCH(TRUE,INDEX((ISNUMBER($E:$E)),0),0)))*($E346&gt;INDEX(_xlfn.ANCHORARRAY(Sintesi!$C$15),1,$C346))*($E346&lt;INDEX(_xlfn.ANCHORARRAY(Sintesi!$C$16),1,$C346))*(INDEX(_xlfn.ANCHORARRAY(Sintesi!$C$15),1,$C346)&gt;0),2,IF($E346=(INDEX(_xlfn.ANCHORARRAY(Sintesi!$C$16),1,$C346)),3,4)))),0)),IF(ISNUMBER($E345),IF($C346&gt;0,IF(($E346=INDEX(_xlfn.ANCHORARRAY(Sintesi!$C$14),1,$C346))*(INDEX(_xlfn.ANCHORARRAY(Sintesi!$C$15),1,$C346)&gt;0),0,IF(($E346=INDEX(_xlfn.ANCHORARRAY(Sintesi!$C$14),1,$C346))*(INDEX(_xlfn.ANCHORARRAY(Sintesi!$C$15),1,$C346)&lt;0)+($E346&gt;=$E345)*($E346&lt;=$E347)*($E346&gt;INDEX(_xlfn.ANCHORARRAY(Sintesi!$C$14),1,$C346))*($E346&lt;=INDEX(_xlfn.ANCHORARRAY(Sintesi!$C$15),1,$C346))*(INDEX(_xlfn.ANCHORARRAY(Sintesi!$C$15),1,$C346)&gt;0),1,IF(($E346&gt;=$E345)*($E346&lt;=$E347)*($E346&gt;INDEX(_xlfn.ANCHORARRAY(Sintesi!$C$14),1,$C346))*($E346&lt;INDEX(_xlfn.ANCHORARRAY(Sintesi!$C$16),1,$C346))*(INDEX(_xlfn.ANCHORARRAY(Sintesi!$C$15),1,$C346)&lt;0)+($E346&gt;=$E345)*($E346&lt;=$E347)*($E346&gt;INDEX(_xlfn.ANCHORARRAY(Sintesi!$C$15),1,$C346))*($E346&lt;INDEX(_xlfn.ANCHORARRAY(Sintesi!$C$16),1,$C346))*(INDEX(_xlfn.ANCHORARRAY(Sintesi!$C$15),1,$C346)&gt;0),2,IF($E346=(INDEX(_xlfn.ANCHORARRAY(Sintesi!$C$16),1,$C346)),3,4)))),0),IF($C346&gt;0,IF(($E346=INDEX(_xlfn.ANCHORARRAY(Sintesi!$C$14),1,$C346))*(INDEX(_xlfn.ANCHORARRAY(Sintesi!$C$15),1,$C346)&gt;0),0,IF(($E346=INDEX(_xlfn.ANCHORARRAY(Sintesi!$C$14),1,$C346))*(INDEX(_xlfn.ANCHORARRAY(Sintesi!$C$15),1,$C346)&lt;0)+($E346&gt;=LOOKUP(2,1/($E:$E&lt;&gt;""),$E:$E))*($E346&lt;=$E347)*($E346&gt;INDEX(_xlfn.ANCHORARRAY(Sintesi!$C$14),1,$C346))*($E346&lt;=INDEX(_xlfn.ANCHORARRAY(Sintesi!$C$15),1,$C346))*(INDEX(_xlfn.ANCHORARRAY(Sintesi!$C$15),1,$C346)&gt;0),1,IF(($E346&gt;=LOOKUP(2,1/($E:$E&lt;&gt;""),$E:$E))*($E346&lt;=$E347)*($E346&gt;INDEX(_xlfn.ANCHORARRAY(Sintesi!$C$14),1,$C346))*($E346&lt;INDEX(_xlfn.ANCHORARRAY(Sintesi!$C$16),1,$C346))*(INDEX(_xlfn.ANCHORARRAY(Sintesi!$C$15),1,$C346)&lt;0)+($E346&gt;=LOOKUP(2,1/($E:$E&lt;&gt;""),$E:$E))*($E346&lt;=$E347)*($E346&gt;INDEX(_xlfn.ANCHORARRAY(Sintesi!$C$15),1,$C346))*($E346&lt;INDEX(_xlfn.ANCHORARRAY(Sintesi!$C$16),1,$C346))*(INDEX(_xlfn.ANCHORARRAY(Sintesi!$C$15),1,$C346)&gt;0),2,IF($E346=(INDEX(_xlfn.ANCHORARRAY(Sintesi!$C$16),1,$C346)),3,4)))),0)))</f>
        <v>0</v>
      </c>
      <c r="E346" s="1">
        <f>'Paste cell here'!F346</f>
        <v>0</v>
      </c>
      <c r="F346" s="1">
        <f>'Paste cell here'!C346</f>
        <v>0</v>
      </c>
      <c r="G346" s="1">
        <f>'Paste cell here'!D346</f>
        <v>0</v>
      </c>
      <c r="H346" s="1">
        <f>'Paste cell here'!E346</f>
        <v>0</v>
      </c>
      <c r="I346" s="1">
        <f>'Paste cell here'!X346</f>
        <v>0</v>
      </c>
      <c r="J346" s="1">
        <f>'Paste cell here'!Y346+'Paste cell here'!S346</f>
        <v>0</v>
      </c>
      <c r="K346" s="1" t="e">
        <f t="shared" si="11"/>
        <v>#DIV/0!</v>
      </c>
      <c r="L346" s="1">
        <f t="shared" si="10"/>
        <v>0</v>
      </c>
      <c r="M346" s="1" cm="1">
        <f t="array" ref="M346">IF(AND(A346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,A346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),IF(L346&lt;_xlfn.IFNA(INDEX(_xlfn.ANCHORARRAY(Sintesi!$C$17)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,1,IF(L346&gt;=_xlfn.IFNA(INDEX(_xlfn.ANCHORARRAY(Sintesi!$C$18)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,0,1-(L346-_xlfn.IFNA(INDEX(_xlfn.ANCHORARRAY(Sintesi!$C$17)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)/(_xlfn.IFNA(INDEX(_xlfn.ANCHORARRAY(Sintesi!$C$18)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-_xlfn.IFNA(INDEX(_xlfn.ANCHORARRAY(Sintesi!$C$17),1,MATCH(1,(_xlfn.ANCHORARRAY(Sintesi!$C$9)&gt;_xlfn.ANCHORARRAY(Sintesi!$C$10))*(A345&gt;=_xlfn.ANCHORARRAY(Sintesi!$C$9))+(_xlfn.ANCHORARRAY(Sintesi!$C$9)&gt;_xlfn.ANCHORARRAY(Sintesi!$C$10))*(A345&lt;=_xlfn.ANCHORARRAY(Sintesi!$C$10))+(_xlfn.ANCHORARRAY(Sintesi!$C$9)&lt;_xlfn.ANCHORARRAY(Sintesi!$C$10))*(A345&gt;=_xlfn.ANCHORARRAY(Sintesi!$C$9))*(A345&lt;=_xlfn.ANCHORARRAY(Sintesi!$C$10)),0)),0)))),0)</f>
        <v>0</v>
      </c>
    </row>
    <row r="347" spans="1:13">
      <c r="A347" s="1">
        <f>'Paste cell here'!A347</f>
        <v>0</v>
      </c>
      <c r="B347" s="2">
        <f>DATE(Sintesi!$C$4-1,12,31)+A347</f>
        <v>44196</v>
      </c>
      <c r="C347" s="34" cm="1">
        <f t="array" ref="C347">_xlfn.IFNA(MATCH(1,(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)*(_xlfn.ANCHORARRAY(Sintesi!$C$15)&gt;=0)+(_xlfn.ANCHORARRAY(Sintesi!$C$15)&lt;0),0),0)</f>
        <v>0</v>
      </c>
      <c r="D347" s="1" cm="1">
        <f t="array" ref="D347">IF(ISBLANK($E348),IF(ISNUMBER($E346),IF($C347&gt;0,IF(($E347=INDEX(_xlfn.ANCHORARRAY(Sintesi!$C$14),1,$C347))*(INDEX(_xlfn.ANCHORARRAY(Sintesi!$C$15),1,$C347)&gt;0),0,IF(($E347=INDEX(_xlfn.ANCHORARRAY(Sintesi!$C$14),1,$C347))*(INDEX(_xlfn.ANCHORARRAY(Sintesi!$C$15),1,$C347)&lt;0)+($E347&gt;=$E346)*($E347&lt;=INDEX($E:$E,MATCH(TRUE,INDEX((ISNUMBER($E:$E)),0),0)))*($E347&gt;INDEX(_xlfn.ANCHORARRAY(Sintesi!$C$14),1,$C347))*($E347&lt;=INDEX(_xlfn.ANCHORARRAY(Sintesi!$C$15),1,$C347))*(INDEX(_xlfn.ANCHORARRAY(Sintesi!$C$15),1,$C347)&gt;0),1,IF(($E347&gt;=$E346)*($E347&lt;=INDEX($E:$E,MATCH(TRUE,INDEX((ISNUMBER($E:$E)),0),0)))*($E347&gt;INDEX(_xlfn.ANCHORARRAY(Sintesi!$C$14),1,$C347))*($E347&lt;INDEX(_xlfn.ANCHORARRAY(Sintesi!$C$16),1,$C347))*(INDEX(_xlfn.ANCHORARRAY(Sintesi!$C$15),1,$C347)&lt;0)+($E347&gt;=$E346)*($E347&lt;=INDEX($E:$E,MATCH(TRUE,INDEX((ISNUMBER($E:$E)),0),0)))*($E347&gt;INDEX(_xlfn.ANCHORARRAY(Sintesi!$C$15),1,$C347))*($E347&lt;INDEX(_xlfn.ANCHORARRAY(Sintesi!$C$16),1,$C347))*(INDEX(_xlfn.ANCHORARRAY(Sintesi!$C$15),1,$C347)&gt;0),2,IF($E347=(INDEX(_xlfn.ANCHORARRAY(Sintesi!$C$16),1,$C347)),3,4)))),0),IF($C347&gt;0,IF(($E347=INDEX(_xlfn.ANCHORARRAY(Sintesi!$C$14),1,$C347))*(INDEX(_xlfn.ANCHORARRAY(Sintesi!$C$15),1,$C347)&gt;0),0,IF(($E347=INDEX(_xlfn.ANCHORARRAY(Sintesi!$C$14),1,$C347))*(INDEX(_xlfn.ANCHORARRAY(Sintesi!$C$15),1,$C347)&lt;0)+($E347&gt;=LOOKUP(2,1/($E:$E&lt;&gt;""),$E:$E))*($E347&lt;=INDEX($E:$E,MATCH(TRUE,INDEX((ISNUMBER($E:$E)),0),0)))*($E347&gt;INDEX(_xlfn.ANCHORARRAY(Sintesi!$C$14),1,$C347))*($E347&lt;=INDEX(_xlfn.ANCHORARRAY(Sintesi!$C$15),1,$C347))*(INDEX(_xlfn.ANCHORARRAY(Sintesi!$C$15),1,$C347)&gt;0),1,IF(($E347&gt;=LOOKUP(2,1/($E:$E&lt;&gt;""),$E:$E))*($E347&lt;=INDEX($E:$E,MATCH(TRUE,INDEX((ISNUMBER($E:$E)),0),0)))*($E347&gt;INDEX(_xlfn.ANCHORARRAY(Sintesi!$C$14),1,$C347))*($E347&lt;INDEX(_xlfn.ANCHORARRAY(Sintesi!$C$16),1,$C347))*(INDEX(_xlfn.ANCHORARRAY(Sintesi!$C$15),1,$C347)&lt;0)+($E347&gt;=LOOKUP(2,1/($E:$E&lt;&gt;""),$E:$E))*($E347&lt;=INDEX($E:$E,MATCH(TRUE,INDEX((ISNUMBER($E:$E)),0),0)))*($E347&gt;INDEX(_xlfn.ANCHORARRAY(Sintesi!$C$15),1,$C347))*($E347&lt;INDEX(_xlfn.ANCHORARRAY(Sintesi!$C$16),1,$C347))*(INDEX(_xlfn.ANCHORARRAY(Sintesi!$C$15),1,$C347)&gt;0),2,IF($E347=(INDEX(_xlfn.ANCHORARRAY(Sintesi!$C$16),1,$C347)),3,4)))),0)),IF(ISNUMBER($E346),IF($C347&gt;0,IF(($E347=INDEX(_xlfn.ANCHORARRAY(Sintesi!$C$14),1,$C347))*(INDEX(_xlfn.ANCHORARRAY(Sintesi!$C$15),1,$C347)&gt;0),0,IF(($E347=INDEX(_xlfn.ANCHORARRAY(Sintesi!$C$14),1,$C347))*(INDEX(_xlfn.ANCHORARRAY(Sintesi!$C$15),1,$C347)&lt;0)+($E347&gt;=$E346)*($E347&lt;=$E348)*($E347&gt;INDEX(_xlfn.ANCHORARRAY(Sintesi!$C$14),1,$C347))*($E347&lt;=INDEX(_xlfn.ANCHORARRAY(Sintesi!$C$15),1,$C347))*(INDEX(_xlfn.ANCHORARRAY(Sintesi!$C$15),1,$C347)&gt;0),1,IF(($E347&gt;=$E346)*($E347&lt;=$E348)*($E347&gt;INDEX(_xlfn.ANCHORARRAY(Sintesi!$C$14),1,$C347))*($E347&lt;INDEX(_xlfn.ANCHORARRAY(Sintesi!$C$16),1,$C347))*(INDEX(_xlfn.ANCHORARRAY(Sintesi!$C$15),1,$C347)&lt;0)+($E347&gt;=$E346)*($E347&lt;=$E348)*($E347&gt;INDEX(_xlfn.ANCHORARRAY(Sintesi!$C$15),1,$C347))*($E347&lt;INDEX(_xlfn.ANCHORARRAY(Sintesi!$C$16),1,$C347))*(INDEX(_xlfn.ANCHORARRAY(Sintesi!$C$15),1,$C347)&gt;0),2,IF($E347=(INDEX(_xlfn.ANCHORARRAY(Sintesi!$C$16),1,$C347)),3,4)))),0),IF($C347&gt;0,IF(($E347=INDEX(_xlfn.ANCHORARRAY(Sintesi!$C$14),1,$C347))*(INDEX(_xlfn.ANCHORARRAY(Sintesi!$C$15),1,$C347)&gt;0),0,IF(($E347=INDEX(_xlfn.ANCHORARRAY(Sintesi!$C$14),1,$C347))*(INDEX(_xlfn.ANCHORARRAY(Sintesi!$C$15),1,$C347)&lt;0)+($E347&gt;=LOOKUP(2,1/($E:$E&lt;&gt;""),$E:$E))*($E347&lt;=$E348)*($E347&gt;INDEX(_xlfn.ANCHORARRAY(Sintesi!$C$14),1,$C347))*($E347&lt;=INDEX(_xlfn.ANCHORARRAY(Sintesi!$C$15),1,$C347))*(INDEX(_xlfn.ANCHORARRAY(Sintesi!$C$15),1,$C347)&gt;0),1,IF(($E347&gt;=LOOKUP(2,1/($E:$E&lt;&gt;""),$E:$E))*($E347&lt;=$E348)*($E347&gt;INDEX(_xlfn.ANCHORARRAY(Sintesi!$C$14),1,$C347))*($E347&lt;INDEX(_xlfn.ANCHORARRAY(Sintesi!$C$16),1,$C347))*(INDEX(_xlfn.ANCHORARRAY(Sintesi!$C$15),1,$C347)&lt;0)+($E347&gt;=LOOKUP(2,1/($E:$E&lt;&gt;""),$E:$E))*($E347&lt;=$E348)*($E347&gt;INDEX(_xlfn.ANCHORARRAY(Sintesi!$C$15),1,$C347))*($E347&lt;INDEX(_xlfn.ANCHORARRAY(Sintesi!$C$16),1,$C347))*(INDEX(_xlfn.ANCHORARRAY(Sintesi!$C$15),1,$C347)&gt;0),2,IF($E347=(INDEX(_xlfn.ANCHORARRAY(Sintesi!$C$16),1,$C347)),3,4)))),0)))</f>
        <v>0</v>
      </c>
      <c r="E347" s="1">
        <f>'Paste cell here'!F347</f>
        <v>0</v>
      </c>
      <c r="F347" s="1">
        <f>'Paste cell here'!C347</f>
        <v>0</v>
      </c>
      <c r="G347" s="1">
        <f>'Paste cell here'!D347</f>
        <v>0</v>
      </c>
      <c r="H347" s="1">
        <f>'Paste cell here'!E347</f>
        <v>0</v>
      </c>
      <c r="I347" s="1">
        <f>'Paste cell here'!X347</f>
        <v>0</v>
      </c>
      <c r="J347" s="1">
        <f>'Paste cell here'!Y347+'Paste cell here'!S347</f>
        <v>0</v>
      </c>
      <c r="K347" s="1" t="e">
        <f t="shared" si="11"/>
        <v>#DIV/0!</v>
      </c>
      <c r="L347" s="1">
        <f t="shared" si="10"/>
        <v>0</v>
      </c>
      <c r="M347" s="1" cm="1">
        <f t="array" ref="M347">IF(AND(A347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,A347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),IF(L347&lt;_xlfn.IFNA(INDEX(_xlfn.ANCHORARRAY(Sintesi!$C$17)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,1,IF(L347&gt;=_xlfn.IFNA(INDEX(_xlfn.ANCHORARRAY(Sintesi!$C$18)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,0,1-(L347-_xlfn.IFNA(INDEX(_xlfn.ANCHORARRAY(Sintesi!$C$17)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)/(_xlfn.IFNA(INDEX(_xlfn.ANCHORARRAY(Sintesi!$C$18)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-_xlfn.IFNA(INDEX(_xlfn.ANCHORARRAY(Sintesi!$C$17),1,MATCH(1,(_xlfn.ANCHORARRAY(Sintesi!$C$9)&gt;_xlfn.ANCHORARRAY(Sintesi!$C$10))*(A346&gt;=_xlfn.ANCHORARRAY(Sintesi!$C$9))+(_xlfn.ANCHORARRAY(Sintesi!$C$9)&gt;_xlfn.ANCHORARRAY(Sintesi!$C$10))*(A346&lt;=_xlfn.ANCHORARRAY(Sintesi!$C$10))+(_xlfn.ANCHORARRAY(Sintesi!$C$9)&lt;_xlfn.ANCHORARRAY(Sintesi!$C$10))*(A346&gt;=_xlfn.ANCHORARRAY(Sintesi!$C$9))*(A346&lt;=_xlfn.ANCHORARRAY(Sintesi!$C$10)),0)),0)))),0)</f>
        <v>0</v>
      </c>
    </row>
    <row r="348" spans="1:13">
      <c r="A348" s="1">
        <f>'Paste cell here'!A348</f>
        <v>0</v>
      </c>
      <c r="B348" s="2">
        <f>DATE(Sintesi!$C$4-1,12,31)+A348</f>
        <v>44196</v>
      </c>
      <c r="C348" s="34" cm="1">
        <f t="array" ref="C348">_xlfn.IFNA(MATCH(1,(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)*(_xlfn.ANCHORARRAY(Sintesi!$C$15)&gt;=0)+(_xlfn.ANCHORARRAY(Sintesi!$C$15)&lt;0),0),0)</f>
        <v>0</v>
      </c>
      <c r="D348" s="1" cm="1">
        <f t="array" ref="D348">IF(ISBLANK($E349),IF(ISNUMBER($E347),IF($C348&gt;0,IF(($E348=INDEX(_xlfn.ANCHORARRAY(Sintesi!$C$14),1,$C348))*(INDEX(_xlfn.ANCHORARRAY(Sintesi!$C$15),1,$C348)&gt;0),0,IF(($E348=INDEX(_xlfn.ANCHORARRAY(Sintesi!$C$14),1,$C348))*(INDEX(_xlfn.ANCHORARRAY(Sintesi!$C$15),1,$C348)&lt;0)+($E348&gt;=$E347)*($E348&lt;=INDEX($E:$E,MATCH(TRUE,INDEX((ISNUMBER($E:$E)),0),0)))*($E348&gt;INDEX(_xlfn.ANCHORARRAY(Sintesi!$C$14),1,$C348))*($E348&lt;=INDEX(_xlfn.ANCHORARRAY(Sintesi!$C$15),1,$C348))*(INDEX(_xlfn.ANCHORARRAY(Sintesi!$C$15),1,$C348)&gt;0),1,IF(($E348&gt;=$E347)*($E348&lt;=INDEX($E:$E,MATCH(TRUE,INDEX((ISNUMBER($E:$E)),0),0)))*($E348&gt;INDEX(_xlfn.ANCHORARRAY(Sintesi!$C$14),1,$C348))*($E348&lt;INDEX(_xlfn.ANCHORARRAY(Sintesi!$C$16),1,$C348))*(INDEX(_xlfn.ANCHORARRAY(Sintesi!$C$15),1,$C348)&lt;0)+($E348&gt;=$E347)*($E348&lt;=INDEX($E:$E,MATCH(TRUE,INDEX((ISNUMBER($E:$E)),0),0)))*($E348&gt;INDEX(_xlfn.ANCHORARRAY(Sintesi!$C$15),1,$C348))*($E348&lt;INDEX(_xlfn.ANCHORARRAY(Sintesi!$C$16),1,$C348))*(INDEX(_xlfn.ANCHORARRAY(Sintesi!$C$15),1,$C348)&gt;0),2,IF($E348=(INDEX(_xlfn.ANCHORARRAY(Sintesi!$C$16),1,$C348)),3,4)))),0),IF($C348&gt;0,IF(($E348=INDEX(_xlfn.ANCHORARRAY(Sintesi!$C$14),1,$C348))*(INDEX(_xlfn.ANCHORARRAY(Sintesi!$C$15),1,$C348)&gt;0),0,IF(($E348=INDEX(_xlfn.ANCHORARRAY(Sintesi!$C$14),1,$C348))*(INDEX(_xlfn.ANCHORARRAY(Sintesi!$C$15),1,$C348)&lt;0)+($E348&gt;=LOOKUP(2,1/($E:$E&lt;&gt;""),$E:$E))*($E348&lt;=INDEX($E:$E,MATCH(TRUE,INDEX((ISNUMBER($E:$E)),0),0)))*($E348&gt;INDEX(_xlfn.ANCHORARRAY(Sintesi!$C$14),1,$C348))*($E348&lt;=INDEX(_xlfn.ANCHORARRAY(Sintesi!$C$15),1,$C348))*(INDEX(_xlfn.ANCHORARRAY(Sintesi!$C$15),1,$C348)&gt;0),1,IF(($E348&gt;=LOOKUP(2,1/($E:$E&lt;&gt;""),$E:$E))*($E348&lt;=INDEX($E:$E,MATCH(TRUE,INDEX((ISNUMBER($E:$E)),0),0)))*($E348&gt;INDEX(_xlfn.ANCHORARRAY(Sintesi!$C$14),1,$C348))*($E348&lt;INDEX(_xlfn.ANCHORARRAY(Sintesi!$C$16),1,$C348))*(INDEX(_xlfn.ANCHORARRAY(Sintesi!$C$15),1,$C348)&lt;0)+($E348&gt;=LOOKUP(2,1/($E:$E&lt;&gt;""),$E:$E))*($E348&lt;=INDEX($E:$E,MATCH(TRUE,INDEX((ISNUMBER($E:$E)),0),0)))*($E348&gt;INDEX(_xlfn.ANCHORARRAY(Sintesi!$C$15),1,$C348))*($E348&lt;INDEX(_xlfn.ANCHORARRAY(Sintesi!$C$16),1,$C348))*(INDEX(_xlfn.ANCHORARRAY(Sintesi!$C$15),1,$C348)&gt;0),2,IF($E348=(INDEX(_xlfn.ANCHORARRAY(Sintesi!$C$16),1,$C348)),3,4)))),0)),IF(ISNUMBER($E347),IF($C348&gt;0,IF(($E348=INDEX(_xlfn.ANCHORARRAY(Sintesi!$C$14),1,$C348))*(INDEX(_xlfn.ANCHORARRAY(Sintesi!$C$15),1,$C348)&gt;0),0,IF(($E348=INDEX(_xlfn.ANCHORARRAY(Sintesi!$C$14),1,$C348))*(INDEX(_xlfn.ANCHORARRAY(Sintesi!$C$15),1,$C348)&lt;0)+($E348&gt;=$E347)*($E348&lt;=$E349)*($E348&gt;INDEX(_xlfn.ANCHORARRAY(Sintesi!$C$14),1,$C348))*($E348&lt;=INDEX(_xlfn.ANCHORARRAY(Sintesi!$C$15),1,$C348))*(INDEX(_xlfn.ANCHORARRAY(Sintesi!$C$15),1,$C348)&gt;0),1,IF(($E348&gt;=$E347)*($E348&lt;=$E349)*($E348&gt;INDEX(_xlfn.ANCHORARRAY(Sintesi!$C$14),1,$C348))*($E348&lt;INDEX(_xlfn.ANCHORARRAY(Sintesi!$C$16),1,$C348))*(INDEX(_xlfn.ANCHORARRAY(Sintesi!$C$15),1,$C348)&lt;0)+($E348&gt;=$E347)*($E348&lt;=$E349)*($E348&gt;INDEX(_xlfn.ANCHORARRAY(Sintesi!$C$15),1,$C348))*($E348&lt;INDEX(_xlfn.ANCHORARRAY(Sintesi!$C$16),1,$C348))*(INDEX(_xlfn.ANCHORARRAY(Sintesi!$C$15),1,$C348)&gt;0),2,IF($E348=(INDEX(_xlfn.ANCHORARRAY(Sintesi!$C$16),1,$C348)),3,4)))),0),IF($C348&gt;0,IF(($E348=INDEX(_xlfn.ANCHORARRAY(Sintesi!$C$14),1,$C348))*(INDEX(_xlfn.ANCHORARRAY(Sintesi!$C$15),1,$C348)&gt;0),0,IF(($E348=INDEX(_xlfn.ANCHORARRAY(Sintesi!$C$14),1,$C348))*(INDEX(_xlfn.ANCHORARRAY(Sintesi!$C$15),1,$C348)&lt;0)+($E348&gt;=LOOKUP(2,1/($E:$E&lt;&gt;""),$E:$E))*($E348&lt;=$E349)*($E348&gt;INDEX(_xlfn.ANCHORARRAY(Sintesi!$C$14),1,$C348))*($E348&lt;=INDEX(_xlfn.ANCHORARRAY(Sintesi!$C$15),1,$C348))*(INDEX(_xlfn.ANCHORARRAY(Sintesi!$C$15),1,$C348)&gt;0),1,IF(($E348&gt;=LOOKUP(2,1/($E:$E&lt;&gt;""),$E:$E))*($E348&lt;=$E349)*($E348&gt;INDEX(_xlfn.ANCHORARRAY(Sintesi!$C$14),1,$C348))*($E348&lt;INDEX(_xlfn.ANCHORARRAY(Sintesi!$C$16),1,$C348))*(INDEX(_xlfn.ANCHORARRAY(Sintesi!$C$15),1,$C348)&lt;0)+($E348&gt;=LOOKUP(2,1/($E:$E&lt;&gt;""),$E:$E))*($E348&lt;=$E349)*($E348&gt;INDEX(_xlfn.ANCHORARRAY(Sintesi!$C$15),1,$C348))*($E348&lt;INDEX(_xlfn.ANCHORARRAY(Sintesi!$C$16),1,$C348))*(INDEX(_xlfn.ANCHORARRAY(Sintesi!$C$15),1,$C348)&gt;0),2,IF($E348=(INDEX(_xlfn.ANCHORARRAY(Sintesi!$C$16),1,$C348)),3,4)))),0)))</f>
        <v>0</v>
      </c>
      <c r="E348" s="1">
        <f>'Paste cell here'!F348</f>
        <v>0</v>
      </c>
      <c r="F348" s="1">
        <f>'Paste cell here'!C348</f>
        <v>0</v>
      </c>
      <c r="G348" s="1">
        <f>'Paste cell here'!D348</f>
        <v>0</v>
      </c>
      <c r="H348" s="1">
        <f>'Paste cell here'!E348</f>
        <v>0</v>
      </c>
      <c r="I348" s="1">
        <f>'Paste cell here'!X348</f>
        <v>0</v>
      </c>
      <c r="J348" s="1">
        <f>'Paste cell here'!Y348+'Paste cell here'!S348</f>
        <v>0</v>
      </c>
      <c r="K348" s="1" t="e">
        <f t="shared" si="11"/>
        <v>#DIV/0!</v>
      </c>
      <c r="L348" s="1">
        <f t="shared" si="10"/>
        <v>0</v>
      </c>
      <c r="M348" s="1" cm="1">
        <f t="array" ref="M348">IF(AND(A348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,A348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),IF(L348&lt;_xlfn.IFNA(INDEX(_xlfn.ANCHORARRAY(Sintesi!$C$17)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,1,IF(L348&gt;=_xlfn.IFNA(INDEX(_xlfn.ANCHORARRAY(Sintesi!$C$18)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,0,1-(L348-_xlfn.IFNA(INDEX(_xlfn.ANCHORARRAY(Sintesi!$C$17)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)/(_xlfn.IFNA(INDEX(_xlfn.ANCHORARRAY(Sintesi!$C$18)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-_xlfn.IFNA(INDEX(_xlfn.ANCHORARRAY(Sintesi!$C$17),1,MATCH(1,(_xlfn.ANCHORARRAY(Sintesi!$C$9)&gt;_xlfn.ANCHORARRAY(Sintesi!$C$10))*(A347&gt;=_xlfn.ANCHORARRAY(Sintesi!$C$9))+(_xlfn.ANCHORARRAY(Sintesi!$C$9)&gt;_xlfn.ANCHORARRAY(Sintesi!$C$10))*(A347&lt;=_xlfn.ANCHORARRAY(Sintesi!$C$10))+(_xlfn.ANCHORARRAY(Sintesi!$C$9)&lt;_xlfn.ANCHORARRAY(Sintesi!$C$10))*(A347&gt;=_xlfn.ANCHORARRAY(Sintesi!$C$9))*(A347&lt;=_xlfn.ANCHORARRAY(Sintesi!$C$10)),0)),0)))),0)</f>
        <v>0</v>
      </c>
    </row>
    <row r="349" spans="1:13">
      <c r="A349" s="1">
        <f>'Paste cell here'!A349</f>
        <v>0</v>
      </c>
      <c r="B349" s="2">
        <f>DATE(Sintesi!$C$4-1,12,31)+A349</f>
        <v>44196</v>
      </c>
      <c r="C349" s="34" cm="1">
        <f t="array" ref="C349">_xlfn.IFNA(MATCH(1,(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)*(_xlfn.ANCHORARRAY(Sintesi!$C$15)&gt;=0)+(_xlfn.ANCHORARRAY(Sintesi!$C$15)&lt;0),0),0)</f>
        <v>0</v>
      </c>
      <c r="D349" s="1" cm="1">
        <f t="array" ref="D349">IF(ISBLANK($E350),IF(ISNUMBER($E348),IF($C349&gt;0,IF(($E349=INDEX(_xlfn.ANCHORARRAY(Sintesi!$C$14),1,$C349))*(INDEX(_xlfn.ANCHORARRAY(Sintesi!$C$15),1,$C349)&gt;0),0,IF(($E349=INDEX(_xlfn.ANCHORARRAY(Sintesi!$C$14),1,$C349))*(INDEX(_xlfn.ANCHORARRAY(Sintesi!$C$15),1,$C349)&lt;0)+($E349&gt;=$E348)*($E349&lt;=INDEX($E:$E,MATCH(TRUE,INDEX((ISNUMBER($E:$E)),0),0)))*($E349&gt;INDEX(_xlfn.ANCHORARRAY(Sintesi!$C$14),1,$C349))*($E349&lt;=INDEX(_xlfn.ANCHORARRAY(Sintesi!$C$15),1,$C349))*(INDEX(_xlfn.ANCHORARRAY(Sintesi!$C$15),1,$C349)&gt;0),1,IF(($E349&gt;=$E348)*($E349&lt;=INDEX($E:$E,MATCH(TRUE,INDEX((ISNUMBER($E:$E)),0),0)))*($E349&gt;INDEX(_xlfn.ANCHORARRAY(Sintesi!$C$14),1,$C349))*($E349&lt;INDEX(_xlfn.ANCHORARRAY(Sintesi!$C$16),1,$C349))*(INDEX(_xlfn.ANCHORARRAY(Sintesi!$C$15),1,$C349)&lt;0)+($E349&gt;=$E348)*($E349&lt;=INDEX($E:$E,MATCH(TRUE,INDEX((ISNUMBER($E:$E)),0),0)))*($E349&gt;INDEX(_xlfn.ANCHORARRAY(Sintesi!$C$15),1,$C349))*($E349&lt;INDEX(_xlfn.ANCHORARRAY(Sintesi!$C$16),1,$C349))*(INDEX(_xlfn.ANCHORARRAY(Sintesi!$C$15),1,$C349)&gt;0),2,IF($E349=(INDEX(_xlfn.ANCHORARRAY(Sintesi!$C$16),1,$C349)),3,4)))),0),IF($C349&gt;0,IF(($E349=INDEX(_xlfn.ANCHORARRAY(Sintesi!$C$14),1,$C349))*(INDEX(_xlfn.ANCHORARRAY(Sintesi!$C$15),1,$C349)&gt;0),0,IF(($E349=INDEX(_xlfn.ANCHORARRAY(Sintesi!$C$14),1,$C349))*(INDEX(_xlfn.ANCHORARRAY(Sintesi!$C$15),1,$C349)&lt;0)+($E349&gt;=LOOKUP(2,1/($E:$E&lt;&gt;""),$E:$E))*($E349&lt;=INDEX($E:$E,MATCH(TRUE,INDEX((ISNUMBER($E:$E)),0),0)))*($E349&gt;INDEX(_xlfn.ANCHORARRAY(Sintesi!$C$14),1,$C349))*($E349&lt;=INDEX(_xlfn.ANCHORARRAY(Sintesi!$C$15),1,$C349))*(INDEX(_xlfn.ANCHORARRAY(Sintesi!$C$15),1,$C349)&gt;0),1,IF(($E349&gt;=LOOKUP(2,1/($E:$E&lt;&gt;""),$E:$E))*($E349&lt;=INDEX($E:$E,MATCH(TRUE,INDEX((ISNUMBER($E:$E)),0),0)))*($E349&gt;INDEX(_xlfn.ANCHORARRAY(Sintesi!$C$14),1,$C349))*($E349&lt;INDEX(_xlfn.ANCHORARRAY(Sintesi!$C$16),1,$C349))*(INDEX(_xlfn.ANCHORARRAY(Sintesi!$C$15),1,$C349)&lt;0)+($E349&gt;=LOOKUP(2,1/($E:$E&lt;&gt;""),$E:$E))*($E349&lt;=INDEX($E:$E,MATCH(TRUE,INDEX((ISNUMBER($E:$E)),0),0)))*($E349&gt;INDEX(_xlfn.ANCHORARRAY(Sintesi!$C$15),1,$C349))*($E349&lt;INDEX(_xlfn.ANCHORARRAY(Sintesi!$C$16),1,$C349))*(INDEX(_xlfn.ANCHORARRAY(Sintesi!$C$15),1,$C349)&gt;0),2,IF($E349=(INDEX(_xlfn.ANCHORARRAY(Sintesi!$C$16),1,$C349)),3,4)))),0)),IF(ISNUMBER($E348),IF($C349&gt;0,IF(($E349=INDEX(_xlfn.ANCHORARRAY(Sintesi!$C$14),1,$C349))*(INDEX(_xlfn.ANCHORARRAY(Sintesi!$C$15),1,$C349)&gt;0),0,IF(($E349=INDEX(_xlfn.ANCHORARRAY(Sintesi!$C$14),1,$C349))*(INDEX(_xlfn.ANCHORARRAY(Sintesi!$C$15),1,$C349)&lt;0)+($E349&gt;=$E348)*($E349&lt;=$E350)*($E349&gt;INDEX(_xlfn.ANCHORARRAY(Sintesi!$C$14),1,$C349))*($E349&lt;=INDEX(_xlfn.ANCHORARRAY(Sintesi!$C$15),1,$C349))*(INDEX(_xlfn.ANCHORARRAY(Sintesi!$C$15),1,$C349)&gt;0),1,IF(($E349&gt;=$E348)*($E349&lt;=$E350)*($E349&gt;INDEX(_xlfn.ANCHORARRAY(Sintesi!$C$14),1,$C349))*($E349&lt;INDEX(_xlfn.ANCHORARRAY(Sintesi!$C$16),1,$C349))*(INDEX(_xlfn.ANCHORARRAY(Sintesi!$C$15),1,$C349)&lt;0)+($E349&gt;=$E348)*($E349&lt;=$E350)*($E349&gt;INDEX(_xlfn.ANCHORARRAY(Sintesi!$C$15),1,$C349))*($E349&lt;INDEX(_xlfn.ANCHORARRAY(Sintesi!$C$16),1,$C349))*(INDEX(_xlfn.ANCHORARRAY(Sintesi!$C$15),1,$C349)&gt;0),2,IF($E349=(INDEX(_xlfn.ANCHORARRAY(Sintesi!$C$16),1,$C349)),3,4)))),0),IF($C349&gt;0,IF(($E349=INDEX(_xlfn.ANCHORARRAY(Sintesi!$C$14),1,$C349))*(INDEX(_xlfn.ANCHORARRAY(Sintesi!$C$15),1,$C349)&gt;0),0,IF(($E349=INDEX(_xlfn.ANCHORARRAY(Sintesi!$C$14),1,$C349))*(INDEX(_xlfn.ANCHORARRAY(Sintesi!$C$15),1,$C349)&lt;0)+($E349&gt;=LOOKUP(2,1/($E:$E&lt;&gt;""),$E:$E))*($E349&lt;=$E350)*($E349&gt;INDEX(_xlfn.ANCHORARRAY(Sintesi!$C$14),1,$C349))*($E349&lt;=INDEX(_xlfn.ANCHORARRAY(Sintesi!$C$15),1,$C349))*(INDEX(_xlfn.ANCHORARRAY(Sintesi!$C$15),1,$C349)&gt;0),1,IF(($E349&gt;=LOOKUP(2,1/($E:$E&lt;&gt;""),$E:$E))*($E349&lt;=$E350)*($E349&gt;INDEX(_xlfn.ANCHORARRAY(Sintesi!$C$14),1,$C349))*($E349&lt;INDEX(_xlfn.ANCHORARRAY(Sintesi!$C$16),1,$C349))*(INDEX(_xlfn.ANCHORARRAY(Sintesi!$C$15),1,$C349)&lt;0)+($E349&gt;=LOOKUP(2,1/($E:$E&lt;&gt;""),$E:$E))*($E349&lt;=$E350)*($E349&gt;INDEX(_xlfn.ANCHORARRAY(Sintesi!$C$15),1,$C349))*($E349&lt;INDEX(_xlfn.ANCHORARRAY(Sintesi!$C$16),1,$C349))*(INDEX(_xlfn.ANCHORARRAY(Sintesi!$C$15),1,$C349)&gt;0),2,IF($E349=(INDEX(_xlfn.ANCHORARRAY(Sintesi!$C$16),1,$C349)),3,4)))),0)))</f>
        <v>0</v>
      </c>
      <c r="E349" s="1">
        <f>'Paste cell here'!F349</f>
        <v>0</v>
      </c>
      <c r="F349" s="1">
        <f>'Paste cell here'!C349</f>
        <v>0</v>
      </c>
      <c r="G349" s="1">
        <f>'Paste cell here'!D349</f>
        <v>0</v>
      </c>
      <c r="H349" s="1">
        <f>'Paste cell here'!E349</f>
        <v>0</v>
      </c>
      <c r="I349" s="1">
        <f>'Paste cell here'!X349</f>
        <v>0</v>
      </c>
      <c r="J349" s="1">
        <f>'Paste cell here'!Y349+'Paste cell here'!S349</f>
        <v>0</v>
      </c>
      <c r="K349" s="1" t="e">
        <f t="shared" si="11"/>
        <v>#DIV/0!</v>
      </c>
      <c r="L349" s="1">
        <f t="shared" si="10"/>
        <v>0</v>
      </c>
      <c r="M349" s="1" cm="1">
        <f t="array" ref="M349">IF(AND(A349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,A349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),IF(L349&lt;_xlfn.IFNA(INDEX(_xlfn.ANCHORARRAY(Sintesi!$C$17)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,1,IF(L349&gt;=_xlfn.IFNA(INDEX(_xlfn.ANCHORARRAY(Sintesi!$C$18)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,0,1-(L349-_xlfn.IFNA(INDEX(_xlfn.ANCHORARRAY(Sintesi!$C$17)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)/(_xlfn.IFNA(INDEX(_xlfn.ANCHORARRAY(Sintesi!$C$18)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-_xlfn.IFNA(INDEX(_xlfn.ANCHORARRAY(Sintesi!$C$17),1,MATCH(1,(_xlfn.ANCHORARRAY(Sintesi!$C$9)&gt;_xlfn.ANCHORARRAY(Sintesi!$C$10))*(A348&gt;=_xlfn.ANCHORARRAY(Sintesi!$C$9))+(_xlfn.ANCHORARRAY(Sintesi!$C$9)&gt;_xlfn.ANCHORARRAY(Sintesi!$C$10))*(A348&lt;=_xlfn.ANCHORARRAY(Sintesi!$C$10))+(_xlfn.ANCHORARRAY(Sintesi!$C$9)&lt;_xlfn.ANCHORARRAY(Sintesi!$C$10))*(A348&gt;=_xlfn.ANCHORARRAY(Sintesi!$C$9))*(A348&lt;=_xlfn.ANCHORARRAY(Sintesi!$C$10)),0)),0)))),0)</f>
        <v>0</v>
      </c>
    </row>
    <row r="350" spans="1:13">
      <c r="A350" s="1">
        <f>'Paste cell here'!A350</f>
        <v>0</v>
      </c>
      <c r="B350" s="2">
        <f>DATE(Sintesi!$C$4-1,12,31)+A350</f>
        <v>44196</v>
      </c>
      <c r="C350" s="34" cm="1">
        <f t="array" ref="C350">_xlfn.IFNA(MATCH(1,(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)*(_xlfn.ANCHORARRAY(Sintesi!$C$15)&gt;=0)+(_xlfn.ANCHORARRAY(Sintesi!$C$15)&lt;0),0),0)</f>
        <v>0</v>
      </c>
      <c r="D350" s="1" cm="1">
        <f t="array" ref="D350">IF(ISBLANK($E351),IF(ISNUMBER($E349),IF($C350&gt;0,IF(($E350=INDEX(_xlfn.ANCHORARRAY(Sintesi!$C$14),1,$C350))*(INDEX(_xlfn.ANCHORARRAY(Sintesi!$C$15),1,$C350)&gt;0),0,IF(($E350=INDEX(_xlfn.ANCHORARRAY(Sintesi!$C$14),1,$C350))*(INDEX(_xlfn.ANCHORARRAY(Sintesi!$C$15),1,$C350)&lt;0)+($E350&gt;=$E349)*($E350&lt;=INDEX($E:$E,MATCH(TRUE,INDEX((ISNUMBER($E:$E)),0),0)))*($E350&gt;INDEX(_xlfn.ANCHORARRAY(Sintesi!$C$14),1,$C350))*($E350&lt;=INDEX(_xlfn.ANCHORARRAY(Sintesi!$C$15),1,$C350))*(INDEX(_xlfn.ANCHORARRAY(Sintesi!$C$15),1,$C350)&gt;0),1,IF(($E350&gt;=$E349)*($E350&lt;=INDEX($E:$E,MATCH(TRUE,INDEX((ISNUMBER($E:$E)),0),0)))*($E350&gt;INDEX(_xlfn.ANCHORARRAY(Sintesi!$C$14),1,$C350))*($E350&lt;INDEX(_xlfn.ANCHORARRAY(Sintesi!$C$16),1,$C350))*(INDEX(_xlfn.ANCHORARRAY(Sintesi!$C$15),1,$C350)&lt;0)+($E350&gt;=$E349)*($E350&lt;=INDEX($E:$E,MATCH(TRUE,INDEX((ISNUMBER($E:$E)),0),0)))*($E350&gt;INDEX(_xlfn.ANCHORARRAY(Sintesi!$C$15),1,$C350))*($E350&lt;INDEX(_xlfn.ANCHORARRAY(Sintesi!$C$16),1,$C350))*(INDEX(_xlfn.ANCHORARRAY(Sintesi!$C$15),1,$C350)&gt;0),2,IF($E350=(INDEX(_xlfn.ANCHORARRAY(Sintesi!$C$16),1,$C350)),3,4)))),0),IF($C350&gt;0,IF(($E350=INDEX(_xlfn.ANCHORARRAY(Sintesi!$C$14),1,$C350))*(INDEX(_xlfn.ANCHORARRAY(Sintesi!$C$15),1,$C350)&gt;0),0,IF(($E350=INDEX(_xlfn.ANCHORARRAY(Sintesi!$C$14),1,$C350))*(INDEX(_xlfn.ANCHORARRAY(Sintesi!$C$15),1,$C350)&lt;0)+($E350&gt;=LOOKUP(2,1/($E:$E&lt;&gt;""),$E:$E))*($E350&lt;=INDEX($E:$E,MATCH(TRUE,INDEX((ISNUMBER($E:$E)),0),0)))*($E350&gt;INDEX(_xlfn.ANCHORARRAY(Sintesi!$C$14),1,$C350))*($E350&lt;=INDEX(_xlfn.ANCHORARRAY(Sintesi!$C$15),1,$C350))*(INDEX(_xlfn.ANCHORARRAY(Sintesi!$C$15),1,$C350)&gt;0),1,IF(($E350&gt;=LOOKUP(2,1/($E:$E&lt;&gt;""),$E:$E))*($E350&lt;=INDEX($E:$E,MATCH(TRUE,INDEX((ISNUMBER($E:$E)),0),0)))*($E350&gt;INDEX(_xlfn.ANCHORARRAY(Sintesi!$C$14),1,$C350))*($E350&lt;INDEX(_xlfn.ANCHORARRAY(Sintesi!$C$16),1,$C350))*(INDEX(_xlfn.ANCHORARRAY(Sintesi!$C$15),1,$C350)&lt;0)+($E350&gt;=LOOKUP(2,1/($E:$E&lt;&gt;""),$E:$E))*($E350&lt;=INDEX($E:$E,MATCH(TRUE,INDEX((ISNUMBER($E:$E)),0),0)))*($E350&gt;INDEX(_xlfn.ANCHORARRAY(Sintesi!$C$15),1,$C350))*($E350&lt;INDEX(_xlfn.ANCHORARRAY(Sintesi!$C$16),1,$C350))*(INDEX(_xlfn.ANCHORARRAY(Sintesi!$C$15),1,$C350)&gt;0),2,IF($E350=(INDEX(_xlfn.ANCHORARRAY(Sintesi!$C$16),1,$C350)),3,4)))),0)),IF(ISNUMBER($E349),IF($C350&gt;0,IF(($E350=INDEX(_xlfn.ANCHORARRAY(Sintesi!$C$14),1,$C350))*(INDEX(_xlfn.ANCHORARRAY(Sintesi!$C$15),1,$C350)&gt;0),0,IF(($E350=INDEX(_xlfn.ANCHORARRAY(Sintesi!$C$14),1,$C350))*(INDEX(_xlfn.ANCHORARRAY(Sintesi!$C$15),1,$C350)&lt;0)+($E350&gt;=$E349)*($E350&lt;=$E351)*($E350&gt;INDEX(_xlfn.ANCHORARRAY(Sintesi!$C$14),1,$C350))*($E350&lt;=INDEX(_xlfn.ANCHORARRAY(Sintesi!$C$15),1,$C350))*(INDEX(_xlfn.ANCHORARRAY(Sintesi!$C$15),1,$C350)&gt;0),1,IF(($E350&gt;=$E349)*($E350&lt;=$E351)*($E350&gt;INDEX(_xlfn.ANCHORARRAY(Sintesi!$C$14),1,$C350))*($E350&lt;INDEX(_xlfn.ANCHORARRAY(Sintesi!$C$16),1,$C350))*(INDEX(_xlfn.ANCHORARRAY(Sintesi!$C$15),1,$C350)&lt;0)+($E350&gt;=$E349)*($E350&lt;=$E351)*($E350&gt;INDEX(_xlfn.ANCHORARRAY(Sintesi!$C$15),1,$C350))*($E350&lt;INDEX(_xlfn.ANCHORARRAY(Sintesi!$C$16),1,$C350))*(INDEX(_xlfn.ANCHORARRAY(Sintesi!$C$15),1,$C350)&gt;0),2,IF($E350=(INDEX(_xlfn.ANCHORARRAY(Sintesi!$C$16),1,$C350)),3,4)))),0),IF($C350&gt;0,IF(($E350=INDEX(_xlfn.ANCHORARRAY(Sintesi!$C$14),1,$C350))*(INDEX(_xlfn.ANCHORARRAY(Sintesi!$C$15),1,$C350)&gt;0),0,IF(($E350=INDEX(_xlfn.ANCHORARRAY(Sintesi!$C$14),1,$C350))*(INDEX(_xlfn.ANCHORARRAY(Sintesi!$C$15),1,$C350)&lt;0)+($E350&gt;=LOOKUP(2,1/($E:$E&lt;&gt;""),$E:$E))*($E350&lt;=$E351)*($E350&gt;INDEX(_xlfn.ANCHORARRAY(Sintesi!$C$14),1,$C350))*($E350&lt;=INDEX(_xlfn.ANCHORARRAY(Sintesi!$C$15),1,$C350))*(INDEX(_xlfn.ANCHORARRAY(Sintesi!$C$15),1,$C350)&gt;0),1,IF(($E350&gt;=LOOKUP(2,1/($E:$E&lt;&gt;""),$E:$E))*($E350&lt;=$E351)*($E350&gt;INDEX(_xlfn.ANCHORARRAY(Sintesi!$C$14),1,$C350))*($E350&lt;INDEX(_xlfn.ANCHORARRAY(Sintesi!$C$16),1,$C350))*(INDEX(_xlfn.ANCHORARRAY(Sintesi!$C$15),1,$C350)&lt;0)+($E350&gt;=LOOKUP(2,1/($E:$E&lt;&gt;""),$E:$E))*($E350&lt;=$E351)*($E350&gt;INDEX(_xlfn.ANCHORARRAY(Sintesi!$C$15),1,$C350))*($E350&lt;INDEX(_xlfn.ANCHORARRAY(Sintesi!$C$16),1,$C350))*(INDEX(_xlfn.ANCHORARRAY(Sintesi!$C$15),1,$C350)&gt;0),2,IF($E350=(INDEX(_xlfn.ANCHORARRAY(Sintesi!$C$16),1,$C350)),3,4)))),0)))</f>
        <v>0</v>
      </c>
      <c r="E350" s="1">
        <f>'Paste cell here'!F350</f>
        <v>0</v>
      </c>
      <c r="F350" s="1">
        <f>'Paste cell here'!C350</f>
        <v>0</v>
      </c>
      <c r="G350" s="1">
        <f>'Paste cell here'!D350</f>
        <v>0</v>
      </c>
      <c r="H350" s="1">
        <f>'Paste cell here'!E350</f>
        <v>0</v>
      </c>
      <c r="I350" s="1">
        <f>'Paste cell here'!X350</f>
        <v>0</v>
      </c>
      <c r="J350" s="1">
        <f>'Paste cell here'!Y350+'Paste cell here'!S350</f>
        <v>0</v>
      </c>
      <c r="K350" s="1" t="e">
        <f t="shared" si="11"/>
        <v>#DIV/0!</v>
      </c>
      <c r="L350" s="1">
        <f t="shared" si="10"/>
        <v>0</v>
      </c>
      <c r="M350" s="1" cm="1">
        <f t="array" ref="M350">IF(AND(A350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,A350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),IF(L350&lt;_xlfn.IFNA(INDEX(_xlfn.ANCHORARRAY(Sintesi!$C$17)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,1,IF(L350&gt;=_xlfn.IFNA(INDEX(_xlfn.ANCHORARRAY(Sintesi!$C$18)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,0,1-(L350-_xlfn.IFNA(INDEX(_xlfn.ANCHORARRAY(Sintesi!$C$17)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)/(_xlfn.IFNA(INDEX(_xlfn.ANCHORARRAY(Sintesi!$C$18)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-_xlfn.IFNA(INDEX(_xlfn.ANCHORARRAY(Sintesi!$C$17),1,MATCH(1,(_xlfn.ANCHORARRAY(Sintesi!$C$9)&gt;_xlfn.ANCHORARRAY(Sintesi!$C$10))*(A349&gt;=_xlfn.ANCHORARRAY(Sintesi!$C$9))+(_xlfn.ANCHORARRAY(Sintesi!$C$9)&gt;_xlfn.ANCHORARRAY(Sintesi!$C$10))*(A349&lt;=_xlfn.ANCHORARRAY(Sintesi!$C$10))+(_xlfn.ANCHORARRAY(Sintesi!$C$9)&lt;_xlfn.ANCHORARRAY(Sintesi!$C$10))*(A349&gt;=_xlfn.ANCHORARRAY(Sintesi!$C$9))*(A349&lt;=_xlfn.ANCHORARRAY(Sintesi!$C$10)),0)),0)))),0)</f>
        <v>0</v>
      </c>
    </row>
    <row r="351" spans="1:13">
      <c r="A351" s="1">
        <f>'Paste cell here'!A351</f>
        <v>0</v>
      </c>
      <c r="B351" s="2">
        <f>DATE(Sintesi!$C$4-1,12,31)+A351</f>
        <v>44196</v>
      </c>
      <c r="C351" s="34" cm="1">
        <f t="array" ref="C351">_xlfn.IFNA(MATCH(1,(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)*(_xlfn.ANCHORARRAY(Sintesi!$C$15)&gt;=0)+(_xlfn.ANCHORARRAY(Sintesi!$C$15)&lt;0),0),0)</f>
        <v>0</v>
      </c>
      <c r="D351" s="1" cm="1">
        <f t="array" ref="D351">IF(ISBLANK($E352),IF(ISNUMBER($E350),IF($C351&gt;0,IF(($E351=INDEX(_xlfn.ANCHORARRAY(Sintesi!$C$14),1,$C351))*(INDEX(_xlfn.ANCHORARRAY(Sintesi!$C$15),1,$C351)&gt;0),0,IF(($E351=INDEX(_xlfn.ANCHORARRAY(Sintesi!$C$14),1,$C351))*(INDEX(_xlfn.ANCHORARRAY(Sintesi!$C$15),1,$C351)&lt;0)+($E351&gt;=$E350)*($E351&lt;=INDEX($E:$E,MATCH(TRUE,INDEX((ISNUMBER($E:$E)),0),0)))*($E351&gt;INDEX(_xlfn.ANCHORARRAY(Sintesi!$C$14),1,$C351))*($E351&lt;=INDEX(_xlfn.ANCHORARRAY(Sintesi!$C$15),1,$C351))*(INDEX(_xlfn.ANCHORARRAY(Sintesi!$C$15),1,$C351)&gt;0),1,IF(($E351&gt;=$E350)*($E351&lt;=INDEX($E:$E,MATCH(TRUE,INDEX((ISNUMBER($E:$E)),0),0)))*($E351&gt;INDEX(_xlfn.ANCHORARRAY(Sintesi!$C$14),1,$C351))*($E351&lt;INDEX(_xlfn.ANCHORARRAY(Sintesi!$C$16),1,$C351))*(INDEX(_xlfn.ANCHORARRAY(Sintesi!$C$15),1,$C351)&lt;0)+($E351&gt;=$E350)*($E351&lt;=INDEX($E:$E,MATCH(TRUE,INDEX((ISNUMBER($E:$E)),0),0)))*($E351&gt;INDEX(_xlfn.ANCHORARRAY(Sintesi!$C$15),1,$C351))*($E351&lt;INDEX(_xlfn.ANCHORARRAY(Sintesi!$C$16),1,$C351))*(INDEX(_xlfn.ANCHORARRAY(Sintesi!$C$15),1,$C351)&gt;0),2,IF($E351=(INDEX(_xlfn.ANCHORARRAY(Sintesi!$C$16),1,$C351)),3,4)))),0),IF($C351&gt;0,IF(($E351=INDEX(_xlfn.ANCHORARRAY(Sintesi!$C$14),1,$C351))*(INDEX(_xlfn.ANCHORARRAY(Sintesi!$C$15),1,$C351)&gt;0),0,IF(($E351=INDEX(_xlfn.ANCHORARRAY(Sintesi!$C$14),1,$C351))*(INDEX(_xlfn.ANCHORARRAY(Sintesi!$C$15),1,$C351)&lt;0)+($E351&gt;=LOOKUP(2,1/($E:$E&lt;&gt;""),$E:$E))*($E351&lt;=INDEX($E:$E,MATCH(TRUE,INDEX((ISNUMBER($E:$E)),0),0)))*($E351&gt;INDEX(_xlfn.ANCHORARRAY(Sintesi!$C$14),1,$C351))*($E351&lt;=INDEX(_xlfn.ANCHORARRAY(Sintesi!$C$15),1,$C351))*(INDEX(_xlfn.ANCHORARRAY(Sintesi!$C$15),1,$C351)&gt;0),1,IF(($E351&gt;=LOOKUP(2,1/($E:$E&lt;&gt;""),$E:$E))*($E351&lt;=INDEX($E:$E,MATCH(TRUE,INDEX((ISNUMBER($E:$E)),0),0)))*($E351&gt;INDEX(_xlfn.ANCHORARRAY(Sintesi!$C$14),1,$C351))*($E351&lt;INDEX(_xlfn.ANCHORARRAY(Sintesi!$C$16),1,$C351))*(INDEX(_xlfn.ANCHORARRAY(Sintesi!$C$15),1,$C351)&lt;0)+($E351&gt;=LOOKUP(2,1/($E:$E&lt;&gt;""),$E:$E))*($E351&lt;=INDEX($E:$E,MATCH(TRUE,INDEX((ISNUMBER($E:$E)),0),0)))*($E351&gt;INDEX(_xlfn.ANCHORARRAY(Sintesi!$C$15),1,$C351))*($E351&lt;INDEX(_xlfn.ANCHORARRAY(Sintesi!$C$16),1,$C351))*(INDEX(_xlfn.ANCHORARRAY(Sintesi!$C$15),1,$C351)&gt;0),2,IF($E351=(INDEX(_xlfn.ANCHORARRAY(Sintesi!$C$16),1,$C351)),3,4)))),0)),IF(ISNUMBER($E350),IF($C351&gt;0,IF(($E351=INDEX(_xlfn.ANCHORARRAY(Sintesi!$C$14),1,$C351))*(INDEX(_xlfn.ANCHORARRAY(Sintesi!$C$15),1,$C351)&gt;0),0,IF(($E351=INDEX(_xlfn.ANCHORARRAY(Sintesi!$C$14),1,$C351))*(INDEX(_xlfn.ANCHORARRAY(Sintesi!$C$15),1,$C351)&lt;0)+($E351&gt;=$E350)*($E351&lt;=$E352)*($E351&gt;INDEX(_xlfn.ANCHORARRAY(Sintesi!$C$14),1,$C351))*($E351&lt;=INDEX(_xlfn.ANCHORARRAY(Sintesi!$C$15),1,$C351))*(INDEX(_xlfn.ANCHORARRAY(Sintesi!$C$15),1,$C351)&gt;0),1,IF(($E351&gt;=$E350)*($E351&lt;=$E352)*($E351&gt;INDEX(_xlfn.ANCHORARRAY(Sintesi!$C$14),1,$C351))*($E351&lt;INDEX(_xlfn.ANCHORARRAY(Sintesi!$C$16),1,$C351))*(INDEX(_xlfn.ANCHORARRAY(Sintesi!$C$15),1,$C351)&lt;0)+($E351&gt;=$E350)*($E351&lt;=$E352)*($E351&gt;INDEX(_xlfn.ANCHORARRAY(Sintesi!$C$15),1,$C351))*($E351&lt;INDEX(_xlfn.ANCHORARRAY(Sintesi!$C$16),1,$C351))*(INDEX(_xlfn.ANCHORARRAY(Sintesi!$C$15),1,$C351)&gt;0),2,IF($E351=(INDEX(_xlfn.ANCHORARRAY(Sintesi!$C$16),1,$C351)),3,4)))),0),IF($C351&gt;0,IF(($E351=INDEX(_xlfn.ANCHORARRAY(Sintesi!$C$14),1,$C351))*(INDEX(_xlfn.ANCHORARRAY(Sintesi!$C$15),1,$C351)&gt;0),0,IF(($E351=INDEX(_xlfn.ANCHORARRAY(Sintesi!$C$14),1,$C351))*(INDEX(_xlfn.ANCHORARRAY(Sintesi!$C$15),1,$C351)&lt;0)+($E351&gt;=LOOKUP(2,1/($E:$E&lt;&gt;""),$E:$E))*($E351&lt;=$E352)*($E351&gt;INDEX(_xlfn.ANCHORARRAY(Sintesi!$C$14),1,$C351))*($E351&lt;=INDEX(_xlfn.ANCHORARRAY(Sintesi!$C$15),1,$C351))*(INDEX(_xlfn.ANCHORARRAY(Sintesi!$C$15),1,$C351)&gt;0),1,IF(($E351&gt;=LOOKUP(2,1/($E:$E&lt;&gt;""),$E:$E))*($E351&lt;=$E352)*($E351&gt;INDEX(_xlfn.ANCHORARRAY(Sintesi!$C$14),1,$C351))*($E351&lt;INDEX(_xlfn.ANCHORARRAY(Sintesi!$C$16),1,$C351))*(INDEX(_xlfn.ANCHORARRAY(Sintesi!$C$15),1,$C351)&lt;0)+($E351&gt;=LOOKUP(2,1/($E:$E&lt;&gt;""),$E:$E))*($E351&lt;=$E352)*($E351&gt;INDEX(_xlfn.ANCHORARRAY(Sintesi!$C$15),1,$C351))*($E351&lt;INDEX(_xlfn.ANCHORARRAY(Sintesi!$C$16),1,$C351))*(INDEX(_xlfn.ANCHORARRAY(Sintesi!$C$15),1,$C351)&gt;0),2,IF($E351=(INDEX(_xlfn.ANCHORARRAY(Sintesi!$C$16),1,$C351)),3,4)))),0)))</f>
        <v>0</v>
      </c>
      <c r="E351" s="1">
        <f>'Paste cell here'!F351</f>
        <v>0</v>
      </c>
      <c r="F351" s="1">
        <f>'Paste cell here'!C351</f>
        <v>0</v>
      </c>
      <c r="G351" s="1">
        <f>'Paste cell here'!D351</f>
        <v>0</v>
      </c>
      <c r="H351" s="1">
        <f>'Paste cell here'!E351</f>
        <v>0</v>
      </c>
      <c r="I351" s="1">
        <f>'Paste cell here'!X351</f>
        <v>0</v>
      </c>
      <c r="J351" s="1">
        <f>'Paste cell here'!Y351+'Paste cell here'!S351</f>
        <v>0</v>
      </c>
      <c r="K351" s="1" t="e">
        <f t="shared" si="11"/>
        <v>#DIV/0!</v>
      </c>
      <c r="L351" s="1">
        <f t="shared" si="10"/>
        <v>0</v>
      </c>
      <c r="M351" s="1" cm="1">
        <f t="array" ref="M351">IF(AND(A351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,A351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),IF(L351&lt;_xlfn.IFNA(INDEX(_xlfn.ANCHORARRAY(Sintesi!$C$17)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,1,IF(L351&gt;=_xlfn.IFNA(INDEX(_xlfn.ANCHORARRAY(Sintesi!$C$18)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,0,1-(L351-_xlfn.IFNA(INDEX(_xlfn.ANCHORARRAY(Sintesi!$C$17)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)/(_xlfn.IFNA(INDEX(_xlfn.ANCHORARRAY(Sintesi!$C$18)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-_xlfn.IFNA(INDEX(_xlfn.ANCHORARRAY(Sintesi!$C$17),1,MATCH(1,(_xlfn.ANCHORARRAY(Sintesi!$C$9)&gt;_xlfn.ANCHORARRAY(Sintesi!$C$10))*(A350&gt;=_xlfn.ANCHORARRAY(Sintesi!$C$9))+(_xlfn.ANCHORARRAY(Sintesi!$C$9)&gt;_xlfn.ANCHORARRAY(Sintesi!$C$10))*(A350&lt;=_xlfn.ANCHORARRAY(Sintesi!$C$10))+(_xlfn.ANCHORARRAY(Sintesi!$C$9)&lt;_xlfn.ANCHORARRAY(Sintesi!$C$10))*(A350&gt;=_xlfn.ANCHORARRAY(Sintesi!$C$9))*(A350&lt;=_xlfn.ANCHORARRAY(Sintesi!$C$10)),0)),0)))),0)</f>
        <v>0</v>
      </c>
    </row>
    <row r="352" spans="1:13">
      <c r="A352" s="1">
        <f>'Paste cell here'!A352</f>
        <v>0</v>
      </c>
      <c r="B352" s="2">
        <f>DATE(Sintesi!$C$4-1,12,31)+A352</f>
        <v>44196</v>
      </c>
      <c r="C352" s="34" cm="1">
        <f t="array" ref="C352">_xlfn.IFNA(MATCH(1,(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)*(_xlfn.ANCHORARRAY(Sintesi!$C$15)&gt;=0)+(_xlfn.ANCHORARRAY(Sintesi!$C$15)&lt;0),0),0)</f>
        <v>0</v>
      </c>
      <c r="D352" s="1" cm="1">
        <f t="array" ref="D352">IF(ISBLANK($E353),IF(ISNUMBER($E351),IF($C352&gt;0,IF(($E352=INDEX(_xlfn.ANCHORARRAY(Sintesi!$C$14),1,$C352))*(INDEX(_xlfn.ANCHORARRAY(Sintesi!$C$15),1,$C352)&gt;0),0,IF(($E352=INDEX(_xlfn.ANCHORARRAY(Sintesi!$C$14),1,$C352))*(INDEX(_xlfn.ANCHORARRAY(Sintesi!$C$15),1,$C352)&lt;0)+($E352&gt;=$E351)*($E352&lt;=INDEX($E:$E,MATCH(TRUE,INDEX((ISNUMBER($E:$E)),0),0)))*($E352&gt;INDEX(_xlfn.ANCHORARRAY(Sintesi!$C$14),1,$C352))*($E352&lt;=INDEX(_xlfn.ANCHORARRAY(Sintesi!$C$15),1,$C352))*(INDEX(_xlfn.ANCHORARRAY(Sintesi!$C$15),1,$C352)&gt;0),1,IF(($E352&gt;=$E351)*($E352&lt;=INDEX($E:$E,MATCH(TRUE,INDEX((ISNUMBER($E:$E)),0),0)))*($E352&gt;INDEX(_xlfn.ANCHORARRAY(Sintesi!$C$14),1,$C352))*($E352&lt;INDEX(_xlfn.ANCHORARRAY(Sintesi!$C$16),1,$C352))*(INDEX(_xlfn.ANCHORARRAY(Sintesi!$C$15),1,$C352)&lt;0)+($E352&gt;=$E351)*($E352&lt;=INDEX($E:$E,MATCH(TRUE,INDEX((ISNUMBER($E:$E)),0),0)))*($E352&gt;INDEX(_xlfn.ANCHORARRAY(Sintesi!$C$15),1,$C352))*($E352&lt;INDEX(_xlfn.ANCHORARRAY(Sintesi!$C$16),1,$C352))*(INDEX(_xlfn.ANCHORARRAY(Sintesi!$C$15),1,$C352)&gt;0),2,IF($E352=(INDEX(_xlfn.ANCHORARRAY(Sintesi!$C$16),1,$C352)),3,4)))),0),IF($C352&gt;0,IF(($E352=INDEX(_xlfn.ANCHORARRAY(Sintesi!$C$14),1,$C352))*(INDEX(_xlfn.ANCHORARRAY(Sintesi!$C$15),1,$C352)&gt;0),0,IF(($E352=INDEX(_xlfn.ANCHORARRAY(Sintesi!$C$14),1,$C352))*(INDEX(_xlfn.ANCHORARRAY(Sintesi!$C$15),1,$C352)&lt;0)+($E352&gt;=LOOKUP(2,1/($E:$E&lt;&gt;""),$E:$E))*($E352&lt;=INDEX($E:$E,MATCH(TRUE,INDEX((ISNUMBER($E:$E)),0),0)))*($E352&gt;INDEX(_xlfn.ANCHORARRAY(Sintesi!$C$14),1,$C352))*($E352&lt;=INDEX(_xlfn.ANCHORARRAY(Sintesi!$C$15),1,$C352))*(INDEX(_xlfn.ANCHORARRAY(Sintesi!$C$15),1,$C352)&gt;0),1,IF(($E352&gt;=LOOKUP(2,1/($E:$E&lt;&gt;""),$E:$E))*($E352&lt;=INDEX($E:$E,MATCH(TRUE,INDEX((ISNUMBER($E:$E)),0),0)))*($E352&gt;INDEX(_xlfn.ANCHORARRAY(Sintesi!$C$14),1,$C352))*($E352&lt;INDEX(_xlfn.ANCHORARRAY(Sintesi!$C$16),1,$C352))*(INDEX(_xlfn.ANCHORARRAY(Sintesi!$C$15),1,$C352)&lt;0)+($E352&gt;=LOOKUP(2,1/($E:$E&lt;&gt;""),$E:$E))*($E352&lt;=INDEX($E:$E,MATCH(TRUE,INDEX((ISNUMBER($E:$E)),0),0)))*($E352&gt;INDEX(_xlfn.ANCHORARRAY(Sintesi!$C$15),1,$C352))*($E352&lt;INDEX(_xlfn.ANCHORARRAY(Sintesi!$C$16),1,$C352))*(INDEX(_xlfn.ANCHORARRAY(Sintesi!$C$15),1,$C352)&gt;0),2,IF($E352=(INDEX(_xlfn.ANCHORARRAY(Sintesi!$C$16),1,$C352)),3,4)))),0)),IF(ISNUMBER($E351),IF($C352&gt;0,IF(($E352=INDEX(_xlfn.ANCHORARRAY(Sintesi!$C$14),1,$C352))*(INDEX(_xlfn.ANCHORARRAY(Sintesi!$C$15),1,$C352)&gt;0),0,IF(($E352=INDEX(_xlfn.ANCHORARRAY(Sintesi!$C$14),1,$C352))*(INDEX(_xlfn.ANCHORARRAY(Sintesi!$C$15),1,$C352)&lt;0)+($E352&gt;=$E351)*($E352&lt;=$E353)*($E352&gt;INDEX(_xlfn.ANCHORARRAY(Sintesi!$C$14),1,$C352))*($E352&lt;=INDEX(_xlfn.ANCHORARRAY(Sintesi!$C$15),1,$C352))*(INDEX(_xlfn.ANCHORARRAY(Sintesi!$C$15),1,$C352)&gt;0),1,IF(($E352&gt;=$E351)*($E352&lt;=$E353)*($E352&gt;INDEX(_xlfn.ANCHORARRAY(Sintesi!$C$14),1,$C352))*($E352&lt;INDEX(_xlfn.ANCHORARRAY(Sintesi!$C$16),1,$C352))*(INDEX(_xlfn.ANCHORARRAY(Sintesi!$C$15),1,$C352)&lt;0)+($E352&gt;=$E351)*($E352&lt;=$E353)*($E352&gt;INDEX(_xlfn.ANCHORARRAY(Sintesi!$C$15),1,$C352))*($E352&lt;INDEX(_xlfn.ANCHORARRAY(Sintesi!$C$16),1,$C352))*(INDEX(_xlfn.ANCHORARRAY(Sintesi!$C$15),1,$C352)&gt;0),2,IF($E352=(INDEX(_xlfn.ANCHORARRAY(Sintesi!$C$16),1,$C352)),3,4)))),0),IF($C352&gt;0,IF(($E352=INDEX(_xlfn.ANCHORARRAY(Sintesi!$C$14),1,$C352))*(INDEX(_xlfn.ANCHORARRAY(Sintesi!$C$15),1,$C352)&gt;0),0,IF(($E352=INDEX(_xlfn.ANCHORARRAY(Sintesi!$C$14),1,$C352))*(INDEX(_xlfn.ANCHORARRAY(Sintesi!$C$15),1,$C352)&lt;0)+($E352&gt;=LOOKUP(2,1/($E:$E&lt;&gt;""),$E:$E))*($E352&lt;=$E353)*($E352&gt;INDEX(_xlfn.ANCHORARRAY(Sintesi!$C$14),1,$C352))*($E352&lt;=INDEX(_xlfn.ANCHORARRAY(Sintesi!$C$15),1,$C352))*(INDEX(_xlfn.ANCHORARRAY(Sintesi!$C$15),1,$C352)&gt;0),1,IF(($E352&gt;=LOOKUP(2,1/($E:$E&lt;&gt;""),$E:$E))*($E352&lt;=$E353)*($E352&gt;INDEX(_xlfn.ANCHORARRAY(Sintesi!$C$14),1,$C352))*($E352&lt;INDEX(_xlfn.ANCHORARRAY(Sintesi!$C$16),1,$C352))*(INDEX(_xlfn.ANCHORARRAY(Sintesi!$C$15),1,$C352)&lt;0)+($E352&gt;=LOOKUP(2,1/($E:$E&lt;&gt;""),$E:$E))*($E352&lt;=$E353)*($E352&gt;INDEX(_xlfn.ANCHORARRAY(Sintesi!$C$15),1,$C352))*($E352&lt;INDEX(_xlfn.ANCHORARRAY(Sintesi!$C$16),1,$C352))*(INDEX(_xlfn.ANCHORARRAY(Sintesi!$C$15),1,$C352)&gt;0),2,IF($E352=(INDEX(_xlfn.ANCHORARRAY(Sintesi!$C$16),1,$C352)),3,4)))),0)))</f>
        <v>0</v>
      </c>
      <c r="E352" s="1">
        <f>'Paste cell here'!F352</f>
        <v>0</v>
      </c>
      <c r="F352" s="1">
        <f>'Paste cell here'!C352</f>
        <v>0</v>
      </c>
      <c r="G352" s="1">
        <f>'Paste cell here'!D352</f>
        <v>0</v>
      </c>
      <c r="H352" s="1">
        <f>'Paste cell here'!E352</f>
        <v>0</v>
      </c>
      <c r="I352" s="1">
        <f>'Paste cell here'!X352</f>
        <v>0</v>
      </c>
      <c r="J352" s="1">
        <f>'Paste cell here'!Y352+'Paste cell here'!S352</f>
        <v>0</v>
      </c>
      <c r="K352" s="1" t="e">
        <f t="shared" si="11"/>
        <v>#DIV/0!</v>
      </c>
      <c r="L352" s="1">
        <f t="shared" si="10"/>
        <v>0</v>
      </c>
      <c r="M352" s="1" cm="1">
        <f t="array" ref="M352">IF(AND(A352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,A352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),IF(L352&lt;_xlfn.IFNA(INDEX(_xlfn.ANCHORARRAY(Sintesi!$C$17)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,1,IF(L352&gt;=_xlfn.IFNA(INDEX(_xlfn.ANCHORARRAY(Sintesi!$C$18)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,0,1-(L352-_xlfn.IFNA(INDEX(_xlfn.ANCHORARRAY(Sintesi!$C$17)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)/(_xlfn.IFNA(INDEX(_xlfn.ANCHORARRAY(Sintesi!$C$18)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-_xlfn.IFNA(INDEX(_xlfn.ANCHORARRAY(Sintesi!$C$17),1,MATCH(1,(_xlfn.ANCHORARRAY(Sintesi!$C$9)&gt;_xlfn.ANCHORARRAY(Sintesi!$C$10))*(A351&gt;=_xlfn.ANCHORARRAY(Sintesi!$C$9))+(_xlfn.ANCHORARRAY(Sintesi!$C$9)&gt;_xlfn.ANCHORARRAY(Sintesi!$C$10))*(A351&lt;=_xlfn.ANCHORARRAY(Sintesi!$C$10))+(_xlfn.ANCHORARRAY(Sintesi!$C$9)&lt;_xlfn.ANCHORARRAY(Sintesi!$C$10))*(A351&gt;=_xlfn.ANCHORARRAY(Sintesi!$C$9))*(A351&lt;=_xlfn.ANCHORARRAY(Sintesi!$C$10)),0)),0)))),0)</f>
        <v>0</v>
      </c>
    </row>
    <row r="353" spans="1:15">
      <c r="A353" s="1">
        <f>'Paste cell here'!A353</f>
        <v>0</v>
      </c>
      <c r="B353" s="2">
        <f>DATE(Sintesi!$C$4-1,12,31)+A353</f>
        <v>44196</v>
      </c>
      <c r="C353" s="34" cm="1">
        <f t="array" ref="C353">_xlfn.IFNA(MATCH(1,(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)*(_xlfn.ANCHORARRAY(Sintesi!$C$15)&gt;=0)+(_xlfn.ANCHORARRAY(Sintesi!$C$15)&lt;0),0),0)</f>
        <v>0</v>
      </c>
      <c r="D353" s="1" cm="1">
        <f t="array" ref="D353">IF(ISBLANK($E354),IF(ISNUMBER($E352),IF($C353&gt;0,IF(($E353=INDEX(_xlfn.ANCHORARRAY(Sintesi!$C$14),1,$C353))*(INDEX(_xlfn.ANCHORARRAY(Sintesi!$C$15),1,$C353)&gt;0),0,IF(($E353=INDEX(_xlfn.ANCHORARRAY(Sintesi!$C$14),1,$C353))*(INDEX(_xlfn.ANCHORARRAY(Sintesi!$C$15),1,$C353)&lt;0)+($E353&gt;=$E352)*($E353&lt;=INDEX($E:$E,MATCH(TRUE,INDEX((ISNUMBER($E:$E)),0),0)))*($E353&gt;INDEX(_xlfn.ANCHORARRAY(Sintesi!$C$14),1,$C353))*($E353&lt;=INDEX(_xlfn.ANCHORARRAY(Sintesi!$C$15),1,$C353))*(INDEX(_xlfn.ANCHORARRAY(Sintesi!$C$15),1,$C353)&gt;0),1,IF(($E353&gt;=$E352)*($E353&lt;=INDEX($E:$E,MATCH(TRUE,INDEX((ISNUMBER($E:$E)),0),0)))*($E353&gt;INDEX(_xlfn.ANCHORARRAY(Sintesi!$C$14),1,$C353))*($E353&lt;INDEX(_xlfn.ANCHORARRAY(Sintesi!$C$16),1,$C353))*(INDEX(_xlfn.ANCHORARRAY(Sintesi!$C$15),1,$C353)&lt;0)+($E353&gt;=$E352)*($E353&lt;=INDEX($E:$E,MATCH(TRUE,INDEX((ISNUMBER($E:$E)),0),0)))*($E353&gt;INDEX(_xlfn.ANCHORARRAY(Sintesi!$C$15),1,$C353))*($E353&lt;INDEX(_xlfn.ANCHORARRAY(Sintesi!$C$16),1,$C353))*(INDEX(_xlfn.ANCHORARRAY(Sintesi!$C$15),1,$C353)&gt;0),2,IF($E353=(INDEX(_xlfn.ANCHORARRAY(Sintesi!$C$16),1,$C353)),3,4)))),0),IF($C353&gt;0,IF(($E353=INDEX(_xlfn.ANCHORARRAY(Sintesi!$C$14),1,$C353))*(INDEX(_xlfn.ANCHORARRAY(Sintesi!$C$15),1,$C353)&gt;0),0,IF(($E353=INDEX(_xlfn.ANCHORARRAY(Sintesi!$C$14),1,$C353))*(INDEX(_xlfn.ANCHORARRAY(Sintesi!$C$15),1,$C353)&lt;0)+($E353&gt;=LOOKUP(2,1/($E:$E&lt;&gt;""),$E:$E))*($E353&lt;=INDEX($E:$E,MATCH(TRUE,INDEX((ISNUMBER($E:$E)),0),0)))*($E353&gt;INDEX(_xlfn.ANCHORARRAY(Sintesi!$C$14),1,$C353))*($E353&lt;=INDEX(_xlfn.ANCHORARRAY(Sintesi!$C$15),1,$C353))*(INDEX(_xlfn.ANCHORARRAY(Sintesi!$C$15),1,$C353)&gt;0),1,IF(($E353&gt;=LOOKUP(2,1/($E:$E&lt;&gt;""),$E:$E))*($E353&lt;=INDEX($E:$E,MATCH(TRUE,INDEX((ISNUMBER($E:$E)),0),0)))*($E353&gt;INDEX(_xlfn.ANCHORARRAY(Sintesi!$C$14),1,$C353))*($E353&lt;INDEX(_xlfn.ANCHORARRAY(Sintesi!$C$16),1,$C353))*(INDEX(_xlfn.ANCHORARRAY(Sintesi!$C$15),1,$C353)&lt;0)+($E353&gt;=LOOKUP(2,1/($E:$E&lt;&gt;""),$E:$E))*($E353&lt;=INDEX($E:$E,MATCH(TRUE,INDEX((ISNUMBER($E:$E)),0),0)))*($E353&gt;INDEX(_xlfn.ANCHORARRAY(Sintesi!$C$15),1,$C353))*($E353&lt;INDEX(_xlfn.ANCHORARRAY(Sintesi!$C$16),1,$C353))*(INDEX(_xlfn.ANCHORARRAY(Sintesi!$C$15),1,$C353)&gt;0),2,IF($E353=(INDEX(_xlfn.ANCHORARRAY(Sintesi!$C$16),1,$C353)),3,4)))),0)),IF(ISNUMBER($E352),IF($C353&gt;0,IF(($E353=INDEX(_xlfn.ANCHORARRAY(Sintesi!$C$14),1,$C353))*(INDEX(_xlfn.ANCHORARRAY(Sintesi!$C$15),1,$C353)&gt;0),0,IF(($E353=INDEX(_xlfn.ANCHORARRAY(Sintesi!$C$14),1,$C353))*(INDEX(_xlfn.ANCHORARRAY(Sintesi!$C$15),1,$C353)&lt;0)+($E353&gt;=$E352)*($E353&lt;=$E354)*($E353&gt;INDEX(_xlfn.ANCHORARRAY(Sintesi!$C$14),1,$C353))*($E353&lt;=INDEX(_xlfn.ANCHORARRAY(Sintesi!$C$15),1,$C353))*(INDEX(_xlfn.ANCHORARRAY(Sintesi!$C$15),1,$C353)&gt;0),1,IF(($E353&gt;=$E352)*($E353&lt;=$E354)*($E353&gt;INDEX(_xlfn.ANCHORARRAY(Sintesi!$C$14),1,$C353))*($E353&lt;INDEX(_xlfn.ANCHORARRAY(Sintesi!$C$16),1,$C353))*(INDEX(_xlfn.ANCHORARRAY(Sintesi!$C$15),1,$C353)&lt;0)+($E353&gt;=$E352)*($E353&lt;=$E354)*($E353&gt;INDEX(_xlfn.ANCHORARRAY(Sintesi!$C$15),1,$C353))*($E353&lt;INDEX(_xlfn.ANCHORARRAY(Sintesi!$C$16),1,$C353))*(INDEX(_xlfn.ANCHORARRAY(Sintesi!$C$15),1,$C353)&gt;0),2,IF($E353=(INDEX(_xlfn.ANCHORARRAY(Sintesi!$C$16),1,$C353)),3,4)))),0),IF($C353&gt;0,IF(($E353=INDEX(_xlfn.ANCHORARRAY(Sintesi!$C$14),1,$C353))*(INDEX(_xlfn.ANCHORARRAY(Sintesi!$C$15),1,$C353)&gt;0),0,IF(($E353=INDEX(_xlfn.ANCHORARRAY(Sintesi!$C$14),1,$C353))*(INDEX(_xlfn.ANCHORARRAY(Sintesi!$C$15),1,$C353)&lt;0)+($E353&gt;=LOOKUP(2,1/($E:$E&lt;&gt;""),$E:$E))*($E353&lt;=$E354)*($E353&gt;INDEX(_xlfn.ANCHORARRAY(Sintesi!$C$14),1,$C353))*($E353&lt;=INDEX(_xlfn.ANCHORARRAY(Sintesi!$C$15),1,$C353))*(INDEX(_xlfn.ANCHORARRAY(Sintesi!$C$15),1,$C353)&gt;0),1,IF(($E353&gt;=LOOKUP(2,1/($E:$E&lt;&gt;""),$E:$E))*($E353&lt;=$E354)*($E353&gt;INDEX(_xlfn.ANCHORARRAY(Sintesi!$C$14),1,$C353))*($E353&lt;INDEX(_xlfn.ANCHORARRAY(Sintesi!$C$16),1,$C353))*(INDEX(_xlfn.ANCHORARRAY(Sintesi!$C$15),1,$C353)&lt;0)+($E353&gt;=LOOKUP(2,1/($E:$E&lt;&gt;""),$E:$E))*($E353&lt;=$E354)*($E353&gt;INDEX(_xlfn.ANCHORARRAY(Sintesi!$C$15),1,$C353))*($E353&lt;INDEX(_xlfn.ANCHORARRAY(Sintesi!$C$16),1,$C353))*(INDEX(_xlfn.ANCHORARRAY(Sintesi!$C$15),1,$C353)&gt;0),2,IF($E353=(INDEX(_xlfn.ANCHORARRAY(Sintesi!$C$16),1,$C353)),3,4)))),0)))</f>
        <v>0</v>
      </c>
      <c r="E353" s="1">
        <f>'Paste cell here'!F353</f>
        <v>0</v>
      </c>
      <c r="F353" s="1">
        <f>'Paste cell here'!C353</f>
        <v>0</v>
      </c>
      <c r="G353" s="1">
        <f>'Paste cell here'!D353</f>
        <v>0</v>
      </c>
      <c r="H353" s="1">
        <f>'Paste cell here'!E353</f>
        <v>0</v>
      </c>
      <c r="I353" s="1">
        <f>'Paste cell here'!X353</f>
        <v>0</v>
      </c>
      <c r="J353" s="1">
        <f>'Paste cell here'!Y353+'Paste cell here'!S353</f>
        <v>0</v>
      </c>
      <c r="K353" s="1" t="e">
        <f t="shared" si="11"/>
        <v>#DIV/0!</v>
      </c>
      <c r="L353" s="1">
        <f t="shared" si="10"/>
        <v>0</v>
      </c>
      <c r="M353" s="1" cm="1">
        <f t="array" ref="M353">IF(AND(A353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,A353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),IF(L353&lt;_xlfn.IFNA(INDEX(_xlfn.ANCHORARRAY(Sintesi!$C$17)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,1,IF(L353&gt;=_xlfn.IFNA(INDEX(_xlfn.ANCHORARRAY(Sintesi!$C$18)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,0,1-(L353-_xlfn.IFNA(INDEX(_xlfn.ANCHORARRAY(Sintesi!$C$17)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)/(_xlfn.IFNA(INDEX(_xlfn.ANCHORARRAY(Sintesi!$C$18)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-_xlfn.IFNA(INDEX(_xlfn.ANCHORARRAY(Sintesi!$C$17),1,MATCH(1,(_xlfn.ANCHORARRAY(Sintesi!$C$9)&gt;_xlfn.ANCHORARRAY(Sintesi!$C$10))*(A352&gt;=_xlfn.ANCHORARRAY(Sintesi!$C$9))+(_xlfn.ANCHORARRAY(Sintesi!$C$9)&gt;_xlfn.ANCHORARRAY(Sintesi!$C$10))*(A352&lt;=_xlfn.ANCHORARRAY(Sintesi!$C$10))+(_xlfn.ANCHORARRAY(Sintesi!$C$9)&lt;_xlfn.ANCHORARRAY(Sintesi!$C$10))*(A352&gt;=_xlfn.ANCHORARRAY(Sintesi!$C$9))*(A352&lt;=_xlfn.ANCHORARRAY(Sintesi!$C$10)),0)),0)))),0)</f>
        <v>0</v>
      </c>
    </row>
    <row r="354" spans="1:15">
      <c r="A354" s="1">
        <f>'Paste cell here'!A354</f>
        <v>0</v>
      </c>
      <c r="B354" s="2">
        <f>DATE(Sintesi!$C$4-1,12,31)+A354</f>
        <v>44196</v>
      </c>
      <c r="C354" s="34" cm="1">
        <f t="array" ref="C354">_xlfn.IFNA(MATCH(1,(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)*(_xlfn.ANCHORARRAY(Sintesi!$C$15)&gt;=0)+(_xlfn.ANCHORARRAY(Sintesi!$C$15)&lt;0),0),0)</f>
        <v>0</v>
      </c>
      <c r="D354" s="1" cm="1">
        <f t="array" ref="D354">IF(ISBLANK($E355),IF(ISNUMBER($E353),IF($C354&gt;0,IF(($E354=INDEX(_xlfn.ANCHORARRAY(Sintesi!$C$14),1,$C354))*(INDEX(_xlfn.ANCHORARRAY(Sintesi!$C$15),1,$C354)&gt;0),0,IF(($E354=INDEX(_xlfn.ANCHORARRAY(Sintesi!$C$14),1,$C354))*(INDEX(_xlfn.ANCHORARRAY(Sintesi!$C$15),1,$C354)&lt;0)+($E354&gt;=$E353)*($E354&lt;=INDEX($E:$E,MATCH(TRUE,INDEX((ISNUMBER($E:$E)),0),0)))*($E354&gt;INDEX(_xlfn.ANCHORARRAY(Sintesi!$C$14),1,$C354))*($E354&lt;=INDEX(_xlfn.ANCHORARRAY(Sintesi!$C$15),1,$C354))*(INDEX(_xlfn.ANCHORARRAY(Sintesi!$C$15),1,$C354)&gt;0),1,IF(($E354&gt;=$E353)*($E354&lt;=INDEX($E:$E,MATCH(TRUE,INDEX((ISNUMBER($E:$E)),0),0)))*($E354&gt;INDEX(_xlfn.ANCHORARRAY(Sintesi!$C$14),1,$C354))*($E354&lt;INDEX(_xlfn.ANCHORARRAY(Sintesi!$C$16),1,$C354))*(INDEX(_xlfn.ANCHORARRAY(Sintesi!$C$15),1,$C354)&lt;0)+($E354&gt;=$E353)*($E354&lt;=INDEX($E:$E,MATCH(TRUE,INDEX((ISNUMBER($E:$E)),0),0)))*($E354&gt;INDEX(_xlfn.ANCHORARRAY(Sintesi!$C$15),1,$C354))*($E354&lt;INDEX(_xlfn.ANCHORARRAY(Sintesi!$C$16),1,$C354))*(INDEX(_xlfn.ANCHORARRAY(Sintesi!$C$15),1,$C354)&gt;0),2,IF($E354=(INDEX(_xlfn.ANCHORARRAY(Sintesi!$C$16),1,$C354)),3,4)))),0),IF($C354&gt;0,IF(($E354=INDEX(_xlfn.ANCHORARRAY(Sintesi!$C$14),1,$C354))*(INDEX(_xlfn.ANCHORARRAY(Sintesi!$C$15),1,$C354)&gt;0),0,IF(($E354=INDEX(_xlfn.ANCHORARRAY(Sintesi!$C$14),1,$C354))*(INDEX(_xlfn.ANCHORARRAY(Sintesi!$C$15),1,$C354)&lt;0)+($E354&gt;=LOOKUP(2,1/($E:$E&lt;&gt;""),$E:$E))*($E354&lt;=INDEX($E:$E,MATCH(TRUE,INDEX((ISNUMBER($E:$E)),0),0)))*($E354&gt;INDEX(_xlfn.ANCHORARRAY(Sintesi!$C$14),1,$C354))*($E354&lt;=INDEX(_xlfn.ANCHORARRAY(Sintesi!$C$15),1,$C354))*(INDEX(_xlfn.ANCHORARRAY(Sintesi!$C$15),1,$C354)&gt;0),1,IF(($E354&gt;=LOOKUP(2,1/($E:$E&lt;&gt;""),$E:$E))*($E354&lt;=INDEX($E:$E,MATCH(TRUE,INDEX((ISNUMBER($E:$E)),0),0)))*($E354&gt;INDEX(_xlfn.ANCHORARRAY(Sintesi!$C$14),1,$C354))*($E354&lt;INDEX(_xlfn.ANCHORARRAY(Sintesi!$C$16),1,$C354))*(INDEX(_xlfn.ANCHORARRAY(Sintesi!$C$15),1,$C354)&lt;0)+($E354&gt;=LOOKUP(2,1/($E:$E&lt;&gt;""),$E:$E))*($E354&lt;=INDEX($E:$E,MATCH(TRUE,INDEX((ISNUMBER($E:$E)),0),0)))*($E354&gt;INDEX(_xlfn.ANCHORARRAY(Sintesi!$C$15),1,$C354))*($E354&lt;INDEX(_xlfn.ANCHORARRAY(Sintesi!$C$16),1,$C354))*(INDEX(_xlfn.ANCHORARRAY(Sintesi!$C$15),1,$C354)&gt;0),2,IF($E354=(INDEX(_xlfn.ANCHORARRAY(Sintesi!$C$16),1,$C354)),3,4)))),0)),IF(ISNUMBER($E353),IF($C354&gt;0,IF(($E354=INDEX(_xlfn.ANCHORARRAY(Sintesi!$C$14),1,$C354))*(INDEX(_xlfn.ANCHORARRAY(Sintesi!$C$15),1,$C354)&gt;0),0,IF(($E354=INDEX(_xlfn.ANCHORARRAY(Sintesi!$C$14),1,$C354))*(INDEX(_xlfn.ANCHORARRAY(Sintesi!$C$15),1,$C354)&lt;0)+($E354&gt;=$E353)*($E354&lt;=$E355)*($E354&gt;INDEX(_xlfn.ANCHORARRAY(Sintesi!$C$14),1,$C354))*($E354&lt;=INDEX(_xlfn.ANCHORARRAY(Sintesi!$C$15),1,$C354))*(INDEX(_xlfn.ANCHORARRAY(Sintesi!$C$15),1,$C354)&gt;0),1,IF(($E354&gt;=$E353)*($E354&lt;=$E355)*($E354&gt;INDEX(_xlfn.ANCHORARRAY(Sintesi!$C$14),1,$C354))*($E354&lt;INDEX(_xlfn.ANCHORARRAY(Sintesi!$C$16),1,$C354))*(INDEX(_xlfn.ANCHORARRAY(Sintesi!$C$15),1,$C354)&lt;0)+($E354&gt;=$E353)*($E354&lt;=$E355)*($E354&gt;INDEX(_xlfn.ANCHORARRAY(Sintesi!$C$15),1,$C354))*($E354&lt;INDEX(_xlfn.ANCHORARRAY(Sintesi!$C$16),1,$C354))*(INDEX(_xlfn.ANCHORARRAY(Sintesi!$C$15),1,$C354)&gt;0),2,IF($E354=(INDEX(_xlfn.ANCHORARRAY(Sintesi!$C$16),1,$C354)),3,4)))),0),IF($C354&gt;0,IF(($E354=INDEX(_xlfn.ANCHORARRAY(Sintesi!$C$14),1,$C354))*(INDEX(_xlfn.ANCHORARRAY(Sintesi!$C$15),1,$C354)&gt;0),0,IF(($E354=INDEX(_xlfn.ANCHORARRAY(Sintesi!$C$14),1,$C354))*(INDEX(_xlfn.ANCHORARRAY(Sintesi!$C$15),1,$C354)&lt;0)+($E354&gt;=LOOKUP(2,1/($E:$E&lt;&gt;""),$E:$E))*($E354&lt;=$E355)*($E354&gt;INDEX(_xlfn.ANCHORARRAY(Sintesi!$C$14),1,$C354))*($E354&lt;=INDEX(_xlfn.ANCHORARRAY(Sintesi!$C$15),1,$C354))*(INDEX(_xlfn.ANCHORARRAY(Sintesi!$C$15),1,$C354)&gt;0),1,IF(($E354&gt;=LOOKUP(2,1/($E:$E&lt;&gt;""),$E:$E))*($E354&lt;=$E355)*($E354&gt;INDEX(_xlfn.ANCHORARRAY(Sintesi!$C$14),1,$C354))*($E354&lt;INDEX(_xlfn.ANCHORARRAY(Sintesi!$C$16),1,$C354))*(INDEX(_xlfn.ANCHORARRAY(Sintesi!$C$15),1,$C354)&lt;0)+($E354&gt;=LOOKUP(2,1/($E:$E&lt;&gt;""),$E:$E))*($E354&lt;=$E355)*($E354&gt;INDEX(_xlfn.ANCHORARRAY(Sintesi!$C$15),1,$C354))*($E354&lt;INDEX(_xlfn.ANCHORARRAY(Sintesi!$C$16),1,$C354))*(INDEX(_xlfn.ANCHORARRAY(Sintesi!$C$15),1,$C354)&gt;0),2,IF($E354=(INDEX(_xlfn.ANCHORARRAY(Sintesi!$C$16),1,$C354)),3,4)))),0)))</f>
        <v>0</v>
      </c>
      <c r="E354" s="1">
        <f>'Paste cell here'!F354</f>
        <v>0</v>
      </c>
      <c r="F354" s="1">
        <f>'Paste cell here'!C354</f>
        <v>0</v>
      </c>
      <c r="G354" s="1">
        <f>'Paste cell here'!D354</f>
        <v>0</v>
      </c>
      <c r="H354" s="1">
        <f>'Paste cell here'!E354</f>
        <v>0</v>
      </c>
      <c r="I354" s="1">
        <f>'Paste cell here'!X354</f>
        <v>0</v>
      </c>
      <c r="J354" s="1">
        <f>'Paste cell here'!Y354+'Paste cell here'!S354</f>
        <v>0</v>
      </c>
      <c r="K354" s="1" t="e">
        <f t="shared" si="11"/>
        <v>#DIV/0!</v>
      </c>
      <c r="L354" s="1">
        <f t="shared" si="10"/>
        <v>0</v>
      </c>
      <c r="M354" s="1" cm="1">
        <f t="array" ref="M354">IF(AND(A354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,A354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),IF(L354&lt;_xlfn.IFNA(INDEX(_xlfn.ANCHORARRAY(Sintesi!$C$17)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,1,IF(L354&gt;=_xlfn.IFNA(INDEX(_xlfn.ANCHORARRAY(Sintesi!$C$18)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,0,1-(L354-_xlfn.IFNA(INDEX(_xlfn.ANCHORARRAY(Sintesi!$C$17)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)/(_xlfn.IFNA(INDEX(_xlfn.ANCHORARRAY(Sintesi!$C$18)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-_xlfn.IFNA(INDEX(_xlfn.ANCHORARRAY(Sintesi!$C$17),1,MATCH(1,(_xlfn.ANCHORARRAY(Sintesi!$C$9)&gt;_xlfn.ANCHORARRAY(Sintesi!$C$10))*(A353&gt;=_xlfn.ANCHORARRAY(Sintesi!$C$9))+(_xlfn.ANCHORARRAY(Sintesi!$C$9)&gt;_xlfn.ANCHORARRAY(Sintesi!$C$10))*(A353&lt;=_xlfn.ANCHORARRAY(Sintesi!$C$10))+(_xlfn.ANCHORARRAY(Sintesi!$C$9)&lt;_xlfn.ANCHORARRAY(Sintesi!$C$10))*(A353&gt;=_xlfn.ANCHORARRAY(Sintesi!$C$9))*(A353&lt;=_xlfn.ANCHORARRAY(Sintesi!$C$10)),0)),0)))),0)</f>
        <v>0</v>
      </c>
    </row>
    <row r="355" spans="1:15">
      <c r="A355" s="1">
        <f>'Paste cell here'!A355</f>
        <v>0</v>
      </c>
      <c r="B355" s="2">
        <f>DATE(Sintesi!$C$4-1,12,31)+A355</f>
        <v>44196</v>
      </c>
      <c r="C355" s="34" cm="1">
        <f t="array" ref="C355">_xlfn.IFNA(MATCH(1,(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)*(_xlfn.ANCHORARRAY(Sintesi!$C$15)&gt;=0)+(_xlfn.ANCHORARRAY(Sintesi!$C$15)&lt;0),0),0)</f>
        <v>0</v>
      </c>
      <c r="D355" s="1" cm="1">
        <f t="array" ref="D355">IF(ISBLANK($E356),IF(ISNUMBER($E354),IF($C355&gt;0,IF(($E355=INDEX(_xlfn.ANCHORARRAY(Sintesi!$C$14),1,$C355))*(INDEX(_xlfn.ANCHORARRAY(Sintesi!$C$15),1,$C355)&gt;0),0,IF(($E355=INDEX(_xlfn.ANCHORARRAY(Sintesi!$C$14),1,$C355))*(INDEX(_xlfn.ANCHORARRAY(Sintesi!$C$15),1,$C355)&lt;0)+($E355&gt;=$E354)*($E355&lt;=INDEX($E:$E,MATCH(TRUE,INDEX((ISNUMBER($E:$E)),0),0)))*($E355&gt;INDEX(_xlfn.ANCHORARRAY(Sintesi!$C$14),1,$C355))*($E355&lt;=INDEX(_xlfn.ANCHORARRAY(Sintesi!$C$15),1,$C355))*(INDEX(_xlfn.ANCHORARRAY(Sintesi!$C$15),1,$C355)&gt;0),1,IF(($E355&gt;=$E354)*($E355&lt;=INDEX($E:$E,MATCH(TRUE,INDEX((ISNUMBER($E:$E)),0),0)))*($E355&gt;INDEX(_xlfn.ANCHORARRAY(Sintesi!$C$14),1,$C355))*($E355&lt;INDEX(_xlfn.ANCHORARRAY(Sintesi!$C$16),1,$C355))*(INDEX(_xlfn.ANCHORARRAY(Sintesi!$C$15),1,$C355)&lt;0)+($E355&gt;=$E354)*($E355&lt;=INDEX($E:$E,MATCH(TRUE,INDEX((ISNUMBER($E:$E)),0),0)))*($E355&gt;INDEX(_xlfn.ANCHORARRAY(Sintesi!$C$15),1,$C355))*($E355&lt;INDEX(_xlfn.ANCHORARRAY(Sintesi!$C$16),1,$C355))*(INDEX(_xlfn.ANCHORARRAY(Sintesi!$C$15),1,$C355)&gt;0),2,IF($E355=(INDEX(_xlfn.ANCHORARRAY(Sintesi!$C$16),1,$C355)),3,4)))),0),IF($C355&gt;0,IF(($E355=INDEX(_xlfn.ANCHORARRAY(Sintesi!$C$14),1,$C355))*(INDEX(_xlfn.ANCHORARRAY(Sintesi!$C$15),1,$C355)&gt;0),0,IF(($E355=INDEX(_xlfn.ANCHORARRAY(Sintesi!$C$14),1,$C355))*(INDEX(_xlfn.ANCHORARRAY(Sintesi!$C$15),1,$C355)&lt;0)+($E355&gt;=LOOKUP(2,1/($E:$E&lt;&gt;""),$E:$E))*($E355&lt;=INDEX($E:$E,MATCH(TRUE,INDEX((ISNUMBER($E:$E)),0),0)))*($E355&gt;INDEX(_xlfn.ANCHORARRAY(Sintesi!$C$14),1,$C355))*($E355&lt;=INDEX(_xlfn.ANCHORARRAY(Sintesi!$C$15),1,$C355))*(INDEX(_xlfn.ANCHORARRAY(Sintesi!$C$15),1,$C355)&gt;0),1,IF(($E355&gt;=LOOKUP(2,1/($E:$E&lt;&gt;""),$E:$E))*($E355&lt;=INDEX($E:$E,MATCH(TRUE,INDEX((ISNUMBER($E:$E)),0),0)))*($E355&gt;INDEX(_xlfn.ANCHORARRAY(Sintesi!$C$14),1,$C355))*($E355&lt;INDEX(_xlfn.ANCHORARRAY(Sintesi!$C$16),1,$C355))*(INDEX(_xlfn.ANCHORARRAY(Sintesi!$C$15),1,$C355)&lt;0)+($E355&gt;=LOOKUP(2,1/($E:$E&lt;&gt;""),$E:$E))*($E355&lt;=INDEX($E:$E,MATCH(TRUE,INDEX((ISNUMBER($E:$E)),0),0)))*($E355&gt;INDEX(_xlfn.ANCHORARRAY(Sintesi!$C$15),1,$C355))*($E355&lt;INDEX(_xlfn.ANCHORARRAY(Sintesi!$C$16),1,$C355))*(INDEX(_xlfn.ANCHORARRAY(Sintesi!$C$15),1,$C355)&gt;0),2,IF($E355=(INDEX(_xlfn.ANCHORARRAY(Sintesi!$C$16),1,$C355)),3,4)))),0)),IF(ISNUMBER($E354),IF($C355&gt;0,IF(($E355=INDEX(_xlfn.ANCHORARRAY(Sintesi!$C$14),1,$C355))*(INDEX(_xlfn.ANCHORARRAY(Sintesi!$C$15),1,$C355)&gt;0),0,IF(($E355=INDEX(_xlfn.ANCHORARRAY(Sintesi!$C$14),1,$C355))*(INDEX(_xlfn.ANCHORARRAY(Sintesi!$C$15),1,$C355)&lt;0)+($E355&gt;=$E354)*($E355&lt;=$E356)*($E355&gt;INDEX(_xlfn.ANCHORARRAY(Sintesi!$C$14),1,$C355))*($E355&lt;=INDEX(_xlfn.ANCHORARRAY(Sintesi!$C$15),1,$C355))*(INDEX(_xlfn.ANCHORARRAY(Sintesi!$C$15),1,$C355)&gt;0),1,IF(($E355&gt;=$E354)*($E355&lt;=$E356)*($E355&gt;INDEX(_xlfn.ANCHORARRAY(Sintesi!$C$14),1,$C355))*($E355&lt;INDEX(_xlfn.ANCHORARRAY(Sintesi!$C$16),1,$C355))*(INDEX(_xlfn.ANCHORARRAY(Sintesi!$C$15),1,$C355)&lt;0)+($E355&gt;=$E354)*($E355&lt;=$E356)*($E355&gt;INDEX(_xlfn.ANCHORARRAY(Sintesi!$C$15),1,$C355))*($E355&lt;INDEX(_xlfn.ANCHORARRAY(Sintesi!$C$16),1,$C355))*(INDEX(_xlfn.ANCHORARRAY(Sintesi!$C$15),1,$C355)&gt;0),2,IF($E355=(INDEX(_xlfn.ANCHORARRAY(Sintesi!$C$16),1,$C355)),3,4)))),0),IF($C355&gt;0,IF(($E355=INDEX(_xlfn.ANCHORARRAY(Sintesi!$C$14),1,$C355))*(INDEX(_xlfn.ANCHORARRAY(Sintesi!$C$15),1,$C355)&gt;0),0,IF(($E355=INDEX(_xlfn.ANCHORARRAY(Sintesi!$C$14),1,$C355))*(INDEX(_xlfn.ANCHORARRAY(Sintesi!$C$15),1,$C355)&lt;0)+($E355&gt;=LOOKUP(2,1/($E:$E&lt;&gt;""),$E:$E))*($E355&lt;=$E356)*($E355&gt;INDEX(_xlfn.ANCHORARRAY(Sintesi!$C$14),1,$C355))*($E355&lt;=INDEX(_xlfn.ANCHORARRAY(Sintesi!$C$15),1,$C355))*(INDEX(_xlfn.ANCHORARRAY(Sintesi!$C$15),1,$C355)&gt;0),1,IF(($E355&gt;=LOOKUP(2,1/($E:$E&lt;&gt;""),$E:$E))*($E355&lt;=$E356)*($E355&gt;INDEX(_xlfn.ANCHORARRAY(Sintesi!$C$14),1,$C355))*($E355&lt;INDEX(_xlfn.ANCHORARRAY(Sintesi!$C$16),1,$C355))*(INDEX(_xlfn.ANCHORARRAY(Sintesi!$C$15),1,$C355)&lt;0)+($E355&gt;=LOOKUP(2,1/($E:$E&lt;&gt;""),$E:$E))*($E355&lt;=$E356)*($E355&gt;INDEX(_xlfn.ANCHORARRAY(Sintesi!$C$15),1,$C355))*($E355&lt;INDEX(_xlfn.ANCHORARRAY(Sintesi!$C$16),1,$C355))*(INDEX(_xlfn.ANCHORARRAY(Sintesi!$C$15),1,$C355)&gt;0),2,IF($E355=(INDEX(_xlfn.ANCHORARRAY(Sintesi!$C$16),1,$C355)),3,4)))),0)))</f>
        <v>0</v>
      </c>
      <c r="E355" s="1">
        <f>'Paste cell here'!F355</f>
        <v>0</v>
      </c>
      <c r="F355" s="1">
        <f>'Paste cell here'!C355</f>
        <v>0</v>
      </c>
      <c r="G355" s="1">
        <f>'Paste cell here'!D355</f>
        <v>0</v>
      </c>
      <c r="H355" s="1">
        <f>'Paste cell here'!E355</f>
        <v>0</v>
      </c>
      <c r="I355" s="1">
        <f>'Paste cell here'!X355</f>
        <v>0</v>
      </c>
      <c r="J355" s="1">
        <f>'Paste cell here'!Y355+'Paste cell here'!S355</f>
        <v>0</v>
      </c>
      <c r="K355" s="1" t="e">
        <f t="shared" si="11"/>
        <v>#DIV/0!</v>
      </c>
      <c r="L355" s="1">
        <f t="shared" si="10"/>
        <v>0</v>
      </c>
      <c r="M355" s="1" cm="1">
        <f t="array" ref="M355">IF(AND(A355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,A355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),IF(L355&lt;_xlfn.IFNA(INDEX(_xlfn.ANCHORARRAY(Sintesi!$C$17)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,1,IF(L355&gt;=_xlfn.IFNA(INDEX(_xlfn.ANCHORARRAY(Sintesi!$C$18)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,0,1-(L355-_xlfn.IFNA(INDEX(_xlfn.ANCHORARRAY(Sintesi!$C$17)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)/(_xlfn.IFNA(INDEX(_xlfn.ANCHORARRAY(Sintesi!$C$18)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-_xlfn.IFNA(INDEX(_xlfn.ANCHORARRAY(Sintesi!$C$17),1,MATCH(1,(_xlfn.ANCHORARRAY(Sintesi!$C$9)&gt;_xlfn.ANCHORARRAY(Sintesi!$C$10))*(A354&gt;=_xlfn.ANCHORARRAY(Sintesi!$C$9))+(_xlfn.ANCHORARRAY(Sintesi!$C$9)&gt;_xlfn.ANCHORARRAY(Sintesi!$C$10))*(A354&lt;=_xlfn.ANCHORARRAY(Sintesi!$C$10))+(_xlfn.ANCHORARRAY(Sintesi!$C$9)&lt;_xlfn.ANCHORARRAY(Sintesi!$C$10))*(A354&gt;=_xlfn.ANCHORARRAY(Sintesi!$C$9))*(A354&lt;=_xlfn.ANCHORARRAY(Sintesi!$C$10)),0)),0)))),0)</f>
        <v>0</v>
      </c>
    </row>
    <row r="356" spans="1:15">
      <c r="A356" s="1">
        <f>'Paste cell here'!A356</f>
        <v>0</v>
      </c>
      <c r="B356" s="2">
        <f>DATE(Sintesi!$C$4-1,12,31)+A356</f>
        <v>44196</v>
      </c>
      <c r="C356" s="34" cm="1">
        <f t="array" ref="C356">_xlfn.IFNA(MATCH(1,(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)*(_xlfn.ANCHORARRAY(Sintesi!$C$15)&gt;=0)+(_xlfn.ANCHORARRAY(Sintesi!$C$15)&lt;0),0),0)</f>
        <v>0</v>
      </c>
      <c r="D356" s="1" cm="1">
        <f t="array" ref="D356">IF(ISBLANK($E357),IF(ISNUMBER($E355),IF($C356&gt;0,IF(($E356=INDEX(_xlfn.ANCHORARRAY(Sintesi!$C$14),1,$C356))*(INDEX(_xlfn.ANCHORARRAY(Sintesi!$C$15),1,$C356)&gt;0),0,IF(($E356=INDEX(_xlfn.ANCHORARRAY(Sintesi!$C$14),1,$C356))*(INDEX(_xlfn.ANCHORARRAY(Sintesi!$C$15),1,$C356)&lt;0)+($E356&gt;=$E355)*($E356&lt;=INDEX($E:$E,MATCH(TRUE,INDEX((ISNUMBER($E:$E)),0),0)))*($E356&gt;INDEX(_xlfn.ANCHORARRAY(Sintesi!$C$14),1,$C356))*($E356&lt;=INDEX(_xlfn.ANCHORARRAY(Sintesi!$C$15),1,$C356))*(INDEX(_xlfn.ANCHORARRAY(Sintesi!$C$15),1,$C356)&gt;0),1,IF(($E356&gt;=$E355)*($E356&lt;=INDEX($E:$E,MATCH(TRUE,INDEX((ISNUMBER($E:$E)),0),0)))*($E356&gt;INDEX(_xlfn.ANCHORARRAY(Sintesi!$C$14),1,$C356))*($E356&lt;INDEX(_xlfn.ANCHORARRAY(Sintesi!$C$16),1,$C356))*(INDEX(_xlfn.ANCHORARRAY(Sintesi!$C$15),1,$C356)&lt;0)+($E356&gt;=$E355)*($E356&lt;=INDEX($E:$E,MATCH(TRUE,INDEX((ISNUMBER($E:$E)),0),0)))*($E356&gt;INDEX(_xlfn.ANCHORARRAY(Sintesi!$C$15),1,$C356))*($E356&lt;INDEX(_xlfn.ANCHORARRAY(Sintesi!$C$16),1,$C356))*(INDEX(_xlfn.ANCHORARRAY(Sintesi!$C$15),1,$C356)&gt;0),2,IF($E356=(INDEX(_xlfn.ANCHORARRAY(Sintesi!$C$16),1,$C356)),3,4)))),0),IF($C356&gt;0,IF(($E356=INDEX(_xlfn.ANCHORARRAY(Sintesi!$C$14),1,$C356))*(INDEX(_xlfn.ANCHORARRAY(Sintesi!$C$15),1,$C356)&gt;0),0,IF(($E356=INDEX(_xlfn.ANCHORARRAY(Sintesi!$C$14),1,$C356))*(INDEX(_xlfn.ANCHORARRAY(Sintesi!$C$15),1,$C356)&lt;0)+($E356&gt;=LOOKUP(2,1/($E:$E&lt;&gt;""),$E:$E))*($E356&lt;=INDEX($E:$E,MATCH(TRUE,INDEX((ISNUMBER($E:$E)),0),0)))*($E356&gt;INDEX(_xlfn.ANCHORARRAY(Sintesi!$C$14),1,$C356))*($E356&lt;=INDEX(_xlfn.ANCHORARRAY(Sintesi!$C$15),1,$C356))*(INDEX(_xlfn.ANCHORARRAY(Sintesi!$C$15),1,$C356)&gt;0),1,IF(($E356&gt;=LOOKUP(2,1/($E:$E&lt;&gt;""),$E:$E))*($E356&lt;=INDEX($E:$E,MATCH(TRUE,INDEX((ISNUMBER($E:$E)),0),0)))*($E356&gt;INDEX(_xlfn.ANCHORARRAY(Sintesi!$C$14),1,$C356))*($E356&lt;INDEX(_xlfn.ANCHORARRAY(Sintesi!$C$16),1,$C356))*(INDEX(_xlfn.ANCHORARRAY(Sintesi!$C$15),1,$C356)&lt;0)+($E356&gt;=LOOKUP(2,1/($E:$E&lt;&gt;""),$E:$E))*($E356&lt;=INDEX($E:$E,MATCH(TRUE,INDEX((ISNUMBER($E:$E)),0),0)))*($E356&gt;INDEX(_xlfn.ANCHORARRAY(Sintesi!$C$15),1,$C356))*($E356&lt;INDEX(_xlfn.ANCHORARRAY(Sintesi!$C$16),1,$C356))*(INDEX(_xlfn.ANCHORARRAY(Sintesi!$C$15),1,$C356)&gt;0),2,IF($E356=(INDEX(_xlfn.ANCHORARRAY(Sintesi!$C$16),1,$C356)),3,4)))),0)),IF(ISNUMBER($E355),IF($C356&gt;0,IF(($E356=INDEX(_xlfn.ANCHORARRAY(Sintesi!$C$14),1,$C356))*(INDEX(_xlfn.ANCHORARRAY(Sintesi!$C$15),1,$C356)&gt;0),0,IF(($E356=INDEX(_xlfn.ANCHORARRAY(Sintesi!$C$14),1,$C356))*(INDEX(_xlfn.ANCHORARRAY(Sintesi!$C$15),1,$C356)&lt;0)+($E356&gt;=$E355)*($E356&lt;=$E357)*($E356&gt;INDEX(_xlfn.ANCHORARRAY(Sintesi!$C$14),1,$C356))*($E356&lt;=INDEX(_xlfn.ANCHORARRAY(Sintesi!$C$15),1,$C356))*(INDEX(_xlfn.ANCHORARRAY(Sintesi!$C$15),1,$C356)&gt;0),1,IF(($E356&gt;=$E355)*($E356&lt;=$E357)*($E356&gt;INDEX(_xlfn.ANCHORARRAY(Sintesi!$C$14),1,$C356))*($E356&lt;INDEX(_xlfn.ANCHORARRAY(Sintesi!$C$16),1,$C356))*(INDEX(_xlfn.ANCHORARRAY(Sintesi!$C$15),1,$C356)&lt;0)+($E356&gt;=$E355)*($E356&lt;=$E357)*($E356&gt;INDEX(_xlfn.ANCHORARRAY(Sintesi!$C$15),1,$C356))*($E356&lt;INDEX(_xlfn.ANCHORARRAY(Sintesi!$C$16),1,$C356))*(INDEX(_xlfn.ANCHORARRAY(Sintesi!$C$15),1,$C356)&gt;0),2,IF($E356=(INDEX(_xlfn.ANCHORARRAY(Sintesi!$C$16),1,$C356)),3,4)))),0),IF($C356&gt;0,IF(($E356=INDEX(_xlfn.ANCHORARRAY(Sintesi!$C$14),1,$C356))*(INDEX(_xlfn.ANCHORARRAY(Sintesi!$C$15),1,$C356)&gt;0),0,IF(($E356=INDEX(_xlfn.ANCHORARRAY(Sintesi!$C$14),1,$C356))*(INDEX(_xlfn.ANCHORARRAY(Sintesi!$C$15),1,$C356)&lt;0)+($E356&gt;=LOOKUP(2,1/($E:$E&lt;&gt;""),$E:$E))*($E356&lt;=$E357)*($E356&gt;INDEX(_xlfn.ANCHORARRAY(Sintesi!$C$14),1,$C356))*($E356&lt;=INDEX(_xlfn.ANCHORARRAY(Sintesi!$C$15),1,$C356))*(INDEX(_xlfn.ANCHORARRAY(Sintesi!$C$15),1,$C356)&gt;0),1,IF(($E356&gt;=LOOKUP(2,1/($E:$E&lt;&gt;""),$E:$E))*($E356&lt;=$E357)*($E356&gt;INDEX(_xlfn.ANCHORARRAY(Sintesi!$C$14),1,$C356))*($E356&lt;INDEX(_xlfn.ANCHORARRAY(Sintesi!$C$16),1,$C356))*(INDEX(_xlfn.ANCHORARRAY(Sintesi!$C$15),1,$C356)&lt;0)+($E356&gt;=LOOKUP(2,1/($E:$E&lt;&gt;""),$E:$E))*($E356&lt;=$E357)*($E356&gt;INDEX(_xlfn.ANCHORARRAY(Sintesi!$C$15),1,$C356))*($E356&lt;INDEX(_xlfn.ANCHORARRAY(Sintesi!$C$16),1,$C356))*(INDEX(_xlfn.ANCHORARRAY(Sintesi!$C$15),1,$C356)&gt;0),2,IF($E356=(INDEX(_xlfn.ANCHORARRAY(Sintesi!$C$16),1,$C356)),3,4)))),0)))</f>
        <v>0</v>
      </c>
      <c r="E356" s="1">
        <f>'Paste cell here'!F356</f>
        <v>0</v>
      </c>
      <c r="F356" s="1">
        <f>'Paste cell here'!C356</f>
        <v>0</v>
      </c>
      <c r="G356" s="1">
        <f>'Paste cell here'!D356</f>
        <v>0</v>
      </c>
      <c r="H356" s="1">
        <f>'Paste cell here'!E356</f>
        <v>0</v>
      </c>
      <c r="I356" s="1">
        <f>'Paste cell here'!X356</f>
        <v>0</v>
      </c>
      <c r="J356" s="1">
        <f>'Paste cell here'!Y356+'Paste cell here'!S356</f>
        <v>0</v>
      </c>
      <c r="K356" s="1" t="e">
        <f t="shared" si="11"/>
        <v>#DIV/0!</v>
      </c>
      <c r="L356" s="1">
        <f t="shared" si="10"/>
        <v>0</v>
      </c>
      <c r="M356" s="1" cm="1">
        <f t="array" ref="M356">IF(AND(A356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,A356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),IF(L356&lt;_xlfn.IFNA(INDEX(_xlfn.ANCHORARRAY(Sintesi!$C$17)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,1,IF(L356&gt;=_xlfn.IFNA(INDEX(_xlfn.ANCHORARRAY(Sintesi!$C$18)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,0,1-(L356-_xlfn.IFNA(INDEX(_xlfn.ANCHORARRAY(Sintesi!$C$17)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)/(_xlfn.IFNA(INDEX(_xlfn.ANCHORARRAY(Sintesi!$C$18)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-_xlfn.IFNA(INDEX(_xlfn.ANCHORARRAY(Sintesi!$C$17),1,MATCH(1,(_xlfn.ANCHORARRAY(Sintesi!$C$9)&gt;_xlfn.ANCHORARRAY(Sintesi!$C$10))*(A355&gt;=_xlfn.ANCHORARRAY(Sintesi!$C$9))+(_xlfn.ANCHORARRAY(Sintesi!$C$9)&gt;_xlfn.ANCHORARRAY(Sintesi!$C$10))*(A355&lt;=_xlfn.ANCHORARRAY(Sintesi!$C$10))+(_xlfn.ANCHORARRAY(Sintesi!$C$9)&lt;_xlfn.ANCHORARRAY(Sintesi!$C$10))*(A355&gt;=_xlfn.ANCHORARRAY(Sintesi!$C$9))*(A355&lt;=_xlfn.ANCHORARRAY(Sintesi!$C$10)),0)),0)))),0)</f>
        <v>0</v>
      </c>
    </row>
    <row r="357" spans="1:15">
      <c r="A357" s="1">
        <f>'Paste cell here'!A357</f>
        <v>0</v>
      </c>
      <c r="B357" s="2">
        <f>DATE(Sintesi!$C$4-1,12,31)+A357</f>
        <v>44196</v>
      </c>
      <c r="C357" s="34" cm="1">
        <f t="array" ref="C357">_xlfn.IFNA(MATCH(1,(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)*(_xlfn.ANCHORARRAY(Sintesi!$C$15)&gt;=0)+(_xlfn.ANCHORARRAY(Sintesi!$C$15)&lt;0),0),0)</f>
        <v>0</v>
      </c>
      <c r="D357" s="1" cm="1">
        <f t="array" ref="D357">IF(ISBLANK($E358),IF(ISNUMBER($E356),IF($C357&gt;0,IF(($E357=INDEX(_xlfn.ANCHORARRAY(Sintesi!$C$14),1,$C357))*(INDEX(_xlfn.ANCHORARRAY(Sintesi!$C$15),1,$C357)&gt;0),0,IF(($E357=INDEX(_xlfn.ANCHORARRAY(Sintesi!$C$14),1,$C357))*(INDEX(_xlfn.ANCHORARRAY(Sintesi!$C$15),1,$C357)&lt;0)+($E357&gt;=$E356)*($E357&lt;=INDEX($E:$E,MATCH(TRUE,INDEX((ISNUMBER($E:$E)),0),0)))*($E357&gt;INDEX(_xlfn.ANCHORARRAY(Sintesi!$C$14),1,$C357))*($E357&lt;=INDEX(_xlfn.ANCHORARRAY(Sintesi!$C$15),1,$C357))*(INDEX(_xlfn.ANCHORARRAY(Sintesi!$C$15),1,$C357)&gt;0),1,IF(($E357&gt;=$E356)*($E357&lt;=INDEX($E:$E,MATCH(TRUE,INDEX((ISNUMBER($E:$E)),0),0)))*($E357&gt;INDEX(_xlfn.ANCHORARRAY(Sintesi!$C$14),1,$C357))*($E357&lt;INDEX(_xlfn.ANCHORARRAY(Sintesi!$C$16),1,$C357))*(INDEX(_xlfn.ANCHORARRAY(Sintesi!$C$15),1,$C357)&lt;0)+($E357&gt;=$E356)*($E357&lt;=INDEX($E:$E,MATCH(TRUE,INDEX((ISNUMBER($E:$E)),0),0)))*($E357&gt;INDEX(_xlfn.ANCHORARRAY(Sintesi!$C$15),1,$C357))*($E357&lt;INDEX(_xlfn.ANCHORARRAY(Sintesi!$C$16),1,$C357))*(INDEX(_xlfn.ANCHORARRAY(Sintesi!$C$15),1,$C357)&gt;0),2,IF($E357=(INDEX(_xlfn.ANCHORARRAY(Sintesi!$C$16),1,$C357)),3,4)))),0),IF($C357&gt;0,IF(($E357=INDEX(_xlfn.ANCHORARRAY(Sintesi!$C$14),1,$C357))*(INDEX(_xlfn.ANCHORARRAY(Sintesi!$C$15),1,$C357)&gt;0),0,IF(($E357=INDEX(_xlfn.ANCHORARRAY(Sintesi!$C$14),1,$C357))*(INDEX(_xlfn.ANCHORARRAY(Sintesi!$C$15),1,$C357)&lt;0)+($E357&gt;=LOOKUP(2,1/($E:$E&lt;&gt;""),$E:$E))*($E357&lt;=INDEX($E:$E,MATCH(TRUE,INDEX((ISNUMBER($E:$E)),0),0)))*($E357&gt;INDEX(_xlfn.ANCHORARRAY(Sintesi!$C$14),1,$C357))*($E357&lt;=INDEX(_xlfn.ANCHORARRAY(Sintesi!$C$15),1,$C357))*(INDEX(_xlfn.ANCHORARRAY(Sintesi!$C$15),1,$C357)&gt;0),1,IF(($E357&gt;=LOOKUP(2,1/($E:$E&lt;&gt;""),$E:$E))*($E357&lt;=INDEX($E:$E,MATCH(TRUE,INDEX((ISNUMBER($E:$E)),0),0)))*($E357&gt;INDEX(_xlfn.ANCHORARRAY(Sintesi!$C$14),1,$C357))*($E357&lt;INDEX(_xlfn.ANCHORARRAY(Sintesi!$C$16),1,$C357))*(INDEX(_xlfn.ANCHORARRAY(Sintesi!$C$15),1,$C357)&lt;0)+($E357&gt;=LOOKUP(2,1/($E:$E&lt;&gt;""),$E:$E))*($E357&lt;=INDEX($E:$E,MATCH(TRUE,INDEX((ISNUMBER($E:$E)),0),0)))*($E357&gt;INDEX(_xlfn.ANCHORARRAY(Sintesi!$C$15),1,$C357))*($E357&lt;INDEX(_xlfn.ANCHORARRAY(Sintesi!$C$16),1,$C357))*(INDEX(_xlfn.ANCHORARRAY(Sintesi!$C$15),1,$C357)&gt;0),2,IF($E357=(INDEX(_xlfn.ANCHORARRAY(Sintesi!$C$16),1,$C357)),3,4)))),0)),IF(ISNUMBER($E356),IF($C357&gt;0,IF(($E357=INDEX(_xlfn.ANCHORARRAY(Sintesi!$C$14),1,$C357))*(INDEX(_xlfn.ANCHORARRAY(Sintesi!$C$15),1,$C357)&gt;0),0,IF(($E357=INDEX(_xlfn.ANCHORARRAY(Sintesi!$C$14),1,$C357))*(INDEX(_xlfn.ANCHORARRAY(Sintesi!$C$15),1,$C357)&lt;0)+($E357&gt;=$E356)*($E357&lt;=$E358)*($E357&gt;INDEX(_xlfn.ANCHORARRAY(Sintesi!$C$14),1,$C357))*($E357&lt;=INDEX(_xlfn.ANCHORARRAY(Sintesi!$C$15),1,$C357))*(INDEX(_xlfn.ANCHORARRAY(Sintesi!$C$15),1,$C357)&gt;0),1,IF(($E357&gt;=$E356)*($E357&lt;=$E358)*($E357&gt;INDEX(_xlfn.ANCHORARRAY(Sintesi!$C$14),1,$C357))*($E357&lt;INDEX(_xlfn.ANCHORARRAY(Sintesi!$C$16),1,$C357))*(INDEX(_xlfn.ANCHORARRAY(Sintesi!$C$15),1,$C357)&lt;0)+($E357&gt;=$E356)*($E357&lt;=$E358)*($E357&gt;INDEX(_xlfn.ANCHORARRAY(Sintesi!$C$15),1,$C357))*($E357&lt;INDEX(_xlfn.ANCHORARRAY(Sintesi!$C$16),1,$C357))*(INDEX(_xlfn.ANCHORARRAY(Sintesi!$C$15),1,$C357)&gt;0),2,IF($E357=(INDEX(_xlfn.ANCHORARRAY(Sintesi!$C$16),1,$C357)),3,4)))),0),IF($C357&gt;0,IF(($E357=INDEX(_xlfn.ANCHORARRAY(Sintesi!$C$14),1,$C357))*(INDEX(_xlfn.ANCHORARRAY(Sintesi!$C$15),1,$C357)&gt;0),0,IF(($E357=INDEX(_xlfn.ANCHORARRAY(Sintesi!$C$14),1,$C357))*(INDEX(_xlfn.ANCHORARRAY(Sintesi!$C$15),1,$C357)&lt;0)+($E357&gt;=LOOKUP(2,1/($E:$E&lt;&gt;""),$E:$E))*($E357&lt;=$E358)*($E357&gt;INDEX(_xlfn.ANCHORARRAY(Sintesi!$C$14),1,$C357))*($E357&lt;=INDEX(_xlfn.ANCHORARRAY(Sintesi!$C$15),1,$C357))*(INDEX(_xlfn.ANCHORARRAY(Sintesi!$C$15),1,$C357)&gt;0),1,IF(($E357&gt;=LOOKUP(2,1/($E:$E&lt;&gt;""),$E:$E))*($E357&lt;=$E358)*($E357&gt;INDEX(_xlfn.ANCHORARRAY(Sintesi!$C$14),1,$C357))*($E357&lt;INDEX(_xlfn.ANCHORARRAY(Sintesi!$C$16),1,$C357))*(INDEX(_xlfn.ANCHORARRAY(Sintesi!$C$15),1,$C357)&lt;0)+($E357&gt;=LOOKUP(2,1/($E:$E&lt;&gt;""),$E:$E))*($E357&lt;=$E358)*($E357&gt;INDEX(_xlfn.ANCHORARRAY(Sintesi!$C$15),1,$C357))*($E357&lt;INDEX(_xlfn.ANCHORARRAY(Sintesi!$C$16),1,$C357))*(INDEX(_xlfn.ANCHORARRAY(Sintesi!$C$15),1,$C357)&gt;0),2,IF($E357=(INDEX(_xlfn.ANCHORARRAY(Sintesi!$C$16),1,$C357)),3,4)))),0)))</f>
        <v>0</v>
      </c>
      <c r="E357" s="1">
        <f>'Paste cell here'!F357</f>
        <v>0</v>
      </c>
      <c r="F357" s="1">
        <f>'Paste cell here'!C357</f>
        <v>0</v>
      </c>
      <c r="G357" s="1">
        <f>'Paste cell here'!D357</f>
        <v>0</v>
      </c>
      <c r="H357" s="1">
        <f>'Paste cell here'!E357</f>
        <v>0</v>
      </c>
      <c r="I357" s="1">
        <f>'Paste cell here'!X357</f>
        <v>0</v>
      </c>
      <c r="J357" s="1">
        <f>'Paste cell here'!Y357+'Paste cell here'!S357</f>
        <v>0</v>
      </c>
      <c r="K357" s="1" t="e">
        <f t="shared" si="11"/>
        <v>#DIV/0!</v>
      </c>
      <c r="L357" s="1">
        <f t="shared" si="10"/>
        <v>0</v>
      </c>
      <c r="M357" s="1" cm="1">
        <f t="array" ref="M357">IF(AND(A357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,A357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),IF(L357&lt;_xlfn.IFNA(INDEX(_xlfn.ANCHORARRAY(Sintesi!$C$17)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,1,IF(L357&gt;=_xlfn.IFNA(INDEX(_xlfn.ANCHORARRAY(Sintesi!$C$18)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,0,1-(L357-_xlfn.IFNA(INDEX(_xlfn.ANCHORARRAY(Sintesi!$C$17)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)/(_xlfn.IFNA(INDEX(_xlfn.ANCHORARRAY(Sintesi!$C$18)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-_xlfn.IFNA(INDEX(_xlfn.ANCHORARRAY(Sintesi!$C$17),1,MATCH(1,(_xlfn.ANCHORARRAY(Sintesi!$C$9)&gt;_xlfn.ANCHORARRAY(Sintesi!$C$10))*(A356&gt;=_xlfn.ANCHORARRAY(Sintesi!$C$9))+(_xlfn.ANCHORARRAY(Sintesi!$C$9)&gt;_xlfn.ANCHORARRAY(Sintesi!$C$10))*(A356&lt;=_xlfn.ANCHORARRAY(Sintesi!$C$10))+(_xlfn.ANCHORARRAY(Sintesi!$C$9)&lt;_xlfn.ANCHORARRAY(Sintesi!$C$10))*(A356&gt;=_xlfn.ANCHORARRAY(Sintesi!$C$9))*(A356&lt;=_xlfn.ANCHORARRAY(Sintesi!$C$10)),0)),0)))),0)</f>
        <v>0</v>
      </c>
    </row>
    <row r="358" spans="1:15">
      <c r="A358" s="1">
        <f>'Paste cell here'!A358</f>
        <v>0</v>
      </c>
      <c r="B358" s="2">
        <f>DATE(Sintesi!$C$4-1,12,31)+A358</f>
        <v>44196</v>
      </c>
      <c r="C358" s="34" cm="1">
        <f t="array" ref="C358">_xlfn.IFNA(MATCH(1,(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)*(_xlfn.ANCHORARRAY(Sintesi!$C$15)&gt;=0)+(_xlfn.ANCHORARRAY(Sintesi!$C$15)&lt;0),0),0)</f>
        <v>0</v>
      </c>
      <c r="D358" s="1" cm="1">
        <f t="array" ref="D358">IF(ISBLANK($E359),IF(ISNUMBER($E357),IF($C358&gt;0,IF(($E358=INDEX(_xlfn.ANCHORARRAY(Sintesi!$C$14),1,$C358))*(INDEX(_xlfn.ANCHORARRAY(Sintesi!$C$15),1,$C358)&gt;0),0,IF(($E358=INDEX(_xlfn.ANCHORARRAY(Sintesi!$C$14),1,$C358))*(INDEX(_xlfn.ANCHORARRAY(Sintesi!$C$15),1,$C358)&lt;0)+($E358&gt;=$E357)*($E358&lt;=INDEX($E:$E,MATCH(TRUE,INDEX((ISNUMBER($E:$E)),0),0)))*($E358&gt;INDEX(_xlfn.ANCHORARRAY(Sintesi!$C$14),1,$C358))*($E358&lt;=INDEX(_xlfn.ANCHORARRAY(Sintesi!$C$15),1,$C358))*(INDEX(_xlfn.ANCHORARRAY(Sintesi!$C$15),1,$C358)&gt;0),1,IF(($E358&gt;=$E357)*($E358&lt;=INDEX($E:$E,MATCH(TRUE,INDEX((ISNUMBER($E:$E)),0),0)))*($E358&gt;INDEX(_xlfn.ANCHORARRAY(Sintesi!$C$14),1,$C358))*($E358&lt;INDEX(_xlfn.ANCHORARRAY(Sintesi!$C$16),1,$C358))*(INDEX(_xlfn.ANCHORARRAY(Sintesi!$C$15),1,$C358)&lt;0)+($E358&gt;=$E357)*($E358&lt;=INDEX($E:$E,MATCH(TRUE,INDEX((ISNUMBER($E:$E)),0),0)))*($E358&gt;INDEX(_xlfn.ANCHORARRAY(Sintesi!$C$15),1,$C358))*($E358&lt;INDEX(_xlfn.ANCHORARRAY(Sintesi!$C$16),1,$C358))*(INDEX(_xlfn.ANCHORARRAY(Sintesi!$C$15),1,$C358)&gt;0),2,IF($E358=(INDEX(_xlfn.ANCHORARRAY(Sintesi!$C$16),1,$C358)),3,4)))),0),IF($C358&gt;0,IF(($E358=INDEX(_xlfn.ANCHORARRAY(Sintesi!$C$14),1,$C358))*(INDEX(_xlfn.ANCHORARRAY(Sintesi!$C$15),1,$C358)&gt;0),0,IF(($E358=INDEX(_xlfn.ANCHORARRAY(Sintesi!$C$14),1,$C358))*(INDEX(_xlfn.ANCHORARRAY(Sintesi!$C$15),1,$C358)&lt;0)+($E358&gt;=LOOKUP(2,1/($E:$E&lt;&gt;""),$E:$E))*($E358&lt;=INDEX($E:$E,MATCH(TRUE,INDEX((ISNUMBER($E:$E)),0),0)))*($E358&gt;INDEX(_xlfn.ANCHORARRAY(Sintesi!$C$14),1,$C358))*($E358&lt;=INDEX(_xlfn.ANCHORARRAY(Sintesi!$C$15),1,$C358))*(INDEX(_xlfn.ANCHORARRAY(Sintesi!$C$15),1,$C358)&gt;0),1,IF(($E358&gt;=LOOKUP(2,1/($E:$E&lt;&gt;""),$E:$E))*($E358&lt;=INDEX($E:$E,MATCH(TRUE,INDEX((ISNUMBER($E:$E)),0),0)))*($E358&gt;INDEX(_xlfn.ANCHORARRAY(Sintesi!$C$14),1,$C358))*($E358&lt;INDEX(_xlfn.ANCHORARRAY(Sintesi!$C$16),1,$C358))*(INDEX(_xlfn.ANCHORARRAY(Sintesi!$C$15),1,$C358)&lt;0)+($E358&gt;=LOOKUP(2,1/($E:$E&lt;&gt;""),$E:$E))*($E358&lt;=INDEX($E:$E,MATCH(TRUE,INDEX((ISNUMBER($E:$E)),0),0)))*($E358&gt;INDEX(_xlfn.ANCHORARRAY(Sintesi!$C$15),1,$C358))*($E358&lt;INDEX(_xlfn.ANCHORARRAY(Sintesi!$C$16),1,$C358))*(INDEX(_xlfn.ANCHORARRAY(Sintesi!$C$15),1,$C358)&gt;0),2,IF($E358=(INDEX(_xlfn.ANCHORARRAY(Sintesi!$C$16),1,$C358)),3,4)))),0)),IF(ISNUMBER($E357),IF($C358&gt;0,IF(($E358=INDEX(_xlfn.ANCHORARRAY(Sintesi!$C$14),1,$C358))*(INDEX(_xlfn.ANCHORARRAY(Sintesi!$C$15),1,$C358)&gt;0),0,IF(($E358=INDEX(_xlfn.ANCHORARRAY(Sintesi!$C$14),1,$C358))*(INDEX(_xlfn.ANCHORARRAY(Sintesi!$C$15),1,$C358)&lt;0)+($E358&gt;=$E357)*($E358&lt;=$E359)*($E358&gt;INDEX(_xlfn.ANCHORARRAY(Sintesi!$C$14),1,$C358))*($E358&lt;=INDEX(_xlfn.ANCHORARRAY(Sintesi!$C$15),1,$C358))*(INDEX(_xlfn.ANCHORARRAY(Sintesi!$C$15),1,$C358)&gt;0),1,IF(($E358&gt;=$E357)*($E358&lt;=$E359)*($E358&gt;INDEX(_xlfn.ANCHORARRAY(Sintesi!$C$14),1,$C358))*($E358&lt;INDEX(_xlfn.ANCHORARRAY(Sintesi!$C$16),1,$C358))*(INDEX(_xlfn.ANCHORARRAY(Sintesi!$C$15),1,$C358)&lt;0)+($E358&gt;=$E357)*($E358&lt;=$E359)*($E358&gt;INDEX(_xlfn.ANCHORARRAY(Sintesi!$C$15),1,$C358))*($E358&lt;INDEX(_xlfn.ANCHORARRAY(Sintesi!$C$16),1,$C358))*(INDEX(_xlfn.ANCHORARRAY(Sintesi!$C$15),1,$C358)&gt;0),2,IF($E358=(INDEX(_xlfn.ANCHORARRAY(Sintesi!$C$16),1,$C358)),3,4)))),0),IF($C358&gt;0,IF(($E358=INDEX(_xlfn.ANCHORARRAY(Sintesi!$C$14),1,$C358))*(INDEX(_xlfn.ANCHORARRAY(Sintesi!$C$15),1,$C358)&gt;0),0,IF(($E358=INDEX(_xlfn.ANCHORARRAY(Sintesi!$C$14),1,$C358))*(INDEX(_xlfn.ANCHORARRAY(Sintesi!$C$15),1,$C358)&lt;0)+($E358&gt;=LOOKUP(2,1/($E:$E&lt;&gt;""),$E:$E))*($E358&lt;=$E359)*($E358&gt;INDEX(_xlfn.ANCHORARRAY(Sintesi!$C$14),1,$C358))*($E358&lt;=INDEX(_xlfn.ANCHORARRAY(Sintesi!$C$15),1,$C358))*(INDEX(_xlfn.ANCHORARRAY(Sintesi!$C$15),1,$C358)&gt;0),1,IF(($E358&gt;=LOOKUP(2,1/($E:$E&lt;&gt;""),$E:$E))*($E358&lt;=$E359)*($E358&gt;INDEX(_xlfn.ANCHORARRAY(Sintesi!$C$14),1,$C358))*($E358&lt;INDEX(_xlfn.ANCHORARRAY(Sintesi!$C$16),1,$C358))*(INDEX(_xlfn.ANCHORARRAY(Sintesi!$C$15),1,$C358)&lt;0)+($E358&gt;=LOOKUP(2,1/($E:$E&lt;&gt;""),$E:$E))*($E358&lt;=$E359)*($E358&gt;INDEX(_xlfn.ANCHORARRAY(Sintesi!$C$15),1,$C358))*($E358&lt;INDEX(_xlfn.ANCHORARRAY(Sintesi!$C$16),1,$C358))*(INDEX(_xlfn.ANCHORARRAY(Sintesi!$C$15),1,$C358)&gt;0),2,IF($E358=(INDEX(_xlfn.ANCHORARRAY(Sintesi!$C$16),1,$C358)),3,4)))),0)))</f>
        <v>0</v>
      </c>
      <c r="E358" s="1">
        <f>'Paste cell here'!F358</f>
        <v>0</v>
      </c>
      <c r="F358" s="1">
        <f>'Paste cell here'!C358</f>
        <v>0</v>
      </c>
      <c r="G358" s="1">
        <f>'Paste cell here'!D358</f>
        <v>0</v>
      </c>
      <c r="H358" s="1">
        <f>'Paste cell here'!E358</f>
        <v>0</v>
      </c>
      <c r="I358" s="1">
        <f>'Paste cell here'!X358</f>
        <v>0</v>
      </c>
      <c r="J358" s="1">
        <f>'Paste cell here'!Y358+'Paste cell here'!S358</f>
        <v>0</v>
      </c>
      <c r="K358" s="1" t="e">
        <f t="shared" si="11"/>
        <v>#DIV/0!</v>
      </c>
      <c r="L358" s="1">
        <f t="shared" si="10"/>
        <v>0</v>
      </c>
      <c r="M358" s="1" cm="1">
        <f t="array" ref="M358">IF(AND(A358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,A358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),IF(L358&lt;_xlfn.IFNA(INDEX(_xlfn.ANCHORARRAY(Sintesi!$C$17)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,1,IF(L358&gt;=_xlfn.IFNA(INDEX(_xlfn.ANCHORARRAY(Sintesi!$C$18)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,0,1-(L358-_xlfn.IFNA(INDEX(_xlfn.ANCHORARRAY(Sintesi!$C$17)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)/(_xlfn.IFNA(INDEX(_xlfn.ANCHORARRAY(Sintesi!$C$18)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-_xlfn.IFNA(INDEX(_xlfn.ANCHORARRAY(Sintesi!$C$17),1,MATCH(1,(_xlfn.ANCHORARRAY(Sintesi!$C$9)&gt;_xlfn.ANCHORARRAY(Sintesi!$C$10))*(A357&gt;=_xlfn.ANCHORARRAY(Sintesi!$C$9))+(_xlfn.ANCHORARRAY(Sintesi!$C$9)&gt;_xlfn.ANCHORARRAY(Sintesi!$C$10))*(A357&lt;=_xlfn.ANCHORARRAY(Sintesi!$C$10))+(_xlfn.ANCHORARRAY(Sintesi!$C$9)&lt;_xlfn.ANCHORARRAY(Sintesi!$C$10))*(A357&gt;=_xlfn.ANCHORARRAY(Sintesi!$C$9))*(A357&lt;=_xlfn.ANCHORARRAY(Sintesi!$C$10)),0)),0)))),0)</f>
        <v>0</v>
      </c>
    </row>
    <row r="359" spans="1:15">
      <c r="A359" s="1">
        <f>'Paste cell here'!A359</f>
        <v>0</v>
      </c>
      <c r="B359" s="2">
        <f>DATE(Sintesi!$C$4-1,12,31)+A359</f>
        <v>44196</v>
      </c>
      <c r="C359" s="34" cm="1">
        <f t="array" ref="C359">_xlfn.IFNA(MATCH(1,(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)*(_xlfn.ANCHORARRAY(Sintesi!$C$15)&gt;=0)+(_xlfn.ANCHORARRAY(Sintesi!$C$15)&lt;0),0),0)</f>
        <v>0</v>
      </c>
      <c r="D359" s="1" cm="1">
        <f t="array" ref="D359">IF(ISBLANK($E360),IF(ISNUMBER($E358),IF($C359&gt;0,IF(($E359=INDEX(_xlfn.ANCHORARRAY(Sintesi!$C$14),1,$C359))*(INDEX(_xlfn.ANCHORARRAY(Sintesi!$C$15),1,$C359)&gt;0),0,IF(($E359=INDEX(_xlfn.ANCHORARRAY(Sintesi!$C$14),1,$C359))*(INDEX(_xlfn.ANCHORARRAY(Sintesi!$C$15),1,$C359)&lt;0)+($E359&gt;=$E358)*($E359&lt;=INDEX($E:$E,MATCH(TRUE,INDEX((ISNUMBER($E:$E)),0),0)))*($E359&gt;INDEX(_xlfn.ANCHORARRAY(Sintesi!$C$14),1,$C359))*($E359&lt;=INDEX(_xlfn.ANCHORARRAY(Sintesi!$C$15),1,$C359))*(INDEX(_xlfn.ANCHORARRAY(Sintesi!$C$15),1,$C359)&gt;0),1,IF(($E359&gt;=$E358)*($E359&lt;=INDEX($E:$E,MATCH(TRUE,INDEX((ISNUMBER($E:$E)),0),0)))*($E359&gt;INDEX(_xlfn.ANCHORARRAY(Sintesi!$C$14),1,$C359))*($E359&lt;INDEX(_xlfn.ANCHORARRAY(Sintesi!$C$16),1,$C359))*(INDEX(_xlfn.ANCHORARRAY(Sintesi!$C$15),1,$C359)&lt;0)+($E359&gt;=$E358)*($E359&lt;=INDEX($E:$E,MATCH(TRUE,INDEX((ISNUMBER($E:$E)),0),0)))*($E359&gt;INDEX(_xlfn.ANCHORARRAY(Sintesi!$C$15),1,$C359))*($E359&lt;INDEX(_xlfn.ANCHORARRAY(Sintesi!$C$16),1,$C359))*(INDEX(_xlfn.ANCHORARRAY(Sintesi!$C$15),1,$C359)&gt;0),2,IF($E359=(INDEX(_xlfn.ANCHORARRAY(Sintesi!$C$16),1,$C359)),3,4)))),0),IF($C359&gt;0,IF(($E359=INDEX(_xlfn.ANCHORARRAY(Sintesi!$C$14),1,$C359))*(INDEX(_xlfn.ANCHORARRAY(Sintesi!$C$15),1,$C359)&gt;0),0,IF(($E359=INDEX(_xlfn.ANCHORARRAY(Sintesi!$C$14),1,$C359))*(INDEX(_xlfn.ANCHORARRAY(Sintesi!$C$15),1,$C359)&lt;0)+($E359&gt;=LOOKUP(2,1/($E:$E&lt;&gt;""),$E:$E))*($E359&lt;=INDEX($E:$E,MATCH(TRUE,INDEX((ISNUMBER($E:$E)),0),0)))*($E359&gt;INDEX(_xlfn.ANCHORARRAY(Sintesi!$C$14),1,$C359))*($E359&lt;=INDEX(_xlfn.ANCHORARRAY(Sintesi!$C$15),1,$C359))*(INDEX(_xlfn.ANCHORARRAY(Sintesi!$C$15),1,$C359)&gt;0),1,IF(($E359&gt;=LOOKUP(2,1/($E:$E&lt;&gt;""),$E:$E))*($E359&lt;=INDEX($E:$E,MATCH(TRUE,INDEX((ISNUMBER($E:$E)),0),0)))*($E359&gt;INDEX(_xlfn.ANCHORARRAY(Sintesi!$C$14),1,$C359))*($E359&lt;INDEX(_xlfn.ANCHORARRAY(Sintesi!$C$16),1,$C359))*(INDEX(_xlfn.ANCHORARRAY(Sintesi!$C$15),1,$C359)&lt;0)+($E359&gt;=LOOKUP(2,1/($E:$E&lt;&gt;""),$E:$E))*($E359&lt;=INDEX($E:$E,MATCH(TRUE,INDEX((ISNUMBER($E:$E)),0),0)))*($E359&gt;INDEX(_xlfn.ANCHORARRAY(Sintesi!$C$15),1,$C359))*($E359&lt;INDEX(_xlfn.ANCHORARRAY(Sintesi!$C$16),1,$C359))*(INDEX(_xlfn.ANCHORARRAY(Sintesi!$C$15),1,$C359)&gt;0),2,IF($E359=(INDEX(_xlfn.ANCHORARRAY(Sintesi!$C$16),1,$C359)),3,4)))),0)),IF(ISNUMBER($E358),IF($C359&gt;0,IF(($E359=INDEX(_xlfn.ANCHORARRAY(Sintesi!$C$14),1,$C359))*(INDEX(_xlfn.ANCHORARRAY(Sintesi!$C$15),1,$C359)&gt;0),0,IF(($E359=INDEX(_xlfn.ANCHORARRAY(Sintesi!$C$14),1,$C359))*(INDEX(_xlfn.ANCHORARRAY(Sintesi!$C$15),1,$C359)&lt;0)+($E359&gt;=$E358)*($E359&lt;=$E360)*($E359&gt;INDEX(_xlfn.ANCHORARRAY(Sintesi!$C$14),1,$C359))*($E359&lt;=INDEX(_xlfn.ANCHORARRAY(Sintesi!$C$15),1,$C359))*(INDEX(_xlfn.ANCHORARRAY(Sintesi!$C$15),1,$C359)&gt;0),1,IF(($E359&gt;=$E358)*($E359&lt;=$E360)*($E359&gt;INDEX(_xlfn.ANCHORARRAY(Sintesi!$C$14),1,$C359))*($E359&lt;INDEX(_xlfn.ANCHORARRAY(Sintesi!$C$16),1,$C359))*(INDEX(_xlfn.ANCHORARRAY(Sintesi!$C$15),1,$C359)&lt;0)+($E359&gt;=$E358)*($E359&lt;=$E360)*($E359&gt;INDEX(_xlfn.ANCHORARRAY(Sintesi!$C$15),1,$C359))*($E359&lt;INDEX(_xlfn.ANCHORARRAY(Sintesi!$C$16),1,$C359))*(INDEX(_xlfn.ANCHORARRAY(Sintesi!$C$15),1,$C359)&gt;0),2,IF($E359=(INDEX(_xlfn.ANCHORARRAY(Sintesi!$C$16),1,$C359)),3,4)))),0),IF($C359&gt;0,IF(($E359=INDEX(_xlfn.ANCHORARRAY(Sintesi!$C$14),1,$C359))*(INDEX(_xlfn.ANCHORARRAY(Sintesi!$C$15),1,$C359)&gt;0),0,IF(($E359=INDEX(_xlfn.ANCHORARRAY(Sintesi!$C$14),1,$C359))*(INDEX(_xlfn.ANCHORARRAY(Sintesi!$C$15),1,$C359)&lt;0)+($E359&gt;=LOOKUP(2,1/($E:$E&lt;&gt;""),$E:$E))*($E359&lt;=$E360)*($E359&gt;INDEX(_xlfn.ANCHORARRAY(Sintesi!$C$14),1,$C359))*($E359&lt;=INDEX(_xlfn.ANCHORARRAY(Sintesi!$C$15),1,$C359))*(INDEX(_xlfn.ANCHORARRAY(Sintesi!$C$15),1,$C359)&gt;0),1,IF(($E359&gt;=LOOKUP(2,1/($E:$E&lt;&gt;""),$E:$E))*($E359&lt;=$E360)*($E359&gt;INDEX(_xlfn.ANCHORARRAY(Sintesi!$C$14),1,$C359))*($E359&lt;INDEX(_xlfn.ANCHORARRAY(Sintesi!$C$16),1,$C359))*(INDEX(_xlfn.ANCHORARRAY(Sintesi!$C$15),1,$C359)&lt;0)+($E359&gt;=LOOKUP(2,1/($E:$E&lt;&gt;""),$E:$E))*($E359&lt;=$E360)*($E359&gt;INDEX(_xlfn.ANCHORARRAY(Sintesi!$C$15),1,$C359))*($E359&lt;INDEX(_xlfn.ANCHORARRAY(Sintesi!$C$16),1,$C359))*(INDEX(_xlfn.ANCHORARRAY(Sintesi!$C$15),1,$C359)&gt;0),2,IF($E359=(INDEX(_xlfn.ANCHORARRAY(Sintesi!$C$16),1,$C359)),3,4)))),0)))</f>
        <v>0</v>
      </c>
      <c r="E359" s="1">
        <f>'Paste cell here'!F359</f>
        <v>0</v>
      </c>
      <c r="F359" s="1">
        <f>'Paste cell here'!C359</f>
        <v>0</v>
      </c>
      <c r="G359" s="1">
        <f>'Paste cell here'!D359</f>
        <v>0</v>
      </c>
      <c r="H359" s="1">
        <f>'Paste cell here'!E359</f>
        <v>0</v>
      </c>
      <c r="I359" s="1">
        <f>'Paste cell here'!X359</f>
        <v>0</v>
      </c>
      <c r="J359" s="1">
        <f>'Paste cell here'!Y359+'Paste cell here'!S359</f>
        <v>0</v>
      </c>
      <c r="K359" s="1" t="e">
        <f t="shared" si="11"/>
        <v>#DIV/0!</v>
      </c>
      <c r="L359" s="1">
        <f t="shared" si="10"/>
        <v>0</v>
      </c>
      <c r="M359" s="1" cm="1">
        <f t="array" ref="M359">IF(AND(A359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,A359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),IF(L359&lt;_xlfn.IFNA(INDEX(_xlfn.ANCHORARRAY(Sintesi!$C$17)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,1,IF(L359&gt;=_xlfn.IFNA(INDEX(_xlfn.ANCHORARRAY(Sintesi!$C$18)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,0,1-(L359-_xlfn.IFNA(INDEX(_xlfn.ANCHORARRAY(Sintesi!$C$17)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)/(_xlfn.IFNA(INDEX(_xlfn.ANCHORARRAY(Sintesi!$C$18)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-_xlfn.IFNA(INDEX(_xlfn.ANCHORARRAY(Sintesi!$C$17),1,MATCH(1,(_xlfn.ANCHORARRAY(Sintesi!$C$9)&gt;_xlfn.ANCHORARRAY(Sintesi!$C$10))*(A358&gt;=_xlfn.ANCHORARRAY(Sintesi!$C$9))+(_xlfn.ANCHORARRAY(Sintesi!$C$9)&gt;_xlfn.ANCHORARRAY(Sintesi!$C$10))*(A358&lt;=_xlfn.ANCHORARRAY(Sintesi!$C$10))+(_xlfn.ANCHORARRAY(Sintesi!$C$9)&lt;_xlfn.ANCHORARRAY(Sintesi!$C$10))*(A358&gt;=_xlfn.ANCHORARRAY(Sintesi!$C$9))*(A358&lt;=_xlfn.ANCHORARRAY(Sintesi!$C$10)),0)),0)))),0)</f>
        <v>0</v>
      </c>
    </row>
    <row r="360" spans="1:15">
      <c r="A360" s="1">
        <f>'Paste cell here'!A360</f>
        <v>0</v>
      </c>
      <c r="B360" s="2">
        <f>DATE(Sintesi!$C$4-1,12,31)+A360</f>
        <v>44196</v>
      </c>
      <c r="C360" s="34" cm="1">
        <f t="array" ref="C360">_xlfn.IFNA(MATCH(1,(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)*(_xlfn.ANCHORARRAY(Sintesi!$C$15)&gt;=0)+(_xlfn.ANCHORARRAY(Sintesi!$C$15)&lt;0),0),0)</f>
        <v>0</v>
      </c>
      <c r="D360" s="1" cm="1">
        <f t="array" ref="D360">IF(ISBLANK($E361),IF(ISNUMBER($E359),IF($C360&gt;0,IF(($E360=INDEX(_xlfn.ANCHORARRAY(Sintesi!$C$14),1,$C360))*(INDEX(_xlfn.ANCHORARRAY(Sintesi!$C$15),1,$C360)&gt;0),0,IF(($E360=INDEX(_xlfn.ANCHORARRAY(Sintesi!$C$14),1,$C360))*(INDEX(_xlfn.ANCHORARRAY(Sintesi!$C$15),1,$C360)&lt;0)+($E360&gt;=$E359)*($E360&lt;=INDEX($E:$E,MATCH(TRUE,INDEX((ISNUMBER($E:$E)),0),0)))*($E360&gt;INDEX(_xlfn.ANCHORARRAY(Sintesi!$C$14),1,$C360))*($E360&lt;=INDEX(_xlfn.ANCHORARRAY(Sintesi!$C$15),1,$C360))*(INDEX(_xlfn.ANCHORARRAY(Sintesi!$C$15),1,$C360)&gt;0),1,IF(($E360&gt;=$E359)*($E360&lt;=INDEX($E:$E,MATCH(TRUE,INDEX((ISNUMBER($E:$E)),0),0)))*($E360&gt;INDEX(_xlfn.ANCHORARRAY(Sintesi!$C$14),1,$C360))*($E360&lt;INDEX(_xlfn.ANCHORARRAY(Sintesi!$C$16),1,$C360))*(INDEX(_xlfn.ANCHORARRAY(Sintesi!$C$15),1,$C360)&lt;0)+($E360&gt;=$E359)*($E360&lt;=INDEX($E:$E,MATCH(TRUE,INDEX((ISNUMBER($E:$E)),0),0)))*($E360&gt;INDEX(_xlfn.ANCHORARRAY(Sintesi!$C$15),1,$C360))*($E360&lt;INDEX(_xlfn.ANCHORARRAY(Sintesi!$C$16),1,$C360))*(INDEX(_xlfn.ANCHORARRAY(Sintesi!$C$15),1,$C360)&gt;0),2,IF($E360=(INDEX(_xlfn.ANCHORARRAY(Sintesi!$C$16),1,$C360)),3,4)))),0),IF($C360&gt;0,IF(($E360=INDEX(_xlfn.ANCHORARRAY(Sintesi!$C$14),1,$C360))*(INDEX(_xlfn.ANCHORARRAY(Sintesi!$C$15),1,$C360)&gt;0),0,IF(($E360=INDEX(_xlfn.ANCHORARRAY(Sintesi!$C$14),1,$C360))*(INDEX(_xlfn.ANCHORARRAY(Sintesi!$C$15),1,$C360)&lt;0)+($E360&gt;=LOOKUP(2,1/($E:$E&lt;&gt;""),$E:$E))*($E360&lt;=INDEX($E:$E,MATCH(TRUE,INDEX((ISNUMBER($E:$E)),0),0)))*($E360&gt;INDEX(_xlfn.ANCHORARRAY(Sintesi!$C$14),1,$C360))*($E360&lt;=INDEX(_xlfn.ANCHORARRAY(Sintesi!$C$15),1,$C360))*(INDEX(_xlfn.ANCHORARRAY(Sintesi!$C$15),1,$C360)&gt;0),1,IF(($E360&gt;=LOOKUP(2,1/($E:$E&lt;&gt;""),$E:$E))*($E360&lt;=INDEX($E:$E,MATCH(TRUE,INDEX((ISNUMBER($E:$E)),0),0)))*($E360&gt;INDEX(_xlfn.ANCHORARRAY(Sintesi!$C$14),1,$C360))*($E360&lt;INDEX(_xlfn.ANCHORARRAY(Sintesi!$C$16),1,$C360))*(INDEX(_xlfn.ANCHORARRAY(Sintesi!$C$15),1,$C360)&lt;0)+($E360&gt;=LOOKUP(2,1/($E:$E&lt;&gt;""),$E:$E))*($E360&lt;=INDEX($E:$E,MATCH(TRUE,INDEX((ISNUMBER($E:$E)),0),0)))*($E360&gt;INDEX(_xlfn.ANCHORARRAY(Sintesi!$C$15),1,$C360))*($E360&lt;INDEX(_xlfn.ANCHORARRAY(Sintesi!$C$16),1,$C360))*(INDEX(_xlfn.ANCHORARRAY(Sintesi!$C$15),1,$C360)&gt;0),2,IF($E360=(INDEX(_xlfn.ANCHORARRAY(Sintesi!$C$16),1,$C360)),3,4)))),0)),IF(ISNUMBER($E359),IF($C360&gt;0,IF(($E360=INDEX(_xlfn.ANCHORARRAY(Sintesi!$C$14),1,$C360))*(INDEX(_xlfn.ANCHORARRAY(Sintesi!$C$15),1,$C360)&gt;0),0,IF(($E360=INDEX(_xlfn.ANCHORARRAY(Sintesi!$C$14),1,$C360))*(INDEX(_xlfn.ANCHORARRAY(Sintesi!$C$15),1,$C360)&lt;0)+($E360&gt;=$E359)*($E360&lt;=$E361)*($E360&gt;INDEX(_xlfn.ANCHORARRAY(Sintesi!$C$14),1,$C360))*($E360&lt;=INDEX(_xlfn.ANCHORARRAY(Sintesi!$C$15),1,$C360))*(INDEX(_xlfn.ANCHORARRAY(Sintesi!$C$15),1,$C360)&gt;0),1,IF(($E360&gt;=$E359)*($E360&lt;=$E361)*($E360&gt;INDEX(_xlfn.ANCHORARRAY(Sintesi!$C$14),1,$C360))*($E360&lt;INDEX(_xlfn.ANCHORARRAY(Sintesi!$C$16),1,$C360))*(INDEX(_xlfn.ANCHORARRAY(Sintesi!$C$15),1,$C360)&lt;0)+($E360&gt;=$E359)*($E360&lt;=$E361)*($E360&gt;INDEX(_xlfn.ANCHORARRAY(Sintesi!$C$15),1,$C360))*($E360&lt;INDEX(_xlfn.ANCHORARRAY(Sintesi!$C$16),1,$C360))*(INDEX(_xlfn.ANCHORARRAY(Sintesi!$C$15),1,$C360)&gt;0),2,IF($E360=(INDEX(_xlfn.ANCHORARRAY(Sintesi!$C$16),1,$C360)),3,4)))),0),IF($C360&gt;0,IF(($E360=INDEX(_xlfn.ANCHORARRAY(Sintesi!$C$14),1,$C360))*(INDEX(_xlfn.ANCHORARRAY(Sintesi!$C$15),1,$C360)&gt;0),0,IF(($E360=INDEX(_xlfn.ANCHORARRAY(Sintesi!$C$14),1,$C360))*(INDEX(_xlfn.ANCHORARRAY(Sintesi!$C$15),1,$C360)&lt;0)+($E360&gt;=LOOKUP(2,1/($E:$E&lt;&gt;""),$E:$E))*($E360&lt;=$E361)*($E360&gt;INDEX(_xlfn.ANCHORARRAY(Sintesi!$C$14),1,$C360))*($E360&lt;=INDEX(_xlfn.ANCHORARRAY(Sintesi!$C$15),1,$C360))*(INDEX(_xlfn.ANCHORARRAY(Sintesi!$C$15),1,$C360)&gt;0),1,IF(($E360&gt;=LOOKUP(2,1/($E:$E&lt;&gt;""),$E:$E))*($E360&lt;=$E361)*($E360&gt;INDEX(_xlfn.ANCHORARRAY(Sintesi!$C$14),1,$C360))*($E360&lt;INDEX(_xlfn.ANCHORARRAY(Sintesi!$C$16),1,$C360))*(INDEX(_xlfn.ANCHORARRAY(Sintesi!$C$15),1,$C360)&lt;0)+($E360&gt;=LOOKUP(2,1/($E:$E&lt;&gt;""),$E:$E))*($E360&lt;=$E361)*($E360&gt;INDEX(_xlfn.ANCHORARRAY(Sintesi!$C$15),1,$C360))*($E360&lt;INDEX(_xlfn.ANCHORARRAY(Sintesi!$C$16),1,$C360))*(INDEX(_xlfn.ANCHORARRAY(Sintesi!$C$15),1,$C360)&gt;0),2,IF($E360=(INDEX(_xlfn.ANCHORARRAY(Sintesi!$C$16),1,$C360)),3,4)))),0)))</f>
        <v>0</v>
      </c>
      <c r="E360" s="1">
        <f>'Paste cell here'!F360</f>
        <v>0</v>
      </c>
      <c r="F360" s="1">
        <f>'Paste cell here'!C360</f>
        <v>0</v>
      </c>
      <c r="G360" s="1">
        <f>'Paste cell here'!D360</f>
        <v>0</v>
      </c>
      <c r="H360" s="1">
        <f>'Paste cell here'!E360</f>
        <v>0</v>
      </c>
      <c r="I360" s="1">
        <f>'Paste cell here'!X360</f>
        <v>0</v>
      </c>
      <c r="J360" s="1">
        <f>'Paste cell here'!Y360+'Paste cell here'!S360</f>
        <v>0</v>
      </c>
      <c r="K360" s="1" t="e">
        <f t="shared" si="11"/>
        <v>#DIV/0!</v>
      </c>
      <c r="L360" s="1">
        <f t="shared" si="10"/>
        <v>0</v>
      </c>
      <c r="M360" s="1" cm="1">
        <f t="array" ref="M360">IF(AND(A360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,A360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),IF(L360&lt;_xlfn.IFNA(INDEX(_xlfn.ANCHORARRAY(Sintesi!$C$17)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,1,IF(L360&gt;=_xlfn.IFNA(INDEX(_xlfn.ANCHORARRAY(Sintesi!$C$18)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,0,1-(L360-_xlfn.IFNA(INDEX(_xlfn.ANCHORARRAY(Sintesi!$C$17)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)/(_xlfn.IFNA(INDEX(_xlfn.ANCHORARRAY(Sintesi!$C$18)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-_xlfn.IFNA(INDEX(_xlfn.ANCHORARRAY(Sintesi!$C$17),1,MATCH(1,(_xlfn.ANCHORARRAY(Sintesi!$C$9)&gt;_xlfn.ANCHORARRAY(Sintesi!$C$10))*(A359&gt;=_xlfn.ANCHORARRAY(Sintesi!$C$9))+(_xlfn.ANCHORARRAY(Sintesi!$C$9)&gt;_xlfn.ANCHORARRAY(Sintesi!$C$10))*(A359&lt;=_xlfn.ANCHORARRAY(Sintesi!$C$10))+(_xlfn.ANCHORARRAY(Sintesi!$C$9)&lt;_xlfn.ANCHORARRAY(Sintesi!$C$10))*(A359&gt;=_xlfn.ANCHORARRAY(Sintesi!$C$9))*(A359&lt;=_xlfn.ANCHORARRAY(Sintesi!$C$10)),0)),0)))),0)</f>
        <v>0</v>
      </c>
    </row>
    <row r="361" spans="1:15">
      <c r="A361" s="1">
        <f>'Paste cell here'!A361</f>
        <v>0</v>
      </c>
      <c r="B361" s="2">
        <f>DATE(Sintesi!$C$4-1,12,31)+A361</f>
        <v>44196</v>
      </c>
      <c r="C361" s="34" cm="1">
        <f t="array" ref="C361">_xlfn.IFNA(MATCH(1,(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)*(_xlfn.ANCHORARRAY(Sintesi!$C$15)&gt;=0)+(_xlfn.ANCHORARRAY(Sintesi!$C$15)&lt;0),0),0)</f>
        <v>0</v>
      </c>
      <c r="D361" s="1" cm="1">
        <f t="array" ref="D361">IF(ISBLANK($E362),IF(ISNUMBER($E360),IF($C361&gt;0,IF(($E361=INDEX(_xlfn.ANCHORARRAY(Sintesi!$C$14),1,$C361))*(INDEX(_xlfn.ANCHORARRAY(Sintesi!$C$15),1,$C361)&gt;0),0,IF(($E361=INDEX(_xlfn.ANCHORARRAY(Sintesi!$C$14),1,$C361))*(INDEX(_xlfn.ANCHORARRAY(Sintesi!$C$15),1,$C361)&lt;0)+($E361&gt;=$E360)*($E361&lt;=INDEX($E:$E,MATCH(TRUE,INDEX((ISNUMBER($E:$E)),0),0)))*($E361&gt;INDEX(_xlfn.ANCHORARRAY(Sintesi!$C$14),1,$C361))*($E361&lt;=INDEX(_xlfn.ANCHORARRAY(Sintesi!$C$15),1,$C361))*(INDEX(_xlfn.ANCHORARRAY(Sintesi!$C$15),1,$C361)&gt;0),1,IF(($E361&gt;=$E360)*($E361&lt;=INDEX($E:$E,MATCH(TRUE,INDEX((ISNUMBER($E:$E)),0),0)))*($E361&gt;INDEX(_xlfn.ANCHORARRAY(Sintesi!$C$14),1,$C361))*($E361&lt;INDEX(_xlfn.ANCHORARRAY(Sintesi!$C$16),1,$C361))*(INDEX(_xlfn.ANCHORARRAY(Sintesi!$C$15),1,$C361)&lt;0)+($E361&gt;=$E360)*($E361&lt;=INDEX($E:$E,MATCH(TRUE,INDEX((ISNUMBER($E:$E)),0),0)))*($E361&gt;INDEX(_xlfn.ANCHORARRAY(Sintesi!$C$15),1,$C361))*($E361&lt;INDEX(_xlfn.ANCHORARRAY(Sintesi!$C$16),1,$C361))*(INDEX(_xlfn.ANCHORARRAY(Sintesi!$C$15),1,$C361)&gt;0),2,IF($E361=(INDEX(_xlfn.ANCHORARRAY(Sintesi!$C$16),1,$C361)),3,4)))),0),IF($C361&gt;0,IF(($E361=INDEX(_xlfn.ANCHORARRAY(Sintesi!$C$14),1,$C361))*(INDEX(_xlfn.ANCHORARRAY(Sintesi!$C$15),1,$C361)&gt;0),0,IF(($E361=INDEX(_xlfn.ANCHORARRAY(Sintesi!$C$14),1,$C361))*(INDEX(_xlfn.ANCHORARRAY(Sintesi!$C$15),1,$C361)&lt;0)+($E361&gt;=LOOKUP(2,1/($E:$E&lt;&gt;""),$E:$E))*($E361&lt;=INDEX($E:$E,MATCH(TRUE,INDEX((ISNUMBER($E:$E)),0),0)))*($E361&gt;INDEX(_xlfn.ANCHORARRAY(Sintesi!$C$14),1,$C361))*($E361&lt;=INDEX(_xlfn.ANCHORARRAY(Sintesi!$C$15),1,$C361))*(INDEX(_xlfn.ANCHORARRAY(Sintesi!$C$15),1,$C361)&gt;0),1,IF(($E361&gt;=LOOKUP(2,1/($E:$E&lt;&gt;""),$E:$E))*($E361&lt;=INDEX($E:$E,MATCH(TRUE,INDEX((ISNUMBER($E:$E)),0),0)))*($E361&gt;INDEX(_xlfn.ANCHORARRAY(Sintesi!$C$14),1,$C361))*($E361&lt;INDEX(_xlfn.ANCHORARRAY(Sintesi!$C$16),1,$C361))*(INDEX(_xlfn.ANCHORARRAY(Sintesi!$C$15),1,$C361)&lt;0)+($E361&gt;=LOOKUP(2,1/($E:$E&lt;&gt;""),$E:$E))*($E361&lt;=INDEX($E:$E,MATCH(TRUE,INDEX((ISNUMBER($E:$E)),0),0)))*($E361&gt;INDEX(_xlfn.ANCHORARRAY(Sintesi!$C$15),1,$C361))*($E361&lt;INDEX(_xlfn.ANCHORARRAY(Sintesi!$C$16),1,$C361))*(INDEX(_xlfn.ANCHORARRAY(Sintesi!$C$15),1,$C361)&gt;0),2,IF($E361=(INDEX(_xlfn.ANCHORARRAY(Sintesi!$C$16),1,$C361)),3,4)))),0)),IF(ISNUMBER($E360),IF($C361&gt;0,IF(($E361=INDEX(_xlfn.ANCHORARRAY(Sintesi!$C$14),1,$C361))*(INDEX(_xlfn.ANCHORARRAY(Sintesi!$C$15),1,$C361)&gt;0),0,IF(($E361=INDEX(_xlfn.ANCHORARRAY(Sintesi!$C$14),1,$C361))*(INDEX(_xlfn.ANCHORARRAY(Sintesi!$C$15),1,$C361)&lt;0)+($E361&gt;=$E360)*($E361&lt;=$E362)*($E361&gt;INDEX(_xlfn.ANCHORARRAY(Sintesi!$C$14),1,$C361))*($E361&lt;=INDEX(_xlfn.ANCHORARRAY(Sintesi!$C$15),1,$C361))*(INDEX(_xlfn.ANCHORARRAY(Sintesi!$C$15),1,$C361)&gt;0),1,IF(($E361&gt;=$E360)*($E361&lt;=$E362)*($E361&gt;INDEX(_xlfn.ANCHORARRAY(Sintesi!$C$14),1,$C361))*($E361&lt;INDEX(_xlfn.ANCHORARRAY(Sintesi!$C$16),1,$C361))*(INDEX(_xlfn.ANCHORARRAY(Sintesi!$C$15),1,$C361)&lt;0)+($E361&gt;=$E360)*($E361&lt;=$E362)*($E361&gt;INDEX(_xlfn.ANCHORARRAY(Sintesi!$C$15),1,$C361))*($E361&lt;INDEX(_xlfn.ANCHORARRAY(Sintesi!$C$16),1,$C361))*(INDEX(_xlfn.ANCHORARRAY(Sintesi!$C$15),1,$C361)&gt;0),2,IF($E361=(INDEX(_xlfn.ANCHORARRAY(Sintesi!$C$16),1,$C361)),3,4)))),0),IF($C361&gt;0,IF(($E361=INDEX(_xlfn.ANCHORARRAY(Sintesi!$C$14),1,$C361))*(INDEX(_xlfn.ANCHORARRAY(Sintesi!$C$15),1,$C361)&gt;0),0,IF(($E361=INDEX(_xlfn.ANCHORARRAY(Sintesi!$C$14),1,$C361))*(INDEX(_xlfn.ANCHORARRAY(Sintesi!$C$15),1,$C361)&lt;0)+($E361&gt;=LOOKUP(2,1/($E:$E&lt;&gt;""),$E:$E))*($E361&lt;=$E362)*($E361&gt;INDEX(_xlfn.ANCHORARRAY(Sintesi!$C$14),1,$C361))*($E361&lt;=INDEX(_xlfn.ANCHORARRAY(Sintesi!$C$15),1,$C361))*(INDEX(_xlfn.ANCHORARRAY(Sintesi!$C$15),1,$C361)&gt;0),1,IF(($E361&gt;=LOOKUP(2,1/($E:$E&lt;&gt;""),$E:$E))*($E361&lt;=$E362)*($E361&gt;INDEX(_xlfn.ANCHORARRAY(Sintesi!$C$14),1,$C361))*($E361&lt;INDEX(_xlfn.ANCHORARRAY(Sintesi!$C$16),1,$C361))*(INDEX(_xlfn.ANCHORARRAY(Sintesi!$C$15),1,$C361)&lt;0)+($E361&gt;=LOOKUP(2,1/($E:$E&lt;&gt;""),$E:$E))*($E361&lt;=$E362)*($E361&gt;INDEX(_xlfn.ANCHORARRAY(Sintesi!$C$15),1,$C361))*($E361&lt;INDEX(_xlfn.ANCHORARRAY(Sintesi!$C$16),1,$C361))*(INDEX(_xlfn.ANCHORARRAY(Sintesi!$C$15),1,$C361)&gt;0),2,IF($E361=(INDEX(_xlfn.ANCHORARRAY(Sintesi!$C$16),1,$C361)),3,4)))),0)))</f>
        <v>0</v>
      </c>
      <c r="E361" s="1">
        <f>'Paste cell here'!F361</f>
        <v>0</v>
      </c>
      <c r="F361" s="1">
        <f>'Paste cell here'!C361</f>
        <v>0</v>
      </c>
      <c r="G361" s="1">
        <f>'Paste cell here'!D361</f>
        <v>0</v>
      </c>
      <c r="H361" s="1">
        <f>'Paste cell here'!E361</f>
        <v>0</v>
      </c>
      <c r="I361" s="1">
        <f>'Paste cell here'!X361</f>
        <v>0</v>
      </c>
      <c r="J361" s="1">
        <f>'Paste cell here'!Y361+'Paste cell here'!S361</f>
        <v>0</v>
      </c>
      <c r="K361" s="1" t="e">
        <f t="shared" si="11"/>
        <v>#DIV/0!</v>
      </c>
      <c r="L361" s="1">
        <f t="shared" si="10"/>
        <v>0</v>
      </c>
      <c r="M361" s="1" cm="1">
        <f t="array" ref="M361">IF(AND(A361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,A361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),IF(L361&lt;_xlfn.IFNA(INDEX(_xlfn.ANCHORARRAY(Sintesi!$C$17)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,1,IF(L361&gt;=_xlfn.IFNA(INDEX(_xlfn.ANCHORARRAY(Sintesi!$C$18)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,0,1-(L361-_xlfn.IFNA(INDEX(_xlfn.ANCHORARRAY(Sintesi!$C$17)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)/(_xlfn.IFNA(INDEX(_xlfn.ANCHORARRAY(Sintesi!$C$18)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-_xlfn.IFNA(INDEX(_xlfn.ANCHORARRAY(Sintesi!$C$17),1,MATCH(1,(_xlfn.ANCHORARRAY(Sintesi!$C$9)&gt;_xlfn.ANCHORARRAY(Sintesi!$C$10))*(A360&gt;=_xlfn.ANCHORARRAY(Sintesi!$C$9))+(_xlfn.ANCHORARRAY(Sintesi!$C$9)&gt;_xlfn.ANCHORARRAY(Sintesi!$C$10))*(A360&lt;=_xlfn.ANCHORARRAY(Sintesi!$C$10))+(_xlfn.ANCHORARRAY(Sintesi!$C$9)&lt;_xlfn.ANCHORARRAY(Sintesi!$C$10))*(A360&gt;=_xlfn.ANCHORARRAY(Sintesi!$C$9))*(A360&lt;=_xlfn.ANCHORARRAY(Sintesi!$C$10)),0)),0)))),0)</f>
        <v>0</v>
      </c>
    </row>
    <row r="362" spans="1:15">
      <c r="A362" s="1">
        <f>'Paste cell here'!A362</f>
        <v>0</v>
      </c>
      <c r="B362" s="2">
        <f>DATE(Sintesi!$C$4-1,12,31)+A362</f>
        <v>44196</v>
      </c>
      <c r="C362" s="34" cm="1">
        <f t="array" ref="C362">_xlfn.IFNA(MATCH(1,(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)*(_xlfn.ANCHORARRAY(Sintesi!$C$15)&gt;=0)+(_xlfn.ANCHORARRAY(Sintesi!$C$15)&lt;0),0),0)</f>
        <v>0</v>
      </c>
      <c r="D362" s="1" cm="1">
        <f t="array" ref="D362">IF(ISBLANK($E363),IF(ISNUMBER($E361),IF($C362&gt;0,IF(($E362=INDEX(_xlfn.ANCHORARRAY(Sintesi!$C$14),1,$C362))*(INDEX(_xlfn.ANCHORARRAY(Sintesi!$C$15),1,$C362)&gt;0),0,IF(($E362=INDEX(_xlfn.ANCHORARRAY(Sintesi!$C$14),1,$C362))*(INDEX(_xlfn.ANCHORARRAY(Sintesi!$C$15),1,$C362)&lt;0)+($E362&gt;=$E361)*($E362&lt;=INDEX($E:$E,MATCH(TRUE,INDEX((ISNUMBER($E:$E)),0),0)))*($E362&gt;INDEX(_xlfn.ANCHORARRAY(Sintesi!$C$14),1,$C362))*($E362&lt;=INDEX(_xlfn.ANCHORARRAY(Sintesi!$C$15),1,$C362))*(INDEX(_xlfn.ANCHORARRAY(Sintesi!$C$15),1,$C362)&gt;0),1,IF(($E362&gt;=$E361)*($E362&lt;=INDEX($E:$E,MATCH(TRUE,INDEX((ISNUMBER($E:$E)),0),0)))*($E362&gt;INDEX(_xlfn.ANCHORARRAY(Sintesi!$C$14),1,$C362))*($E362&lt;INDEX(_xlfn.ANCHORARRAY(Sintesi!$C$16),1,$C362))*(INDEX(_xlfn.ANCHORARRAY(Sintesi!$C$15),1,$C362)&lt;0)+($E362&gt;=$E361)*($E362&lt;=INDEX($E:$E,MATCH(TRUE,INDEX((ISNUMBER($E:$E)),0),0)))*($E362&gt;INDEX(_xlfn.ANCHORARRAY(Sintesi!$C$15),1,$C362))*($E362&lt;INDEX(_xlfn.ANCHORARRAY(Sintesi!$C$16),1,$C362))*(INDEX(_xlfn.ANCHORARRAY(Sintesi!$C$15),1,$C362)&gt;0),2,IF($E362=(INDEX(_xlfn.ANCHORARRAY(Sintesi!$C$16),1,$C362)),3,4)))),0),IF($C362&gt;0,IF(($E362=INDEX(_xlfn.ANCHORARRAY(Sintesi!$C$14),1,$C362))*(INDEX(_xlfn.ANCHORARRAY(Sintesi!$C$15),1,$C362)&gt;0),0,IF(($E362=INDEX(_xlfn.ANCHORARRAY(Sintesi!$C$14),1,$C362))*(INDEX(_xlfn.ANCHORARRAY(Sintesi!$C$15),1,$C362)&lt;0)+($E362&gt;=LOOKUP(2,1/($E:$E&lt;&gt;""),$E:$E))*($E362&lt;=INDEX($E:$E,MATCH(TRUE,INDEX((ISNUMBER($E:$E)),0),0)))*($E362&gt;INDEX(_xlfn.ANCHORARRAY(Sintesi!$C$14),1,$C362))*($E362&lt;=INDEX(_xlfn.ANCHORARRAY(Sintesi!$C$15),1,$C362))*(INDEX(_xlfn.ANCHORARRAY(Sintesi!$C$15),1,$C362)&gt;0),1,IF(($E362&gt;=LOOKUP(2,1/($E:$E&lt;&gt;""),$E:$E))*($E362&lt;=INDEX($E:$E,MATCH(TRUE,INDEX((ISNUMBER($E:$E)),0),0)))*($E362&gt;INDEX(_xlfn.ANCHORARRAY(Sintesi!$C$14),1,$C362))*($E362&lt;INDEX(_xlfn.ANCHORARRAY(Sintesi!$C$16),1,$C362))*(INDEX(_xlfn.ANCHORARRAY(Sintesi!$C$15),1,$C362)&lt;0)+($E362&gt;=LOOKUP(2,1/($E:$E&lt;&gt;""),$E:$E))*($E362&lt;=INDEX($E:$E,MATCH(TRUE,INDEX((ISNUMBER($E:$E)),0),0)))*($E362&gt;INDEX(_xlfn.ANCHORARRAY(Sintesi!$C$15),1,$C362))*($E362&lt;INDEX(_xlfn.ANCHORARRAY(Sintesi!$C$16),1,$C362))*(INDEX(_xlfn.ANCHORARRAY(Sintesi!$C$15),1,$C362)&gt;0),2,IF($E362=(INDEX(_xlfn.ANCHORARRAY(Sintesi!$C$16),1,$C362)),3,4)))),0)),IF(ISNUMBER($E361),IF($C362&gt;0,IF(($E362=INDEX(_xlfn.ANCHORARRAY(Sintesi!$C$14),1,$C362))*(INDEX(_xlfn.ANCHORARRAY(Sintesi!$C$15),1,$C362)&gt;0),0,IF(($E362=INDEX(_xlfn.ANCHORARRAY(Sintesi!$C$14),1,$C362))*(INDEX(_xlfn.ANCHORARRAY(Sintesi!$C$15),1,$C362)&lt;0)+($E362&gt;=$E361)*($E362&lt;=$E363)*($E362&gt;INDEX(_xlfn.ANCHORARRAY(Sintesi!$C$14),1,$C362))*($E362&lt;=INDEX(_xlfn.ANCHORARRAY(Sintesi!$C$15),1,$C362))*(INDEX(_xlfn.ANCHORARRAY(Sintesi!$C$15),1,$C362)&gt;0),1,IF(($E362&gt;=$E361)*($E362&lt;=$E363)*($E362&gt;INDEX(_xlfn.ANCHORARRAY(Sintesi!$C$14),1,$C362))*($E362&lt;INDEX(_xlfn.ANCHORARRAY(Sintesi!$C$16),1,$C362))*(INDEX(_xlfn.ANCHORARRAY(Sintesi!$C$15),1,$C362)&lt;0)+($E362&gt;=$E361)*($E362&lt;=$E363)*($E362&gt;INDEX(_xlfn.ANCHORARRAY(Sintesi!$C$15),1,$C362))*($E362&lt;INDEX(_xlfn.ANCHORARRAY(Sintesi!$C$16),1,$C362))*(INDEX(_xlfn.ANCHORARRAY(Sintesi!$C$15),1,$C362)&gt;0),2,IF($E362=(INDEX(_xlfn.ANCHORARRAY(Sintesi!$C$16),1,$C362)),3,4)))),0),IF($C362&gt;0,IF(($E362=INDEX(_xlfn.ANCHORARRAY(Sintesi!$C$14),1,$C362))*(INDEX(_xlfn.ANCHORARRAY(Sintesi!$C$15),1,$C362)&gt;0),0,IF(($E362=INDEX(_xlfn.ANCHORARRAY(Sintesi!$C$14),1,$C362))*(INDEX(_xlfn.ANCHORARRAY(Sintesi!$C$15),1,$C362)&lt;0)+($E362&gt;=LOOKUP(2,1/($E:$E&lt;&gt;""),$E:$E))*($E362&lt;=$E363)*($E362&gt;INDEX(_xlfn.ANCHORARRAY(Sintesi!$C$14),1,$C362))*($E362&lt;=INDEX(_xlfn.ANCHORARRAY(Sintesi!$C$15),1,$C362))*(INDEX(_xlfn.ANCHORARRAY(Sintesi!$C$15),1,$C362)&gt;0),1,IF(($E362&gt;=LOOKUP(2,1/($E:$E&lt;&gt;""),$E:$E))*($E362&lt;=$E363)*($E362&gt;INDEX(_xlfn.ANCHORARRAY(Sintesi!$C$14),1,$C362))*($E362&lt;INDEX(_xlfn.ANCHORARRAY(Sintesi!$C$16),1,$C362))*(INDEX(_xlfn.ANCHORARRAY(Sintesi!$C$15),1,$C362)&lt;0)+($E362&gt;=LOOKUP(2,1/($E:$E&lt;&gt;""),$E:$E))*($E362&lt;=$E363)*($E362&gt;INDEX(_xlfn.ANCHORARRAY(Sintesi!$C$15),1,$C362))*($E362&lt;INDEX(_xlfn.ANCHORARRAY(Sintesi!$C$16),1,$C362))*(INDEX(_xlfn.ANCHORARRAY(Sintesi!$C$15),1,$C362)&gt;0),2,IF($E362=(INDEX(_xlfn.ANCHORARRAY(Sintesi!$C$16),1,$C362)),3,4)))),0)))</f>
        <v>0</v>
      </c>
      <c r="E362" s="1">
        <f>'Paste cell here'!F362</f>
        <v>0</v>
      </c>
      <c r="F362" s="1">
        <f>'Paste cell here'!C362</f>
        <v>0</v>
      </c>
      <c r="G362" s="1">
        <f>'Paste cell here'!D362</f>
        <v>0</v>
      </c>
      <c r="H362" s="1">
        <f>'Paste cell here'!E362</f>
        <v>0</v>
      </c>
      <c r="I362" s="1">
        <f>'Paste cell here'!X362</f>
        <v>0</v>
      </c>
      <c r="J362" s="1">
        <f>'Paste cell here'!Y362+'Paste cell here'!S362</f>
        <v>0</v>
      </c>
      <c r="K362" s="1" t="e">
        <f t="shared" si="11"/>
        <v>#DIV/0!</v>
      </c>
      <c r="L362" s="1">
        <f t="shared" si="10"/>
        <v>0</v>
      </c>
      <c r="M362" s="1" cm="1">
        <f t="array" ref="M362">IF(AND(A362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,A362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),IF(L362&lt;_xlfn.IFNA(INDEX(_xlfn.ANCHORARRAY(Sintesi!$C$17)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,1,IF(L362&gt;=_xlfn.IFNA(INDEX(_xlfn.ANCHORARRAY(Sintesi!$C$18)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,0,1-(L362-_xlfn.IFNA(INDEX(_xlfn.ANCHORARRAY(Sintesi!$C$17)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)/(_xlfn.IFNA(INDEX(_xlfn.ANCHORARRAY(Sintesi!$C$18)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-_xlfn.IFNA(INDEX(_xlfn.ANCHORARRAY(Sintesi!$C$17),1,MATCH(1,(_xlfn.ANCHORARRAY(Sintesi!$C$9)&gt;_xlfn.ANCHORARRAY(Sintesi!$C$10))*(A361&gt;=_xlfn.ANCHORARRAY(Sintesi!$C$9))+(_xlfn.ANCHORARRAY(Sintesi!$C$9)&gt;_xlfn.ANCHORARRAY(Sintesi!$C$10))*(A361&lt;=_xlfn.ANCHORARRAY(Sintesi!$C$10))+(_xlfn.ANCHORARRAY(Sintesi!$C$9)&lt;_xlfn.ANCHORARRAY(Sintesi!$C$10))*(A361&gt;=_xlfn.ANCHORARRAY(Sintesi!$C$9))*(A361&lt;=_xlfn.ANCHORARRAY(Sintesi!$C$10)),0)),0)))),0)</f>
        <v>0</v>
      </c>
    </row>
    <row r="363" spans="1:15">
      <c r="A363" s="1">
        <f>'Paste cell here'!A363</f>
        <v>0</v>
      </c>
      <c r="B363" s="2">
        <f>DATE(Sintesi!$C$4-1,12,31)+A363</f>
        <v>44196</v>
      </c>
      <c r="C363" s="34" cm="1">
        <f t="array" ref="C363">_xlfn.IFNA(MATCH(1,(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)*(_xlfn.ANCHORARRAY(Sintesi!$C$15)&gt;=0)+(_xlfn.ANCHORARRAY(Sintesi!$C$15)&lt;0),0),0)</f>
        <v>0</v>
      </c>
      <c r="D363" s="1" cm="1">
        <f t="array" ref="D363">IF(ISBLANK($E364),IF(ISNUMBER($E362),IF($C363&gt;0,IF(($E363=INDEX(_xlfn.ANCHORARRAY(Sintesi!$C$14),1,$C363))*(INDEX(_xlfn.ANCHORARRAY(Sintesi!$C$15),1,$C363)&gt;0),0,IF(($E363=INDEX(_xlfn.ANCHORARRAY(Sintesi!$C$14),1,$C363))*(INDEX(_xlfn.ANCHORARRAY(Sintesi!$C$15),1,$C363)&lt;0)+($E363&gt;=$E362)*($E363&lt;=INDEX($E:$E,MATCH(TRUE,INDEX((ISNUMBER($E:$E)),0),0)))*($E363&gt;INDEX(_xlfn.ANCHORARRAY(Sintesi!$C$14),1,$C363))*($E363&lt;=INDEX(_xlfn.ANCHORARRAY(Sintesi!$C$15),1,$C363))*(INDEX(_xlfn.ANCHORARRAY(Sintesi!$C$15),1,$C363)&gt;0),1,IF(($E363&gt;=$E362)*($E363&lt;=INDEX($E:$E,MATCH(TRUE,INDEX((ISNUMBER($E:$E)),0),0)))*($E363&gt;INDEX(_xlfn.ANCHORARRAY(Sintesi!$C$14),1,$C363))*($E363&lt;INDEX(_xlfn.ANCHORARRAY(Sintesi!$C$16),1,$C363))*(INDEX(_xlfn.ANCHORARRAY(Sintesi!$C$15),1,$C363)&lt;0)+($E363&gt;=$E362)*($E363&lt;=INDEX($E:$E,MATCH(TRUE,INDEX((ISNUMBER($E:$E)),0),0)))*($E363&gt;INDEX(_xlfn.ANCHORARRAY(Sintesi!$C$15),1,$C363))*($E363&lt;INDEX(_xlfn.ANCHORARRAY(Sintesi!$C$16),1,$C363))*(INDEX(_xlfn.ANCHORARRAY(Sintesi!$C$15),1,$C363)&gt;0),2,IF($E363=(INDEX(_xlfn.ANCHORARRAY(Sintesi!$C$16),1,$C363)),3,4)))),0),IF($C363&gt;0,IF(($E363=INDEX(_xlfn.ANCHORARRAY(Sintesi!$C$14),1,$C363))*(INDEX(_xlfn.ANCHORARRAY(Sintesi!$C$15),1,$C363)&gt;0),0,IF(($E363=INDEX(_xlfn.ANCHORARRAY(Sintesi!$C$14),1,$C363))*(INDEX(_xlfn.ANCHORARRAY(Sintesi!$C$15),1,$C363)&lt;0)+($E363&gt;=LOOKUP(2,1/($E:$E&lt;&gt;""),$E:$E))*($E363&lt;=INDEX($E:$E,MATCH(TRUE,INDEX((ISNUMBER($E:$E)),0),0)))*($E363&gt;INDEX(_xlfn.ANCHORARRAY(Sintesi!$C$14),1,$C363))*($E363&lt;=INDEX(_xlfn.ANCHORARRAY(Sintesi!$C$15),1,$C363))*(INDEX(_xlfn.ANCHORARRAY(Sintesi!$C$15),1,$C363)&gt;0),1,IF(($E363&gt;=LOOKUP(2,1/($E:$E&lt;&gt;""),$E:$E))*($E363&lt;=INDEX($E:$E,MATCH(TRUE,INDEX((ISNUMBER($E:$E)),0),0)))*($E363&gt;INDEX(_xlfn.ANCHORARRAY(Sintesi!$C$14),1,$C363))*($E363&lt;INDEX(_xlfn.ANCHORARRAY(Sintesi!$C$16),1,$C363))*(INDEX(_xlfn.ANCHORARRAY(Sintesi!$C$15),1,$C363)&lt;0)+($E363&gt;=LOOKUP(2,1/($E:$E&lt;&gt;""),$E:$E))*($E363&lt;=INDEX($E:$E,MATCH(TRUE,INDEX((ISNUMBER($E:$E)),0),0)))*($E363&gt;INDEX(_xlfn.ANCHORARRAY(Sintesi!$C$15),1,$C363))*($E363&lt;INDEX(_xlfn.ANCHORARRAY(Sintesi!$C$16),1,$C363))*(INDEX(_xlfn.ANCHORARRAY(Sintesi!$C$15),1,$C363)&gt;0),2,IF($E363=(INDEX(_xlfn.ANCHORARRAY(Sintesi!$C$16),1,$C363)),3,4)))),0)),IF(ISNUMBER($E362),IF($C363&gt;0,IF(($E363=INDEX(_xlfn.ANCHORARRAY(Sintesi!$C$14),1,$C363))*(INDEX(_xlfn.ANCHORARRAY(Sintesi!$C$15),1,$C363)&gt;0),0,IF(($E363=INDEX(_xlfn.ANCHORARRAY(Sintesi!$C$14),1,$C363))*(INDEX(_xlfn.ANCHORARRAY(Sintesi!$C$15),1,$C363)&lt;0)+($E363&gt;=$E362)*($E363&lt;=$E364)*($E363&gt;INDEX(_xlfn.ANCHORARRAY(Sintesi!$C$14),1,$C363))*($E363&lt;=INDEX(_xlfn.ANCHORARRAY(Sintesi!$C$15),1,$C363))*(INDEX(_xlfn.ANCHORARRAY(Sintesi!$C$15),1,$C363)&gt;0),1,IF(($E363&gt;=$E362)*($E363&lt;=$E364)*($E363&gt;INDEX(_xlfn.ANCHORARRAY(Sintesi!$C$14),1,$C363))*($E363&lt;INDEX(_xlfn.ANCHORARRAY(Sintesi!$C$16),1,$C363))*(INDEX(_xlfn.ANCHORARRAY(Sintesi!$C$15),1,$C363)&lt;0)+($E363&gt;=$E362)*($E363&lt;=$E364)*($E363&gt;INDEX(_xlfn.ANCHORARRAY(Sintesi!$C$15),1,$C363))*($E363&lt;INDEX(_xlfn.ANCHORARRAY(Sintesi!$C$16),1,$C363))*(INDEX(_xlfn.ANCHORARRAY(Sintesi!$C$15),1,$C363)&gt;0),2,IF($E363=(INDEX(_xlfn.ANCHORARRAY(Sintesi!$C$16),1,$C363)),3,4)))),0),IF($C363&gt;0,IF(($E363=INDEX(_xlfn.ANCHORARRAY(Sintesi!$C$14),1,$C363))*(INDEX(_xlfn.ANCHORARRAY(Sintesi!$C$15),1,$C363)&gt;0),0,IF(($E363=INDEX(_xlfn.ANCHORARRAY(Sintesi!$C$14),1,$C363))*(INDEX(_xlfn.ANCHORARRAY(Sintesi!$C$15),1,$C363)&lt;0)+($E363&gt;=LOOKUP(2,1/($E:$E&lt;&gt;""),$E:$E))*($E363&lt;=$E364)*($E363&gt;INDEX(_xlfn.ANCHORARRAY(Sintesi!$C$14),1,$C363))*($E363&lt;=INDEX(_xlfn.ANCHORARRAY(Sintesi!$C$15),1,$C363))*(INDEX(_xlfn.ANCHORARRAY(Sintesi!$C$15),1,$C363)&gt;0),1,IF(($E363&gt;=LOOKUP(2,1/($E:$E&lt;&gt;""),$E:$E))*($E363&lt;=$E364)*($E363&gt;INDEX(_xlfn.ANCHORARRAY(Sintesi!$C$14),1,$C363))*($E363&lt;INDEX(_xlfn.ANCHORARRAY(Sintesi!$C$16),1,$C363))*(INDEX(_xlfn.ANCHORARRAY(Sintesi!$C$15),1,$C363)&lt;0)+($E363&gt;=LOOKUP(2,1/($E:$E&lt;&gt;""),$E:$E))*($E363&lt;=$E364)*($E363&gt;INDEX(_xlfn.ANCHORARRAY(Sintesi!$C$15),1,$C363))*($E363&lt;INDEX(_xlfn.ANCHORARRAY(Sintesi!$C$16),1,$C363))*(INDEX(_xlfn.ANCHORARRAY(Sintesi!$C$15),1,$C363)&gt;0),2,IF($E363=(INDEX(_xlfn.ANCHORARRAY(Sintesi!$C$16),1,$C363)),3,4)))),0)))</f>
        <v>0</v>
      </c>
      <c r="E363" s="1">
        <f>'Paste cell here'!F363</f>
        <v>0</v>
      </c>
      <c r="F363" s="1">
        <f>'Paste cell here'!C363</f>
        <v>0</v>
      </c>
      <c r="G363" s="1">
        <f>'Paste cell here'!D363</f>
        <v>0</v>
      </c>
      <c r="H363" s="1">
        <f>'Paste cell here'!E363</f>
        <v>0</v>
      </c>
      <c r="I363" s="1">
        <f>'Paste cell here'!X363</f>
        <v>0</v>
      </c>
      <c r="J363" s="1">
        <f>'Paste cell here'!Y363+'Paste cell here'!S363</f>
        <v>0</v>
      </c>
      <c r="K363" s="1" t="e">
        <f t="shared" si="11"/>
        <v>#DIV/0!</v>
      </c>
      <c r="L363" s="1">
        <f t="shared" si="10"/>
        <v>0</v>
      </c>
      <c r="M363" s="1" cm="1">
        <f t="array" ref="M363">IF(AND(A363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,A363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),IF(L363&lt;_xlfn.IFNA(INDEX(_xlfn.ANCHORARRAY(Sintesi!$C$17)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,1,IF(L363&gt;=_xlfn.IFNA(INDEX(_xlfn.ANCHORARRAY(Sintesi!$C$18)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,0,1-(L363-_xlfn.IFNA(INDEX(_xlfn.ANCHORARRAY(Sintesi!$C$17)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)/(_xlfn.IFNA(INDEX(_xlfn.ANCHORARRAY(Sintesi!$C$18)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-_xlfn.IFNA(INDEX(_xlfn.ANCHORARRAY(Sintesi!$C$17),1,MATCH(1,(_xlfn.ANCHORARRAY(Sintesi!$C$9)&gt;_xlfn.ANCHORARRAY(Sintesi!$C$10))*(A362&gt;=_xlfn.ANCHORARRAY(Sintesi!$C$9))+(_xlfn.ANCHORARRAY(Sintesi!$C$9)&gt;_xlfn.ANCHORARRAY(Sintesi!$C$10))*(A362&lt;=_xlfn.ANCHORARRAY(Sintesi!$C$10))+(_xlfn.ANCHORARRAY(Sintesi!$C$9)&lt;_xlfn.ANCHORARRAY(Sintesi!$C$10))*(A362&gt;=_xlfn.ANCHORARRAY(Sintesi!$C$9))*(A362&lt;=_xlfn.ANCHORARRAY(Sintesi!$C$10)),0)),0)))),0)</f>
        <v>0</v>
      </c>
    </row>
    <row r="364" spans="1:15">
      <c r="A364" s="1">
        <f>'Paste cell here'!A364</f>
        <v>0</v>
      </c>
      <c r="B364" s="2">
        <f>DATE(Sintesi!$C$4-1,12,31)+A364</f>
        <v>44196</v>
      </c>
      <c r="C364" s="34" cm="1">
        <f t="array" ref="C364">_xlfn.IFNA(MATCH(1,(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)*(_xlfn.ANCHORARRAY(Sintesi!$C$15)&gt;=0)+(_xlfn.ANCHORARRAY(Sintesi!$C$15)&lt;0),0),0)</f>
        <v>0</v>
      </c>
      <c r="D364" s="1" cm="1">
        <f t="array" ref="D364">IF(ISBLANK($E365),IF(ISNUMBER($E363),IF($C364&gt;0,IF(($E364=INDEX(_xlfn.ANCHORARRAY(Sintesi!$C$14),1,$C364))*(INDEX(_xlfn.ANCHORARRAY(Sintesi!$C$15),1,$C364)&gt;0),0,IF(($E364=INDEX(_xlfn.ANCHORARRAY(Sintesi!$C$14),1,$C364))*(INDEX(_xlfn.ANCHORARRAY(Sintesi!$C$15),1,$C364)&lt;0)+($E364&gt;=$E363)*($E364&lt;=INDEX($E:$E,MATCH(TRUE,INDEX((ISNUMBER($E:$E)),0),0)))*($E364&gt;INDEX(_xlfn.ANCHORARRAY(Sintesi!$C$14),1,$C364))*($E364&lt;=INDEX(_xlfn.ANCHORARRAY(Sintesi!$C$15),1,$C364))*(INDEX(_xlfn.ANCHORARRAY(Sintesi!$C$15),1,$C364)&gt;0),1,IF(($E364&gt;=$E363)*($E364&lt;=INDEX($E:$E,MATCH(TRUE,INDEX((ISNUMBER($E:$E)),0),0)))*($E364&gt;INDEX(_xlfn.ANCHORARRAY(Sintesi!$C$14),1,$C364))*($E364&lt;INDEX(_xlfn.ANCHORARRAY(Sintesi!$C$16),1,$C364))*(INDEX(_xlfn.ANCHORARRAY(Sintesi!$C$15),1,$C364)&lt;0)+($E364&gt;=$E363)*($E364&lt;=INDEX($E:$E,MATCH(TRUE,INDEX((ISNUMBER($E:$E)),0),0)))*($E364&gt;INDEX(_xlfn.ANCHORARRAY(Sintesi!$C$15),1,$C364))*($E364&lt;INDEX(_xlfn.ANCHORARRAY(Sintesi!$C$16),1,$C364))*(INDEX(_xlfn.ANCHORARRAY(Sintesi!$C$15),1,$C364)&gt;0),2,IF($E364=(INDEX(_xlfn.ANCHORARRAY(Sintesi!$C$16),1,$C364)),3,4)))),0),IF($C364&gt;0,IF(($E364=INDEX(_xlfn.ANCHORARRAY(Sintesi!$C$14),1,$C364))*(INDEX(_xlfn.ANCHORARRAY(Sintesi!$C$15),1,$C364)&gt;0),0,IF(($E364=INDEX(_xlfn.ANCHORARRAY(Sintesi!$C$14),1,$C364))*(INDEX(_xlfn.ANCHORARRAY(Sintesi!$C$15),1,$C364)&lt;0)+($E364&gt;=LOOKUP(2,1/($E:$E&lt;&gt;""),$E:$E))*($E364&lt;=INDEX($E:$E,MATCH(TRUE,INDEX((ISNUMBER($E:$E)),0),0)))*($E364&gt;INDEX(_xlfn.ANCHORARRAY(Sintesi!$C$14),1,$C364))*($E364&lt;=INDEX(_xlfn.ANCHORARRAY(Sintesi!$C$15),1,$C364))*(INDEX(_xlfn.ANCHORARRAY(Sintesi!$C$15),1,$C364)&gt;0),1,IF(($E364&gt;=LOOKUP(2,1/($E:$E&lt;&gt;""),$E:$E))*($E364&lt;=INDEX($E:$E,MATCH(TRUE,INDEX((ISNUMBER($E:$E)),0),0)))*($E364&gt;INDEX(_xlfn.ANCHORARRAY(Sintesi!$C$14),1,$C364))*($E364&lt;INDEX(_xlfn.ANCHORARRAY(Sintesi!$C$16),1,$C364))*(INDEX(_xlfn.ANCHORARRAY(Sintesi!$C$15),1,$C364)&lt;0)+($E364&gt;=LOOKUP(2,1/($E:$E&lt;&gt;""),$E:$E))*($E364&lt;=INDEX($E:$E,MATCH(TRUE,INDEX((ISNUMBER($E:$E)),0),0)))*($E364&gt;INDEX(_xlfn.ANCHORARRAY(Sintesi!$C$15),1,$C364))*($E364&lt;INDEX(_xlfn.ANCHORARRAY(Sintesi!$C$16),1,$C364))*(INDEX(_xlfn.ANCHORARRAY(Sintesi!$C$15),1,$C364)&gt;0),2,IF($E364=(INDEX(_xlfn.ANCHORARRAY(Sintesi!$C$16),1,$C364)),3,4)))),0)),IF(ISNUMBER($E363),IF($C364&gt;0,IF(($E364=INDEX(_xlfn.ANCHORARRAY(Sintesi!$C$14),1,$C364))*(INDEX(_xlfn.ANCHORARRAY(Sintesi!$C$15),1,$C364)&gt;0),0,IF(($E364=INDEX(_xlfn.ANCHORARRAY(Sintesi!$C$14),1,$C364))*(INDEX(_xlfn.ANCHORARRAY(Sintesi!$C$15),1,$C364)&lt;0)+($E364&gt;=$E363)*($E364&lt;=$E365)*($E364&gt;INDEX(_xlfn.ANCHORARRAY(Sintesi!$C$14),1,$C364))*($E364&lt;=INDEX(_xlfn.ANCHORARRAY(Sintesi!$C$15),1,$C364))*(INDEX(_xlfn.ANCHORARRAY(Sintesi!$C$15),1,$C364)&gt;0),1,IF(($E364&gt;=$E363)*($E364&lt;=$E365)*($E364&gt;INDEX(_xlfn.ANCHORARRAY(Sintesi!$C$14),1,$C364))*($E364&lt;INDEX(_xlfn.ANCHORARRAY(Sintesi!$C$16),1,$C364))*(INDEX(_xlfn.ANCHORARRAY(Sintesi!$C$15),1,$C364)&lt;0)+($E364&gt;=$E363)*($E364&lt;=$E365)*($E364&gt;INDEX(_xlfn.ANCHORARRAY(Sintesi!$C$15),1,$C364))*($E364&lt;INDEX(_xlfn.ANCHORARRAY(Sintesi!$C$16),1,$C364))*(INDEX(_xlfn.ANCHORARRAY(Sintesi!$C$15),1,$C364)&gt;0),2,IF($E364=(INDEX(_xlfn.ANCHORARRAY(Sintesi!$C$16),1,$C364)),3,4)))),0),IF($C364&gt;0,IF(($E364=INDEX(_xlfn.ANCHORARRAY(Sintesi!$C$14),1,$C364))*(INDEX(_xlfn.ANCHORARRAY(Sintesi!$C$15),1,$C364)&gt;0),0,IF(($E364=INDEX(_xlfn.ANCHORARRAY(Sintesi!$C$14),1,$C364))*(INDEX(_xlfn.ANCHORARRAY(Sintesi!$C$15),1,$C364)&lt;0)+($E364&gt;=LOOKUP(2,1/($E:$E&lt;&gt;""),$E:$E))*($E364&lt;=$E365)*($E364&gt;INDEX(_xlfn.ANCHORARRAY(Sintesi!$C$14),1,$C364))*($E364&lt;=INDEX(_xlfn.ANCHORARRAY(Sintesi!$C$15),1,$C364))*(INDEX(_xlfn.ANCHORARRAY(Sintesi!$C$15),1,$C364)&gt;0),1,IF(($E364&gt;=LOOKUP(2,1/($E:$E&lt;&gt;""),$E:$E))*($E364&lt;=$E365)*($E364&gt;INDEX(_xlfn.ANCHORARRAY(Sintesi!$C$14),1,$C364))*($E364&lt;INDEX(_xlfn.ANCHORARRAY(Sintesi!$C$16),1,$C364))*(INDEX(_xlfn.ANCHORARRAY(Sintesi!$C$15),1,$C364)&lt;0)+($E364&gt;=LOOKUP(2,1/($E:$E&lt;&gt;""),$E:$E))*($E364&lt;=$E365)*($E364&gt;INDEX(_xlfn.ANCHORARRAY(Sintesi!$C$15),1,$C364))*($E364&lt;INDEX(_xlfn.ANCHORARRAY(Sintesi!$C$16),1,$C364))*(INDEX(_xlfn.ANCHORARRAY(Sintesi!$C$15),1,$C364)&gt;0),2,IF($E364=(INDEX(_xlfn.ANCHORARRAY(Sintesi!$C$16),1,$C364)),3,4)))),0)))</f>
        <v>0</v>
      </c>
      <c r="E364" s="1">
        <f>'Paste cell here'!F364</f>
        <v>0</v>
      </c>
      <c r="F364" s="1">
        <f>'Paste cell here'!C364</f>
        <v>0</v>
      </c>
      <c r="G364" s="1">
        <f>'Paste cell here'!D364</f>
        <v>0</v>
      </c>
      <c r="H364" s="1">
        <f>'Paste cell here'!E364</f>
        <v>0</v>
      </c>
      <c r="I364" s="1">
        <f>'Paste cell here'!X364</f>
        <v>0</v>
      </c>
      <c r="J364" s="1">
        <f>'Paste cell here'!Y364+'Paste cell here'!S364</f>
        <v>0</v>
      </c>
      <c r="K364" s="1" t="e">
        <f t="shared" si="11"/>
        <v>#DIV/0!</v>
      </c>
      <c r="L364" s="1">
        <f t="shared" si="10"/>
        <v>0</v>
      </c>
      <c r="M364" s="1" cm="1">
        <f t="array" ref="M364">IF(AND(A364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,A364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),IF(L364&lt;_xlfn.IFNA(INDEX(_xlfn.ANCHORARRAY(Sintesi!$C$17)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,1,IF(L364&gt;=_xlfn.IFNA(INDEX(_xlfn.ANCHORARRAY(Sintesi!$C$18)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,0,1-(L364-_xlfn.IFNA(INDEX(_xlfn.ANCHORARRAY(Sintesi!$C$17)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)/(_xlfn.IFNA(INDEX(_xlfn.ANCHORARRAY(Sintesi!$C$18)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-_xlfn.IFNA(INDEX(_xlfn.ANCHORARRAY(Sintesi!$C$17),1,MATCH(1,(_xlfn.ANCHORARRAY(Sintesi!$C$9)&gt;_xlfn.ANCHORARRAY(Sintesi!$C$10))*(A363&gt;=_xlfn.ANCHORARRAY(Sintesi!$C$9))+(_xlfn.ANCHORARRAY(Sintesi!$C$9)&gt;_xlfn.ANCHORARRAY(Sintesi!$C$10))*(A363&lt;=_xlfn.ANCHORARRAY(Sintesi!$C$10))+(_xlfn.ANCHORARRAY(Sintesi!$C$9)&lt;_xlfn.ANCHORARRAY(Sintesi!$C$10))*(A363&gt;=_xlfn.ANCHORARRAY(Sintesi!$C$9))*(A363&lt;=_xlfn.ANCHORARRAY(Sintesi!$C$10)),0)),0)))),0)</f>
        <v>0</v>
      </c>
    </row>
    <row r="365" spans="1:15" ht="11.25" customHeight="1">
      <c r="A365" s="1">
        <f>'Paste cell here'!A365</f>
        <v>0</v>
      </c>
      <c r="B365" s="2">
        <f>DATE(Sintesi!$C$4-1,12,31)+A365</f>
        <v>44196</v>
      </c>
      <c r="C365" s="34" cm="1">
        <f t="array" ref="C365">_xlfn.IFNA(MATCH(1,(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)*(_xlfn.ANCHORARRAY(Sintesi!$C$15)&gt;=0)+(_xlfn.ANCHORARRAY(Sintesi!$C$15)&lt;0),0),0)</f>
        <v>0</v>
      </c>
      <c r="D365" s="1" cm="1">
        <f t="array" ref="D365">IF(ISBLANK($E366),IF(ISNUMBER($E364),IF($C365&gt;0,IF(($E365=INDEX(_xlfn.ANCHORARRAY(Sintesi!$C$14),1,$C365))*(INDEX(_xlfn.ANCHORARRAY(Sintesi!$C$15),1,$C365)&gt;0),0,IF(($E365=INDEX(_xlfn.ANCHORARRAY(Sintesi!$C$14),1,$C365))*(INDEX(_xlfn.ANCHORARRAY(Sintesi!$C$15),1,$C365)&lt;0)+($E365&gt;=$E364)*($E365&lt;=INDEX($E:$E,MATCH(TRUE,INDEX((ISNUMBER($E:$E)),0),0)))*($E365&gt;INDEX(_xlfn.ANCHORARRAY(Sintesi!$C$14),1,$C365))*($E365&lt;=INDEX(_xlfn.ANCHORARRAY(Sintesi!$C$15),1,$C365))*(INDEX(_xlfn.ANCHORARRAY(Sintesi!$C$15),1,$C365)&gt;0),1,IF(($E365&gt;=$E364)*($E365&lt;=INDEX($E:$E,MATCH(TRUE,INDEX((ISNUMBER($E:$E)),0),0)))*($E365&gt;INDEX(_xlfn.ANCHORARRAY(Sintesi!$C$14),1,$C365))*($E365&lt;INDEX(_xlfn.ANCHORARRAY(Sintesi!$C$16),1,$C365))*(INDEX(_xlfn.ANCHORARRAY(Sintesi!$C$15),1,$C365)&lt;0)+($E365&gt;=$E364)*($E365&lt;=INDEX($E:$E,MATCH(TRUE,INDEX((ISNUMBER($E:$E)),0),0)))*($E365&gt;INDEX(_xlfn.ANCHORARRAY(Sintesi!$C$15),1,$C365))*($E365&lt;INDEX(_xlfn.ANCHORARRAY(Sintesi!$C$16),1,$C365))*(INDEX(_xlfn.ANCHORARRAY(Sintesi!$C$15),1,$C365)&gt;0),2,IF($E365=(INDEX(_xlfn.ANCHORARRAY(Sintesi!$C$16),1,$C365)),3,4)))),0),IF($C365&gt;0,IF(($E365=INDEX(_xlfn.ANCHORARRAY(Sintesi!$C$14),1,$C365))*(INDEX(_xlfn.ANCHORARRAY(Sintesi!$C$15),1,$C365)&gt;0),0,IF(($E365=INDEX(_xlfn.ANCHORARRAY(Sintesi!$C$14),1,$C365))*(INDEX(_xlfn.ANCHORARRAY(Sintesi!$C$15),1,$C365)&lt;0)+($E365&gt;=LOOKUP(2,1/($E:$E&lt;&gt;""),$E:$E))*($E365&lt;=INDEX($E:$E,MATCH(TRUE,INDEX((ISNUMBER($E:$E)),0),0)))*($E365&gt;INDEX(_xlfn.ANCHORARRAY(Sintesi!$C$14),1,$C365))*($E365&lt;=INDEX(_xlfn.ANCHORARRAY(Sintesi!$C$15),1,$C365))*(INDEX(_xlfn.ANCHORARRAY(Sintesi!$C$15),1,$C365)&gt;0),1,IF(($E365&gt;=LOOKUP(2,1/($E:$E&lt;&gt;""),$E:$E))*($E365&lt;=INDEX($E:$E,MATCH(TRUE,INDEX((ISNUMBER($E:$E)),0),0)))*($E365&gt;INDEX(_xlfn.ANCHORARRAY(Sintesi!$C$14),1,$C365))*($E365&lt;INDEX(_xlfn.ANCHORARRAY(Sintesi!$C$16),1,$C365))*(INDEX(_xlfn.ANCHORARRAY(Sintesi!$C$15),1,$C365)&lt;0)+($E365&gt;=LOOKUP(2,1/($E:$E&lt;&gt;""),$E:$E))*($E365&lt;=INDEX($E:$E,MATCH(TRUE,INDEX((ISNUMBER($E:$E)),0),0)))*($E365&gt;INDEX(_xlfn.ANCHORARRAY(Sintesi!$C$15),1,$C365))*($E365&lt;INDEX(_xlfn.ANCHORARRAY(Sintesi!$C$16),1,$C365))*(INDEX(_xlfn.ANCHORARRAY(Sintesi!$C$15),1,$C365)&gt;0),2,IF($E365=(INDEX(_xlfn.ANCHORARRAY(Sintesi!$C$16),1,$C365)),3,4)))),0)),IF(ISNUMBER($E364),IF($C365&gt;0,IF(($E365=INDEX(_xlfn.ANCHORARRAY(Sintesi!$C$14),1,$C365))*(INDEX(_xlfn.ANCHORARRAY(Sintesi!$C$15),1,$C365)&gt;0),0,IF(($E365=INDEX(_xlfn.ANCHORARRAY(Sintesi!$C$14),1,$C365))*(INDEX(_xlfn.ANCHORARRAY(Sintesi!$C$15),1,$C365)&lt;0)+($E365&gt;=$E364)*($E365&lt;=$E366)*($E365&gt;INDEX(_xlfn.ANCHORARRAY(Sintesi!$C$14),1,$C365))*($E365&lt;=INDEX(_xlfn.ANCHORARRAY(Sintesi!$C$15),1,$C365))*(INDEX(_xlfn.ANCHORARRAY(Sintesi!$C$15),1,$C365)&gt;0),1,IF(($E365&gt;=$E364)*($E365&lt;=$E366)*($E365&gt;INDEX(_xlfn.ANCHORARRAY(Sintesi!$C$14),1,$C365))*($E365&lt;INDEX(_xlfn.ANCHORARRAY(Sintesi!$C$16),1,$C365))*(INDEX(_xlfn.ANCHORARRAY(Sintesi!$C$15),1,$C365)&lt;0)+($E365&gt;=$E364)*($E365&lt;=$E366)*($E365&gt;INDEX(_xlfn.ANCHORARRAY(Sintesi!$C$15),1,$C365))*($E365&lt;INDEX(_xlfn.ANCHORARRAY(Sintesi!$C$16),1,$C365))*(INDEX(_xlfn.ANCHORARRAY(Sintesi!$C$15),1,$C365)&gt;0),2,IF($E365=(INDEX(_xlfn.ANCHORARRAY(Sintesi!$C$16),1,$C365)),3,4)))),0),IF($C365&gt;0,IF(($E365=INDEX(_xlfn.ANCHORARRAY(Sintesi!$C$14),1,$C365))*(INDEX(_xlfn.ANCHORARRAY(Sintesi!$C$15),1,$C365)&gt;0),0,IF(($E365=INDEX(_xlfn.ANCHORARRAY(Sintesi!$C$14),1,$C365))*(INDEX(_xlfn.ANCHORARRAY(Sintesi!$C$15),1,$C365)&lt;0)+($E365&gt;=LOOKUP(2,1/($E:$E&lt;&gt;""),$E:$E))*($E365&lt;=$E366)*($E365&gt;INDEX(_xlfn.ANCHORARRAY(Sintesi!$C$14),1,$C365))*($E365&lt;=INDEX(_xlfn.ANCHORARRAY(Sintesi!$C$15),1,$C365))*(INDEX(_xlfn.ANCHORARRAY(Sintesi!$C$15),1,$C365)&gt;0),1,IF(($E365&gt;=LOOKUP(2,1/($E:$E&lt;&gt;""),$E:$E))*($E365&lt;=$E366)*($E365&gt;INDEX(_xlfn.ANCHORARRAY(Sintesi!$C$14),1,$C365))*($E365&lt;INDEX(_xlfn.ANCHORARRAY(Sintesi!$C$16),1,$C365))*(INDEX(_xlfn.ANCHORARRAY(Sintesi!$C$15),1,$C365)&lt;0)+($E365&gt;=LOOKUP(2,1/($E:$E&lt;&gt;""),$E:$E))*($E365&lt;=$E366)*($E365&gt;INDEX(_xlfn.ANCHORARRAY(Sintesi!$C$15),1,$C365))*($E365&lt;INDEX(_xlfn.ANCHORARRAY(Sintesi!$C$16),1,$C365))*(INDEX(_xlfn.ANCHORARRAY(Sintesi!$C$15),1,$C365)&gt;0),2,IF($E365=(INDEX(_xlfn.ANCHORARRAY(Sintesi!$C$16),1,$C365)),3,4)))),0)))</f>
        <v>0</v>
      </c>
      <c r="E365" s="1">
        <f>'Paste cell here'!F365</f>
        <v>0</v>
      </c>
      <c r="F365" s="1">
        <f>'Paste cell here'!C365</f>
        <v>0</v>
      </c>
      <c r="G365" s="1">
        <f>'Paste cell here'!D365</f>
        <v>0</v>
      </c>
      <c r="H365" s="1">
        <f>'Paste cell here'!E365</f>
        <v>0</v>
      </c>
      <c r="I365" s="1">
        <f>'Paste cell here'!X365</f>
        <v>0</v>
      </c>
      <c r="J365" s="1">
        <f>'Paste cell here'!Y365+'Paste cell here'!S365</f>
        <v>0</v>
      </c>
      <c r="K365" s="1" t="e">
        <f t="shared" si="11"/>
        <v>#DIV/0!</v>
      </c>
      <c r="L365" s="1">
        <f t="shared" si="10"/>
        <v>0</v>
      </c>
      <c r="M365" s="1" cm="1">
        <f t="array" ref="M365">IF(AND(A365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,A365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366&gt;=_xlfn.ANCHORARRAY(Sintesi!$C$9))+(_xlfn.ANCHORARRAY(Sintesi!$C$9)&gt;_xlfn.ANCHORARRAY(Sintesi!$C$10))*(A366&lt;=_xlfn.ANCHORARRAY(Sintesi!$C$10))+(_xlfn.ANCHORARRAY(Sintesi!$C$9)&lt;_xlfn.ANCHORARRAY(Sintesi!$C$10))*(A366&gt;=_xlfn.ANCHORARRAY(Sintesi!$C$9))*(A366&lt;=_xlfn.ANCHORARRAY(Sintesi!$C$10)),0)),0)),IF(L365&lt;_xlfn.IFNA(INDEX(_xlfn.ANCHORARRAY(Sintesi!$C$17)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,1,IF(L365&gt;=_xlfn.IFNA(INDEX(_xlfn.ANCHORARRAY(Sintesi!$C$18)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,0,1-(L365-_xlfn.IFNA(INDEX(_xlfn.ANCHORARRAY(Sintesi!$C$17)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)/(_xlfn.IFNA(INDEX(_xlfn.ANCHORARRAY(Sintesi!$C$18)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-_xlfn.IFNA(INDEX(_xlfn.ANCHORARRAY(Sintesi!$C$17),1,MATCH(1,(_xlfn.ANCHORARRAY(Sintesi!$C$9)&gt;_xlfn.ANCHORARRAY(Sintesi!$C$10))*(A364&gt;=_xlfn.ANCHORARRAY(Sintesi!$C$9))+(_xlfn.ANCHORARRAY(Sintesi!$C$9)&gt;_xlfn.ANCHORARRAY(Sintesi!$C$10))*(A364&lt;=_xlfn.ANCHORARRAY(Sintesi!$C$10))+(_xlfn.ANCHORARRAY(Sintesi!$C$9)&lt;_xlfn.ANCHORARRAY(Sintesi!$C$10))*(A364&gt;=_xlfn.ANCHORARRAY(Sintesi!$C$9))*(A364&lt;=_xlfn.ANCHORARRAY(Sintesi!$C$10)),0)),0)))),0)</f>
        <v>0</v>
      </c>
    </row>
    <row r="366" spans="1:15" ht="11.25" customHeight="1">
      <c r="A366" s="1">
        <f>'Paste cell here'!A366</f>
        <v>0</v>
      </c>
      <c r="B366" s="2">
        <f>DATE(Sintesi!$C$4-1,12,31)+A366</f>
        <v>44196</v>
      </c>
      <c r="C366" s="34" cm="1">
        <f t="array" ref="C366">_xlfn.IFNA(MATCH(1,((_xlfn.ANCHORARRAY(Sintesi!$C$9)&gt;_xlfn.ANCHORARRAY(Sintesi!$C$10))*(A366&gt;=_xlfn.ANCHORARRAY(Sintesi!$C$9))+(_xlfn.ANCHORARRAY(Sintesi!$C$9)&gt;_xlfn.ANCHORARRAY(Sintesi!$C$10))*(A366&lt;=_xlfn.ANCHORARRAY(Sintesi!$C$10))+(_xlfn.ANCHORARRAY(Sintesi!$C$9)&lt;_xlfn.ANCHORARRAY(Sintesi!$C$10))*(A366&gt;=_xlfn.ANCHORARRAY(Sintesi!$C$9))*(A366&lt;=_xlfn.ANCHORARRAY(Sintesi!$C$10)))*(_xlfn.ANCHORARRAY(Sintesi!$C$15)&gt;=0)+(_xlfn.ANCHORARRAY(Sintesi!$C$15)&lt;0),0),0)</f>
        <v>0</v>
      </c>
      <c r="D366" s="1" cm="1">
        <f t="array" ref="D366">IF(ISBLANK($E367),IF(ISNUMBER($E365),IF($C366&gt;0,IF(($E366=INDEX(_xlfn.ANCHORARRAY(Sintesi!$C$14),1,$C366))*(INDEX(_xlfn.ANCHORARRAY(Sintesi!$C$15),1,$C366)&gt;0),0,IF(($E366=INDEX(_xlfn.ANCHORARRAY(Sintesi!$C$14),1,$C366))*(INDEX(_xlfn.ANCHORARRAY(Sintesi!$C$15),1,$C366)&lt;0)+($E366&gt;=$E365)*($E366&lt;=INDEX($E:$E,MATCH(TRUE,INDEX((ISNUMBER($E:$E)),0),0)))*($E366&gt;INDEX(_xlfn.ANCHORARRAY(Sintesi!$C$14),1,$C366))*($E366&lt;=INDEX(_xlfn.ANCHORARRAY(Sintesi!$C$15),1,$C366))*(INDEX(_xlfn.ANCHORARRAY(Sintesi!$C$15),1,$C366)&gt;0),1,IF(($E366&gt;=$E365)*($E366&lt;=INDEX($E:$E,MATCH(TRUE,INDEX((ISNUMBER($E:$E)),0),0)))*($E366&gt;INDEX(_xlfn.ANCHORARRAY(Sintesi!$C$14),1,$C366))*($E366&lt;INDEX(_xlfn.ANCHORARRAY(Sintesi!$C$16),1,$C366))*(INDEX(_xlfn.ANCHORARRAY(Sintesi!$C$15),1,$C366)&lt;0)+($E366&gt;=$E365)*($E366&lt;=INDEX($E:$E,MATCH(TRUE,INDEX((ISNUMBER($E:$E)),0),0)))*($E366&gt;INDEX(_xlfn.ANCHORARRAY(Sintesi!$C$15),1,$C366))*($E366&lt;INDEX(_xlfn.ANCHORARRAY(Sintesi!$C$16),1,$C366))*(INDEX(_xlfn.ANCHORARRAY(Sintesi!$C$15),1,$C366)&gt;0),2,IF($E366=(INDEX(_xlfn.ANCHORARRAY(Sintesi!$C$16),1,$C366)),3,4)))),0),IF($C366&gt;0,IF(($E366=INDEX(_xlfn.ANCHORARRAY(Sintesi!$C$14),1,$C366))*(INDEX(_xlfn.ANCHORARRAY(Sintesi!$C$15),1,$C366)&gt;0),0,IF(($E366=INDEX(_xlfn.ANCHORARRAY(Sintesi!$C$14),1,$C366))*(INDEX(_xlfn.ANCHORARRAY(Sintesi!$C$15),1,$C366)&lt;0)+($E366&gt;=LOOKUP(2,1/($E:$E&lt;&gt;""),$E:$E))*($E366&lt;=INDEX($E:$E,MATCH(TRUE,INDEX((ISNUMBER($E:$E)),0),0)))*($E366&gt;INDEX(_xlfn.ANCHORARRAY(Sintesi!$C$14),1,$C366))*($E366&lt;=INDEX(_xlfn.ANCHORARRAY(Sintesi!$C$15),1,$C366))*(INDEX(_xlfn.ANCHORARRAY(Sintesi!$C$15),1,$C366)&gt;0),1,IF(($E366&gt;=LOOKUP(2,1/($E:$E&lt;&gt;""),$E:$E))*($E366&lt;=INDEX($E:$E,MATCH(TRUE,INDEX((ISNUMBER($E:$E)),0),0)))*($E366&gt;INDEX(_xlfn.ANCHORARRAY(Sintesi!$C$14),1,$C366))*($E366&lt;INDEX(_xlfn.ANCHORARRAY(Sintesi!$C$16),1,$C366))*(INDEX(_xlfn.ANCHORARRAY(Sintesi!$C$15),1,$C366)&lt;0)+($E366&gt;=LOOKUP(2,1/($E:$E&lt;&gt;""),$E:$E))*($E366&lt;=INDEX($E:$E,MATCH(TRUE,INDEX((ISNUMBER($E:$E)),0),0)))*($E366&gt;INDEX(_xlfn.ANCHORARRAY(Sintesi!$C$15),1,$C366))*($E366&lt;INDEX(_xlfn.ANCHORARRAY(Sintesi!$C$16),1,$C366))*(INDEX(_xlfn.ANCHORARRAY(Sintesi!$C$15),1,$C366)&gt;0),2,IF($E366=(INDEX(_xlfn.ANCHORARRAY(Sintesi!$C$16),1,$C366)),3,4)))),0)),IF(ISNUMBER($E365),IF($C366&gt;0,IF(($E366=INDEX(_xlfn.ANCHORARRAY(Sintesi!$C$14),1,$C366))*(INDEX(_xlfn.ANCHORARRAY(Sintesi!$C$15),1,$C366)&gt;0),0,IF(($E366=INDEX(_xlfn.ANCHORARRAY(Sintesi!$C$14),1,$C366))*(INDEX(_xlfn.ANCHORARRAY(Sintesi!$C$15),1,$C366)&lt;0)+($E366&gt;=$E365)*($E366&lt;=$E367)*($E366&gt;INDEX(_xlfn.ANCHORARRAY(Sintesi!$C$14),1,$C366))*($E366&lt;=INDEX(_xlfn.ANCHORARRAY(Sintesi!$C$15),1,$C366))*(INDEX(_xlfn.ANCHORARRAY(Sintesi!$C$15),1,$C366)&gt;0),1,IF(($E366&gt;=$E365)*($E366&lt;=$E367)*($E366&gt;INDEX(_xlfn.ANCHORARRAY(Sintesi!$C$14),1,$C366))*($E366&lt;INDEX(_xlfn.ANCHORARRAY(Sintesi!$C$16),1,$C366))*(INDEX(_xlfn.ANCHORARRAY(Sintesi!$C$15),1,$C366)&lt;0)+($E366&gt;=$E365)*($E366&lt;=$E367)*($E366&gt;INDEX(_xlfn.ANCHORARRAY(Sintesi!$C$15),1,$C366))*($E366&lt;INDEX(_xlfn.ANCHORARRAY(Sintesi!$C$16),1,$C366))*(INDEX(_xlfn.ANCHORARRAY(Sintesi!$C$15),1,$C366)&gt;0),2,IF($E366=(INDEX(_xlfn.ANCHORARRAY(Sintesi!$C$16),1,$C366)),3,4)))),0),IF($C366&gt;0,IF(($E366=INDEX(_xlfn.ANCHORARRAY(Sintesi!$C$14),1,$C366))*(INDEX(_xlfn.ANCHORARRAY(Sintesi!$C$15),1,$C366)&gt;0),0,IF(($E366=INDEX(_xlfn.ANCHORARRAY(Sintesi!$C$14),1,$C366))*(INDEX(_xlfn.ANCHORARRAY(Sintesi!$C$15),1,$C366)&lt;0)+($E366&gt;=LOOKUP(2,1/($E:$E&lt;&gt;""),$E:$E))*($E366&lt;=$E367)*($E366&gt;INDEX(_xlfn.ANCHORARRAY(Sintesi!$C$14),1,$C366))*($E366&lt;=INDEX(_xlfn.ANCHORARRAY(Sintesi!$C$15),1,$C366))*(INDEX(_xlfn.ANCHORARRAY(Sintesi!$C$15),1,$C366)&gt;0),1,IF(($E366&gt;=LOOKUP(2,1/($E:$E&lt;&gt;""),$E:$E))*($E366&lt;=$E367)*($E366&gt;INDEX(_xlfn.ANCHORARRAY(Sintesi!$C$14),1,$C366))*($E366&lt;INDEX(_xlfn.ANCHORARRAY(Sintesi!$C$16),1,$C366))*(INDEX(_xlfn.ANCHORARRAY(Sintesi!$C$15),1,$C366)&lt;0)+($E366&gt;=LOOKUP(2,1/($E:$E&lt;&gt;""),$E:$E))*($E366&lt;=$E367)*($E366&gt;INDEX(_xlfn.ANCHORARRAY(Sintesi!$C$15),1,$C366))*($E366&lt;INDEX(_xlfn.ANCHORARRAY(Sintesi!$C$16),1,$C366))*(INDEX(_xlfn.ANCHORARRAY(Sintesi!$C$15),1,$C366)&gt;0),2,IF($E366=(INDEX(_xlfn.ANCHORARRAY(Sintesi!$C$16),1,$C366)),3,4)))),0)))</f>
        <v>0</v>
      </c>
      <c r="E366" s="1">
        <f>'Paste cell here'!F366</f>
        <v>0</v>
      </c>
      <c r="F366" s="1">
        <f>'Paste cell here'!C366</f>
        <v>0</v>
      </c>
      <c r="G366" s="1">
        <f>'Paste cell here'!D366</f>
        <v>0</v>
      </c>
      <c r="H366" s="1">
        <f>'Paste cell here'!E366</f>
        <v>0</v>
      </c>
      <c r="I366" s="1">
        <f>'Paste cell here'!X366</f>
        <v>0</v>
      </c>
      <c r="J366" s="1">
        <f>'Paste cell here'!Y366+'Paste cell here'!S366</f>
        <v>0</v>
      </c>
      <c r="K366" s="1" t="e">
        <f t="shared" si="11"/>
        <v>#DIV/0!</v>
      </c>
      <c r="L366" s="1">
        <f t="shared" si="10"/>
        <v>0</v>
      </c>
      <c r="M366" s="1" cm="1">
        <f t="array" ref="M366">IF(AND(A366&gt;=_xlfn.IFNA(INDEX(IF(ROUND(0.45*_xlfn.ANCHORARRAY(Sintesi!$C$11),0)+_xlfn.ANCHORARRAY(Sintesi!$C$9)&gt;365,ROUND(0.45*_xlfn.ANCHORARRAY(Sintesi!$C$11),0)+_xlfn.ANCHORARRAY(Sintesi!$C$9)-365,ROUND(0.45*_xlfn.ANCHORARRAY(Sintesi!$C$11),0)+_xlfn.ANCHORARRAY(Sintesi!$C$9)),1,MATCH(1,(_xlfn.ANCHORARRAY(Sintesi!$C$9)&gt;_xlfn.ANCHORARRAY(Sintesi!$C$10))*(A366&gt;=_xlfn.ANCHORARRAY(Sintesi!$C$9))+(_xlfn.ANCHORARRAY(Sintesi!$C$9)&gt;_xlfn.ANCHORARRAY(Sintesi!$C$10))*(A366&lt;=_xlfn.ANCHORARRAY(Sintesi!$C$10))+(_xlfn.ANCHORARRAY(Sintesi!$C$9)&lt;_xlfn.ANCHORARRAY(Sintesi!$C$10))*(A366&gt;=_xlfn.ANCHORARRAY(Sintesi!$C$9))*(A366&lt;=_xlfn.ANCHORARRAY(Sintesi!$C$10)),0)),0),A366&lt;_xlfn.IFNA(INDEX(IF(ROUND(0.75*_xlfn.ANCHORARRAY(Sintesi!$C$11),0)+_xlfn.ANCHORARRAY(Sintesi!$C$9)&gt;365,ROUND(0.75*_xlfn.ANCHORARRAY(Sintesi!$C$11),0)+_xlfn.ANCHORARRAY(Sintesi!$C$9)-365,ROUND(0.75*_xlfn.ANCHORARRAY(Sintesi!$C$11),0)+_xlfn.ANCHORARRAY(Sintesi!$C$9)),1,MATCH(1,(_xlfn.ANCHORARRAY(Sintesi!$C$9)&gt;_xlfn.ANCHORARRAY(Sintesi!$C$10))*(A367&gt;=_xlfn.ANCHORARRAY(Sintesi!$C$9))+(_xlfn.ANCHORARRAY(Sintesi!$C$9)&gt;_xlfn.ANCHORARRAY(Sintesi!$C$10))*(A367&lt;=_xlfn.ANCHORARRAY(Sintesi!$C$10))+(_xlfn.ANCHORARRAY(Sintesi!$C$9)&lt;_xlfn.ANCHORARRAY(Sintesi!$C$10))*(A367&gt;=_xlfn.ANCHORARRAY(Sintesi!$C$9))*(A367&lt;=_xlfn.ANCHORARRAY(Sintesi!$C$10)),0)),0)),IF(L366&lt;_xlfn.IFNA(INDEX(_xlfn.ANCHORARRAY(Sintesi!$C$17)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,1,IF(L366&gt;=_xlfn.IFNA(INDEX(_xlfn.ANCHORARRAY(Sintesi!$C$18)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,0,1-(L366-_xlfn.IFNA(INDEX(_xlfn.ANCHORARRAY(Sintesi!$C$17)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)/(_xlfn.IFNA(INDEX(_xlfn.ANCHORARRAY(Sintesi!$C$18)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-_xlfn.IFNA(INDEX(_xlfn.ANCHORARRAY(Sintesi!$C$17),1,MATCH(1,(_xlfn.ANCHORARRAY(Sintesi!$C$9)&gt;_xlfn.ANCHORARRAY(Sintesi!$C$10))*(A365&gt;=_xlfn.ANCHORARRAY(Sintesi!$C$9))+(_xlfn.ANCHORARRAY(Sintesi!$C$9)&gt;_xlfn.ANCHORARRAY(Sintesi!$C$10))*(A365&lt;=_xlfn.ANCHORARRAY(Sintesi!$C$10))+(_xlfn.ANCHORARRAY(Sintesi!$C$9)&lt;_xlfn.ANCHORARRAY(Sintesi!$C$10))*(A365&gt;=_xlfn.ANCHORARRAY(Sintesi!$C$9))*(A365&lt;=_xlfn.ANCHORARRAY(Sintesi!$C$10)),0)),0)))),0)</f>
        <v>0</v>
      </c>
      <c r="O366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6"/>
  <dimension ref="A1:Z370"/>
  <sheetViews>
    <sheetView zoomScale="120" zoomScaleNormal="55" workbookViewId="0">
      <pane xSplit="2" ySplit="1" topLeftCell="D102" activePane="bottomRight" state="frozen"/>
      <selection pane="topRight" activeCell="C1" sqref="C1"/>
      <selection pane="bottomLeft" activeCell="A2" sqref="A2"/>
      <selection pane="bottomRight" activeCell="D102" sqref="D102"/>
    </sheetView>
  </sheetViews>
  <sheetFormatPr defaultColWidth="14.140625" defaultRowHeight="11.25"/>
  <cols>
    <col min="1" max="1" width="14.140625" style="1"/>
    <col min="2" max="2" width="10.140625" style="1" bestFit="1" customWidth="1"/>
    <col min="3" max="4" width="14.140625" style="1"/>
    <col min="5" max="5" width="15" style="1" customWidth="1"/>
    <col min="6" max="6" width="31.5703125" style="1" customWidth="1"/>
    <col min="7" max="7" width="19.42578125" style="1" customWidth="1"/>
    <col min="8" max="8" width="13.5703125" style="1" bestFit="1" customWidth="1"/>
    <col min="9" max="9" width="13.42578125" style="1" bestFit="1" customWidth="1"/>
    <col min="10" max="10" width="13.140625" style="1" bestFit="1" customWidth="1"/>
    <col min="11" max="12" width="14.140625" style="1"/>
    <col min="13" max="13" width="14.42578125" style="1" bestFit="1" customWidth="1"/>
    <col min="14" max="14" width="15.42578125" style="1" bestFit="1" customWidth="1"/>
    <col min="15" max="15" width="16.42578125" style="1" bestFit="1" customWidth="1"/>
    <col min="16" max="16" width="16.42578125" style="1" customWidth="1"/>
    <col min="17" max="17" width="10.42578125" style="1" bestFit="1" customWidth="1"/>
    <col min="18" max="18" width="20.42578125" style="1" bestFit="1" customWidth="1"/>
    <col min="19" max="20" width="14.140625" style="1"/>
    <col min="21" max="21" width="14.5703125" style="1" bestFit="1" customWidth="1"/>
    <col min="22" max="22" width="14.140625" style="1"/>
    <col min="23" max="23" width="9.5703125" style="1" customWidth="1"/>
    <col min="24" max="16384" width="14.140625" style="1"/>
  </cols>
  <sheetData>
    <row r="1" spans="1:26" ht="23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13</v>
      </c>
      <c r="G1" s="3" t="s">
        <v>12</v>
      </c>
      <c r="H1" s="3" t="s">
        <v>21</v>
      </c>
      <c r="I1" s="3" t="s">
        <v>14</v>
      </c>
      <c r="J1" s="3" t="s">
        <v>15</v>
      </c>
      <c r="K1" s="3" t="s">
        <v>16</v>
      </c>
      <c r="L1" s="3" t="s">
        <v>22</v>
      </c>
      <c r="M1" s="3" t="s">
        <v>17</v>
      </c>
      <c r="N1" s="3" t="s">
        <v>96</v>
      </c>
      <c r="O1" s="3" t="s">
        <v>18</v>
      </c>
      <c r="P1" s="3" t="s">
        <v>113</v>
      </c>
      <c r="Q1" s="3" t="s">
        <v>19</v>
      </c>
      <c r="R1" s="4" t="s">
        <v>20</v>
      </c>
      <c r="S1" s="6" t="s">
        <v>33</v>
      </c>
      <c r="T1" s="6" t="s">
        <v>34</v>
      </c>
      <c r="U1" s="3" t="s">
        <v>26</v>
      </c>
      <c r="V1" s="1" t="s">
        <v>106</v>
      </c>
      <c r="W1" s="4" t="s">
        <v>40</v>
      </c>
      <c r="X1" s="1" t="s">
        <v>107</v>
      </c>
      <c r="Y1" s="1" t="s">
        <v>108</v>
      </c>
      <c r="Z1" s="1" t="s">
        <v>114</v>
      </c>
    </row>
    <row r="2" spans="1:26">
      <c r="A2" s="1">
        <v>1</v>
      </c>
      <c r="B2" s="2">
        <f>DATE(Sintesi!$C$4-1,12,31)+A2</f>
        <v>44197</v>
      </c>
      <c r="C2" s="1">
        <f>'Paste cell here'!B2</f>
        <v>16.783060930000001</v>
      </c>
      <c r="D2" s="1">
        <f>'Paste cell here'!I2</f>
        <v>0</v>
      </c>
      <c r="E2" s="1">
        <f>'Paste cell here'!J2</f>
        <v>16.783060930000001</v>
      </c>
      <c r="F2" s="1">
        <f>'Paste cell here'!K2</f>
        <v>16.783060930000001</v>
      </c>
      <c r="G2" s="1">
        <f>'Paste cell here'!L2</f>
        <v>12.77820549</v>
      </c>
      <c r="H2" s="1">
        <f>'Paste cell here'!M2</f>
        <v>0</v>
      </c>
      <c r="I2" s="1">
        <f>'Paste cell here'!N2</f>
        <v>4.0048554469999997</v>
      </c>
      <c r="J2" s="1">
        <f>'Paste cell here'!O2</f>
        <v>12.778205870000001</v>
      </c>
      <c r="K2" s="1">
        <f>'Paste cell here'!Q2</f>
        <v>0.28331375600000003</v>
      </c>
      <c r="L2" s="1">
        <f>'Paste cell here'!S2</f>
        <v>0</v>
      </c>
      <c r="M2" s="1">
        <f>'Paste cell here'!T2</f>
        <v>3.1797259210000002</v>
      </c>
      <c r="N2" s="1">
        <f>'Paste cell here'!W2</f>
        <v>0</v>
      </c>
      <c r="O2" s="1">
        <f>'Paste cell here'!U2</f>
        <v>32.236066190000003</v>
      </c>
      <c r="Q2" s="1">
        <f>'Paste cell here'!V2</f>
        <v>0</v>
      </c>
      <c r="S2" s="7">
        <f>Sintesi!$C$30</f>
        <v>8.3099999999999993E-2</v>
      </c>
      <c r="T2" s="7">
        <f>Sintesi!$C$29</f>
        <v>0.229209</v>
      </c>
      <c r="U2" s="5">
        <f>O2/(Sintesi!$C$5*1000)</f>
        <v>0.32236066190000001</v>
      </c>
      <c r="V2" s="1">
        <f>T2-S2</f>
        <v>0.14610899999999999</v>
      </c>
      <c r="W2" s="1">
        <v>0.69999999552965098</v>
      </c>
      <c r="X2" s="1">
        <f>W2*V2</f>
        <v>0.10227629934684176</v>
      </c>
      <c r="Y2" s="1">
        <f>T2-X2</f>
        <v>0.12693270065315823</v>
      </c>
      <c r="Z2" s="1">
        <f>'Paste cellinfo here'!$B$11</f>
        <v>0.51802400000000004</v>
      </c>
    </row>
    <row r="3" spans="1:26">
      <c r="A3" s="1">
        <v>2</v>
      </c>
      <c r="B3" s="2">
        <f>DATE(Sintesi!$C$4-1,12,31)+A3</f>
        <v>44198</v>
      </c>
      <c r="C3" s="1">
        <f>'Paste cell here'!B3</f>
        <v>20.88713147</v>
      </c>
      <c r="D3" s="1">
        <f>'Paste cell here'!I3</f>
        <v>0</v>
      </c>
      <c r="E3" s="1">
        <f>'Paste cell here'!J3</f>
        <v>20.88713147</v>
      </c>
      <c r="F3" s="1">
        <f>'Paste cell here'!K3</f>
        <v>20.88713147</v>
      </c>
      <c r="G3" s="1">
        <f>'Paste cell here'!L3</f>
        <v>13.802791859999999</v>
      </c>
      <c r="H3" s="1">
        <f>'Paste cell here'!M3</f>
        <v>0</v>
      </c>
      <c r="I3" s="1">
        <f>'Paste cell here'!N3</f>
        <v>7.0843396060000003</v>
      </c>
      <c r="J3" s="1">
        <f>'Paste cell here'!O3</f>
        <v>13.802792269999999</v>
      </c>
      <c r="K3" s="1">
        <f>'Paste cell here'!Q3</f>
        <v>0.30487852399999998</v>
      </c>
      <c r="L3" s="1">
        <f>'Paste cell here'!S3</f>
        <v>0</v>
      </c>
      <c r="M3" s="1">
        <f>'Paste cell here'!T3</f>
        <v>12.104180210000001</v>
      </c>
      <c r="N3" s="1">
        <f>'Paste cell here'!W3</f>
        <v>0</v>
      </c>
      <c r="O3" s="1">
        <f>'Paste cell here'!U3</f>
        <v>33.629799730000002</v>
      </c>
      <c r="P3" s="1">
        <f>O2</f>
        <v>32.236066190000003</v>
      </c>
      <c r="Q3" s="1">
        <f>'Paste cell here'!V3</f>
        <v>0</v>
      </c>
      <c r="R3" s="1">
        <f>ABS(O2+C3+D3+N3+Q2-H3-I3-K3-L3-M3-O3-Q3)</f>
        <v>4.1000000550184268E-7</v>
      </c>
      <c r="S3" s="7">
        <f>Sintesi!$C$30</f>
        <v>8.3099999999999993E-2</v>
      </c>
      <c r="T3" s="7">
        <f>Sintesi!$C$29</f>
        <v>0.229209</v>
      </c>
      <c r="U3" s="5">
        <f>O3/(Sintesi!$C$5*1000)</f>
        <v>0.33629799730000004</v>
      </c>
      <c r="V3" s="1">
        <f t="shared" ref="V3:V66" si="0">T3-S3</f>
        <v>0.14610899999999999</v>
      </c>
      <c r="W3" s="1">
        <v>0.68342996012834101</v>
      </c>
      <c r="X3" s="1">
        <f t="shared" ref="X3:X66" si="1">W3*V3</f>
        <v>9.9855268044391765E-2</v>
      </c>
      <c r="Y3" s="1">
        <f t="shared" ref="Y3:Y66" si="2">T3-X3</f>
        <v>0.12935373195560823</v>
      </c>
      <c r="Z3" s="1">
        <f>'Paste cellinfo here'!$B$11</f>
        <v>0.51802400000000004</v>
      </c>
    </row>
    <row r="4" spans="1:26">
      <c r="A4" s="1">
        <v>3</v>
      </c>
      <c r="B4" s="2">
        <f>DATE(Sintesi!$C$4-1,12,31)+A4</f>
        <v>44199</v>
      </c>
      <c r="C4" s="1">
        <f>'Paste cell here'!B4</f>
        <v>4.5169534960000002</v>
      </c>
      <c r="D4" s="1">
        <f>'Paste cell here'!I4</f>
        <v>0</v>
      </c>
      <c r="E4" s="1">
        <f>'Paste cell here'!J4</f>
        <v>4.5169534960000002</v>
      </c>
      <c r="F4" s="1">
        <f>'Paste cell here'!K4</f>
        <v>4.5169534960000002</v>
      </c>
      <c r="G4" s="1">
        <f>'Paste cell here'!L4</f>
        <v>4.5142544300000003</v>
      </c>
      <c r="H4" s="1">
        <f>'Paste cell here'!M4</f>
        <v>0</v>
      </c>
      <c r="I4" s="1">
        <f>'Paste cell here'!N4</f>
        <v>2.7000000000000001E-3</v>
      </c>
      <c r="J4" s="1">
        <f>'Paste cell here'!O4</f>
        <v>4.5142545649999999</v>
      </c>
      <c r="K4" s="1">
        <f>'Paste cell here'!Q4</f>
        <v>0.25857185700000002</v>
      </c>
      <c r="L4" s="1">
        <f>'Paste cell here'!S4</f>
        <v>0</v>
      </c>
      <c r="M4" s="1">
        <f>'Paste cell here'!T4</f>
        <v>7.1943807499999997</v>
      </c>
      <c r="N4" s="1">
        <f>'Paste cell here'!W4</f>
        <v>0</v>
      </c>
      <c r="O4" s="1">
        <f>'Paste cell here'!U4</f>
        <v>30.69110169</v>
      </c>
      <c r="P4" s="1">
        <f t="shared" ref="P4:P67" si="3">O3</f>
        <v>33.629799730000002</v>
      </c>
      <c r="Q4" s="1">
        <f>'Paste cell here'!V4</f>
        <v>0</v>
      </c>
      <c r="R4" s="1">
        <f t="shared" ref="R4:R67" si="4">ABS(O3+C4+D4+N4+Q3-H4-I4-K4-L4-M4-O4-Q4)</f>
        <v>1.0709999962443817E-6</v>
      </c>
      <c r="S4" s="7">
        <f>Sintesi!$C$30</f>
        <v>8.3099999999999993E-2</v>
      </c>
      <c r="T4" s="7">
        <f>Sintesi!$C$29</f>
        <v>0.229209</v>
      </c>
      <c r="U4" s="5">
        <f>O4/(Sintesi!$C$5*1000)</f>
        <v>0.3069110169</v>
      </c>
      <c r="V4" s="1">
        <f t="shared" si="0"/>
        <v>0.14610899999999999</v>
      </c>
      <c r="W4" s="1">
        <v>0.67275483339560804</v>
      </c>
      <c r="X4" s="1">
        <f t="shared" si="1"/>
        <v>9.8295535952598892E-2</v>
      </c>
      <c r="Y4" s="1">
        <f t="shared" si="2"/>
        <v>0.13091346404740112</v>
      </c>
      <c r="Z4" s="1">
        <f>'Paste cellinfo here'!$B$11</f>
        <v>0.51802400000000004</v>
      </c>
    </row>
    <row r="5" spans="1:26">
      <c r="A5" s="1">
        <v>4</v>
      </c>
      <c r="B5" s="2">
        <f>DATE(Sintesi!$C$4-1,12,31)+A5</f>
        <v>44200</v>
      </c>
      <c r="C5" s="1">
        <f>'Paste cell here'!B5</f>
        <v>6.3450449080000002</v>
      </c>
      <c r="D5" s="1">
        <f>'Paste cell here'!I5</f>
        <v>0</v>
      </c>
      <c r="E5" s="1">
        <f>'Paste cell here'!J5</f>
        <v>6.3450449080000002</v>
      </c>
      <c r="F5" s="1">
        <f>'Paste cell here'!K5</f>
        <v>6.3450449080000002</v>
      </c>
      <c r="G5" s="1">
        <f>'Paste cell here'!L5</f>
        <v>6.1806438269999999</v>
      </c>
      <c r="H5" s="1">
        <f>'Paste cell here'!M5</f>
        <v>0</v>
      </c>
      <c r="I5" s="1">
        <f>'Paste cell here'!N5</f>
        <v>0.164401081</v>
      </c>
      <c r="J5" s="1">
        <f>'Paste cell here'!O5</f>
        <v>6.180644011</v>
      </c>
      <c r="K5" s="1">
        <f>'Paste cell here'!Q5</f>
        <v>0.28063463</v>
      </c>
      <c r="L5" s="1">
        <f>'Paste cell here'!S5</f>
        <v>0</v>
      </c>
      <c r="M5" s="1">
        <f>'Paste cell here'!T5</f>
        <v>5.5225036650000003</v>
      </c>
      <c r="N5" s="1">
        <f>'Paste cell here'!W5</f>
        <v>0</v>
      </c>
      <c r="O5" s="1">
        <f>'Paste cell here'!U5</f>
        <v>31.068607409999998</v>
      </c>
      <c r="P5" s="1">
        <f t="shared" si="3"/>
        <v>30.69110169</v>
      </c>
      <c r="Q5" s="1">
        <f>'Paste cell here'!V5</f>
        <v>0</v>
      </c>
      <c r="R5" s="1">
        <f t="shared" si="4"/>
        <v>1.8800000134433503E-7</v>
      </c>
      <c r="S5" s="7">
        <f>Sintesi!$C$30</f>
        <v>8.3099999999999993E-2</v>
      </c>
      <c r="T5" s="7">
        <f>Sintesi!$C$29</f>
        <v>0.229209</v>
      </c>
      <c r="U5" s="5">
        <f>O5/(Sintesi!$C$5*1000)</f>
        <v>0.31068607409999999</v>
      </c>
      <c r="V5" s="1">
        <f t="shared" si="0"/>
        <v>0.14610899999999999</v>
      </c>
      <c r="W5" s="1">
        <v>0.67293350726855194</v>
      </c>
      <c r="X5" s="1">
        <f t="shared" si="1"/>
        <v>9.8321641813500851E-2</v>
      </c>
      <c r="Y5" s="1">
        <f t="shared" si="2"/>
        <v>0.13088735818649916</v>
      </c>
      <c r="Z5" s="1">
        <f>'Paste cellinfo here'!$B$11</f>
        <v>0.51802400000000004</v>
      </c>
    </row>
    <row r="6" spans="1:26">
      <c r="A6" s="1">
        <v>5</v>
      </c>
      <c r="B6" s="2">
        <f>DATE(Sintesi!$C$4-1,12,31)+A6</f>
        <v>44201</v>
      </c>
      <c r="C6" s="1">
        <f>'Paste cell here'!B6</f>
        <v>8.610897692</v>
      </c>
      <c r="D6" s="1">
        <f>'Paste cell here'!I6</f>
        <v>0</v>
      </c>
      <c r="E6" s="1">
        <f>'Paste cell here'!J6</f>
        <v>8.610897692</v>
      </c>
      <c r="F6" s="1">
        <f>'Paste cell here'!K6</f>
        <v>8.610897692</v>
      </c>
      <c r="G6" s="1">
        <f>'Paste cell here'!L6</f>
        <v>7.9041035959999997</v>
      </c>
      <c r="H6" s="1">
        <f>'Paste cell here'!M6</f>
        <v>0</v>
      </c>
      <c r="I6" s="1">
        <f>'Paste cell here'!N6</f>
        <v>0.70679409599999998</v>
      </c>
      <c r="J6" s="1">
        <f>'Paste cell here'!O6</f>
        <v>7.9041038309999996</v>
      </c>
      <c r="K6" s="1">
        <f>'Paste cell here'!Q6</f>
        <v>0.396633921</v>
      </c>
      <c r="L6" s="1">
        <f>'Paste cell here'!S6</f>
        <v>0</v>
      </c>
      <c r="M6" s="1">
        <f>'Paste cell here'!T6</f>
        <v>6.7961810930000004</v>
      </c>
      <c r="N6" s="1">
        <f>'Paste cell here'!W6</f>
        <v>0</v>
      </c>
      <c r="O6" s="1">
        <f>'Paste cell here'!U6</f>
        <v>31.779896229999999</v>
      </c>
      <c r="P6" s="1">
        <f t="shared" si="3"/>
        <v>31.068607409999998</v>
      </c>
      <c r="Q6" s="1">
        <f>'Paste cell here'!V6</f>
        <v>0</v>
      </c>
      <c r="R6" s="1">
        <f t="shared" si="4"/>
        <v>2.3800000548135358E-7</v>
      </c>
      <c r="S6" s="7">
        <f>Sintesi!$C$30</f>
        <v>8.3099999999999993E-2</v>
      </c>
      <c r="T6" s="7">
        <f>Sintesi!$C$29</f>
        <v>0.229209</v>
      </c>
      <c r="U6" s="5">
        <f>O6/(Sintesi!$C$5*1000)</f>
        <v>0.31779896229999999</v>
      </c>
      <c r="V6" s="1">
        <f t="shared" si="0"/>
        <v>0.14610899999999999</v>
      </c>
      <c r="W6" s="1">
        <v>0.68173173948135901</v>
      </c>
      <c r="X6" s="1">
        <f t="shared" si="1"/>
        <v>9.9607142723881881E-2</v>
      </c>
      <c r="Y6" s="1">
        <f t="shared" si="2"/>
        <v>0.12960185727611812</v>
      </c>
      <c r="Z6" s="1">
        <f>'Paste cellinfo here'!$B$11</f>
        <v>0.51802400000000004</v>
      </c>
    </row>
    <row r="7" spans="1:26">
      <c r="A7" s="1">
        <v>6</v>
      </c>
      <c r="B7" s="2">
        <f>DATE(Sintesi!$C$4-1,12,31)+A7</f>
        <v>44202</v>
      </c>
      <c r="C7" s="1">
        <f>'Paste cell here'!B7</f>
        <v>0.76821910699999996</v>
      </c>
      <c r="D7" s="1">
        <f>'Paste cell here'!I7</f>
        <v>0</v>
      </c>
      <c r="E7" s="1">
        <f>'Paste cell here'!J7</f>
        <v>0.76821910699999996</v>
      </c>
      <c r="F7" s="1">
        <f>'Paste cell here'!K7</f>
        <v>0.76821910699999996</v>
      </c>
      <c r="G7" s="1">
        <f>'Paste cell here'!L7</f>
        <v>0.76821910699999996</v>
      </c>
      <c r="H7" s="1">
        <f>'Paste cell here'!M7</f>
        <v>0</v>
      </c>
      <c r="I7" s="1">
        <f>'Paste cell here'!N7</f>
        <v>0</v>
      </c>
      <c r="J7" s="1">
        <f>'Paste cell here'!O7</f>
        <v>0.76821912999999997</v>
      </c>
      <c r="K7" s="1">
        <f>'Paste cell here'!Q7</f>
        <v>0.331268269</v>
      </c>
      <c r="L7" s="1">
        <f>'Paste cell here'!S7</f>
        <v>0</v>
      </c>
      <c r="M7" s="1">
        <f>'Paste cell here'!T7</f>
        <v>3.8009933330000001</v>
      </c>
      <c r="N7" s="1">
        <f>'Paste cell here'!W7</f>
        <v>0</v>
      </c>
      <c r="O7" s="1">
        <f>'Paste cell here'!U7</f>
        <v>28.415853760000001</v>
      </c>
      <c r="P7" s="1">
        <f t="shared" si="3"/>
        <v>31.779896229999999</v>
      </c>
      <c r="Q7" s="1">
        <f>'Paste cell here'!V7</f>
        <v>0</v>
      </c>
      <c r="R7" s="1">
        <f t="shared" si="4"/>
        <v>2.5000002068509275E-8</v>
      </c>
      <c r="S7" s="7">
        <f>Sintesi!$C$30</f>
        <v>8.3099999999999993E-2</v>
      </c>
      <c r="T7" s="7">
        <f>Sintesi!$C$29</f>
        <v>0.229209</v>
      </c>
      <c r="U7" s="5">
        <f>O7/(Sintesi!$C$5*1000)</f>
        <v>0.28415853759999998</v>
      </c>
      <c r="V7" s="1">
        <f t="shared" si="0"/>
        <v>0.14610899999999999</v>
      </c>
      <c r="W7" s="1">
        <v>0.68173809375553396</v>
      </c>
      <c r="X7" s="1">
        <f t="shared" si="1"/>
        <v>9.9608071140527304E-2</v>
      </c>
      <c r="Y7" s="1">
        <f t="shared" si="2"/>
        <v>0.12960092885947269</v>
      </c>
      <c r="Z7" s="1">
        <f>'Paste cellinfo here'!$B$11</f>
        <v>0.51802400000000004</v>
      </c>
    </row>
    <row r="8" spans="1:26">
      <c r="A8" s="1">
        <v>7</v>
      </c>
      <c r="B8" s="2">
        <f>DATE(Sintesi!$C$4-1,12,31)+A8</f>
        <v>44203</v>
      </c>
      <c r="C8" s="1">
        <f>'Paste cell here'!B8</f>
        <v>0</v>
      </c>
      <c r="D8" s="1">
        <f>'Paste cell here'!I8</f>
        <v>0</v>
      </c>
      <c r="E8" s="1">
        <f>'Paste cell here'!J8</f>
        <v>0</v>
      </c>
      <c r="F8" s="1">
        <f>'Paste cell here'!K8</f>
        <v>0</v>
      </c>
      <c r="G8" s="1">
        <f>'Paste cell here'!L8</f>
        <v>0</v>
      </c>
      <c r="H8" s="1">
        <f>'Paste cell here'!M8</f>
        <v>0</v>
      </c>
      <c r="I8" s="1">
        <f>'Paste cell here'!N8</f>
        <v>0</v>
      </c>
      <c r="J8" s="1">
        <f>'Paste cell here'!O8</f>
        <v>0</v>
      </c>
      <c r="K8" s="1">
        <f>'Paste cell here'!Q8</f>
        <v>0.412011405</v>
      </c>
      <c r="L8" s="1">
        <f>'Paste cell here'!S8</f>
        <v>0</v>
      </c>
      <c r="M8" s="1">
        <f>'Paste cell here'!T8</f>
        <v>1.4983005899999999</v>
      </c>
      <c r="N8" s="1">
        <f>'Paste cell here'!W8</f>
        <v>0</v>
      </c>
      <c r="O8" s="1">
        <f>'Paste cell here'!U8</f>
        <v>26.50554176</v>
      </c>
      <c r="P8" s="1">
        <f t="shared" si="3"/>
        <v>28.415853760000001</v>
      </c>
      <c r="Q8" s="1">
        <f>'Paste cell here'!V8</f>
        <v>0</v>
      </c>
      <c r="R8" s="1">
        <f t="shared" si="4"/>
        <v>5.000000413701855E-9</v>
      </c>
      <c r="S8" s="7">
        <f>Sintesi!$C$30</f>
        <v>8.3099999999999993E-2</v>
      </c>
      <c r="T8" s="7">
        <f>Sintesi!$C$29</f>
        <v>0.229209</v>
      </c>
      <c r="U8" s="5">
        <f>O8/(Sintesi!$C$5*1000)</f>
        <v>0.26505541760000001</v>
      </c>
      <c r="V8" s="1">
        <f t="shared" si="0"/>
        <v>0.14610899999999999</v>
      </c>
      <c r="W8" s="1">
        <v>0.68360889775287503</v>
      </c>
      <c r="X8" s="1">
        <f t="shared" si="1"/>
        <v>9.9881412441774814E-2</v>
      </c>
      <c r="Y8" s="1">
        <f t="shared" si="2"/>
        <v>0.12932758755822518</v>
      </c>
      <c r="Z8" s="1">
        <f>'Paste cellinfo here'!$B$11</f>
        <v>0.51802400000000004</v>
      </c>
    </row>
    <row r="9" spans="1:26">
      <c r="A9" s="1">
        <v>8</v>
      </c>
      <c r="B9" s="2">
        <f>DATE(Sintesi!$C$4-1,12,31)+A9</f>
        <v>44204</v>
      </c>
      <c r="C9" s="1">
        <f>'Paste cell here'!B9</f>
        <v>1.8182940620000001</v>
      </c>
      <c r="D9" s="1">
        <f>'Paste cell here'!I9</f>
        <v>0</v>
      </c>
      <c r="E9" s="1">
        <f>'Paste cell here'!J9</f>
        <v>1.8182940620000001</v>
      </c>
      <c r="F9" s="1">
        <f>'Paste cell here'!K9</f>
        <v>1.8182940620000001</v>
      </c>
      <c r="G9" s="1">
        <f>'Paste cell here'!L9</f>
        <v>1.8182940620000001</v>
      </c>
      <c r="H9" s="1">
        <f>'Paste cell here'!M9</f>
        <v>0</v>
      </c>
      <c r="I9" s="1">
        <f>'Paste cell here'!N9</f>
        <v>0</v>
      </c>
      <c r="J9" s="1">
        <f>'Paste cell here'!O9</f>
        <v>1.818294117</v>
      </c>
      <c r="K9" s="1">
        <f>'Paste cell here'!Q9</f>
        <v>0.183659972</v>
      </c>
      <c r="L9" s="1">
        <f>'Paste cell here'!S9</f>
        <v>0</v>
      </c>
      <c r="M9" s="1">
        <f>'Paste cell here'!T9</f>
        <v>1.1476926380000001</v>
      </c>
      <c r="N9" s="1">
        <f>'Paste cell here'!W9</f>
        <v>0</v>
      </c>
      <c r="O9" s="1">
        <f>'Paste cell here'!U9</f>
        <v>26.992483270000001</v>
      </c>
      <c r="P9" s="1">
        <f t="shared" si="3"/>
        <v>26.50554176</v>
      </c>
      <c r="Q9" s="1">
        <f>'Paste cell here'!V9</f>
        <v>0</v>
      </c>
      <c r="R9" s="1">
        <f t="shared" si="4"/>
        <v>5.8000001246227839E-8</v>
      </c>
      <c r="S9" s="7">
        <f>Sintesi!$C$30</f>
        <v>8.3099999999999993E-2</v>
      </c>
      <c r="T9" s="7">
        <f>Sintesi!$C$29</f>
        <v>0.229209</v>
      </c>
      <c r="U9" s="5">
        <f>O9/(Sintesi!$C$5*1000)</f>
        <v>0.26992483270000001</v>
      </c>
      <c r="V9" s="1">
        <f t="shared" si="0"/>
        <v>0.14610899999999999</v>
      </c>
      <c r="W9" s="1">
        <v>0.68258978316787799</v>
      </c>
      <c r="X9" s="1">
        <f t="shared" si="1"/>
        <v>9.9732510628875476E-2</v>
      </c>
      <c r="Y9" s="1">
        <f t="shared" si="2"/>
        <v>0.12947648937112452</v>
      </c>
      <c r="Z9" s="1">
        <f>'Paste cellinfo here'!$B$11</f>
        <v>0.51802400000000004</v>
      </c>
    </row>
    <row r="10" spans="1:26">
      <c r="A10" s="1">
        <v>9</v>
      </c>
      <c r="B10" s="2">
        <f>DATE(Sintesi!$C$4-1,12,31)+A10</f>
        <v>44205</v>
      </c>
      <c r="C10" s="1">
        <f>'Paste cell here'!B10</f>
        <v>0</v>
      </c>
      <c r="D10" s="1">
        <f>'Paste cell here'!I10</f>
        <v>0</v>
      </c>
      <c r="E10" s="1">
        <f>'Paste cell here'!J10</f>
        <v>0</v>
      </c>
      <c r="F10" s="1">
        <f>'Paste cell here'!K10</f>
        <v>0</v>
      </c>
      <c r="G10" s="1">
        <f>'Paste cell here'!L10</f>
        <v>0</v>
      </c>
      <c r="H10" s="1">
        <f>'Paste cell here'!M10</f>
        <v>0</v>
      </c>
      <c r="I10" s="1">
        <f>'Paste cell here'!N10</f>
        <v>0</v>
      </c>
      <c r="J10" s="1">
        <f>'Paste cell here'!O10</f>
        <v>0</v>
      </c>
      <c r="K10" s="1">
        <f>'Paste cell here'!Q10</f>
        <v>0.392232207</v>
      </c>
      <c r="L10" s="1">
        <f>'Paste cell here'!S10</f>
        <v>0</v>
      </c>
      <c r="M10" s="1">
        <f>'Paste cell here'!T10</f>
        <v>0.94780998900000002</v>
      </c>
      <c r="N10" s="1">
        <f>'Paste cell here'!W10</f>
        <v>0</v>
      </c>
      <c r="O10" s="1">
        <f>'Paste cell here'!U10</f>
        <v>25.652441069999998</v>
      </c>
      <c r="P10" s="1">
        <f t="shared" si="3"/>
        <v>26.992483270000001</v>
      </c>
      <c r="Q10" s="1">
        <f>'Paste cell here'!V10</f>
        <v>0</v>
      </c>
      <c r="R10" s="1">
        <f t="shared" si="4"/>
        <v>4.0000038836751628E-9</v>
      </c>
      <c r="S10" s="7">
        <f>Sintesi!$C$30</f>
        <v>8.3099999999999993E-2</v>
      </c>
      <c r="T10" s="7">
        <f>Sintesi!$C$29</f>
        <v>0.229209</v>
      </c>
      <c r="U10" s="5">
        <f>O10/(Sintesi!$C$5*1000)</f>
        <v>0.25652441069999998</v>
      </c>
      <c r="V10" s="1">
        <f t="shared" si="0"/>
        <v>0.14610899999999999</v>
      </c>
      <c r="W10" s="1">
        <v>0.68614344630027901</v>
      </c>
      <c r="X10" s="1">
        <f t="shared" si="1"/>
        <v>0.10025173279548746</v>
      </c>
      <c r="Y10" s="1">
        <f t="shared" si="2"/>
        <v>0.12895726720451253</v>
      </c>
      <c r="Z10" s="1">
        <f>'Paste cellinfo here'!$B$11</f>
        <v>0.51802400000000004</v>
      </c>
    </row>
    <row r="11" spans="1:26">
      <c r="A11" s="1">
        <v>10</v>
      </c>
      <c r="B11" s="2">
        <f>DATE(Sintesi!$C$4-1,12,31)+A11</f>
        <v>44206</v>
      </c>
      <c r="C11" s="1">
        <f>'Paste cell here'!B11</f>
        <v>0</v>
      </c>
      <c r="D11" s="1">
        <f>'Paste cell here'!I11</f>
        <v>0</v>
      </c>
      <c r="E11" s="1">
        <f>'Paste cell here'!J11</f>
        <v>0</v>
      </c>
      <c r="F11" s="1">
        <f>'Paste cell here'!K11</f>
        <v>0</v>
      </c>
      <c r="G11" s="1">
        <f>'Paste cell here'!L11</f>
        <v>0</v>
      </c>
      <c r="H11" s="1">
        <f>'Paste cell here'!M11</f>
        <v>0</v>
      </c>
      <c r="I11" s="1">
        <f>'Paste cell here'!N11</f>
        <v>0</v>
      </c>
      <c r="J11" s="1">
        <f>'Paste cell here'!O11</f>
        <v>0</v>
      </c>
      <c r="K11" s="1">
        <f>'Paste cell here'!Q11</f>
        <v>0.462487223</v>
      </c>
      <c r="L11" s="1">
        <f>'Paste cell here'!S11</f>
        <v>0</v>
      </c>
      <c r="M11" s="1">
        <f>'Paste cell here'!T11</f>
        <v>0.57089934899999994</v>
      </c>
      <c r="N11" s="1">
        <f>'Paste cell here'!W11</f>
        <v>0</v>
      </c>
      <c r="O11" s="1">
        <f>'Paste cell here'!U11</f>
        <v>24.619054500000001</v>
      </c>
      <c r="P11" s="1">
        <f t="shared" si="3"/>
        <v>25.652441069999998</v>
      </c>
      <c r="Q11" s="1">
        <f>'Paste cell here'!V11</f>
        <v>0</v>
      </c>
      <c r="R11" s="1">
        <f t="shared" si="4"/>
        <v>2.0000037181944208E-9</v>
      </c>
      <c r="S11" s="7">
        <f>Sintesi!$C$30</f>
        <v>8.3099999999999993E-2</v>
      </c>
      <c r="T11" s="7">
        <f>Sintesi!$C$29</f>
        <v>0.229209</v>
      </c>
      <c r="U11" s="5">
        <f>O11/(Sintesi!$C$5*1000)</f>
        <v>0.24619054500000001</v>
      </c>
      <c r="V11" s="1">
        <f t="shared" si="0"/>
        <v>0.14610899999999999</v>
      </c>
      <c r="W11" s="1">
        <v>0.67579694797038004</v>
      </c>
      <c r="X11" s="1">
        <f t="shared" si="1"/>
        <v>9.8740016271004247E-2</v>
      </c>
      <c r="Y11" s="1">
        <f t="shared" si="2"/>
        <v>0.13046898372899574</v>
      </c>
      <c r="Z11" s="1">
        <f>'Paste cellinfo here'!$B$11</f>
        <v>0.51802400000000004</v>
      </c>
    </row>
    <row r="12" spans="1:26">
      <c r="A12" s="1">
        <v>11</v>
      </c>
      <c r="B12" s="2">
        <f>DATE(Sintesi!$C$4-1,12,31)+A12</f>
        <v>44207</v>
      </c>
      <c r="C12" s="1">
        <f>'Paste cell here'!B12</f>
        <v>0</v>
      </c>
      <c r="D12" s="1">
        <f>'Paste cell here'!I12</f>
        <v>0</v>
      </c>
      <c r="E12" s="1">
        <f>'Paste cell here'!J12</f>
        <v>0</v>
      </c>
      <c r="F12" s="1">
        <f>'Paste cell here'!K12</f>
        <v>0</v>
      </c>
      <c r="G12" s="1">
        <f>'Paste cell here'!L12</f>
        <v>0</v>
      </c>
      <c r="H12" s="1">
        <f>'Paste cell here'!M12</f>
        <v>0</v>
      </c>
      <c r="I12" s="1">
        <f>'Paste cell here'!N12</f>
        <v>0</v>
      </c>
      <c r="J12" s="1">
        <f>'Paste cell here'!O12</f>
        <v>0</v>
      </c>
      <c r="K12" s="1">
        <f>'Paste cell here'!Q12</f>
        <v>0.25878190200000001</v>
      </c>
      <c r="L12" s="1">
        <f>'Paste cell here'!S12</f>
        <v>0</v>
      </c>
      <c r="M12" s="1">
        <f>'Paste cell here'!T12</f>
        <v>0.38888244</v>
      </c>
      <c r="N12" s="1">
        <f>'Paste cell here'!W12</f>
        <v>0</v>
      </c>
      <c r="O12" s="1">
        <f>'Paste cell here'!U12</f>
        <v>23.971390159999999</v>
      </c>
      <c r="P12" s="1">
        <f t="shared" si="3"/>
        <v>24.619054500000001</v>
      </c>
      <c r="Q12" s="1">
        <f>'Paste cell here'!V12</f>
        <v>0</v>
      </c>
      <c r="R12" s="1">
        <f t="shared" si="4"/>
        <v>1.9999966127670632E-9</v>
      </c>
      <c r="S12" s="7">
        <f>Sintesi!$C$30</f>
        <v>8.3099999999999993E-2</v>
      </c>
      <c r="T12" s="7">
        <f>Sintesi!$C$29</f>
        <v>0.229209</v>
      </c>
      <c r="U12" s="5">
        <f>O12/(Sintesi!$C$5*1000)</f>
        <v>0.23971390159999997</v>
      </c>
      <c r="V12" s="1">
        <f t="shared" si="0"/>
        <v>0.14610899999999999</v>
      </c>
      <c r="W12" s="1">
        <v>0.66871275798113505</v>
      </c>
      <c r="X12" s="1">
        <f t="shared" si="1"/>
        <v>9.7704952355865654E-2</v>
      </c>
      <c r="Y12" s="1">
        <f t="shared" si="2"/>
        <v>0.13150404764413434</v>
      </c>
      <c r="Z12" s="1">
        <f>'Paste cellinfo here'!$B$11</f>
        <v>0.51802400000000004</v>
      </c>
    </row>
    <row r="13" spans="1:26">
      <c r="A13" s="1">
        <v>12</v>
      </c>
      <c r="B13" s="2">
        <f>DATE(Sintesi!$C$4-1,12,31)+A13</f>
        <v>44208</v>
      </c>
      <c r="C13" s="1">
        <f>'Paste cell here'!B13</f>
        <v>0</v>
      </c>
      <c r="D13" s="1">
        <f>'Paste cell here'!I13</f>
        <v>0</v>
      </c>
      <c r="E13" s="1">
        <f>'Paste cell here'!J13</f>
        <v>0</v>
      </c>
      <c r="F13" s="1">
        <f>'Paste cell here'!K13</f>
        <v>0</v>
      </c>
      <c r="G13" s="1">
        <f>'Paste cell here'!L13</f>
        <v>0</v>
      </c>
      <c r="H13" s="1">
        <f>'Paste cell here'!M13</f>
        <v>0</v>
      </c>
      <c r="I13" s="1">
        <f>'Paste cell here'!N13</f>
        <v>0</v>
      </c>
      <c r="J13" s="1">
        <f>'Paste cell here'!O13</f>
        <v>0</v>
      </c>
      <c r="K13" s="1">
        <f>'Paste cell here'!Q13</f>
        <v>0.38234513399999998</v>
      </c>
      <c r="L13" s="1">
        <f>'Paste cell here'!S13</f>
        <v>0</v>
      </c>
      <c r="M13" s="1">
        <f>'Paste cell here'!T13</f>
        <v>0.28550772800000002</v>
      </c>
      <c r="N13" s="1">
        <f>'Paste cell here'!W13</f>
        <v>0</v>
      </c>
      <c r="O13" s="1">
        <f>'Paste cell here'!U13</f>
        <v>23.303537290000001</v>
      </c>
      <c r="P13" s="1">
        <f t="shared" si="3"/>
        <v>23.971390159999999</v>
      </c>
      <c r="Q13" s="1">
        <f>'Paste cell here'!V13</f>
        <v>0</v>
      </c>
      <c r="R13" s="1">
        <f t="shared" si="4"/>
        <v>7.9999971092092892E-9</v>
      </c>
      <c r="S13" s="7">
        <f>Sintesi!$C$30</f>
        <v>8.3099999999999993E-2</v>
      </c>
      <c r="T13" s="7">
        <f>Sintesi!$C$29</f>
        <v>0.229209</v>
      </c>
      <c r="U13" s="5">
        <f>O13/(Sintesi!$C$5*1000)</f>
        <v>0.23303537290000001</v>
      </c>
      <c r="V13" s="1">
        <f t="shared" si="0"/>
        <v>0.14610899999999999</v>
      </c>
      <c r="W13" s="1">
        <v>0.67589490758416704</v>
      </c>
      <c r="X13" s="1">
        <f t="shared" si="1"/>
        <v>9.8754329052215054E-2</v>
      </c>
      <c r="Y13" s="1">
        <f t="shared" si="2"/>
        <v>0.13045467094778496</v>
      </c>
      <c r="Z13" s="1">
        <f>'Paste cellinfo here'!$B$11</f>
        <v>0.51802400000000004</v>
      </c>
    </row>
    <row r="14" spans="1:26">
      <c r="A14" s="1">
        <v>13</v>
      </c>
      <c r="B14" s="2">
        <f>DATE(Sintesi!$C$4-1,12,31)+A14</f>
        <v>44209</v>
      </c>
      <c r="C14" s="1">
        <f>'Paste cell here'!B14</f>
        <v>0</v>
      </c>
      <c r="D14" s="1">
        <f>'Paste cell here'!I14</f>
        <v>0</v>
      </c>
      <c r="E14" s="1">
        <f>'Paste cell here'!J14</f>
        <v>0</v>
      </c>
      <c r="F14" s="1">
        <f>'Paste cell here'!K14</f>
        <v>0</v>
      </c>
      <c r="G14" s="1">
        <f>'Paste cell here'!L14</f>
        <v>0</v>
      </c>
      <c r="H14" s="1">
        <f>'Paste cell here'!M14</f>
        <v>0</v>
      </c>
      <c r="I14" s="1">
        <f>'Paste cell here'!N14</f>
        <v>0</v>
      </c>
      <c r="J14" s="1">
        <f>'Paste cell here'!O14</f>
        <v>0</v>
      </c>
      <c r="K14" s="1">
        <f>'Paste cell here'!Q14</f>
        <v>0.71013088899999999</v>
      </c>
      <c r="L14" s="1">
        <f>'Paste cell here'!S14</f>
        <v>0</v>
      </c>
      <c r="M14" s="1">
        <f>'Paste cell here'!T14</f>
        <v>0.19552836300000001</v>
      </c>
      <c r="N14" s="1">
        <f>'Paste cell here'!W14</f>
        <v>0</v>
      </c>
      <c r="O14" s="1">
        <f>'Paste cell here'!U14</f>
        <v>22.397878039999998</v>
      </c>
      <c r="P14" s="1">
        <f t="shared" si="3"/>
        <v>23.303537290000001</v>
      </c>
      <c r="Q14" s="1">
        <f>'Paste cell here'!V14</f>
        <v>0</v>
      </c>
      <c r="R14" s="1">
        <f t="shared" si="4"/>
        <v>1.9999966127670632E-9</v>
      </c>
      <c r="S14" s="7">
        <f>Sintesi!$C$30</f>
        <v>8.3099999999999993E-2</v>
      </c>
      <c r="T14" s="7">
        <f>Sintesi!$C$29</f>
        <v>0.229209</v>
      </c>
      <c r="U14" s="5">
        <f>O14/(Sintesi!$C$5*1000)</f>
        <v>0.22397878039999999</v>
      </c>
      <c r="V14" s="1">
        <f t="shared" si="0"/>
        <v>0.14610899999999999</v>
      </c>
      <c r="W14" s="1">
        <v>0.67862486558451196</v>
      </c>
      <c r="X14" s="1">
        <f t="shared" si="1"/>
        <v>9.9153200485687445E-2</v>
      </c>
      <c r="Y14" s="1">
        <f t="shared" si="2"/>
        <v>0.13005579951431256</v>
      </c>
      <c r="Z14" s="1">
        <f>'Paste cellinfo here'!$B$11</f>
        <v>0.51802400000000004</v>
      </c>
    </row>
    <row r="15" spans="1:26">
      <c r="A15" s="1">
        <v>14</v>
      </c>
      <c r="B15" s="2">
        <f>DATE(Sintesi!$C$4-1,12,31)+A15</f>
        <v>44210</v>
      </c>
      <c r="C15" s="1">
        <f>'Paste cell here'!B15</f>
        <v>0</v>
      </c>
      <c r="D15" s="1">
        <f>'Paste cell here'!I15</f>
        <v>0</v>
      </c>
      <c r="E15" s="1">
        <f>'Paste cell here'!J15</f>
        <v>0</v>
      </c>
      <c r="F15" s="1">
        <f>'Paste cell here'!K15</f>
        <v>0</v>
      </c>
      <c r="G15" s="1">
        <f>'Paste cell here'!L15</f>
        <v>0</v>
      </c>
      <c r="H15" s="1">
        <f>'Paste cell here'!M15</f>
        <v>0</v>
      </c>
      <c r="I15" s="1">
        <f>'Paste cell here'!N15</f>
        <v>0</v>
      </c>
      <c r="J15" s="1">
        <f>'Paste cell here'!O15</f>
        <v>0</v>
      </c>
      <c r="K15" s="1">
        <f>'Paste cell here'!Q15</f>
        <v>0.60597713499999994</v>
      </c>
      <c r="L15" s="1">
        <f>'Paste cell here'!S15</f>
        <v>0</v>
      </c>
      <c r="M15" s="1">
        <f>'Paste cell here'!T15</f>
        <v>0.12825503399999999</v>
      </c>
      <c r="N15" s="1">
        <f>'Paste cell here'!W15</f>
        <v>0</v>
      </c>
      <c r="O15" s="1">
        <f>'Paste cell here'!U15</f>
        <v>21.66364587</v>
      </c>
      <c r="P15" s="1">
        <f t="shared" si="3"/>
        <v>22.397878039999998</v>
      </c>
      <c r="Q15" s="1">
        <f>'Paste cell here'!V15</f>
        <v>0</v>
      </c>
      <c r="R15" s="1">
        <f t="shared" si="4"/>
        <v>1.000000082740371E-9</v>
      </c>
      <c r="S15" s="7">
        <f>Sintesi!$C$30</f>
        <v>8.3099999999999993E-2</v>
      </c>
      <c r="T15" s="7">
        <f>Sintesi!$C$29</f>
        <v>0.229209</v>
      </c>
      <c r="U15" s="5">
        <f>O15/(Sintesi!$C$5*1000)</f>
        <v>0.21663645870000001</v>
      </c>
      <c r="V15" s="1">
        <f t="shared" si="0"/>
        <v>0.14610899999999999</v>
      </c>
      <c r="W15" s="1">
        <v>0.68687845620022603</v>
      </c>
      <c r="X15" s="1">
        <f t="shared" si="1"/>
        <v>0.10035912435695882</v>
      </c>
      <c r="Y15" s="1">
        <f t="shared" si="2"/>
        <v>0.12884987564304118</v>
      </c>
      <c r="Z15" s="1">
        <f>'Paste cellinfo here'!$B$11</f>
        <v>0.51802400000000004</v>
      </c>
    </row>
    <row r="16" spans="1:26">
      <c r="A16" s="1">
        <v>15</v>
      </c>
      <c r="B16" s="2">
        <f>DATE(Sintesi!$C$4-1,12,31)+A16</f>
        <v>44211</v>
      </c>
      <c r="C16" s="1">
        <f>'Paste cell here'!B16</f>
        <v>1.9599999999999999E-2</v>
      </c>
      <c r="D16" s="1">
        <f>'Paste cell here'!I16</f>
        <v>0</v>
      </c>
      <c r="E16" s="1">
        <f>'Paste cell here'!J16</f>
        <v>1.9599999999999999E-2</v>
      </c>
      <c r="F16" s="1">
        <f>'Paste cell here'!K16</f>
        <v>1.9599999999999999E-2</v>
      </c>
      <c r="G16" s="1">
        <f>'Paste cell here'!L16</f>
        <v>1.9599999999999999E-2</v>
      </c>
      <c r="H16" s="1">
        <f>'Paste cell here'!M16</f>
        <v>0</v>
      </c>
      <c r="I16" s="1">
        <f>'Paste cell here'!N16</f>
        <v>0</v>
      </c>
      <c r="J16" s="1">
        <f>'Paste cell here'!O16</f>
        <v>1.9599999999999999E-2</v>
      </c>
      <c r="K16" s="1">
        <f>'Paste cell here'!Q16</f>
        <v>0.63247499699999998</v>
      </c>
      <c r="L16" s="1">
        <f>'Paste cell here'!S16</f>
        <v>0</v>
      </c>
      <c r="M16" s="1">
        <f>'Paste cell here'!T16</f>
        <v>8.7300000000000003E-2</v>
      </c>
      <c r="N16" s="1">
        <f>'Paste cell here'!W16</f>
        <v>0</v>
      </c>
      <c r="O16" s="1">
        <f>'Paste cell here'!U16</f>
        <v>20.96343968</v>
      </c>
      <c r="P16" s="1">
        <f t="shared" si="3"/>
        <v>21.66364587</v>
      </c>
      <c r="Q16" s="1">
        <f>'Paste cell here'!V16</f>
        <v>0</v>
      </c>
      <c r="R16" s="1">
        <f t="shared" si="4"/>
        <v>3.1193000001650262E-5</v>
      </c>
      <c r="S16" s="7">
        <f>Sintesi!$C$30</f>
        <v>8.3099999999999993E-2</v>
      </c>
      <c r="T16" s="7">
        <f>Sintesi!$C$29</f>
        <v>0.229209</v>
      </c>
      <c r="U16" s="5">
        <f>O16/(Sintesi!$C$5*1000)</f>
        <v>0.20963439680000001</v>
      </c>
      <c r="V16" s="1">
        <f t="shared" si="0"/>
        <v>0.14610899999999999</v>
      </c>
      <c r="W16" s="1">
        <v>0.63960412703217195</v>
      </c>
      <c r="X16" s="1">
        <f t="shared" si="1"/>
        <v>9.3451919396543612E-2</v>
      </c>
      <c r="Y16" s="1">
        <f t="shared" si="2"/>
        <v>0.13575708060345637</v>
      </c>
      <c r="Z16" s="1">
        <f>'Paste cellinfo here'!$B$11</f>
        <v>0.51802400000000004</v>
      </c>
    </row>
    <row r="17" spans="1:26">
      <c r="A17" s="1">
        <v>16</v>
      </c>
      <c r="B17" s="2">
        <f>DATE(Sintesi!$C$4-1,12,31)+A17</f>
        <v>44212</v>
      </c>
      <c r="C17" s="1">
        <f>'Paste cell here'!B17</f>
        <v>0</v>
      </c>
      <c r="D17" s="1">
        <f>'Paste cell here'!I17</f>
        <v>0</v>
      </c>
      <c r="E17" s="1">
        <f>'Paste cell here'!J17</f>
        <v>0</v>
      </c>
      <c r="F17" s="1">
        <f>'Paste cell here'!K17</f>
        <v>0</v>
      </c>
      <c r="G17" s="1">
        <f>'Paste cell here'!L17</f>
        <v>0</v>
      </c>
      <c r="H17" s="1">
        <f>'Paste cell here'!M17</f>
        <v>0</v>
      </c>
      <c r="I17" s="1">
        <f>'Paste cell here'!N17</f>
        <v>0</v>
      </c>
      <c r="J17" s="1">
        <f>'Paste cell here'!O17</f>
        <v>0</v>
      </c>
      <c r="K17" s="1">
        <f>'Paste cell here'!Q17</f>
        <v>0.45460656999999999</v>
      </c>
      <c r="L17" s="1">
        <f>'Paste cell here'!S17</f>
        <v>0</v>
      </c>
      <c r="M17" s="1">
        <f>'Paste cell here'!T17</f>
        <v>6.1800000000000001E-2</v>
      </c>
      <c r="N17" s="1">
        <f>'Paste cell here'!W17</f>
        <v>0</v>
      </c>
      <c r="O17" s="1">
        <f>'Paste cell here'!U17</f>
        <v>20.447050870000002</v>
      </c>
      <c r="P17" s="1">
        <f t="shared" si="3"/>
        <v>20.96343968</v>
      </c>
      <c r="Q17" s="1">
        <f>'Paste cell here'!V17</f>
        <v>0</v>
      </c>
      <c r="R17" s="1">
        <f t="shared" si="4"/>
        <v>1.776000000219824E-5</v>
      </c>
      <c r="S17" s="7">
        <f>Sintesi!$C$30</f>
        <v>8.3099999999999993E-2</v>
      </c>
      <c r="T17" s="7">
        <f>Sintesi!$C$29</f>
        <v>0.229209</v>
      </c>
      <c r="U17" s="5">
        <f>O17/(Sintesi!$C$5*1000)</f>
        <v>0.20447050870000003</v>
      </c>
      <c r="V17" s="1">
        <f t="shared" si="0"/>
        <v>0.14610899999999999</v>
      </c>
      <c r="W17" s="1">
        <v>0.67402862372771299</v>
      </c>
      <c r="X17" s="1">
        <f t="shared" si="1"/>
        <v>9.8481648184232412E-2</v>
      </c>
      <c r="Y17" s="1">
        <f t="shared" si="2"/>
        <v>0.13072735181576758</v>
      </c>
      <c r="Z17" s="1">
        <f>'Paste cellinfo here'!$B$11</f>
        <v>0.51802400000000004</v>
      </c>
    </row>
    <row r="18" spans="1:26">
      <c r="A18" s="1">
        <v>17</v>
      </c>
      <c r="B18" s="2">
        <f>DATE(Sintesi!$C$4-1,12,31)+A18</f>
        <v>44213</v>
      </c>
      <c r="C18" s="1">
        <f>'Paste cell here'!B18</f>
        <v>0</v>
      </c>
      <c r="D18" s="1">
        <f>'Paste cell here'!I18</f>
        <v>0</v>
      </c>
      <c r="E18" s="1">
        <f>'Paste cell here'!J18</f>
        <v>0</v>
      </c>
      <c r="F18" s="1">
        <f>'Paste cell here'!K18</f>
        <v>0</v>
      </c>
      <c r="G18" s="1">
        <f>'Paste cell here'!L18</f>
        <v>0</v>
      </c>
      <c r="H18" s="1">
        <f>'Paste cell here'!M18</f>
        <v>0</v>
      </c>
      <c r="I18" s="1">
        <f>'Paste cell here'!N18</f>
        <v>0</v>
      </c>
      <c r="J18" s="1">
        <f>'Paste cell here'!O18</f>
        <v>0</v>
      </c>
      <c r="K18" s="1">
        <f>'Paste cell here'!Q18</f>
        <v>0.32242610300000002</v>
      </c>
      <c r="L18" s="1">
        <f>'Paste cell here'!S18</f>
        <v>0</v>
      </c>
      <c r="M18" s="1">
        <f>'Paste cell here'!T18</f>
        <v>4.7600000000000003E-2</v>
      </c>
      <c r="N18" s="1">
        <f>'Paste cell here'!W18</f>
        <v>0</v>
      </c>
      <c r="O18" s="1">
        <f>'Paste cell here'!U18</f>
        <v>20.07699504</v>
      </c>
      <c r="P18" s="1">
        <f t="shared" si="3"/>
        <v>20.447050870000002</v>
      </c>
      <c r="Q18" s="1">
        <f>'Paste cell here'!V18</f>
        <v>0</v>
      </c>
      <c r="R18" s="1">
        <f t="shared" si="4"/>
        <v>2.9727000001145143E-5</v>
      </c>
      <c r="S18" s="7">
        <f>Sintesi!$C$30</f>
        <v>8.3099999999999993E-2</v>
      </c>
      <c r="T18" s="7">
        <f>Sintesi!$C$29</f>
        <v>0.229209</v>
      </c>
      <c r="U18" s="5">
        <f>O18/(Sintesi!$C$5*1000)</f>
        <v>0.20076995040000001</v>
      </c>
      <c r="V18" s="1">
        <f t="shared" si="0"/>
        <v>0.14610899999999999</v>
      </c>
      <c r="W18" s="1">
        <v>0.67121339530153201</v>
      </c>
      <c r="X18" s="1">
        <f t="shared" si="1"/>
        <v>9.8070317974111532E-2</v>
      </c>
      <c r="Y18" s="1">
        <f t="shared" si="2"/>
        <v>0.13113868202588846</v>
      </c>
      <c r="Z18" s="1">
        <f>'Paste cellinfo here'!$B$11</f>
        <v>0.51802400000000004</v>
      </c>
    </row>
    <row r="19" spans="1:26">
      <c r="A19" s="1">
        <v>18</v>
      </c>
      <c r="B19" s="2">
        <f>DATE(Sintesi!$C$4-1,12,31)+A19</f>
        <v>44214</v>
      </c>
      <c r="C19" s="1">
        <f>'Paste cell here'!B19</f>
        <v>0</v>
      </c>
      <c r="D19" s="1">
        <f>'Paste cell here'!I19</f>
        <v>0</v>
      </c>
      <c r="E19" s="1">
        <f>'Paste cell here'!J19</f>
        <v>0</v>
      </c>
      <c r="F19" s="1">
        <f>'Paste cell here'!K19</f>
        <v>0</v>
      </c>
      <c r="G19" s="1">
        <f>'Paste cell here'!L19</f>
        <v>0</v>
      </c>
      <c r="H19" s="1">
        <f>'Paste cell here'!M19</f>
        <v>0</v>
      </c>
      <c r="I19" s="1">
        <f>'Paste cell here'!N19</f>
        <v>0</v>
      </c>
      <c r="J19" s="1">
        <f>'Paste cell here'!O19</f>
        <v>0</v>
      </c>
      <c r="K19" s="1">
        <f>'Paste cell here'!Q19</f>
        <v>0.222258593</v>
      </c>
      <c r="L19" s="1">
        <f>'Paste cell here'!S19</f>
        <v>0</v>
      </c>
      <c r="M19" s="1">
        <f>'Paste cell here'!T19</f>
        <v>3.9399999999999998E-2</v>
      </c>
      <c r="N19" s="1">
        <f>'Paste cell here'!W19</f>
        <v>0</v>
      </c>
      <c r="O19" s="1">
        <f>'Paste cell here'!U19</f>
        <v>19.815332829999999</v>
      </c>
      <c r="P19" s="1">
        <f t="shared" si="3"/>
        <v>20.07699504</v>
      </c>
      <c r="Q19" s="1">
        <f>'Paste cell here'!V19</f>
        <v>0</v>
      </c>
      <c r="R19" s="1">
        <f t="shared" si="4"/>
        <v>3.6170000008439729E-6</v>
      </c>
      <c r="S19" s="7">
        <f>Sintesi!$C$30</f>
        <v>8.3099999999999993E-2</v>
      </c>
      <c r="T19" s="7">
        <f>Sintesi!$C$29</f>
        <v>0.229209</v>
      </c>
      <c r="U19" s="5">
        <f>O19/(Sintesi!$C$5*1000)</f>
        <v>0.19815332829999999</v>
      </c>
      <c r="V19" s="1">
        <f t="shared" si="0"/>
        <v>0.14610899999999999</v>
      </c>
      <c r="W19" s="1">
        <v>0.68113948405256197</v>
      </c>
      <c r="X19" s="1">
        <f t="shared" si="1"/>
        <v>9.9520608875435776E-2</v>
      </c>
      <c r="Y19" s="1">
        <f t="shared" si="2"/>
        <v>0.12968839112456421</v>
      </c>
      <c r="Z19" s="1">
        <f>'Paste cellinfo here'!$B$11</f>
        <v>0.51802400000000004</v>
      </c>
    </row>
    <row r="20" spans="1:26">
      <c r="A20" s="1">
        <v>19</v>
      </c>
      <c r="B20" s="2">
        <f>DATE(Sintesi!$C$4-1,12,31)+A20</f>
        <v>44215</v>
      </c>
      <c r="C20" s="1">
        <f>'Paste cell here'!B20</f>
        <v>1.0433467199999999</v>
      </c>
      <c r="D20" s="1">
        <f>'Paste cell here'!I20</f>
        <v>0</v>
      </c>
      <c r="E20" s="1">
        <f>'Paste cell here'!J20</f>
        <v>1.0433467199999999</v>
      </c>
      <c r="F20" s="1">
        <f>'Paste cell here'!K20</f>
        <v>1.0433467199999999</v>
      </c>
      <c r="G20" s="1">
        <f>'Paste cell here'!L20</f>
        <v>1.0433467199999999</v>
      </c>
      <c r="H20" s="1">
        <f>'Paste cell here'!M20</f>
        <v>0</v>
      </c>
      <c r="I20" s="1">
        <f>'Paste cell here'!N20</f>
        <v>0</v>
      </c>
      <c r="J20" s="1">
        <f>'Paste cell here'!O20</f>
        <v>1.0433467510000001</v>
      </c>
      <c r="K20" s="1">
        <f>'Paste cell here'!Q20</f>
        <v>0.288720745</v>
      </c>
      <c r="L20" s="1">
        <f>'Paste cell here'!S20</f>
        <v>0</v>
      </c>
      <c r="M20" s="1">
        <f>'Paste cell here'!T20</f>
        <v>4.4900000000000002E-2</v>
      </c>
      <c r="N20" s="1">
        <f>'Paste cell here'!W20</f>
        <v>0</v>
      </c>
      <c r="O20" s="1">
        <f>'Paste cell here'!U20</f>
        <v>20.52503622</v>
      </c>
      <c r="P20" s="1">
        <f t="shared" si="3"/>
        <v>19.815332829999999</v>
      </c>
      <c r="Q20" s="1">
        <f>'Paste cell here'!V20</f>
        <v>0</v>
      </c>
      <c r="R20" s="1">
        <f t="shared" si="4"/>
        <v>2.2584999999963884E-5</v>
      </c>
      <c r="S20" s="7">
        <f>Sintesi!$C$30</f>
        <v>8.3099999999999993E-2</v>
      </c>
      <c r="T20" s="7">
        <f>Sintesi!$C$29</f>
        <v>0.229209</v>
      </c>
      <c r="U20" s="5">
        <f>O20/(Sintesi!$C$5*1000)</f>
        <v>0.20525036220000001</v>
      </c>
      <c r="V20" s="1">
        <f t="shared" si="0"/>
        <v>0.14610899999999999</v>
      </c>
      <c r="W20" s="1">
        <v>0.67026386905630198</v>
      </c>
      <c r="X20" s="1">
        <f t="shared" si="1"/>
        <v>9.7931583643947218E-2</v>
      </c>
      <c r="Y20" s="1">
        <f t="shared" si="2"/>
        <v>0.13127741635605278</v>
      </c>
      <c r="Z20" s="1">
        <f>'Paste cellinfo here'!$B$11</f>
        <v>0.51802400000000004</v>
      </c>
    </row>
    <row r="21" spans="1:26">
      <c r="A21" s="1">
        <v>20</v>
      </c>
      <c r="B21" s="2">
        <f>DATE(Sintesi!$C$4-1,12,31)+A21</f>
        <v>44216</v>
      </c>
      <c r="C21" s="1">
        <f>'Paste cell here'!B21</f>
        <v>3.1811167189999998</v>
      </c>
      <c r="D21" s="1">
        <f>'Paste cell here'!I21</f>
        <v>0</v>
      </c>
      <c r="E21" s="1">
        <f>'Paste cell here'!J21</f>
        <v>3.1811167189999998</v>
      </c>
      <c r="F21" s="1">
        <f>'Paste cell here'!K21</f>
        <v>3.1811167189999998</v>
      </c>
      <c r="G21" s="1">
        <f>'Paste cell here'!L21</f>
        <v>3.1811167189999998</v>
      </c>
      <c r="H21" s="1">
        <f>'Paste cell here'!M21</f>
        <v>0</v>
      </c>
      <c r="I21" s="1">
        <f>'Paste cell here'!N21</f>
        <v>0</v>
      </c>
      <c r="J21" s="1">
        <f>'Paste cell here'!O21</f>
        <v>3.181116813</v>
      </c>
      <c r="K21" s="1">
        <f>'Paste cell here'!Q21</f>
        <v>0.35501783199999998</v>
      </c>
      <c r="L21" s="1">
        <f>'Paste cell here'!S21</f>
        <v>0</v>
      </c>
      <c r="M21" s="1">
        <f>'Paste cell here'!T21</f>
        <v>0.124570049</v>
      </c>
      <c r="N21" s="1">
        <f>'Paste cell here'!W21</f>
        <v>0</v>
      </c>
      <c r="O21" s="1">
        <f>'Paste cell here'!U21</f>
        <v>23.226565149999999</v>
      </c>
      <c r="P21" s="1">
        <f t="shared" si="3"/>
        <v>20.52503622</v>
      </c>
      <c r="Q21" s="1">
        <f>'Paste cell here'!V21</f>
        <v>0</v>
      </c>
      <c r="R21" s="1">
        <f t="shared" si="4"/>
        <v>9.2000000506686774E-8</v>
      </c>
      <c r="S21" s="7">
        <f>Sintesi!$C$30</f>
        <v>8.3099999999999993E-2</v>
      </c>
      <c r="T21" s="7">
        <f>Sintesi!$C$29</f>
        <v>0.229209</v>
      </c>
      <c r="U21" s="5">
        <f>O21/(Sintesi!$C$5*1000)</f>
        <v>0.2322656515</v>
      </c>
      <c r="V21" s="1">
        <f t="shared" si="0"/>
        <v>0.14610899999999999</v>
      </c>
      <c r="W21" s="1">
        <v>0.66914888978434595</v>
      </c>
      <c r="X21" s="1">
        <f t="shared" si="1"/>
        <v>9.7768675137500996E-2</v>
      </c>
      <c r="Y21" s="1">
        <f t="shared" si="2"/>
        <v>0.13144032486249901</v>
      </c>
      <c r="Z21" s="1">
        <f>'Paste cellinfo here'!$B$11</f>
        <v>0.51802400000000004</v>
      </c>
    </row>
    <row r="22" spans="1:26">
      <c r="A22" s="1">
        <v>21</v>
      </c>
      <c r="B22" s="2">
        <f>DATE(Sintesi!$C$4-1,12,31)+A22</f>
        <v>44217</v>
      </c>
      <c r="C22" s="1">
        <f>'Paste cell here'!B22</f>
        <v>11.35560072</v>
      </c>
      <c r="D22" s="1">
        <f>'Paste cell here'!I22</f>
        <v>0</v>
      </c>
      <c r="E22" s="1">
        <f>'Paste cell here'!J22</f>
        <v>11.35560072</v>
      </c>
      <c r="F22" s="1">
        <f>'Paste cell here'!K22</f>
        <v>11.35560072</v>
      </c>
      <c r="G22" s="1">
        <f>'Paste cell here'!L22</f>
        <v>9.8687768800000004</v>
      </c>
      <c r="H22" s="1">
        <f>'Paste cell here'!M22</f>
        <v>0</v>
      </c>
      <c r="I22" s="1">
        <f>'Paste cell here'!N22</f>
        <v>1.486823842</v>
      </c>
      <c r="J22" s="1">
        <f>'Paste cell here'!O22</f>
        <v>9.8687771739999999</v>
      </c>
      <c r="K22" s="1">
        <f>'Paste cell here'!Q22</f>
        <v>0.40838449599999999</v>
      </c>
      <c r="L22" s="1">
        <f>'Paste cell here'!S22</f>
        <v>0</v>
      </c>
      <c r="M22" s="1">
        <f>'Paste cell here'!T22</f>
        <v>1.9675365730000001</v>
      </c>
      <c r="N22" s="1">
        <f>'Paste cell here'!W22</f>
        <v>0</v>
      </c>
      <c r="O22" s="1">
        <f>'Paste cell here'!U22</f>
        <v>30.719421260000001</v>
      </c>
      <c r="P22" s="1">
        <f t="shared" si="3"/>
        <v>23.226565149999999</v>
      </c>
      <c r="Q22" s="1">
        <f>'Paste cell here'!V22</f>
        <v>0</v>
      </c>
      <c r="R22" s="1">
        <f t="shared" si="4"/>
        <v>3.0100000003585592E-7</v>
      </c>
      <c r="S22" s="7">
        <f>Sintesi!$C$30</f>
        <v>8.3099999999999993E-2</v>
      </c>
      <c r="T22" s="7">
        <f>Sintesi!$C$29</f>
        <v>0.229209</v>
      </c>
      <c r="U22" s="5">
        <f>O22/(Sintesi!$C$5*1000)</f>
        <v>0.30719421260000002</v>
      </c>
      <c r="V22" s="1">
        <f t="shared" si="0"/>
        <v>0.14610899999999999</v>
      </c>
      <c r="W22" s="1">
        <v>0.68391507668229601</v>
      </c>
      <c r="X22" s="1">
        <f t="shared" si="1"/>
        <v>9.9926147938973586E-2</v>
      </c>
      <c r="Y22" s="1">
        <f t="shared" si="2"/>
        <v>0.12928285206102641</v>
      </c>
      <c r="Z22" s="1">
        <f>'Paste cellinfo here'!$B$11</f>
        <v>0.51802400000000004</v>
      </c>
    </row>
    <row r="23" spans="1:26">
      <c r="A23" s="1">
        <v>22</v>
      </c>
      <c r="B23" s="2">
        <f>DATE(Sintesi!$C$4-1,12,31)+A23</f>
        <v>44218</v>
      </c>
      <c r="C23" s="1">
        <f>'Paste cell here'!B23</f>
        <v>22.29129709</v>
      </c>
      <c r="D23" s="1">
        <f>'Paste cell here'!I23</f>
        <v>0</v>
      </c>
      <c r="E23" s="1">
        <f>'Paste cell here'!J23</f>
        <v>22.29129709</v>
      </c>
      <c r="F23" s="1">
        <f>'Paste cell here'!K23</f>
        <v>22.29129709</v>
      </c>
      <c r="G23" s="1">
        <f>'Paste cell here'!L23</f>
        <v>14.192416420000001</v>
      </c>
      <c r="H23" s="1">
        <f>'Paste cell here'!M23</f>
        <v>0</v>
      </c>
      <c r="I23" s="1">
        <f>'Paste cell here'!N23</f>
        <v>8.0988806689999997</v>
      </c>
      <c r="J23" s="1">
        <f>'Paste cell here'!O23</f>
        <v>14.19241684</v>
      </c>
      <c r="K23" s="1">
        <f>'Paste cell here'!Q23</f>
        <v>0.40237379200000001</v>
      </c>
      <c r="L23" s="1">
        <f>'Paste cell here'!S23</f>
        <v>0</v>
      </c>
      <c r="M23" s="1">
        <f>'Paste cell here'!T23</f>
        <v>10.83818494</v>
      </c>
      <c r="N23" s="1">
        <f>'Paste cell here'!W23</f>
        <v>0</v>
      </c>
      <c r="O23" s="1">
        <f>'Paste cell here'!U23</f>
        <v>33.671279370000001</v>
      </c>
      <c r="P23" s="1">
        <f t="shared" si="3"/>
        <v>30.719421260000001</v>
      </c>
      <c r="Q23" s="1">
        <f>'Paste cell here'!V23</f>
        <v>0</v>
      </c>
      <c r="R23" s="1">
        <f t="shared" si="4"/>
        <v>4.2099998864841837E-7</v>
      </c>
      <c r="S23" s="7">
        <f>Sintesi!$C$30</f>
        <v>8.3099999999999993E-2</v>
      </c>
      <c r="T23" s="7">
        <f>Sintesi!$C$29</f>
        <v>0.229209</v>
      </c>
      <c r="U23" s="5">
        <f>O23/(Sintesi!$C$5*1000)</f>
        <v>0.33671279370000001</v>
      </c>
      <c r="V23" s="1">
        <f t="shared" si="0"/>
        <v>0.14610899999999999</v>
      </c>
      <c r="W23" s="1">
        <v>0.682366863322456</v>
      </c>
      <c r="X23" s="1">
        <f t="shared" si="1"/>
        <v>9.9699940033180709E-2</v>
      </c>
      <c r="Y23" s="1">
        <f t="shared" si="2"/>
        <v>0.12950905996681927</v>
      </c>
      <c r="Z23" s="1">
        <f>'Paste cellinfo here'!$B$11</f>
        <v>0.51802400000000004</v>
      </c>
    </row>
    <row r="24" spans="1:26">
      <c r="A24" s="1">
        <v>23</v>
      </c>
      <c r="B24" s="2">
        <f>DATE(Sintesi!$C$4-1,12,31)+A24</f>
        <v>44219</v>
      </c>
      <c r="C24" s="1">
        <f>'Paste cell here'!B24</f>
        <v>14.612226359999999</v>
      </c>
      <c r="D24" s="1">
        <f>'Paste cell here'!I24</f>
        <v>0</v>
      </c>
      <c r="E24" s="1">
        <f>'Paste cell here'!J24</f>
        <v>14.612226359999999</v>
      </c>
      <c r="F24" s="1">
        <f>'Paste cell here'!K24</f>
        <v>14.612226359999999</v>
      </c>
      <c r="G24" s="1">
        <f>'Paste cell here'!L24</f>
        <v>11.15083458</v>
      </c>
      <c r="H24" s="1">
        <f>'Paste cell here'!M24</f>
        <v>0</v>
      </c>
      <c r="I24" s="1">
        <f>'Paste cell here'!N24</f>
        <v>3.4613917750000001</v>
      </c>
      <c r="J24" s="1">
        <f>'Paste cell here'!O24</f>
        <v>11.15083491</v>
      </c>
      <c r="K24" s="1">
        <f>'Paste cell here'!Q24</f>
        <v>0.63752513899999996</v>
      </c>
      <c r="L24" s="1">
        <f>'Paste cell here'!S24</f>
        <v>0</v>
      </c>
      <c r="M24" s="1">
        <f>'Paste cell here'!T24</f>
        <v>11.261518069999999</v>
      </c>
      <c r="N24" s="1">
        <f>'Paste cell here'!W24</f>
        <v>0</v>
      </c>
      <c r="O24" s="1">
        <f>'Paste cell here'!U24</f>
        <v>32.92307108</v>
      </c>
      <c r="P24" s="1">
        <f t="shared" si="3"/>
        <v>33.671279370000001</v>
      </c>
      <c r="Q24" s="1">
        <f>'Paste cell here'!V24</f>
        <v>0</v>
      </c>
      <c r="R24" s="1">
        <f t="shared" si="4"/>
        <v>3.3399999921357448E-7</v>
      </c>
      <c r="S24" s="7">
        <f>Sintesi!$C$30</f>
        <v>8.3099999999999993E-2</v>
      </c>
      <c r="T24" s="7">
        <f>Sintesi!$C$29</f>
        <v>0.229209</v>
      </c>
      <c r="U24" s="5">
        <f>O24/(Sintesi!$C$5*1000)</f>
        <v>0.32923071079999999</v>
      </c>
      <c r="V24" s="1">
        <f t="shared" si="0"/>
        <v>0.14610899999999999</v>
      </c>
      <c r="W24" s="1">
        <v>0.68103217769245905</v>
      </c>
      <c r="X24" s="1">
        <f t="shared" si="1"/>
        <v>9.9504930450467488E-2</v>
      </c>
      <c r="Y24" s="1">
        <f t="shared" si="2"/>
        <v>0.12970406954953251</v>
      </c>
      <c r="Z24" s="1">
        <f>'Paste cellinfo here'!$B$11</f>
        <v>0.51802400000000004</v>
      </c>
    </row>
    <row r="25" spans="1:26">
      <c r="A25" s="1">
        <v>24</v>
      </c>
      <c r="B25" s="2">
        <f>DATE(Sintesi!$C$4-1,12,31)+A25</f>
        <v>44220</v>
      </c>
      <c r="C25" s="1">
        <f>'Paste cell here'!B25</f>
        <v>0</v>
      </c>
      <c r="D25" s="1">
        <f>'Paste cell here'!I25</f>
        <v>0</v>
      </c>
      <c r="E25" s="1">
        <f>'Paste cell here'!J25</f>
        <v>0</v>
      </c>
      <c r="F25" s="1">
        <f>'Paste cell here'!K25</f>
        <v>0</v>
      </c>
      <c r="G25" s="1">
        <f>'Paste cell here'!L25</f>
        <v>0</v>
      </c>
      <c r="H25" s="1">
        <f>'Paste cell here'!M25</f>
        <v>0</v>
      </c>
      <c r="I25" s="1">
        <f>'Paste cell here'!N25</f>
        <v>0</v>
      </c>
      <c r="J25" s="1">
        <f>'Paste cell here'!O25</f>
        <v>0</v>
      </c>
      <c r="K25" s="1">
        <f>'Paste cell here'!Q25</f>
        <v>1.066819771</v>
      </c>
      <c r="L25" s="1">
        <f>'Paste cell here'!S25</f>
        <v>0</v>
      </c>
      <c r="M25" s="1">
        <f>'Paste cell here'!T25</f>
        <v>4.1080493000000002</v>
      </c>
      <c r="N25" s="1">
        <f>'Paste cell here'!W25</f>
        <v>0</v>
      </c>
      <c r="O25" s="1">
        <f>'Paste cell here'!U25</f>
        <v>27.748201999999999</v>
      </c>
      <c r="P25" s="1">
        <f t="shared" si="3"/>
        <v>32.92307108</v>
      </c>
      <c r="Q25" s="1">
        <f>'Paste cell here'!V25</f>
        <v>0</v>
      </c>
      <c r="R25" s="1">
        <f t="shared" si="4"/>
        <v>9.000000744663339E-9</v>
      </c>
      <c r="S25" s="7">
        <f>Sintesi!$C$30</f>
        <v>8.3099999999999993E-2</v>
      </c>
      <c r="T25" s="7">
        <f>Sintesi!$C$29</f>
        <v>0.229209</v>
      </c>
      <c r="U25" s="5">
        <f>O25/(Sintesi!$C$5*1000)</f>
        <v>0.27748202</v>
      </c>
      <c r="V25" s="1">
        <f t="shared" si="0"/>
        <v>0.14610899999999999</v>
      </c>
      <c r="W25" s="1">
        <v>0.67770925983232</v>
      </c>
      <c r="X25" s="1">
        <f t="shared" si="1"/>
        <v>9.9019422244840435E-2</v>
      </c>
      <c r="Y25" s="1">
        <f t="shared" si="2"/>
        <v>0.13018957775515955</v>
      </c>
      <c r="Z25" s="1">
        <f>'Paste cellinfo here'!$B$11</f>
        <v>0.51802400000000004</v>
      </c>
    </row>
    <row r="26" spans="1:26">
      <c r="A26" s="1">
        <v>25</v>
      </c>
      <c r="B26" s="2">
        <f>DATE(Sintesi!$C$4-1,12,31)+A26</f>
        <v>44221</v>
      </c>
      <c r="C26" s="1">
        <f>'Paste cell here'!B26</f>
        <v>0</v>
      </c>
      <c r="D26" s="1">
        <f>'Paste cell here'!I26</f>
        <v>0</v>
      </c>
      <c r="E26" s="1">
        <f>'Paste cell here'!J26</f>
        <v>0</v>
      </c>
      <c r="F26" s="1">
        <f>'Paste cell here'!K26</f>
        <v>0</v>
      </c>
      <c r="G26" s="1">
        <f>'Paste cell here'!L26</f>
        <v>0</v>
      </c>
      <c r="H26" s="1">
        <f>'Paste cell here'!M26</f>
        <v>0</v>
      </c>
      <c r="I26" s="1">
        <f>'Paste cell here'!N26</f>
        <v>0</v>
      </c>
      <c r="J26" s="1">
        <f>'Paste cell here'!O26</f>
        <v>0</v>
      </c>
      <c r="K26" s="1">
        <f>'Paste cell here'!Q26</f>
        <v>0.95465323700000004</v>
      </c>
      <c r="L26" s="1">
        <f>'Paste cell here'!S26</f>
        <v>0</v>
      </c>
      <c r="M26" s="1">
        <f>'Paste cell here'!T26</f>
        <v>1.1226562899999999</v>
      </c>
      <c r="N26" s="1">
        <f>'Paste cell here'!W26</f>
        <v>0</v>
      </c>
      <c r="O26" s="1">
        <f>'Paste cell here'!U26</f>
        <v>25.670892479999999</v>
      </c>
      <c r="P26" s="1">
        <f t="shared" si="3"/>
        <v>27.748201999999999</v>
      </c>
      <c r="Q26" s="1">
        <f>'Paste cell here'!V26</f>
        <v>0</v>
      </c>
      <c r="R26" s="1">
        <f t="shared" si="4"/>
        <v>6.9999970264689182E-9</v>
      </c>
      <c r="S26" s="7">
        <f>Sintesi!$C$30</f>
        <v>8.3099999999999993E-2</v>
      </c>
      <c r="T26" s="7">
        <f>Sintesi!$C$29</f>
        <v>0.229209</v>
      </c>
      <c r="U26" s="5">
        <f>O26/(Sintesi!$C$5*1000)</f>
        <v>0.25670892480000002</v>
      </c>
      <c r="V26" s="1">
        <f t="shared" si="0"/>
        <v>0.14610899999999999</v>
      </c>
      <c r="W26" s="1">
        <v>0.67619284966406901</v>
      </c>
      <c r="X26" s="1">
        <f t="shared" si="1"/>
        <v>9.8797861071567447E-2</v>
      </c>
      <c r="Y26" s="1">
        <f t="shared" si="2"/>
        <v>0.13041113892843254</v>
      </c>
      <c r="Z26" s="1">
        <f>'Paste cellinfo here'!$B$11</f>
        <v>0.51802400000000004</v>
      </c>
    </row>
    <row r="27" spans="1:26">
      <c r="A27" s="1">
        <v>26</v>
      </c>
      <c r="B27" s="2">
        <f>DATE(Sintesi!$C$4-1,12,31)+A27</f>
        <v>44222</v>
      </c>
      <c r="C27" s="1">
        <f>'Paste cell here'!B27</f>
        <v>0</v>
      </c>
      <c r="D27" s="1">
        <f>'Paste cell here'!I27</f>
        <v>0</v>
      </c>
      <c r="E27" s="1">
        <f>'Paste cell here'!J27</f>
        <v>0</v>
      </c>
      <c r="F27" s="1">
        <f>'Paste cell here'!K27</f>
        <v>0</v>
      </c>
      <c r="G27" s="1">
        <f>'Paste cell here'!L27</f>
        <v>0</v>
      </c>
      <c r="H27" s="1">
        <f>'Paste cell here'!M27</f>
        <v>0</v>
      </c>
      <c r="I27" s="1">
        <f>'Paste cell here'!N27</f>
        <v>0</v>
      </c>
      <c r="J27" s="1">
        <f>'Paste cell here'!O27</f>
        <v>0</v>
      </c>
      <c r="K27" s="1">
        <f>'Paste cell here'!Q27</f>
        <v>2.0034267360000002</v>
      </c>
      <c r="L27" s="1">
        <f>'Paste cell here'!S27</f>
        <v>0</v>
      </c>
      <c r="M27" s="1">
        <f>'Paste cell here'!T27</f>
        <v>0.447981513</v>
      </c>
      <c r="N27" s="1">
        <f>'Paste cell here'!W27</f>
        <v>0</v>
      </c>
      <c r="O27" s="1">
        <f>'Paste cell here'!U27</f>
        <v>23.219484229999999</v>
      </c>
      <c r="P27" s="1">
        <f t="shared" si="3"/>
        <v>25.670892479999999</v>
      </c>
      <c r="Q27" s="1">
        <f>'Paste cell here'!V27</f>
        <v>0</v>
      </c>
      <c r="R27" s="1">
        <f t="shared" si="4"/>
        <v>1.000000082740371E-9</v>
      </c>
      <c r="S27" s="7">
        <f>Sintesi!$C$30</f>
        <v>8.3099999999999993E-2</v>
      </c>
      <c r="T27" s="7">
        <f>Sintesi!$C$29</f>
        <v>0.229209</v>
      </c>
      <c r="U27" s="5">
        <f>O27/(Sintesi!$C$5*1000)</f>
        <v>0.23219484229999998</v>
      </c>
      <c r="V27" s="1">
        <f t="shared" si="0"/>
        <v>0.14610899999999999</v>
      </c>
      <c r="W27" s="1">
        <v>0.67903460106864599</v>
      </c>
      <c r="X27" s="1">
        <f t="shared" si="1"/>
        <v>9.9213066527538793E-2</v>
      </c>
      <c r="Y27" s="1">
        <f t="shared" si="2"/>
        <v>0.12999593347246119</v>
      </c>
      <c r="Z27" s="1">
        <f>'Paste cellinfo here'!$B$11</f>
        <v>0.51802400000000004</v>
      </c>
    </row>
    <row r="28" spans="1:26">
      <c r="A28" s="1">
        <v>27</v>
      </c>
      <c r="B28" s="2">
        <f>DATE(Sintesi!$C$4-1,12,31)+A28</f>
        <v>44223</v>
      </c>
      <c r="C28" s="1">
        <f>'Paste cell here'!B28</f>
        <v>0</v>
      </c>
      <c r="D28" s="1">
        <f>'Paste cell here'!I28</f>
        <v>0</v>
      </c>
      <c r="E28" s="1">
        <f>'Paste cell here'!J28</f>
        <v>0</v>
      </c>
      <c r="F28" s="1">
        <f>'Paste cell here'!K28</f>
        <v>0</v>
      </c>
      <c r="G28" s="1">
        <f>'Paste cell here'!L28</f>
        <v>0</v>
      </c>
      <c r="H28" s="1">
        <f>'Paste cell here'!M28</f>
        <v>0</v>
      </c>
      <c r="I28" s="1">
        <f>'Paste cell here'!N28</f>
        <v>0</v>
      </c>
      <c r="J28" s="1">
        <f>'Paste cell here'!O28</f>
        <v>0</v>
      </c>
      <c r="K28" s="1">
        <f>'Paste cell here'!Q28</f>
        <v>0.83819239599999995</v>
      </c>
      <c r="L28" s="1">
        <f>'Paste cell here'!S28</f>
        <v>0</v>
      </c>
      <c r="M28" s="1">
        <f>'Paste cell here'!T28</f>
        <v>0.18291822399999999</v>
      </c>
      <c r="N28" s="1">
        <f>'Paste cell here'!W28</f>
        <v>0</v>
      </c>
      <c r="O28" s="1">
        <f>'Paste cell here'!U28</f>
        <v>22.198373610000001</v>
      </c>
      <c r="P28" s="1">
        <f t="shared" si="3"/>
        <v>23.219484229999999</v>
      </c>
      <c r="Q28" s="1">
        <f>'Paste cell here'!V28</f>
        <v>0</v>
      </c>
      <c r="R28" s="1">
        <f t="shared" si="4"/>
        <v>3.5527136788005009E-15</v>
      </c>
      <c r="S28" s="7">
        <f>Sintesi!$C$30</f>
        <v>8.3099999999999993E-2</v>
      </c>
      <c r="T28" s="7">
        <f>Sintesi!$C$29</f>
        <v>0.229209</v>
      </c>
      <c r="U28" s="5">
        <f>O28/(Sintesi!$C$5*1000)</f>
        <v>0.2219837361</v>
      </c>
      <c r="V28" s="1">
        <f t="shared" si="0"/>
        <v>0.14610899999999999</v>
      </c>
      <c r="W28" s="1">
        <v>0.67863650113523299</v>
      </c>
      <c r="X28" s="1">
        <f t="shared" si="1"/>
        <v>9.9154900544367749E-2</v>
      </c>
      <c r="Y28" s="1">
        <f t="shared" si="2"/>
        <v>0.13005409945563223</v>
      </c>
      <c r="Z28" s="1">
        <f>'Paste cellinfo here'!$B$11</f>
        <v>0.51802400000000004</v>
      </c>
    </row>
    <row r="29" spans="1:26">
      <c r="A29" s="1">
        <v>28</v>
      </c>
      <c r="B29" s="2">
        <f>DATE(Sintesi!$C$4-1,12,31)+A29</f>
        <v>44224</v>
      </c>
      <c r="C29" s="1">
        <f>'Paste cell here'!B29</f>
        <v>0</v>
      </c>
      <c r="D29" s="1">
        <f>'Paste cell here'!I29</f>
        <v>0</v>
      </c>
      <c r="E29" s="1">
        <f>'Paste cell here'!J29</f>
        <v>0</v>
      </c>
      <c r="F29" s="1">
        <f>'Paste cell here'!K29</f>
        <v>0</v>
      </c>
      <c r="G29" s="1">
        <f>'Paste cell here'!L29</f>
        <v>0</v>
      </c>
      <c r="H29" s="1">
        <f>'Paste cell here'!M29</f>
        <v>0</v>
      </c>
      <c r="I29" s="1">
        <f>'Paste cell here'!N29</f>
        <v>0</v>
      </c>
      <c r="J29" s="1">
        <f>'Paste cell here'!O29</f>
        <v>0</v>
      </c>
      <c r="K29" s="1">
        <f>'Paste cell here'!Q29</f>
        <v>0.60825464399999996</v>
      </c>
      <c r="L29" s="1">
        <f>'Paste cell here'!S29</f>
        <v>0</v>
      </c>
      <c r="M29" s="1">
        <f>'Paste cell here'!T29</f>
        <v>0.115731161</v>
      </c>
      <c r="N29" s="1">
        <f>'Paste cell here'!W29</f>
        <v>0</v>
      </c>
      <c r="O29" s="1">
        <f>'Paste cell here'!U29</f>
        <v>21.474387799999999</v>
      </c>
      <c r="P29" s="1">
        <f t="shared" si="3"/>
        <v>22.198373610000001</v>
      </c>
      <c r="Q29" s="1">
        <f>'Paste cell here'!V29</f>
        <v>0</v>
      </c>
      <c r="R29" s="1">
        <f t="shared" si="4"/>
        <v>5.0000039664155338E-9</v>
      </c>
      <c r="S29" s="7">
        <f>Sintesi!$C$30</f>
        <v>8.3099999999999993E-2</v>
      </c>
      <c r="T29" s="7">
        <f>Sintesi!$C$29</f>
        <v>0.229209</v>
      </c>
      <c r="U29" s="5">
        <f>O29/(Sintesi!$C$5*1000)</f>
        <v>0.214743878</v>
      </c>
      <c r="V29" s="1">
        <f t="shared" si="0"/>
        <v>0.14610899999999999</v>
      </c>
      <c r="W29" s="1">
        <v>0.67547870249119601</v>
      </c>
      <c r="X29" s="1">
        <f t="shared" si="1"/>
        <v>9.8693517742286158E-2</v>
      </c>
      <c r="Y29" s="1">
        <f t="shared" si="2"/>
        <v>0.13051548225771384</v>
      </c>
      <c r="Z29" s="1">
        <f>'Paste cellinfo here'!$B$11</f>
        <v>0.51802400000000004</v>
      </c>
    </row>
    <row r="30" spans="1:26">
      <c r="A30" s="1">
        <v>29</v>
      </c>
      <c r="B30" s="2">
        <f>DATE(Sintesi!$C$4-1,12,31)+A30</f>
        <v>44225</v>
      </c>
      <c r="C30" s="1">
        <f>'Paste cell here'!B30</f>
        <v>0</v>
      </c>
      <c r="D30" s="1">
        <f>'Paste cell here'!I30</f>
        <v>0</v>
      </c>
      <c r="E30" s="1">
        <f>'Paste cell here'!J30</f>
        <v>0</v>
      </c>
      <c r="F30" s="1">
        <f>'Paste cell here'!K30</f>
        <v>0</v>
      </c>
      <c r="G30" s="1">
        <f>'Paste cell here'!L30</f>
        <v>0</v>
      </c>
      <c r="H30" s="1">
        <f>'Paste cell here'!M30</f>
        <v>0</v>
      </c>
      <c r="I30" s="1">
        <f>'Paste cell here'!N30</f>
        <v>0</v>
      </c>
      <c r="J30" s="1">
        <f>'Paste cell here'!O30</f>
        <v>0</v>
      </c>
      <c r="K30" s="1">
        <f>'Paste cell here'!Q30</f>
        <v>0.62092499300000004</v>
      </c>
      <c r="L30" s="1">
        <f>'Paste cell here'!S30</f>
        <v>0</v>
      </c>
      <c r="M30" s="1">
        <f>'Paste cell here'!T30</f>
        <v>7.8700000000000006E-2</v>
      </c>
      <c r="N30" s="1">
        <f>'Paste cell here'!W30</f>
        <v>0</v>
      </c>
      <c r="O30" s="1">
        <f>'Paste cell here'!U30</f>
        <v>20.774787150000002</v>
      </c>
      <c r="P30" s="1">
        <f t="shared" si="3"/>
        <v>21.474387799999999</v>
      </c>
      <c r="Q30" s="1">
        <f>'Paste cell here'!V30</f>
        <v>0</v>
      </c>
      <c r="R30" s="1">
        <f t="shared" si="4"/>
        <v>2.4343000003312909E-5</v>
      </c>
      <c r="S30" s="7">
        <f>Sintesi!$C$30</f>
        <v>8.3099999999999993E-2</v>
      </c>
      <c r="T30" s="7">
        <f>Sintesi!$C$29</f>
        <v>0.229209</v>
      </c>
      <c r="U30" s="5">
        <f>O30/(Sintesi!$C$5*1000)</f>
        <v>0.20774787150000001</v>
      </c>
      <c r="V30" s="1">
        <f t="shared" si="0"/>
        <v>0.14610899999999999</v>
      </c>
      <c r="W30" s="1">
        <v>0.67641699432073898</v>
      </c>
      <c r="X30" s="1">
        <f t="shared" si="1"/>
        <v>9.8830610623208845E-2</v>
      </c>
      <c r="Y30" s="1">
        <f t="shared" si="2"/>
        <v>0.13037838937679114</v>
      </c>
      <c r="Z30" s="1">
        <f>'Paste cellinfo here'!$B$11</f>
        <v>0.51802400000000004</v>
      </c>
    </row>
    <row r="31" spans="1:26">
      <c r="A31" s="1">
        <v>30</v>
      </c>
      <c r="B31" s="2">
        <f>DATE(Sintesi!$C$4-1,12,31)+A31</f>
        <v>44226</v>
      </c>
      <c r="C31" s="1">
        <f>'Paste cell here'!B31</f>
        <v>1.7677414840000001</v>
      </c>
      <c r="D31" s="1">
        <f>'Paste cell here'!I31</f>
        <v>0</v>
      </c>
      <c r="E31" s="1">
        <f>'Paste cell here'!J31</f>
        <v>1.7677414840000001</v>
      </c>
      <c r="F31" s="1">
        <f>'Paste cell here'!K31</f>
        <v>1.7677414840000001</v>
      </c>
      <c r="G31" s="1">
        <f>'Paste cell here'!L31</f>
        <v>1.7677414840000001</v>
      </c>
      <c r="H31" s="1">
        <f>'Paste cell here'!M31</f>
        <v>0</v>
      </c>
      <c r="I31" s="1">
        <f>'Paste cell here'!N31</f>
        <v>0</v>
      </c>
      <c r="J31" s="1">
        <f>'Paste cell here'!O31</f>
        <v>1.7677415359999999</v>
      </c>
      <c r="K31" s="1">
        <f>'Paste cell here'!Q31</f>
        <v>0.88375223000000003</v>
      </c>
      <c r="L31" s="1">
        <f>'Paste cell here'!S31</f>
        <v>0</v>
      </c>
      <c r="M31" s="1">
        <f>'Paste cell here'!T31</f>
        <v>7.9899999999999999E-2</v>
      </c>
      <c r="N31" s="1">
        <f>'Paste cell here'!W31</f>
        <v>0</v>
      </c>
      <c r="O31" s="1">
        <f>'Paste cell here'!U31</f>
        <v>21.578893690000001</v>
      </c>
      <c r="P31" s="1">
        <f t="shared" si="3"/>
        <v>20.774787150000002</v>
      </c>
      <c r="Q31" s="1">
        <f>'Paste cell here'!V31</f>
        <v>0</v>
      </c>
      <c r="R31" s="1">
        <f t="shared" si="4"/>
        <v>1.7285999998506441E-5</v>
      </c>
      <c r="S31" s="7">
        <f>Sintesi!$C$30</f>
        <v>8.3099999999999993E-2</v>
      </c>
      <c r="T31" s="7">
        <f>Sintesi!$C$29</f>
        <v>0.229209</v>
      </c>
      <c r="U31" s="5">
        <f>O31/(Sintesi!$C$5*1000)</f>
        <v>0.21578893690000001</v>
      </c>
      <c r="V31" s="1">
        <f t="shared" si="0"/>
        <v>0.14610899999999999</v>
      </c>
      <c r="W31" s="1">
        <v>0.674892182946354</v>
      </c>
      <c r="X31" s="1">
        <f t="shared" si="1"/>
        <v>9.8607821958108827E-2</v>
      </c>
      <c r="Y31" s="1">
        <f t="shared" si="2"/>
        <v>0.13060117804189117</v>
      </c>
      <c r="Z31" s="1">
        <f>'Paste cellinfo here'!$B$11</f>
        <v>0.51802400000000004</v>
      </c>
    </row>
    <row r="32" spans="1:26">
      <c r="A32" s="1">
        <v>31</v>
      </c>
      <c r="B32" s="2">
        <f>DATE(Sintesi!$C$4-1,12,31)+A32</f>
        <v>44227</v>
      </c>
      <c r="C32" s="1">
        <f>'Paste cell here'!B32</f>
        <v>4.5454105550000001</v>
      </c>
      <c r="D32" s="1">
        <f>'Paste cell here'!I32</f>
        <v>0</v>
      </c>
      <c r="E32" s="1">
        <f>'Paste cell here'!J32</f>
        <v>4.5454105550000001</v>
      </c>
      <c r="F32" s="1">
        <f>'Paste cell here'!K32</f>
        <v>4.5454105550000001</v>
      </c>
      <c r="G32" s="1">
        <f>'Paste cell here'!L32</f>
        <v>4.5454105550000001</v>
      </c>
      <c r="H32" s="1">
        <f>'Paste cell here'!M32</f>
        <v>0</v>
      </c>
      <c r="I32" s="1">
        <f>'Paste cell here'!N32</f>
        <v>0</v>
      </c>
      <c r="J32" s="1">
        <f>'Paste cell here'!O32</f>
        <v>4.5454106899999998</v>
      </c>
      <c r="K32" s="1">
        <f>'Paste cell here'!Q32</f>
        <v>0.84386354100000005</v>
      </c>
      <c r="L32" s="1">
        <f>'Paste cell here'!S32</f>
        <v>0</v>
      </c>
      <c r="M32" s="1">
        <f>'Paste cell here'!T32</f>
        <v>0.26566567800000002</v>
      </c>
      <c r="N32" s="1">
        <f>'Paste cell here'!W32</f>
        <v>0</v>
      </c>
      <c r="O32" s="1">
        <f>'Paste cell here'!U32</f>
        <v>25.014775159999999</v>
      </c>
      <c r="P32" s="1">
        <f t="shared" si="3"/>
        <v>21.578893690000001</v>
      </c>
      <c r="Q32" s="1">
        <f>'Paste cell here'!V32</f>
        <v>0</v>
      </c>
      <c r="R32" s="1">
        <f t="shared" si="4"/>
        <v>1.3400000042906868E-7</v>
      </c>
      <c r="S32" s="7">
        <f>Sintesi!$C$30</f>
        <v>8.3099999999999993E-2</v>
      </c>
      <c r="T32" s="7">
        <f>Sintesi!$C$29</f>
        <v>0.229209</v>
      </c>
      <c r="U32" s="5">
        <f>O32/(Sintesi!$C$5*1000)</f>
        <v>0.25014775159999997</v>
      </c>
      <c r="V32" s="1">
        <f t="shared" si="0"/>
        <v>0.14610899999999999</v>
      </c>
      <c r="W32" s="1">
        <v>0.66968617505104</v>
      </c>
      <c r="X32" s="1">
        <f t="shared" si="1"/>
        <v>9.7847177350532402E-2</v>
      </c>
      <c r="Y32" s="1">
        <f t="shared" si="2"/>
        <v>0.13136182264946761</v>
      </c>
      <c r="Z32" s="1">
        <f>'Paste cellinfo here'!$B$11</f>
        <v>0.51802400000000004</v>
      </c>
    </row>
    <row r="33" spans="1:26">
      <c r="A33" s="1">
        <v>32</v>
      </c>
      <c r="B33" s="2">
        <f>DATE(Sintesi!$C$4-1,12,31)+A33</f>
        <v>44228</v>
      </c>
      <c r="C33" s="1">
        <f>'Paste cell here'!B33</f>
        <v>0</v>
      </c>
      <c r="D33" s="1">
        <f>'Paste cell here'!I33</f>
        <v>0</v>
      </c>
      <c r="E33" s="1">
        <f>'Paste cell here'!J33</f>
        <v>0</v>
      </c>
      <c r="F33" s="1">
        <f>'Paste cell here'!K33</f>
        <v>0</v>
      </c>
      <c r="G33" s="1">
        <f>'Paste cell here'!L33</f>
        <v>0</v>
      </c>
      <c r="H33" s="1">
        <f>'Paste cell here'!M33</f>
        <v>0</v>
      </c>
      <c r="I33" s="1">
        <f>'Paste cell here'!N33</f>
        <v>0</v>
      </c>
      <c r="J33" s="1">
        <f>'Paste cell here'!O33</f>
        <v>0</v>
      </c>
      <c r="K33" s="1">
        <f>'Paste cell here'!Q33</f>
        <v>0.69591124699999996</v>
      </c>
      <c r="L33" s="1">
        <f>'Paste cell here'!S33</f>
        <v>0</v>
      </c>
      <c r="M33" s="1">
        <f>'Paste cell here'!T33</f>
        <v>0.42191334800000002</v>
      </c>
      <c r="N33" s="1">
        <f>'Paste cell here'!W33</f>
        <v>0</v>
      </c>
      <c r="O33" s="1">
        <f>'Paste cell here'!U33</f>
        <v>23.896950560000001</v>
      </c>
      <c r="P33" s="1">
        <f t="shared" si="3"/>
        <v>25.014775159999999</v>
      </c>
      <c r="Q33" s="1">
        <f>'Paste cell here'!V33</f>
        <v>0</v>
      </c>
      <c r="R33" s="1">
        <f t="shared" si="4"/>
        <v>4.9999968609881762E-9</v>
      </c>
      <c r="S33" s="7">
        <f>Sintesi!$C$30</f>
        <v>8.3099999999999993E-2</v>
      </c>
      <c r="T33" s="7">
        <f>Sintesi!$C$29</f>
        <v>0.229209</v>
      </c>
      <c r="U33" s="5">
        <f>O33/(Sintesi!$C$5*1000)</f>
        <v>0.23896950559999999</v>
      </c>
      <c r="V33" s="1">
        <f t="shared" si="0"/>
        <v>0.14610899999999999</v>
      </c>
      <c r="W33" s="1">
        <v>0.67658266535519695</v>
      </c>
      <c r="X33" s="1">
        <f t="shared" si="1"/>
        <v>9.8854816652382466E-2</v>
      </c>
      <c r="Y33" s="1">
        <f t="shared" si="2"/>
        <v>0.13035418334761753</v>
      </c>
      <c r="Z33" s="1">
        <f>'Paste cellinfo here'!$B$11</f>
        <v>0.51802400000000004</v>
      </c>
    </row>
    <row r="34" spans="1:26">
      <c r="A34" s="1">
        <v>33</v>
      </c>
      <c r="B34" s="2">
        <f>DATE(Sintesi!$C$4-1,12,31)+A34</f>
        <v>44229</v>
      </c>
      <c r="C34" s="1">
        <f>'Paste cell here'!B34</f>
        <v>0</v>
      </c>
      <c r="D34" s="1">
        <f>'Paste cell here'!I34</f>
        <v>0</v>
      </c>
      <c r="E34" s="1">
        <f>'Paste cell here'!J34</f>
        <v>0</v>
      </c>
      <c r="F34" s="1">
        <f>'Paste cell here'!K34</f>
        <v>0</v>
      </c>
      <c r="G34" s="1">
        <f>'Paste cell here'!L34</f>
        <v>0</v>
      </c>
      <c r="H34" s="1">
        <f>'Paste cell here'!M34</f>
        <v>0</v>
      </c>
      <c r="I34" s="1">
        <f>'Paste cell here'!N34</f>
        <v>0</v>
      </c>
      <c r="J34" s="1">
        <f>'Paste cell here'!O34</f>
        <v>0</v>
      </c>
      <c r="K34" s="1">
        <f>'Paste cell here'!Q34</f>
        <v>0.44860930300000001</v>
      </c>
      <c r="L34" s="1">
        <f>'Paste cell here'!S34</f>
        <v>0</v>
      </c>
      <c r="M34" s="1">
        <f>'Paste cell here'!T34</f>
        <v>0.27218584000000001</v>
      </c>
      <c r="N34" s="1">
        <f>'Paste cell here'!W34</f>
        <v>0</v>
      </c>
      <c r="O34" s="1">
        <f>'Paste cell here'!U34</f>
        <v>23.176155420000001</v>
      </c>
      <c r="P34" s="1">
        <f t="shared" si="3"/>
        <v>23.896950560000001</v>
      </c>
      <c r="Q34" s="1">
        <f>'Paste cell here'!V34</f>
        <v>0</v>
      </c>
      <c r="R34" s="1">
        <f t="shared" si="4"/>
        <v>3.000000248221113E-9</v>
      </c>
      <c r="S34" s="7">
        <f>Sintesi!$C$30</f>
        <v>8.3099999999999993E-2</v>
      </c>
      <c r="T34" s="7">
        <f>Sintesi!$C$29</f>
        <v>0.229209</v>
      </c>
      <c r="U34" s="5">
        <f>O34/(Sintesi!$C$5*1000)</f>
        <v>0.2317615542</v>
      </c>
      <c r="V34" s="1">
        <f t="shared" si="0"/>
        <v>0.14610899999999999</v>
      </c>
      <c r="W34" s="1">
        <v>0.67849416678530905</v>
      </c>
      <c r="X34" s="1">
        <f t="shared" si="1"/>
        <v>9.9134104214834706E-2</v>
      </c>
      <c r="Y34" s="1">
        <f t="shared" si="2"/>
        <v>0.13007489578516529</v>
      </c>
      <c r="Z34" s="1">
        <f>'Paste cellinfo here'!$B$11</f>
        <v>0.51802400000000004</v>
      </c>
    </row>
    <row r="35" spans="1:26">
      <c r="A35" s="1">
        <v>34</v>
      </c>
      <c r="B35" s="2">
        <f>DATE(Sintesi!$C$4-1,12,31)+A35</f>
        <v>44230</v>
      </c>
      <c r="C35" s="1">
        <f>'Paste cell here'!B35</f>
        <v>22.313542989999998</v>
      </c>
      <c r="D35" s="1">
        <f>'Paste cell here'!I35</f>
        <v>0</v>
      </c>
      <c r="E35" s="1">
        <f>'Paste cell here'!J35</f>
        <v>22.313542989999998</v>
      </c>
      <c r="F35" s="1">
        <f>'Paste cell here'!K35</f>
        <v>22.313542989999998</v>
      </c>
      <c r="G35" s="1">
        <f>'Paste cell here'!L35</f>
        <v>14.66953299</v>
      </c>
      <c r="H35" s="1">
        <f>'Paste cell here'!M35</f>
        <v>0</v>
      </c>
      <c r="I35" s="1">
        <f>'Paste cell here'!N35</f>
        <v>7.6440099999999997</v>
      </c>
      <c r="J35" s="1">
        <f>'Paste cell here'!O35</f>
        <v>14.66953343</v>
      </c>
      <c r="K35" s="1">
        <f>'Paste cell here'!Q35</f>
        <v>0.47401418200000001</v>
      </c>
      <c r="L35" s="1">
        <f>'Paste cell here'!S35</f>
        <v>0</v>
      </c>
      <c r="M35" s="1">
        <f>'Paste cell here'!T35</f>
        <v>4.3246250719999999</v>
      </c>
      <c r="N35" s="1">
        <f>'Paste cell here'!W35</f>
        <v>0</v>
      </c>
      <c r="O35" s="1">
        <f>'Paste cell here'!U35</f>
        <v>33.04704959</v>
      </c>
      <c r="P35" s="1">
        <f t="shared" si="3"/>
        <v>23.176155420000001</v>
      </c>
      <c r="Q35" s="1">
        <f>'Paste cell here'!V35</f>
        <v>0</v>
      </c>
      <c r="R35" s="1">
        <f t="shared" si="4"/>
        <v>4.3400000038218423E-7</v>
      </c>
      <c r="S35" s="7">
        <f>Sintesi!$C$30</f>
        <v>8.3099999999999993E-2</v>
      </c>
      <c r="T35" s="7">
        <f>Sintesi!$C$29</f>
        <v>0.229209</v>
      </c>
      <c r="U35" s="5">
        <f>O35/(Sintesi!$C$5*1000)</f>
        <v>0.33047049589999999</v>
      </c>
      <c r="V35" s="1">
        <f t="shared" si="0"/>
        <v>0.14610899999999999</v>
      </c>
      <c r="W35" s="1">
        <v>0.67729307454782495</v>
      </c>
      <c r="X35" s="1">
        <f t="shared" si="1"/>
        <v>9.8958613829108144E-2</v>
      </c>
      <c r="Y35" s="1">
        <f t="shared" si="2"/>
        <v>0.13025038617089185</v>
      </c>
      <c r="Z35" s="1">
        <f>'Paste cellinfo here'!$B$11</f>
        <v>0.51802400000000004</v>
      </c>
    </row>
    <row r="36" spans="1:26">
      <c r="A36" s="1">
        <v>35</v>
      </c>
      <c r="B36" s="2">
        <f>DATE(Sintesi!$C$4-1,12,31)+A36</f>
        <v>44231</v>
      </c>
      <c r="C36" s="1">
        <f>'Paste cell here'!B36</f>
        <v>1.2048973620000001</v>
      </c>
      <c r="D36" s="1">
        <f>'Paste cell here'!I36</f>
        <v>0</v>
      </c>
      <c r="E36" s="1">
        <f>'Paste cell here'!J36</f>
        <v>1.2048973620000001</v>
      </c>
      <c r="F36" s="1">
        <f>'Paste cell here'!K36</f>
        <v>1.2048973620000001</v>
      </c>
      <c r="G36" s="1">
        <f>'Paste cell here'!L36</f>
        <v>1.2048973620000001</v>
      </c>
      <c r="H36" s="1">
        <f>'Paste cell here'!M36</f>
        <v>0</v>
      </c>
      <c r="I36" s="1">
        <f>'Paste cell here'!N36</f>
        <v>0</v>
      </c>
      <c r="J36" s="1">
        <f>'Paste cell here'!O36</f>
        <v>1.204897398</v>
      </c>
      <c r="K36" s="1">
        <f>'Paste cell here'!Q36</f>
        <v>0.57187390699999996</v>
      </c>
      <c r="L36" s="1">
        <f>'Paste cell here'!S36</f>
        <v>0</v>
      </c>
      <c r="M36" s="1">
        <f>'Paste cell here'!T36</f>
        <v>4.872370257</v>
      </c>
      <c r="N36" s="1">
        <f>'Paste cell here'!W36</f>
        <v>0</v>
      </c>
      <c r="O36" s="1">
        <f>'Paste cell here'!U36</f>
        <v>28.80770283</v>
      </c>
      <c r="P36" s="1">
        <f t="shared" si="3"/>
        <v>33.04704959</v>
      </c>
      <c r="Q36" s="1">
        <f>'Paste cell here'!V36</f>
        <v>0</v>
      </c>
      <c r="R36" s="1">
        <f t="shared" si="4"/>
        <v>4.1999999922381903E-8</v>
      </c>
      <c r="S36" s="7">
        <f>Sintesi!$C$30</f>
        <v>8.3099999999999993E-2</v>
      </c>
      <c r="T36" s="7">
        <f>Sintesi!$C$29</f>
        <v>0.229209</v>
      </c>
      <c r="U36" s="5">
        <f>O36/(Sintesi!$C$5*1000)</f>
        <v>0.28807702829999998</v>
      </c>
      <c r="V36" s="1">
        <f t="shared" si="0"/>
        <v>0.14610899999999999</v>
      </c>
      <c r="W36" s="1">
        <v>0.68028693507915805</v>
      </c>
      <c r="X36" s="1">
        <f t="shared" si="1"/>
        <v>9.9396043797480696E-2</v>
      </c>
      <c r="Y36" s="1">
        <f t="shared" si="2"/>
        <v>0.12981295620251931</v>
      </c>
      <c r="Z36" s="1">
        <f>'Paste cellinfo here'!$B$11</f>
        <v>0.51802400000000004</v>
      </c>
    </row>
    <row r="37" spans="1:26">
      <c r="A37" s="1">
        <v>36</v>
      </c>
      <c r="B37" s="2">
        <f>DATE(Sintesi!$C$4-1,12,31)+A37</f>
        <v>44232</v>
      </c>
      <c r="C37" s="1">
        <f>'Paste cell here'!B37</f>
        <v>9.0899999999999995E-2</v>
      </c>
      <c r="D37" s="1">
        <f>'Paste cell here'!I37</f>
        <v>0</v>
      </c>
      <c r="E37" s="1">
        <f>'Paste cell here'!J37</f>
        <v>9.0899999999999995E-2</v>
      </c>
      <c r="F37" s="1">
        <f>'Paste cell here'!K37</f>
        <v>9.0899999999999995E-2</v>
      </c>
      <c r="G37" s="1">
        <f>'Paste cell here'!L37</f>
        <v>9.0899999999999995E-2</v>
      </c>
      <c r="H37" s="1">
        <f>'Paste cell here'!M37</f>
        <v>0</v>
      </c>
      <c r="I37" s="1">
        <f>'Paste cell here'!N37</f>
        <v>0</v>
      </c>
      <c r="J37" s="1">
        <f>'Paste cell here'!O37</f>
        <v>9.0899999999999995E-2</v>
      </c>
      <c r="K37" s="1">
        <f>'Paste cell here'!Q37</f>
        <v>0.58592238799999996</v>
      </c>
      <c r="L37" s="1">
        <f>'Paste cell here'!S37</f>
        <v>0</v>
      </c>
      <c r="M37" s="1">
        <f>'Paste cell here'!T37</f>
        <v>1.6630873340000001</v>
      </c>
      <c r="N37" s="1">
        <f>'Paste cell here'!W37</f>
        <v>0</v>
      </c>
      <c r="O37" s="1">
        <f>'Paste cell here'!U37</f>
        <v>26.649607809999999</v>
      </c>
      <c r="P37" s="1">
        <f t="shared" si="3"/>
        <v>28.80770283</v>
      </c>
      <c r="Q37" s="1">
        <f>'Paste cell here'!V37</f>
        <v>0</v>
      </c>
      <c r="R37" s="1">
        <f t="shared" si="4"/>
        <v>1.4701999997868143E-5</v>
      </c>
      <c r="S37" s="7">
        <f>Sintesi!$C$30</f>
        <v>8.3099999999999993E-2</v>
      </c>
      <c r="T37" s="7">
        <f>Sintesi!$C$29</f>
        <v>0.229209</v>
      </c>
      <c r="U37" s="5">
        <f>O37/(Sintesi!$C$5*1000)</f>
        <v>0.26649607809999998</v>
      </c>
      <c r="V37" s="1">
        <f t="shared" si="0"/>
        <v>0.14610899999999999</v>
      </c>
      <c r="W37" s="1">
        <v>0.65402803469535198</v>
      </c>
      <c r="X37" s="1">
        <f t="shared" si="1"/>
        <v>9.5559382121303174E-2</v>
      </c>
      <c r="Y37" s="1">
        <f t="shared" si="2"/>
        <v>0.13364961787869684</v>
      </c>
      <c r="Z37" s="1">
        <f>'Paste cellinfo here'!$B$11</f>
        <v>0.51802400000000004</v>
      </c>
    </row>
    <row r="38" spans="1:26">
      <c r="A38" s="1">
        <v>37</v>
      </c>
      <c r="B38" s="2">
        <f>DATE(Sintesi!$C$4-1,12,31)+A38</f>
        <v>44233</v>
      </c>
      <c r="C38" s="1">
        <f>'Paste cell here'!B38</f>
        <v>0</v>
      </c>
      <c r="D38" s="1">
        <f>'Paste cell here'!I38</f>
        <v>0</v>
      </c>
      <c r="E38" s="1">
        <f>'Paste cell here'!J38</f>
        <v>0</v>
      </c>
      <c r="F38" s="1">
        <f>'Paste cell here'!K38</f>
        <v>0</v>
      </c>
      <c r="G38" s="1">
        <f>'Paste cell here'!L38</f>
        <v>0</v>
      </c>
      <c r="H38" s="1">
        <f>'Paste cell here'!M38</f>
        <v>0</v>
      </c>
      <c r="I38" s="1">
        <f>'Paste cell here'!N38</f>
        <v>0</v>
      </c>
      <c r="J38" s="1">
        <f>'Paste cell here'!O38</f>
        <v>0</v>
      </c>
      <c r="K38" s="1">
        <f>'Paste cell here'!Q38</f>
        <v>0.58212042900000005</v>
      </c>
      <c r="L38" s="1">
        <f>'Paste cell here'!S38</f>
        <v>0</v>
      </c>
      <c r="M38" s="1">
        <f>'Paste cell here'!T38</f>
        <v>0.81373683299999999</v>
      </c>
      <c r="N38" s="1">
        <f>'Paste cell here'!W38</f>
        <v>0</v>
      </c>
      <c r="O38" s="1">
        <f>'Paste cell here'!U38</f>
        <v>25.253750549999999</v>
      </c>
      <c r="P38" s="1">
        <f t="shared" si="3"/>
        <v>26.649607809999999</v>
      </c>
      <c r="Q38" s="1">
        <f>'Paste cell here'!V38</f>
        <v>0</v>
      </c>
      <c r="R38" s="1">
        <f t="shared" si="4"/>
        <v>2.000000165480742E-9</v>
      </c>
      <c r="S38" s="7">
        <f>Sintesi!$C$30</f>
        <v>8.3099999999999993E-2</v>
      </c>
      <c r="T38" s="7">
        <f>Sintesi!$C$29</f>
        <v>0.229209</v>
      </c>
      <c r="U38" s="5">
        <f>O38/(Sintesi!$C$5*1000)</f>
        <v>0.25253750549999998</v>
      </c>
      <c r="V38" s="1">
        <f t="shared" si="0"/>
        <v>0.14610899999999999</v>
      </c>
      <c r="W38" s="1">
        <v>0.66664058992919395</v>
      </c>
      <c r="X38" s="1">
        <f t="shared" si="1"/>
        <v>9.7402189953964588E-2</v>
      </c>
      <c r="Y38" s="1">
        <f t="shared" si="2"/>
        <v>0.13180681004603539</v>
      </c>
      <c r="Z38" s="1">
        <f>'Paste cellinfo here'!$B$11</f>
        <v>0.51802400000000004</v>
      </c>
    </row>
    <row r="39" spans="1:26">
      <c r="A39" s="1">
        <v>38</v>
      </c>
      <c r="B39" s="2">
        <f>DATE(Sintesi!$C$4-1,12,31)+A39</f>
        <v>44234</v>
      </c>
      <c r="C39" s="1">
        <f>'Paste cell here'!B39</f>
        <v>33.062226529999997</v>
      </c>
      <c r="D39" s="1">
        <f>'Paste cell here'!I39</f>
        <v>0</v>
      </c>
      <c r="E39" s="1">
        <f>'Paste cell here'!J39</f>
        <v>33.062226529999997</v>
      </c>
      <c r="F39" s="1">
        <f>'Paste cell here'!K39</f>
        <v>33.062226529999997</v>
      </c>
      <c r="G39" s="1">
        <f>'Paste cell here'!L39</f>
        <v>17.154644059999999</v>
      </c>
      <c r="H39" s="1">
        <f>'Paste cell here'!M39</f>
        <v>0</v>
      </c>
      <c r="I39" s="1">
        <f>'Paste cell here'!N39</f>
        <v>15.907582469999999</v>
      </c>
      <c r="J39" s="1">
        <f>'Paste cell here'!O39</f>
        <v>17.154644569999999</v>
      </c>
      <c r="K39" s="1">
        <f>'Paste cell here'!Q39</f>
        <v>0.50452902300000002</v>
      </c>
      <c r="L39" s="1">
        <f>'Paste cell here'!S39</f>
        <v>0</v>
      </c>
      <c r="M39" s="1">
        <f>'Paste cell here'!T39</f>
        <v>7.8040874039999997</v>
      </c>
      <c r="N39" s="1">
        <f>'Paste cell here'!W39</f>
        <v>0</v>
      </c>
      <c r="O39" s="1">
        <f>'Paste cell here'!U39</f>
        <v>34.099778700000002</v>
      </c>
      <c r="P39" s="1">
        <f t="shared" si="3"/>
        <v>25.253750549999999</v>
      </c>
      <c r="Q39" s="1">
        <f>'Paste cell here'!V39</f>
        <v>0</v>
      </c>
      <c r="R39" s="1">
        <f t="shared" si="4"/>
        <v>5.170000108023487E-7</v>
      </c>
      <c r="S39" s="7">
        <f>Sintesi!$C$30</f>
        <v>8.3099999999999993E-2</v>
      </c>
      <c r="T39" s="7">
        <f>Sintesi!$C$29</f>
        <v>0.229209</v>
      </c>
      <c r="U39" s="5">
        <f>O39/(Sintesi!$C$5*1000)</f>
        <v>0.340997787</v>
      </c>
      <c r="V39" s="1">
        <f t="shared" si="0"/>
        <v>0.14610899999999999</v>
      </c>
      <c r="W39" s="1">
        <v>0.66433491983069903</v>
      </c>
      <c r="X39" s="1">
        <f t="shared" si="1"/>
        <v>9.7065310801543597E-2</v>
      </c>
      <c r="Y39" s="1">
        <f t="shared" si="2"/>
        <v>0.1321436891984564</v>
      </c>
      <c r="Z39" s="1">
        <f>'Paste cellinfo here'!$B$11</f>
        <v>0.51802400000000004</v>
      </c>
    </row>
    <row r="40" spans="1:26">
      <c r="A40" s="1">
        <v>39</v>
      </c>
      <c r="B40" s="2">
        <f>DATE(Sintesi!$C$4-1,12,31)+A40</f>
        <v>44235</v>
      </c>
      <c r="C40" s="1">
        <f>'Paste cell here'!B40</f>
        <v>0.29090438000000002</v>
      </c>
      <c r="D40" s="1">
        <f>'Paste cell here'!I40</f>
        <v>0</v>
      </c>
      <c r="E40" s="1">
        <f>'Paste cell here'!J40</f>
        <v>0.29090438000000002</v>
      </c>
      <c r="F40" s="1">
        <f>'Paste cell here'!K40</f>
        <v>0.29090438000000002</v>
      </c>
      <c r="G40" s="1">
        <f>'Paste cell here'!L40</f>
        <v>0.29090438000000002</v>
      </c>
      <c r="H40" s="1">
        <f>'Paste cell here'!M40</f>
        <v>0</v>
      </c>
      <c r="I40" s="1">
        <f>'Paste cell here'!N40</f>
        <v>0</v>
      </c>
      <c r="J40" s="1">
        <f>'Paste cell here'!O40</f>
        <v>0.29090438899999999</v>
      </c>
      <c r="K40" s="1">
        <f>'Paste cell here'!Q40</f>
        <v>1.470236806</v>
      </c>
      <c r="L40" s="1">
        <f>'Paste cell here'!S40</f>
        <v>0</v>
      </c>
      <c r="M40" s="1">
        <f>'Paste cell here'!T40</f>
        <v>5.0096719409999997</v>
      </c>
      <c r="N40" s="1">
        <f>'Paste cell here'!W40</f>
        <v>0</v>
      </c>
      <c r="O40" s="1">
        <f>'Paste cell here'!U40</f>
        <v>27.91077434</v>
      </c>
      <c r="P40" s="1">
        <f t="shared" si="3"/>
        <v>34.099778700000002</v>
      </c>
      <c r="Q40" s="1">
        <f>'Paste cell here'!V40</f>
        <v>0</v>
      </c>
      <c r="R40" s="1">
        <f t="shared" si="4"/>
        <v>7.000000579182597E-9</v>
      </c>
      <c r="S40" s="7">
        <f>Sintesi!$C$30</f>
        <v>8.3099999999999993E-2</v>
      </c>
      <c r="T40" s="7">
        <f>Sintesi!$C$29</f>
        <v>0.229209</v>
      </c>
      <c r="U40" s="5">
        <f>O40/(Sintesi!$C$5*1000)</f>
        <v>0.2791077434</v>
      </c>
      <c r="V40" s="1">
        <f t="shared" si="0"/>
        <v>0.14610899999999999</v>
      </c>
      <c r="W40" s="1">
        <v>0.67054774017238294</v>
      </c>
      <c r="X40" s="1">
        <f t="shared" si="1"/>
        <v>9.7973059768846696E-2</v>
      </c>
      <c r="Y40" s="1">
        <f t="shared" si="2"/>
        <v>0.13123594023115331</v>
      </c>
      <c r="Z40" s="1">
        <f>'Paste cellinfo here'!$B$11</f>
        <v>0.51802400000000004</v>
      </c>
    </row>
    <row r="41" spans="1:26">
      <c r="A41" s="1">
        <v>40</v>
      </c>
      <c r="B41" s="2">
        <f>DATE(Sintesi!$C$4-1,12,31)+A41</f>
        <v>44236</v>
      </c>
      <c r="C41" s="1">
        <f>'Paste cell here'!B41</f>
        <v>2.7938365869999999</v>
      </c>
      <c r="D41" s="1">
        <f>'Paste cell here'!I41</f>
        <v>0</v>
      </c>
      <c r="E41" s="1">
        <f>'Paste cell here'!J41</f>
        <v>2.7938365869999999</v>
      </c>
      <c r="F41" s="1">
        <f>'Paste cell here'!K41</f>
        <v>2.7938365869999999</v>
      </c>
      <c r="G41" s="1">
        <f>'Paste cell here'!L41</f>
        <v>2.7938365869999999</v>
      </c>
      <c r="H41" s="1">
        <f>'Paste cell here'!M41</f>
        <v>0</v>
      </c>
      <c r="I41" s="1">
        <f>'Paste cell here'!N41</f>
        <v>0</v>
      </c>
      <c r="J41" s="1">
        <f>'Paste cell here'!O41</f>
        <v>2.7938366710000002</v>
      </c>
      <c r="K41" s="1">
        <f>'Paste cell here'!Q41</f>
        <v>0.79627494399999998</v>
      </c>
      <c r="L41" s="1">
        <f>'Paste cell here'!S41</f>
        <v>0</v>
      </c>
      <c r="M41" s="1">
        <f>'Paste cell here'!T41</f>
        <v>1.86089412</v>
      </c>
      <c r="N41" s="1">
        <f>'Paste cell here'!W41</f>
        <v>0</v>
      </c>
      <c r="O41" s="1">
        <f>'Paste cell here'!U41</f>
        <v>28.04744195</v>
      </c>
      <c r="P41" s="1">
        <f t="shared" si="3"/>
        <v>27.91077434</v>
      </c>
      <c r="Q41" s="1">
        <f>'Paste cell here'!V41</f>
        <v>0</v>
      </c>
      <c r="R41" s="1">
        <f t="shared" si="4"/>
        <v>8.7000000092984919E-8</v>
      </c>
      <c r="S41" s="7">
        <f>Sintesi!$C$30</f>
        <v>8.3099999999999993E-2</v>
      </c>
      <c r="T41" s="7">
        <f>Sintesi!$C$29</f>
        <v>0.229209</v>
      </c>
      <c r="U41" s="5">
        <f>O41/(Sintesi!$C$5*1000)</f>
        <v>0.28047441950000002</v>
      </c>
      <c r="V41" s="1">
        <f t="shared" si="0"/>
        <v>0.14610899999999999</v>
      </c>
      <c r="W41" s="1">
        <v>0.66690138097641405</v>
      </c>
      <c r="X41" s="1">
        <f t="shared" si="1"/>
        <v>9.7440293873082867E-2</v>
      </c>
      <c r="Y41" s="1">
        <f t="shared" si="2"/>
        <v>0.13176870612691713</v>
      </c>
      <c r="Z41" s="1">
        <f>'Paste cellinfo here'!$B$11</f>
        <v>0.51802400000000004</v>
      </c>
    </row>
    <row r="42" spans="1:26">
      <c r="A42" s="1">
        <v>41</v>
      </c>
      <c r="B42" s="2">
        <f>DATE(Sintesi!$C$4-1,12,31)+A42</f>
        <v>44237</v>
      </c>
      <c r="C42" s="1">
        <f>'Paste cell here'!B42</f>
        <v>14.38476088</v>
      </c>
      <c r="D42" s="1">
        <f>'Paste cell here'!I42</f>
        <v>0</v>
      </c>
      <c r="E42" s="1">
        <f>'Paste cell here'!J42</f>
        <v>14.38476088</v>
      </c>
      <c r="F42" s="1">
        <f>'Paste cell here'!K42</f>
        <v>14.38476088</v>
      </c>
      <c r="G42" s="1">
        <f>'Paste cell here'!L42</f>
        <v>11.246330889999999</v>
      </c>
      <c r="H42" s="1">
        <f>'Paste cell here'!M42</f>
        <v>0</v>
      </c>
      <c r="I42" s="1">
        <f>'Paste cell here'!N42</f>
        <v>3.1384299879999999</v>
      </c>
      <c r="J42" s="1">
        <f>'Paste cell here'!O42</f>
        <v>11.246331229999999</v>
      </c>
      <c r="K42" s="1">
        <f>'Paste cell here'!Q42</f>
        <v>0.51794426699999996</v>
      </c>
      <c r="L42" s="1">
        <f>'Paste cell here'!S42</f>
        <v>0</v>
      </c>
      <c r="M42" s="1">
        <f>'Paste cell here'!T42</f>
        <v>6.1522375800000004</v>
      </c>
      <c r="N42" s="1">
        <f>'Paste cell here'!W42</f>
        <v>0</v>
      </c>
      <c r="O42" s="1">
        <f>'Paste cell here'!U42</f>
        <v>32.623591329999996</v>
      </c>
      <c r="P42" s="1">
        <f t="shared" si="3"/>
        <v>28.04744195</v>
      </c>
      <c r="Q42" s="1">
        <f>'Paste cell here'!V42</f>
        <v>0</v>
      </c>
      <c r="R42" s="1">
        <f t="shared" si="4"/>
        <v>3.3499998863817382E-7</v>
      </c>
      <c r="S42" s="7">
        <f>Sintesi!$C$30</f>
        <v>8.3099999999999993E-2</v>
      </c>
      <c r="T42" s="7">
        <f>Sintesi!$C$29</f>
        <v>0.229209</v>
      </c>
      <c r="U42" s="5">
        <f>O42/(Sintesi!$C$5*1000)</f>
        <v>0.32623591329999996</v>
      </c>
      <c r="V42" s="1">
        <f t="shared" si="0"/>
        <v>0.14610899999999999</v>
      </c>
      <c r="W42" s="1">
        <v>0.65798728375333504</v>
      </c>
      <c r="X42" s="1">
        <f t="shared" si="1"/>
        <v>9.6137864041916016E-2</v>
      </c>
      <c r="Y42" s="1">
        <f t="shared" si="2"/>
        <v>0.13307113595808398</v>
      </c>
      <c r="Z42" s="1">
        <f>'Paste cellinfo here'!$B$11</f>
        <v>0.51802400000000004</v>
      </c>
    </row>
    <row r="43" spans="1:26">
      <c r="A43" s="1">
        <v>42</v>
      </c>
      <c r="B43" s="2">
        <f>DATE(Sintesi!$C$4-1,12,31)+A43</f>
        <v>44238</v>
      </c>
      <c r="C43" s="1">
        <f>'Paste cell here'!B43</f>
        <v>0.35261719800000002</v>
      </c>
      <c r="D43" s="1">
        <f>'Paste cell here'!I43</f>
        <v>0</v>
      </c>
      <c r="E43" s="1">
        <f>'Paste cell here'!J43</f>
        <v>0.35261719800000002</v>
      </c>
      <c r="F43" s="1">
        <f>'Paste cell here'!K43</f>
        <v>0.35261719800000002</v>
      </c>
      <c r="G43" s="1">
        <f>'Paste cell here'!L43</f>
        <v>0.35261719800000002</v>
      </c>
      <c r="H43" s="1">
        <f>'Paste cell here'!M43</f>
        <v>0</v>
      </c>
      <c r="I43" s="1">
        <f>'Paste cell here'!N43</f>
        <v>0</v>
      </c>
      <c r="J43" s="1">
        <f>'Paste cell here'!O43</f>
        <v>0.35261720800000002</v>
      </c>
      <c r="K43" s="1">
        <f>'Paste cell here'!Q43</f>
        <v>1.2512782339999999</v>
      </c>
      <c r="L43" s="1">
        <f>'Paste cell here'!S43</f>
        <v>0</v>
      </c>
      <c r="M43" s="1">
        <f>'Paste cell here'!T43</f>
        <v>3.9434464500000002</v>
      </c>
      <c r="N43" s="1">
        <f>'Paste cell here'!W43</f>
        <v>0</v>
      </c>
      <c r="O43" s="1">
        <f>'Paste cell here'!U43</f>
        <v>27.781483850000001</v>
      </c>
      <c r="P43" s="1">
        <f t="shared" si="3"/>
        <v>32.623591329999996</v>
      </c>
      <c r="Q43" s="1">
        <f>'Paste cell here'!V43</f>
        <v>0</v>
      </c>
      <c r="R43" s="1">
        <f t="shared" si="4"/>
        <v>6.0000076018695836E-9</v>
      </c>
      <c r="S43" s="7">
        <f>Sintesi!$C$30</f>
        <v>8.3099999999999993E-2</v>
      </c>
      <c r="T43" s="7">
        <f>Sintesi!$C$29</f>
        <v>0.229209</v>
      </c>
      <c r="U43" s="5">
        <f>O43/(Sintesi!$C$5*1000)</f>
        <v>0.27781483849999999</v>
      </c>
      <c r="V43" s="1">
        <f t="shared" si="0"/>
        <v>0.14610899999999999</v>
      </c>
      <c r="W43" s="1">
        <v>0.67551233490184703</v>
      </c>
      <c r="X43" s="1">
        <f t="shared" si="1"/>
        <v>9.8698431740173967E-2</v>
      </c>
      <c r="Y43" s="1">
        <f t="shared" si="2"/>
        <v>0.13051056825982604</v>
      </c>
      <c r="Z43" s="1">
        <f>'Paste cellinfo here'!$B$11</f>
        <v>0.51802400000000004</v>
      </c>
    </row>
    <row r="44" spans="1:26">
      <c r="A44" s="1">
        <v>43</v>
      </c>
      <c r="B44" s="2">
        <f>DATE(Sintesi!$C$4-1,12,31)+A44</f>
        <v>44239</v>
      </c>
      <c r="C44" s="1">
        <f>'Paste cell here'!B44</f>
        <v>0</v>
      </c>
      <c r="D44" s="1">
        <f>'Paste cell here'!I44</f>
        <v>0</v>
      </c>
      <c r="E44" s="1">
        <f>'Paste cell here'!J44</f>
        <v>0</v>
      </c>
      <c r="F44" s="1">
        <f>'Paste cell here'!K44</f>
        <v>0</v>
      </c>
      <c r="G44" s="1">
        <f>'Paste cell here'!L44</f>
        <v>0</v>
      </c>
      <c r="H44" s="1">
        <f>'Paste cell here'!M44</f>
        <v>0</v>
      </c>
      <c r="I44" s="1">
        <f>'Paste cell here'!N44</f>
        <v>0</v>
      </c>
      <c r="J44" s="1">
        <f>'Paste cell here'!O44</f>
        <v>0</v>
      </c>
      <c r="K44" s="1">
        <f>'Paste cell here'!Q44</f>
        <v>1.291762912</v>
      </c>
      <c r="L44" s="1">
        <f>'Paste cell here'!S44</f>
        <v>0</v>
      </c>
      <c r="M44" s="1">
        <f>'Paste cell here'!T44</f>
        <v>1.083057932</v>
      </c>
      <c r="N44" s="1">
        <f>'Paste cell here'!W44</f>
        <v>0</v>
      </c>
      <c r="O44" s="1">
        <f>'Paste cell here'!U44</f>
        <v>25.406663009999999</v>
      </c>
      <c r="P44" s="1">
        <f t="shared" si="3"/>
        <v>27.781483850000001</v>
      </c>
      <c r="Q44" s="1">
        <f>'Paste cell here'!V44</f>
        <v>0</v>
      </c>
      <c r="R44" s="1">
        <f t="shared" si="4"/>
        <v>3.9999967782478052E-9</v>
      </c>
      <c r="S44" s="7">
        <f>Sintesi!$C$30</f>
        <v>8.3099999999999993E-2</v>
      </c>
      <c r="T44" s="7">
        <f>Sintesi!$C$29</f>
        <v>0.229209</v>
      </c>
      <c r="U44" s="5">
        <f>O44/(Sintesi!$C$5*1000)</f>
        <v>0.25406663009999997</v>
      </c>
      <c r="V44" s="1">
        <f t="shared" si="0"/>
        <v>0.14610899999999999</v>
      </c>
      <c r="W44" s="1">
        <v>0.63005349831225999</v>
      </c>
      <c r="X44" s="1">
        <f t="shared" si="1"/>
        <v>9.2056486584905992E-2</v>
      </c>
      <c r="Y44" s="1">
        <f t="shared" si="2"/>
        <v>0.13715251341509399</v>
      </c>
      <c r="Z44" s="1">
        <f>'Paste cellinfo here'!$B$11</f>
        <v>0.51802400000000004</v>
      </c>
    </row>
    <row r="45" spans="1:26">
      <c r="A45" s="1">
        <v>44</v>
      </c>
      <c r="B45" s="2">
        <f>DATE(Sintesi!$C$4-1,12,31)+A45</f>
        <v>44240</v>
      </c>
      <c r="C45" s="1">
        <f>'Paste cell here'!B45</f>
        <v>0</v>
      </c>
      <c r="D45" s="1">
        <f>'Paste cell here'!I45</f>
        <v>0</v>
      </c>
      <c r="E45" s="1">
        <f>'Paste cell here'!J45</f>
        <v>0</v>
      </c>
      <c r="F45" s="1">
        <f>'Paste cell here'!K45</f>
        <v>0</v>
      </c>
      <c r="G45" s="1">
        <f>'Paste cell here'!L45</f>
        <v>0</v>
      </c>
      <c r="H45" s="1">
        <f>'Paste cell here'!M45</f>
        <v>0</v>
      </c>
      <c r="I45" s="1">
        <f>'Paste cell here'!N45</f>
        <v>0</v>
      </c>
      <c r="J45" s="1">
        <f>'Paste cell here'!O45</f>
        <v>0</v>
      </c>
      <c r="K45" s="1">
        <f>'Paste cell here'!Q45</f>
        <v>1.0673460050000001</v>
      </c>
      <c r="L45" s="1">
        <f>'Paste cell here'!S45</f>
        <v>0</v>
      </c>
      <c r="M45" s="1">
        <f>'Paste cell here'!T45</f>
        <v>0.46439235899999998</v>
      </c>
      <c r="N45" s="1">
        <f>'Paste cell here'!W45</f>
        <v>0</v>
      </c>
      <c r="O45" s="1">
        <f>'Paste cell here'!U45</f>
        <v>23.874924650000001</v>
      </c>
      <c r="P45" s="1">
        <f t="shared" si="3"/>
        <v>25.406663009999999</v>
      </c>
      <c r="Q45" s="1">
        <f>'Paste cell here'!V45</f>
        <v>0</v>
      </c>
      <c r="R45" s="1">
        <f t="shared" si="4"/>
        <v>4.0000038836751628E-9</v>
      </c>
      <c r="S45" s="7">
        <f>Sintesi!$C$30</f>
        <v>8.3099999999999993E-2</v>
      </c>
      <c r="T45" s="7">
        <f>Sintesi!$C$29</f>
        <v>0.229209</v>
      </c>
      <c r="U45" s="5">
        <f>O45/(Sintesi!$C$5*1000)</f>
        <v>0.23874924650000001</v>
      </c>
      <c r="V45" s="1">
        <f t="shared" si="0"/>
        <v>0.14610899999999999</v>
      </c>
      <c r="W45" s="1">
        <v>0.64738160380263199</v>
      </c>
      <c r="X45" s="1">
        <f t="shared" si="1"/>
        <v>9.4588278749998755E-2</v>
      </c>
      <c r="Y45" s="1">
        <f t="shared" si="2"/>
        <v>0.13462072125000124</v>
      </c>
      <c r="Z45" s="1">
        <f>'Paste cellinfo here'!$B$11</f>
        <v>0.51802400000000004</v>
      </c>
    </row>
    <row r="46" spans="1:26">
      <c r="A46" s="1">
        <v>45</v>
      </c>
      <c r="B46" s="2">
        <f>DATE(Sintesi!$C$4-1,12,31)+A46</f>
        <v>44241</v>
      </c>
      <c r="C46" s="1">
        <f>'Paste cell here'!B46</f>
        <v>0</v>
      </c>
      <c r="D46" s="1">
        <f>'Paste cell here'!I46</f>
        <v>0</v>
      </c>
      <c r="E46" s="1">
        <f>'Paste cell here'!J46</f>
        <v>0</v>
      </c>
      <c r="F46" s="1">
        <f>'Paste cell here'!K46</f>
        <v>0</v>
      </c>
      <c r="G46" s="1">
        <f>'Paste cell here'!L46</f>
        <v>0</v>
      </c>
      <c r="H46" s="1">
        <f>'Paste cell here'!M46</f>
        <v>0</v>
      </c>
      <c r="I46" s="1">
        <f>'Paste cell here'!N46</f>
        <v>0</v>
      </c>
      <c r="J46" s="1">
        <f>'Paste cell here'!O46</f>
        <v>0</v>
      </c>
      <c r="K46" s="1">
        <f>'Paste cell here'!Q46</f>
        <v>1.2039444640000001</v>
      </c>
      <c r="L46" s="1">
        <f>'Paste cell here'!S46</f>
        <v>0</v>
      </c>
      <c r="M46" s="1">
        <f>'Paste cell here'!T46</f>
        <v>0.23217138600000001</v>
      </c>
      <c r="N46" s="1">
        <f>'Paste cell here'!W46</f>
        <v>0</v>
      </c>
      <c r="O46" s="1">
        <f>'Paste cell here'!U46</f>
        <v>22.4388088</v>
      </c>
      <c r="P46" s="1">
        <f t="shared" si="3"/>
        <v>23.874924650000001</v>
      </c>
      <c r="Q46" s="1">
        <f>'Paste cell here'!V46</f>
        <v>0</v>
      </c>
      <c r="R46" s="1">
        <f t="shared" si="4"/>
        <v>0</v>
      </c>
      <c r="S46" s="7">
        <f>Sintesi!$C$30</f>
        <v>8.3099999999999993E-2</v>
      </c>
      <c r="T46" s="7">
        <f>Sintesi!$C$29</f>
        <v>0.229209</v>
      </c>
      <c r="U46" s="5">
        <f>O46/(Sintesi!$C$5*1000)</f>
        <v>0.22438808800000001</v>
      </c>
      <c r="V46" s="1">
        <f t="shared" si="0"/>
        <v>0.14610899999999999</v>
      </c>
      <c r="W46" s="1">
        <v>0.65280840702738097</v>
      </c>
      <c r="X46" s="1">
        <f t="shared" si="1"/>
        <v>9.5381183542363593E-2</v>
      </c>
      <c r="Y46" s="1">
        <f t="shared" si="2"/>
        <v>0.13382781645763642</v>
      </c>
      <c r="Z46" s="1">
        <f>'Paste cellinfo here'!$B$11</f>
        <v>0.51802400000000004</v>
      </c>
    </row>
    <row r="47" spans="1:26">
      <c r="A47" s="1">
        <v>46</v>
      </c>
      <c r="B47" s="2">
        <f>DATE(Sintesi!$C$4-1,12,31)+A47</f>
        <v>44242</v>
      </c>
      <c r="C47" s="1">
        <f>'Paste cell here'!B47</f>
        <v>0</v>
      </c>
      <c r="D47" s="1">
        <f>'Paste cell here'!I47</f>
        <v>0</v>
      </c>
      <c r="E47" s="1">
        <f>'Paste cell here'!J47</f>
        <v>0</v>
      </c>
      <c r="F47" s="1">
        <f>'Paste cell here'!K47</f>
        <v>0</v>
      </c>
      <c r="G47" s="1">
        <f>'Paste cell here'!L47</f>
        <v>0</v>
      </c>
      <c r="H47" s="1">
        <f>'Paste cell here'!M47</f>
        <v>0</v>
      </c>
      <c r="I47" s="1">
        <f>'Paste cell here'!N47</f>
        <v>0</v>
      </c>
      <c r="J47" s="1">
        <f>'Paste cell here'!O47</f>
        <v>0</v>
      </c>
      <c r="K47" s="1">
        <f>'Paste cell here'!Q47</f>
        <v>1.1287573129999999</v>
      </c>
      <c r="L47" s="1">
        <f>'Paste cell here'!S47</f>
        <v>0</v>
      </c>
      <c r="M47" s="1">
        <f>'Paste cell here'!T47</f>
        <v>0.116985573</v>
      </c>
      <c r="N47" s="1">
        <f>'Paste cell here'!W47</f>
        <v>0</v>
      </c>
      <c r="O47" s="1">
        <f>'Paste cell here'!U47</f>
        <v>21.193065910000001</v>
      </c>
      <c r="P47" s="1">
        <f t="shared" si="3"/>
        <v>22.4388088</v>
      </c>
      <c r="Q47" s="1">
        <f>'Paste cell here'!V47</f>
        <v>0</v>
      </c>
      <c r="R47" s="1">
        <f t="shared" si="4"/>
        <v>3.9999967782478052E-9</v>
      </c>
      <c r="S47" s="7">
        <f>Sintesi!$C$30</f>
        <v>8.3099999999999993E-2</v>
      </c>
      <c r="T47" s="7">
        <f>Sintesi!$C$29</f>
        <v>0.229209</v>
      </c>
      <c r="U47" s="5">
        <f>O47/(Sintesi!$C$5*1000)</f>
        <v>0.2119306591</v>
      </c>
      <c r="V47" s="1">
        <f t="shared" si="0"/>
        <v>0.14610899999999999</v>
      </c>
      <c r="W47" s="1">
        <v>0.65325762902932905</v>
      </c>
      <c r="X47" s="1">
        <f t="shared" si="1"/>
        <v>9.544681891984623E-2</v>
      </c>
      <c r="Y47" s="1">
        <f t="shared" si="2"/>
        <v>0.13376218108015375</v>
      </c>
      <c r="Z47" s="1">
        <f>'Paste cellinfo here'!$B$11</f>
        <v>0.51802400000000004</v>
      </c>
    </row>
    <row r="48" spans="1:26">
      <c r="A48" s="1">
        <v>47</v>
      </c>
      <c r="B48" s="2">
        <f>DATE(Sintesi!$C$4-1,12,31)+A48</f>
        <v>44243</v>
      </c>
      <c r="C48" s="1">
        <f>'Paste cell here'!B48</f>
        <v>0</v>
      </c>
      <c r="D48" s="1">
        <f>'Paste cell here'!I48</f>
        <v>0</v>
      </c>
      <c r="E48" s="1">
        <f>'Paste cell here'!J48</f>
        <v>0</v>
      </c>
      <c r="F48" s="1">
        <f>'Paste cell here'!K48</f>
        <v>0</v>
      </c>
      <c r="G48" s="1">
        <f>'Paste cell here'!L48</f>
        <v>0</v>
      </c>
      <c r="H48" s="1">
        <f>'Paste cell here'!M48</f>
        <v>0</v>
      </c>
      <c r="I48" s="1">
        <f>'Paste cell here'!N48</f>
        <v>0</v>
      </c>
      <c r="J48" s="1">
        <f>'Paste cell here'!O48</f>
        <v>0</v>
      </c>
      <c r="K48" s="1">
        <f>'Paste cell here'!Q48</f>
        <v>1.1757285040000001</v>
      </c>
      <c r="L48" s="1">
        <f>'Paste cell here'!S48</f>
        <v>0</v>
      </c>
      <c r="M48" s="1">
        <f>'Paste cell here'!T48</f>
        <v>5.96E-2</v>
      </c>
      <c r="N48" s="1">
        <f>'Paste cell here'!W48</f>
        <v>0</v>
      </c>
      <c r="O48" s="1">
        <f>'Paste cell here'!U48</f>
        <v>19.957753199999999</v>
      </c>
      <c r="P48" s="1">
        <f t="shared" si="3"/>
        <v>21.193065910000001</v>
      </c>
      <c r="Q48" s="1">
        <f>'Paste cell here'!V48</f>
        <v>0</v>
      </c>
      <c r="R48" s="1">
        <f t="shared" si="4"/>
        <v>1.5793999995850072E-5</v>
      </c>
      <c r="S48" s="7">
        <f>Sintesi!$C$30</f>
        <v>8.3099999999999993E-2</v>
      </c>
      <c r="T48" s="7">
        <f>Sintesi!$C$29</f>
        <v>0.229209</v>
      </c>
      <c r="U48" s="5">
        <f>O48/(Sintesi!$C$5*1000)</f>
        <v>0.199577532</v>
      </c>
      <c r="V48" s="1">
        <f t="shared" si="0"/>
        <v>0.14610899999999999</v>
      </c>
      <c r="W48" s="1">
        <v>0.64955068229730495</v>
      </c>
      <c r="X48" s="1">
        <f t="shared" si="1"/>
        <v>9.4905200639776921E-2</v>
      </c>
      <c r="Y48" s="1">
        <f t="shared" si="2"/>
        <v>0.13430379936022308</v>
      </c>
      <c r="Z48" s="1">
        <f>'Paste cellinfo here'!$B$11</f>
        <v>0.51802400000000004</v>
      </c>
    </row>
    <row r="49" spans="1:26">
      <c r="A49" s="1">
        <v>48</v>
      </c>
      <c r="B49" s="2">
        <f>DATE(Sintesi!$C$4-1,12,31)+A49</f>
        <v>44244</v>
      </c>
      <c r="C49" s="1">
        <f>'Paste cell here'!B49</f>
        <v>0</v>
      </c>
      <c r="D49" s="1">
        <f>'Paste cell here'!I49</f>
        <v>0</v>
      </c>
      <c r="E49" s="1">
        <f>'Paste cell here'!J49</f>
        <v>0</v>
      </c>
      <c r="F49" s="1">
        <f>'Paste cell here'!K49</f>
        <v>0</v>
      </c>
      <c r="G49" s="1">
        <f>'Paste cell here'!L49</f>
        <v>0</v>
      </c>
      <c r="H49" s="1">
        <f>'Paste cell here'!M49</f>
        <v>0</v>
      </c>
      <c r="I49" s="1">
        <f>'Paste cell here'!N49</f>
        <v>0</v>
      </c>
      <c r="J49" s="1">
        <f>'Paste cell here'!O49</f>
        <v>0</v>
      </c>
      <c r="K49" s="1">
        <f>'Paste cell here'!Q49</f>
        <v>1.283438737</v>
      </c>
      <c r="L49" s="1">
        <f>'Paste cell here'!S49</f>
        <v>0</v>
      </c>
      <c r="M49" s="1">
        <f>'Paste cell here'!T49</f>
        <v>2.8199999999999999E-2</v>
      </c>
      <c r="N49" s="1">
        <f>'Paste cell here'!W49</f>
        <v>0</v>
      </c>
      <c r="O49" s="1">
        <f>'Paste cell here'!U49</f>
        <v>18.646076690000001</v>
      </c>
      <c r="P49" s="1">
        <f t="shared" si="3"/>
        <v>19.957753199999999</v>
      </c>
      <c r="Q49" s="1">
        <f>'Paste cell here'!V49</f>
        <v>0</v>
      </c>
      <c r="R49" s="1">
        <f t="shared" si="4"/>
        <v>3.7772999998963996E-5</v>
      </c>
      <c r="S49" s="7">
        <f>Sintesi!$C$30</f>
        <v>8.3099999999999993E-2</v>
      </c>
      <c r="T49" s="7">
        <f>Sintesi!$C$29</f>
        <v>0.229209</v>
      </c>
      <c r="U49" s="5">
        <f>O49/(Sintesi!$C$5*1000)</f>
        <v>0.18646076690000002</v>
      </c>
      <c r="V49" s="1">
        <f t="shared" si="0"/>
        <v>0.14610899999999999</v>
      </c>
      <c r="W49" s="1">
        <v>0.64856980785871199</v>
      </c>
      <c r="X49" s="1">
        <f t="shared" si="1"/>
        <v>9.4761886056428546E-2</v>
      </c>
      <c r="Y49" s="1">
        <f t="shared" si="2"/>
        <v>0.13444711394357145</v>
      </c>
      <c r="Z49" s="1">
        <f>'Paste cellinfo here'!$B$11</f>
        <v>0.51802400000000004</v>
      </c>
    </row>
    <row r="50" spans="1:26">
      <c r="A50" s="1">
        <v>49</v>
      </c>
      <c r="B50" s="2">
        <f>DATE(Sintesi!$C$4-1,12,31)+A50</f>
        <v>44245</v>
      </c>
      <c r="C50" s="1">
        <f>'Paste cell here'!B50</f>
        <v>1.3129702350000001</v>
      </c>
      <c r="D50" s="1">
        <f>'Paste cell here'!I50</f>
        <v>0</v>
      </c>
      <c r="E50" s="1">
        <f>'Paste cell here'!J50</f>
        <v>1.3129702350000001</v>
      </c>
      <c r="F50" s="1">
        <f>'Paste cell here'!K50</f>
        <v>1.3129702350000001</v>
      </c>
      <c r="G50" s="1">
        <f>'Paste cell here'!L50</f>
        <v>1.3129702350000001</v>
      </c>
      <c r="H50" s="1">
        <f>'Paste cell here'!M50</f>
        <v>0</v>
      </c>
      <c r="I50" s="1">
        <f>'Paste cell here'!N50</f>
        <v>0</v>
      </c>
      <c r="J50" s="1">
        <f>'Paste cell here'!O50</f>
        <v>1.312970274</v>
      </c>
      <c r="K50" s="1">
        <f>'Paste cell here'!Q50</f>
        <v>1.1186119779999999</v>
      </c>
      <c r="L50" s="1">
        <f>'Paste cell here'!S50</f>
        <v>0</v>
      </c>
      <c r="M50" s="1">
        <f>'Paste cell here'!T50</f>
        <v>1.8499999999999999E-2</v>
      </c>
      <c r="N50" s="1">
        <f>'Paste cell here'!W50</f>
        <v>0</v>
      </c>
      <c r="O50" s="1">
        <f>'Paste cell here'!U50</f>
        <v>18.821900840000001</v>
      </c>
      <c r="P50" s="1">
        <f t="shared" si="3"/>
        <v>18.646076690000001</v>
      </c>
      <c r="Q50" s="1">
        <f>'Paste cell here'!V50</f>
        <v>0</v>
      </c>
      <c r="R50" s="1">
        <f t="shared" si="4"/>
        <v>3.4107000001171173E-5</v>
      </c>
      <c r="S50" s="7">
        <f>Sintesi!$C$30</f>
        <v>8.3099999999999993E-2</v>
      </c>
      <c r="T50" s="7">
        <f>Sintesi!$C$29</f>
        <v>0.229209</v>
      </c>
      <c r="U50" s="5">
        <f>O50/(Sintesi!$C$5*1000)</f>
        <v>0.18821900840000003</v>
      </c>
      <c r="V50" s="1">
        <f t="shared" si="0"/>
        <v>0.14610899999999999</v>
      </c>
      <c r="W50" s="1">
        <v>0.64361428691110401</v>
      </c>
      <c r="X50" s="1">
        <f t="shared" si="1"/>
        <v>9.4037839846294491E-2</v>
      </c>
      <c r="Y50" s="1">
        <f t="shared" si="2"/>
        <v>0.13517116015370551</v>
      </c>
      <c r="Z50" s="1">
        <f>'Paste cellinfo here'!$B$11</f>
        <v>0.51802400000000004</v>
      </c>
    </row>
    <row r="51" spans="1:26">
      <c r="A51" s="1">
        <v>50</v>
      </c>
      <c r="B51" s="2">
        <f>DATE(Sintesi!$C$4-1,12,31)+A51</f>
        <v>44246</v>
      </c>
      <c r="C51" s="1">
        <f>'Paste cell here'!B51</f>
        <v>0</v>
      </c>
      <c r="D51" s="1">
        <f>'Paste cell here'!I51</f>
        <v>0</v>
      </c>
      <c r="E51" s="1">
        <f>'Paste cell here'!J51</f>
        <v>0</v>
      </c>
      <c r="F51" s="1">
        <f>'Paste cell here'!K51</f>
        <v>0</v>
      </c>
      <c r="G51" s="1">
        <f>'Paste cell here'!L51</f>
        <v>0</v>
      </c>
      <c r="H51" s="1">
        <f>'Paste cell here'!M51</f>
        <v>0</v>
      </c>
      <c r="I51" s="1">
        <f>'Paste cell here'!N51</f>
        <v>0</v>
      </c>
      <c r="J51" s="1">
        <f>'Paste cell here'!O51</f>
        <v>0</v>
      </c>
      <c r="K51" s="1">
        <f>'Paste cell here'!Q51</f>
        <v>0.780878815</v>
      </c>
      <c r="L51" s="1">
        <f>'Paste cell here'!S51</f>
        <v>0</v>
      </c>
      <c r="M51" s="1">
        <f>'Paste cell here'!T51</f>
        <v>1.55E-2</v>
      </c>
      <c r="N51" s="1">
        <f>'Paste cell here'!W51</f>
        <v>0</v>
      </c>
      <c r="O51" s="1">
        <f>'Paste cell here'!U51</f>
        <v>18.025560070000001</v>
      </c>
      <c r="P51" s="1">
        <f t="shared" si="3"/>
        <v>18.821900840000001</v>
      </c>
      <c r="Q51" s="1">
        <f>'Paste cell here'!V51</f>
        <v>0</v>
      </c>
      <c r="R51" s="1">
        <f t="shared" si="4"/>
        <v>3.8045000000153095E-5</v>
      </c>
      <c r="S51" s="7">
        <f>Sintesi!$C$30</f>
        <v>8.3099999999999993E-2</v>
      </c>
      <c r="T51" s="7">
        <f>Sintesi!$C$29</f>
        <v>0.229209</v>
      </c>
      <c r="U51" s="5">
        <f>O51/(Sintesi!$C$5*1000)</f>
        <v>0.18025560070000002</v>
      </c>
      <c r="V51" s="1">
        <f t="shared" si="0"/>
        <v>0.14610899999999999</v>
      </c>
      <c r="W51" s="1">
        <v>0.646910725781631</v>
      </c>
      <c r="X51" s="1">
        <f t="shared" si="1"/>
        <v>9.4519479233228315E-2</v>
      </c>
      <c r="Y51" s="1">
        <f t="shared" si="2"/>
        <v>0.13468952076677168</v>
      </c>
      <c r="Z51" s="1">
        <f>'Paste cellinfo here'!$B$11</f>
        <v>0.51802400000000004</v>
      </c>
    </row>
    <row r="52" spans="1:26">
      <c r="A52" s="1">
        <v>51</v>
      </c>
      <c r="B52" s="2">
        <f>DATE(Sintesi!$C$4-1,12,31)+A52</f>
        <v>44247</v>
      </c>
      <c r="C52" s="1">
        <f>'Paste cell here'!B52</f>
        <v>0</v>
      </c>
      <c r="D52" s="1">
        <f>'Paste cell here'!I52</f>
        <v>0</v>
      </c>
      <c r="E52" s="1">
        <f>'Paste cell here'!J52</f>
        <v>0</v>
      </c>
      <c r="F52" s="1">
        <f>'Paste cell here'!K52</f>
        <v>0</v>
      </c>
      <c r="G52" s="1">
        <f>'Paste cell here'!L52</f>
        <v>0</v>
      </c>
      <c r="H52" s="1">
        <f>'Paste cell here'!M52</f>
        <v>0</v>
      </c>
      <c r="I52" s="1">
        <f>'Paste cell here'!N52</f>
        <v>0</v>
      </c>
      <c r="J52" s="1">
        <f>'Paste cell here'!O52</f>
        <v>0</v>
      </c>
      <c r="K52" s="1">
        <f>'Paste cell here'!Q52</f>
        <v>0.86425980199999997</v>
      </c>
      <c r="L52" s="1">
        <f>'Paste cell here'!S52</f>
        <v>0</v>
      </c>
      <c r="M52" s="1">
        <f>'Paste cell here'!T52</f>
        <v>8.8000000000000005E-3</v>
      </c>
      <c r="N52" s="1">
        <f>'Paste cell here'!W52</f>
        <v>0</v>
      </c>
      <c r="O52" s="1">
        <f>'Paste cell here'!U52</f>
        <v>17.15250215</v>
      </c>
      <c r="P52" s="1">
        <f t="shared" si="3"/>
        <v>18.025560070000001</v>
      </c>
      <c r="Q52" s="1">
        <f>'Paste cell here'!V52</f>
        <v>0</v>
      </c>
      <c r="R52" s="1">
        <f t="shared" si="4"/>
        <v>1.8819999993979764E-6</v>
      </c>
      <c r="S52" s="7">
        <f>Sintesi!$C$30</f>
        <v>8.3099999999999993E-2</v>
      </c>
      <c r="T52" s="7">
        <f>Sintesi!$C$29</f>
        <v>0.229209</v>
      </c>
      <c r="U52" s="5">
        <f>O52/(Sintesi!$C$5*1000)</f>
        <v>0.17152502150000001</v>
      </c>
      <c r="V52" s="1">
        <f t="shared" si="0"/>
        <v>0.14610899999999999</v>
      </c>
      <c r="W52" s="1">
        <v>0.64690410347780303</v>
      </c>
      <c r="X52" s="1">
        <f t="shared" si="1"/>
        <v>9.4518511655038315E-2</v>
      </c>
      <c r="Y52" s="1">
        <f t="shared" si="2"/>
        <v>0.13469048834496167</v>
      </c>
      <c r="Z52" s="1">
        <f>'Paste cellinfo here'!$B$11</f>
        <v>0.51802400000000004</v>
      </c>
    </row>
    <row r="53" spans="1:26">
      <c r="A53" s="1">
        <v>52</v>
      </c>
      <c r="B53" s="2">
        <f>DATE(Sintesi!$C$4-1,12,31)+A53</f>
        <v>44248</v>
      </c>
      <c r="C53" s="1">
        <f>'Paste cell here'!B53</f>
        <v>0</v>
      </c>
      <c r="D53" s="1">
        <f>'Paste cell here'!I53</f>
        <v>0</v>
      </c>
      <c r="E53" s="1">
        <f>'Paste cell here'!J53</f>
        <v>0</v>
      </c>
      <c r="F53" s="1">
        <f>'Paste cell here'!K53</f>
        <v>0</v>
      </c>
      <c r="G53" s="1">
        <f>'Paste cell here'!L53</f>
        <v>0</v>
      </c>
      <c r="H53" s="1">
        <f>'Paste cell here'!M53</f>
        <v>0</v>
      </c>
      <c r="I53" s="1">
        <f>'Paste cell here'!N53</f>
        <v>0</v>
      </c>
      <c r="J53" s="1">
        <f>'Paste cell here'!O53</f>
        <v>0</v>
      </c>
      <c r="K53" s="1">
        <f>'Paste cell here'!Q53</f>
        <v>1.2210946060000001</v>
      </c>
      <c r="L53" s="1">
        <f>'Paste cell here'!S53</f>
        <v>0</v>
      </c>
      <c r="M53" s="1">
        <f>'Paste cell here'!T53</f>
        <v>4.2399999999999998E-3</v>
      </c>
      <c r="N53" s="1">
        <f>'Paste cell here'!W53</f>
        <v>0</v>
      </c>
      <c r="O53" s="1">
        <f>'Paste cell here'!U53</f>
        <v>15.927167819999999</v>
      </c>
      <c r="P53" s="1">
        <f t="shared" si="3"/>
        <v>17.15250215</v>
      </c>
      <c r="Q53" s="1">
        <f>'Paste cell here'!V53</f>
        <v>0</v>
      </c>
      <c r="R53" s="1">
        <f t="shared" si="4"/>
        <v>2.7599999796734664E-7</v>
      </c>
      <c r="S53" s="7">
        <f>Sintesi!$C$30</f>
        <v>8.3099999999999993E-2</v>
      </c>
      <c r="T53" s="7">
        <f>Sintesi!$C$29</f>
        <v>0.229209</v>
      </c>
      <c r="U53" s="5">
        <f>O53/(Sintesi!$C$5*1000)</f>
        <v>0.15927167819999999</v>
      </c>
      <c r="V53" s="1">
        <f t="shared" si="0"/>
        <v>0.14610899999999999</v>
      </c>
      <c r="W53" s="1">
        <v>0.65742210210687402</v>
      </c>
      <c r="X53" s="1">
        <f t="shared" si="1"/>
        <v>9.6055285916733249E-2</v>
      </c>
      <c r="Y53" s="1">
        <f t="shared" si="2"/>
        <v>0.13315371408326676</v>
      </c>
      <c r="Z53" s="1">
        <f>'Paste cellinfo here'!$B$11</f>
        <v>0.51802400000000004</v>
      </c>
    </row>
    <row r="54" spans="1:26">
      <c r="A54" s="1">
        <v>53</v>
      </c>
      <c r="B54" s="2">
        <f>DATE(Sintesi!$C$4-1,12,31)+A54</f>
        <v>44249</v>
      </c>
      <c r="C54" s="1">
        <f>'Paste cell here'!B54</f>
        <v>0</v>
      </c>
      <c r="D54" s="1">
        <f>'Paste cell here'!I54</f>
        <v>0</v>
      </c>
      <c r="E54" s="1">
        <f>'Paste cell here'!J54</f>
        <v>0</v>
      </c>
      <c r="F54" s="1">
        <f>'Paste cell here'!K54</f>
        <v>0</v>
      </c>
      <c r="G54" s="1">
        <f>'Paste cell here'!L54</f>
        <v>0</v>
      </c>
      <c r="H54" s="1">
        <f>'Paste cell here'!M54</f>
        <v>0</v>
      </c>
      <c r="I54" s="1">
        <f>'Paste cell here'!N54</f>
        <v>0</v>
      </c>
      <c r="J54" s="1">
        <f>'Paste cell here'!O54</f>
        <v>0</v>
      </c>
      <c r="K54" s="1">
        <f>'Paste cell here'!Q54</f>
        <v>1.054714639</v>
      </c>
      <c r="L54" s="1">
        <f>'Paste cell here'!S54</f>
        <v>0</v>
      </c>
      <c r="M54" s="1">
        <f>'Paste cell here'!T54</f>
        <v>1.66E-3</v>
      </c>
      <c r="N54" s="1">
        <f>'Paste cell here'!W54</f>
        <v>0</v>
      </c>
      <c r="O54" s="1">
        <f>'Paste cell here'!U54</f>
        <v>14.87079527</v>
      </c>
      <c r="P54" s="1">
        <f t="shared" si="3"/>
        <v>15.927167819999999</v>
      </c>
      <c r="Q54" s="1">
        <f>'Paste cell here'!V54</f>
        <v>0</v>
      </c>
      <c r="R54" s="1">
        <f t="shared" si="4"/>
        <v>2.0890000005380216E-6</v>
      </c>
      <c r="S54" s="7">
        <f>Sintesi!$C$30</f>
        <v>8.3099999999999993E-2</v>
      </c>
      <c r="T54" s="7">
        <f>Sintesi!$C$29</f>
        <v>0.229209</v>
      </c>
      <c r="U54" s="5">
        <f>O54/(Sintesi!$C$5*1000)</f>
        <v>0.14870795270000001</v>
      </c>
      <c r="V54" s="1">
        <f t="shared" si="0"/>
        <v>0.14610899999999999</v>
      </c>
      <c r="W54" s="1">
        <v>0.65370491806769004</v>
      </c>
      <c r="X54" s="1">
        <f t="shared" si="1"/>
        <v>9.5512171873952112E-2</v>
      </c>
      <c r="Y54" s="1">
        <f t="shared" si="2"/>
        <v>0.13369682812604788</v>
      </c>
      <c r="Z54" s="1">
        <f>'Paste cellinfo here'!$B$11</f>
        <v>0.51802400000000004</v>
      </c>
    </row>
    <row r="55" spans="1:26">
      <c r="A55" s="1">
        <v>54</v>
      </c>
      <c r="B55" s="2">
        <f>DATE(Sintesi!$C$4-1,12,31)+A55</f>
        <v>44250</v>
      </c>
      <c r="C55" s="1">
        <f>'Paste cell here'!B55</f>
        <v>0</v>
      </c>
      <c r="D55" s="1">
        <f>'Paste cell here'!I55</f>
        <v>0</v>
      </c>
      <c r="E55" s="1">
        <f>'Paste cell here'!J55</f>
        <v>0</v>
      </c>
      <c r="F55" s="1">
        <f>'Paste cell here'!K55</f>
        <v>0</v>
      </c>
      <c r="G55" s="1">
        <f>'Paste cell here'!L55</f>
        <v>0</v>
      </c>
      <c r="H55" s="1">
        <f>'Paste cell here'!M55</f>
        <v>0</v>
      </c>
      <c r="I55" s="1">
        <f>'Paste cell here'!N55</f>
        <v>0</v>
      </c>
      <c r="J55" s="1">
        <f>'Paste cell here'!O55</f>
        <v>0</v>
      </c>
      <c r="K55" s="1">
        <f>'Paste cell here'!Q55</f>
        <v>1.2890019939999999</v>
      </c>
      <c r="L55" s="1">
        <f>'Paste cell here'!S55</f>
        <v>0</v>
      </c>
      <c r="M55" s="1">
        <f>'Paste cell here'!T55</f>
        <v>6.02E-4</v>
      </c>
      <c r="N55" s="1">
        <f>'Paste cell here'!W55</f>
        <v>0</v>
      </c>
      <c r="O55" s="1">
        <f>'Paste cell here'!U55</f>
        <v>13.581191090000001</v>
      </c>
      <c r="P55" s="1">
        <f t="shared" si="3"/>
        <v>14.87079527</v>
      </c>
      <c r="Q55" s="1">
        <f>'Paste cell here'!V55</f>
        <v>0</v>
      </c>
      <c r="R55" s="1">
        <f t="shared" si="4"/>
        <v>1.8599999940249745E-7</v>
      </c>
      <c r="S55" s="7">
        <f>Sintesi!$C$30</f>
        <v>8.3099999999999993E-2</v>
      </c>
      <c r="T55" s="7">
        <f>Sintesi!$C$29</f>
        <v>0.229209</v>
      </c>
      <c r="U55" s="5">
        <f>O55/(Sintesi!$C$5*1000)</f>
        <v>0.1358119109</v>
      </c>
      <c r="V55" s="1">
        <f t="shared" si="0"/>
        <v>0.14610899999999999</v>
      </c>
      <c r="W55" s="1">
        <v>0.63494199366455994</v>
      </c>
      <c r="X55" s="1">
        <f t="shared" si="1"/>
        <v>9.2770739752335185E-2</v>
      </c>
      <c r="Y55" s="1">
        <f t="shared" si="2"/>
        <v>0.13643826024766481</v>
      </c>
      <c r="Z55" s="1">
        <f>'Paste cellinfo here'!$B$11</f>
        <v>0.51802400000000004</v>
      </c>
    </row>
    <row r="56" spans="1:26">
      <c r="A56" s="1">
        <v>55</v>
      </c>
      <c r="B56" s="2">
        <f>DATE(Sintesi!$C$4-1,12,31)+A56</f>
        <v>44251</v>
      </c>
      <c r="C56" s="1">
        <f>'Paste cell here'!B56</f>
        <v>0</v>
      </c>
      <c r="D56" s="1">
        <f>'Paste cell here'!I56</f>
        <v>0</v>
      </c>
      <c r="E56" s="1">
        <f>'Paste cell here'!J56</f>
        <v>0</v>
      </c>
      <c r="F56" s="1">
        <f>'Paste cell here'!K56</f>
        <v>0</v>
      </c>
      <c r="G56" s="1">
        <f>'Paste cell here'!L56</f>
        <v>0</v>
      </c>
      <c r="H56" s="1">
        <f>'Paste cell here'!M56</f>
        <v>0</v>
      </c>
      <c r="I56" s="1">
        <f>'Paste cell here'!N56</f>
        <v>0</v>
      </c>
      <c r="J56" s="1">
        <f>'Paste cell here'!O56</f>
        <v>0</v>
      </c>
      <c r="K56" s="1">
        <f>'Paste cell here'!Q56</f>
        <v>1.4948263470000001</v>
      </c>
      <c r="L56" s="1">
        <f>'Paste cell here'!S56</f>
        <v>0</v>
      </c>
      <c r="M56" s="1">
        <f>'Paste cell here'!T56</f>
        <v>1.56E-4</v>
      </c>
      <c r="N56" s="1">
        <f>'Paste cell here'!W56</f>
        <v>0</v>
      </c>
      <c r="O56" s="1">
        <f>'Paste cell here'!U56</f>
        <v>12.086209009999999</v>
      </c>
      <c r="P56" s="1">
        <f t="shared" si="3"/>
        <v>13.581191090000001</v>
      </c>
      <c r="Q56" s="1">
        <f>'Paste cell here'!V56</f>
        <v>0</v>
      </c>
      <c r="R56" s="1">
        <f t="shared" si="4"/>
        <v>2.6699999899904014E-7</v>
      </c>
      <c r="S56" s="7">
        <f>Sintesi!$C$30</f>
        <v>8.3099999999999993E-2</v>
      </c>
      <c r="T56" s="7">
        <f>Sintesi!$C$29</f>
        <v>0.229209</v>
      </c>
      <c r="U56" s="5">
        <f>O56/(Sintesi!$C$5*1000)</f>
        <v>0.12086209009999999</v>
      </c>
      <c r="V56" s="1">
        <f t="shared" si="0"/>
        <v>0.14610899999999999</v>
      </c>
      <c r="W56" s="1">
        <v>0.63636428471719797</v>
      </c>
      <c r="X56" s="1">
        <f t="shared" si="1"/>
        <v>9.2978549275745073E-2</v>
      </c>
      <c r="Y56" s="1">
        <f t="shared" si="2"/>
        <v>0.13623045072425494</v>
      </c>
      <c r="Z56" s="1">
        <f>'Paste cellinfo here'!$B$11</f>
        <v>0.51802400000000004</v>
      </c>
    </row>
    <row r="57" spans="1:26">
      <c r="A57" s="1">
        <v>56</v>
      </c>
      <c r="B57" s="2">
        <f>DATE(Sintesi!$C$4-1,12,31)+A57</f>
        <v>44252</v>
      </c>
      <c r="C57" s="1">
        <f>'Paste cell here'!B57</f>
        <v>0</v>
      </c>
      <c r="D57" s="1">
        <f>'Paste cell here'!I57</f>
        <v>0</v>
      </c>
      <c r="E57" s="1">
        <f>'Paste cell here'!J57</f>
        <v>0</v>
      </c>
      <c r="F57" s="1">
        <f>'Paste cell here'!K57</f>
        <v>0</v>
      </c>
      <c r="G57" s="1">
        <f>'Paste cell here'!L57</f>
        <v>0</v>
      </c>
      <c r="H57" s="1">
        <f>'Paste cell here'!M57</f>
        <v>0</v>
      </c>
      <c r="I57" s="1">
        <f>'Paste cell here'!N57</f>
        <v>0</v>
      </c>
      <c r="J57" s="1">
        <f>'Paste cell here'!O57</f>
        <v>0</v>
      </c>
      <c r="K57" s="1">
        <f>'Paste cell here'!Q57</f>
        <v>1.286575265</v>
      </c>
      <c r="L57" s="1">
        <f>'Paste cell here'!S57</f>
        <v>0</v>
      </c>
      <c r="M57" s="1">
        <f>'Paste cell here'!T57</f>
        <v>2.8200000000000001E-5</v>
      </c>
      <c r="N57" s="1">
        <f>'Paste cell here'!W57</f>
        <v>0</v>
      </c>
      <c r="O57" s="1">
        <f>'Paste cell here'!U57</f>
        <v>10.799605550000001</v>
      </c>
      <c r="P57" s="1">
        <f t="shared" si="3"/>
        <v>12.086209009999999</v>
      </c>
      <c r="Q57" s="1">
        <f>'Paste cell here'!V57</f>
        <v>0</v>
      </c>
      <c r="R57" s="1">
        <f t="shared" si="4"/>
        <v>5.000000413701855E-9</v>
      </c>
      <c r="S57" s="7">
        <f>Sintesi!$C$30</f>
        <v>8.3099999999999993E-2</v>
      </c>
      <c r="T57" s="7">
        <f>Sintesi!$C$29</f>
        <v>0.229209</v>
      </c>
      <c r="U57" s="5">
        <f>O57/(Sintesi!$C$5*1000)</f>
        <v>0.10799605550000001</v>
      </c>
      <c r="V57" s="1">
        <f t="shared" si="0"/>
        <v>0.14610899999999999</v>
      </c>
      <c r="W57" s="1">
        <v>0.650261594242736</v>
      </c>
      <c r="X57" s="1">
        <f t="shared" si="1"/>
        <v>9.5009071273211912E-2</v>
      </c>
      <c r="Y57" s="1">
        <f t="shared" si="2"/>
        <v>0.1341999287267881</v>
      </c>
      <c r="Z57" s="1">
        <f>'Paste cellinfo here'!$B$11</f>
        <v>0.51802400000000004</v>
      </c>
    </row>
    <row r="58" spans="1:26">
      <c r="A58" s="1">
        <v>57</v>
      </c>
      <c r="B58" s="2">
        <f>DATE(Sintesi!$C$4-1,12,31)+A58</f>
        <v>44253</v>
      </c>
      <c r="C58" s="1">
        <f>'Paste cell here'!B58</f>
        <v>0</v>
      </c>
      <c r="D58" s="1">
        <f>'Paste cell here'!I58</f>
        <v>0</v>
      </c>
      <c r="E58" s="1">
        <f>'Paste cell here'!J58</f>
        <v>0</v>
      </c>
      <c r="F58" s="1">
        <f>'Paste cell here'!K58</f>
        <v>0</v>
      </c>
      <c r="G58" s="1">
        <f>'Paste cell here'!L58</f>
        <v>0</v>
      </c>
      <c r="H58" s="1">
        <f>'Paste cell here'!M58</f>
        <v>0</v>
      </c>
      <c r="I58" s="1">
        <f>'Paste cell here'!N58</f>
        <v>0</v>
      </c>
      <c r="J58" s="1">
        <f>'Paste cell here'!O58</f>
        <v>0</v>
      </c>
      <c r="K58" s="1">
        <f>'Paste cell here'!Q58</f>
        <v>1.127172324</v>
      </c>
      <c r="L58" s="1">
        <f>'Paste cell here'!S58</f>
        <v>0</v>
      </c>
      <c r="M58" s="1">
        <f>'Paste cell here'!T58</f>
        <v>4.7099999999999998E-6</v>
      </c>
      <c r="N58" s="1">
        <f>'Paste cell here'!W58</f>
        <v>0</v>
      </c>
      <c r="O58" s="1">
        <f>'Paste cell here'!U58</f>
        <v>9.6724285079999994</v>
      </c>
      <c r="P58" s="1">
        <f t="shared" si="3"/>
        <v>10.799605550000001</v>
      </c>
      <c r="Q58" s="1">
        <f>'Paste cell here'!V58</f>
        <v>0</v>
      </c>
      <c r="R58" s="1">
        <f t="shared" si="4"/>
        <v>8.000000661922968E-9</v>
      </c>
      <c r="S58" s="7">
        <f>Sintesi!$C$30</f>
        <v>8.3099999999999993E-2</v>
      </c>
      <c r="T58" s="7">
        <f>Sintesi!$C$29</f>
        <v>0.229209</v>
      </c>
      <c r="U58" s="5">
        <f>O58/(Sintesi!$C$5*1000)</f>
        <v>9.672428508E-2</v>
      </c>
      <c r="V58" s="1">
        <f t="shared" si="0"/>
        <v>0.14610899999999999</v>
      </c>
      <c r="W58" s="1">
        <v>0.63395415936985799</v>
      </c>
      <c r="X58" s="1">
        <f t="shared" si="1"/>
        <v>9.2626408271370572E-2</v>
      </c>
      <c r="Y58" s="1">
        <f t="shared" si="2"/>
        <v>0.13658259172862941</v>
      </c>
      <c r="Z58" s="1">
        <f>'Paste cellinfo here'!$B$11</f>
        <v>0.51802400000000004</v>
      </c>
    </row>
    <row r="59" spans="1:26">
      <c r="A59" s="1">
        <v>58</v>
      </c>
      <c r="B59" s="2">
        <f>DATE(Sintesi!$C$4-1,12,31)+A59</f>
        <v>44254</v>
      </c>
      <c r="C59" s="1">
        <f>'Paste cell here'!B59</f>
        <v>0</v>
      </c>
      <c r="D59" s="1">
        <f>'Paste cell here'!I59</f>
        <v>0</v>
      </c>
      <c r="E59" s="1">
        <f>'Paste cell here'!J59</f>
        <v>0</v>
      </c>
      <c r="F59" s="1">
        <f>'Paste cell here'!K59</f>
        <v>0</v>
      </c>
      <c r="G59" s="1">
        <f>'Paste cell here'!L59</f>
        <v>0</v>
      </c>
      <c r="H59" s="1">
        <f>'Paste cell here'!M59</f>
        <v>0</v>
      </c>
      <c r="I59" s="1">
        <f>'Paste cell here'!N59</f>
        <v>0</v>
      </c>
      <c r="J59" s="1">
        <f>'Paste cell here'!O59</f>
        <v>0</v>
      </c>
      <c r="K59" s="1">
        <f>'Paste cell here'!Q59</f>
        <v>1.0438743720000001</v>
      </c>
      <c r="L59" s="1">
        <f>'Paste cell here'!S59</f>
        <v>0</v>
      </c>
      <c r="M59" s="1">
        <f>'Paste cell here'!T59</f>
        <v>6.7599999999999997E-7</v>
      </c>
      <c r="N59" s="1">
        <f>'Paste cell here'!W59</f>
        <v>0</v>
      </c>
      <c r="O59" s="1">
        <f>'Paste cell here'!U59</f>
        <v>8.6285534599999991</v>
      </c>
      <c r="P59" s="1">
        <f t="shared" si="3"/>
        <v>9.6724285079999994</v>
      </c>
      <c r="Q59" s="1">
        <f>'Paste cell here'!V59</f>
        <v>0</v>
      </c>
      <c r="R59" s="1">
        <f t="shared" si="4"/>
        <v>0</v>
      </c>
      <c r="S59" s="7">
        <f>Sintesi!$C$30</f>
        <v>8.3099999999999993E-2</v>
      </c>
      <c r="T59" s="7">
        <f>Sintesi!$C$29</f>
        <v>0.229209</v>
      </c>
      <c r="U59" s="5">
        <f>O59/(Sintesi!$C$5*1000)</f>
        <v>8.6285534599999991E-2</v>
      </c>
      <c r="V59" s="1">
        <f t="shared" si="0"/>
        <v>0.14610899999999999</v>
      </c>
      <c r="W59" s="1">
        <v>0.62434641708493299</v>
      </c>
      <c r="X59" s="1">
        <f t="shared" si="1"/>
        <v>9.1222630653862463E-2</v>
      </c>
      <c r="Y59" s="1">
        <f t="shared" si="2"/>
        <v>0.13798636934613753</v>
      </c>
      <c r="Z59" s="1">
        <f>'Paste cellinfo here'!$B$11</f>
        <v>0.51802400000000004</v>
      </c>
    </row>
    <row r="60" spans="1:26">
      <c r="A60" s="1">
        <v>59</v>
      </c>
      <c r="B60" s="2">
        <f>DATE(Sintesi!$C$4-1,12,31)+A60</f>
        <v>44255</v>
      </c>
      <c r="C60" s="1">
        <f>'Paste cell here'!B60</f>
        <v>0</v>
      </c>
      <c r="D60" s="1">
        <f>'Paste cell here'!I60</f>
        <v>0</v>
      </c>
      <c r="E60" s="1">
        <f>'Paste cell here'!J60</f>
        <v>0</v>
      </c>
      <c r="F60" s="1">
        <f>'Paste cell here'!K60</f>
        <v>0</v>
      </c>
      <c r="G60" s="1">
        <f>'Paste cell here'!L60</f>
        <v>0</v>
      </c>
      <c r="H60" s="1">
        <f>'Paste cell here'!M60</f>
        <v>0</v>
      </c>
      <c r="I60" s="1">
        <f>'Paste cell here'!N60</f>
        <v>0</v>
      </c>
      <c r="J60" s="1">
        <f>'Paste cell here'!O60</f>
        <v>0</v>
      </c>
      <c r="K60" s="1">
        <f>'Paste cell here'!Q60</f>
        <v>0.78805408899999996</v>
      </c>
      <c r="L60" s="1">
        <f>'Paste cell here'!S60</f>
        <v>0</v>
      </c>
      <c r="M60" s="1">
        <f>'Paste cell here'!T60</f>
        <v>7.6899999999999994E-8</v>
      </c>
      <c r="N60" s="1">
        <f>'Paste cell here'!W60</f>
        <v>0</v>
      </c>
      <c r="O60" s="1">
        <f>'Paste cell here'!U60</f>
        <v>7.8404992929999997</v>
      </c>
      <c r="P60" s="1">
        <f t="shared" si="3"/>
        <v>8.6285534599999991</v>
      </c>
      <c r="Q60" s="1">
        <f>'Paste cell here'!V60</f>
        <v>0</v>
      </c>
      <c r="R60" s="1">
        <f t="shared" si="4"/>
        <v>1.0999992028359884E-9</v>
      </c>
      <c r="S60" s="7">
        <f>Sintesi!$C$30</f>
        <v>8.3099999999999993E-2</v>
      </c>
      <c r="T60" s="7">
        <f>Sintesi!$C$29</f>
        <v>0.229209</v>
      </c>
      <c r="U60" s="5">
        <f>O60/(Sintesi!$C$5*1000)</f>
        <v>7.840499293E-2</v>
      </c>
      <c r="V60" s="1">
        <f t="shared" si="0"/>
        <v>0.14610899999999999</v>
      </c>
      <c r="W60" s="1">
        <v>0.61254650569119296</v>
      </c>
      <c r="X60" s="1">
        <f t="shared" si="1"/>
        <v>8.9498557400034498E-2</v>
      </c>
      <c r="Y60" s="1">
        <f t="shared" si="2"/>
        <v>0.13971044259996551</v>
      </c>
      <c r="Z60" s="1">
        <f>'Paste cellinfo here'!$B$11</f>
        <v>0.51802400000000004</v>
      </c>
    </row>
    <row r="61" spans="1:26">
      <c r="A61" s="1">
        <v>60</v>
      </c>
      <c r="B61" s="2">
        <f>DATE(Sintesi!$C$4-1,12,31)+A61</f>
        <v>44256</v>
      </c>
      <c r="C61" s="1">
        <f>'Paste cell here'!B61</f>
        <v>0</v>
      </c>
      <c r="D61" s="1">
        <f>'Paste cell here'!I61</f>
        <v>0</v>
      </c>
      <c r="E61" s="1">
        <f>'Paste cell here'!J61</f>
        <v>0</v>
      </c>
      <c r="F61" s="1">
        <f>'Paste cell here'!K61</f>
        <v>0</v>
      </c>
      <c r="G61" s="1">
        <f>'Paste cell here'!L61</f>
        <v>0</v>
      </c>
      <c r="H61" s="1">
        <f>'Paste cell here'!M61</f>
        <v>0</v>
      </c>
      <c r="I61" s="1">
        <f>'Paste cell here'!N61</f>
        <v>0</v>
      </c>
      <c r="J61" s="1">
        <f>'Paste cell here'!O61</f>
        <v>0</v>
      </c>
      <c r="K61" s="1">
        <f>'Paste cell here'!Q61</f>
        <v>0.64158398299999997</v>
      </c>
      <c r="L61" s="1">
        <f>'Paste cell here'!S61</f>
        <v>0</v>
      </c>
      <c r="M61" s="1">
        <f>'Paste cell here'!T61</f>
        <v>9.3999999999999998E-9</v>
      </c>
      <c r="N61" s="1">
        <f>'Paste cell here'!W61</f>
        <v>0</v>
      </c>
      <c r="O61" s="1">
        <f>'Paste cell here'!U61</f>
        <v>7.1989153010000004</v>
      </c>
      <c r="P61" s="1">
        <f t="shared" si="3"/>
        <v>7.8404992929999997</v>
      </c>
      <c r="Q61" s="1">
        <f>'Paste cell here'!V61</f>
        <v>0</v>
      </c>
      <c r="R61" s="1">
        <f t="shared" si="4"/>
        <v>4.000009212745681E-10</v>
      </c>
      <c r="S61" s="7">
        <f>Sintesi!$C$30</f>
        <v>8.3099999999999993E-2</v>
      </c>
      <c r="T61" s="7">
        <f>Sintesi!$C$29</f>
        <v>0.229209</v>
      </c>
      <c r="U61" s="5">
        <f>O61/(Sintesi!$C$5*1000)</f>
        <v>7.1989153010000001E-2</v>
      </c>
      <c r="V61" s="1">
        <f t="shared" si="0"/>
        <v>0.14610899999999999</v>
      </c>
      <c r="W61" s="1">
        <v>0.62155109583496204</v>
      </c>
      <c r="X61" s="1">
        <f t="shared" si="1"/>
        <v>9.0814209061350459E-2</v>
      </c>
      <c r="Y61" s="1">
        <f t="shared" si="2"/>
        <v>0.13839479093864954</v>
      </c>
      <c r="Z61" s="1">
        <f>'Paste cellinfo here'!$B$11</f>
        <v>0.51802400000000004</v>
      </c>
    </row>
    <row r="62" spans="1:26">
      <c r="A62" s="1">
        <v>61</v>
      </c>
      <c r="B62" s="2">
        <f>DATE(Sintesi!$C$4-1,12,31)+A62</f>
        <v>44257</v>
      </c>
      <c r="C62" s="1">
        <f>'Paste cell here'!B62</f>
        <v>0</v>
      </c>
      <c r="D62" s="1">
        <f>'Paste cell here'!I62</f>
        <v>0</v>
      </c>
      <c r="E62" s="1">
        <f>'Paste cell here'!J62</f>
        <v>0</v>
      </c>
      <c r="F62" s="1">
        <f>'Paste cell here'!K62</f>
        <v>0</v>
      </c>
      <c r="G62" s="1">
        <f>'Paste cell here'!L62</f>
        <v>0</v>
      </c>
      <c r="H62" s="1">
        <f>'Paste cell here'!M62</f>
        <v>0</v>
      </c>
      <c r="I62" s="1">
        <f>'Paste cell here'!N62</f>
        <v>0</v>
      </c>
      <c r="J62" s="1">
        <f>'Paste cell here'!O62</f>
        <v>0</v>
      </c>
      <c r="K62" s="1">
        <f>'Paste cell here'!Q62</f>
        <v>0.520978096</v>
      </c>
      <c r="L62" s="1">
        <f>'Paste cell here'!S62</f>
        <v>0</v>
      </c>
      <c r="M62" s="1">
        <f>'Paste cell here'!T62</f>
        <v>1.08E-9</v>
      </c>
      <c r="N62" s="1">
        <f>'Paste cell here'!W62</f>
        <v>0</v>
      </c>
      <c r="O62" s="1">
        <f>'Paste cell here'!U62</f>
        <v>6.677937204</v>
      </c>
      <c r="P62" s="1">
        <f t="shared" si="3"/>
        <v>7.1989153010000004</v>
      </c>
      <c r="Q62" s="1">
        <f>'Paste cell here'!V62</f>
        <v>0</v>
      </c>
      <c r="R62" s="1">
        <f t="shared" si="4"/>
        <v>8.000000661922968E-11</v>
      </c>
      <c r="S62" s="7">
        <f>Sintesi!$C$30</f>
        <v>8.3099999999999993E-2</v>
      </c>
      <c r="T62" s="7">
        <f>Sintesi!$C$29</f>
        <v>0.229209</v>
      </c>
      <c r="U62" s="5">
        <f>O62/(Sintesi!$C$5*1000)</f>
        <v>6.6779372040000007E-2</v>
      </c>
      <c r="V62" s="1">
        <f t="shared" si="0"/>
        <v>0.14610899999999999</v>
      </c>
      <c r="W62" s="1">
        <v>0.64811407294263501</v>
      </c>
      <c r="X62" s="1">
        <f t="shared" si="1"/>
        <v>9.4695299083575449E-2</v>
      </c>
      <c r="Y62" s="1">
        <f t="shared" si="2"/>
        <v>0.13451370091642456</v>
      </c>
      <c r="Z62" s="1">
        <f>'Paste cellinfo here'!$B$11</f>
        <v>0.51802400000000004</v>
      </c>
    </row>
    <row r="63" spans="1:26">
      <c r="A63" s="1">
        <v>62</v>
      </c>
      <c r="B63" s="2">
        <f>DATE(Sintesi!$C$4-1,12,31)+A63</f>
        <v>44258</v>
      </c>
      <c r="C63" s="1">
        <f>'Paste cell here'!B63</f>
        <v>0</v>
      </c>
      <c r="D63" s="1">
        <f>'Paste cell here'!I63</f>
        <v>0</v>
      </c>
      <c r="E63" s="1">
        <f>'Paste cell here'!J63</f>
        <v>0</v>
      </c>
      <c r="F63" s="1">
        <f>'Paste cell here'!K63</f>
        <v>0</v>
      </c>
      <c r="G63" s="1">
        <f>'Paste cell here'!L63</f>
        <v>0</v>
      </c>
      <c r="H63" s="1">
        <f>'Paste cell here'!M63</f>
        <v>0</v>
      </c>
      <c r="I63" s="1">
        <f>'Paste cell here'!N63</f>
        <v>0</v>
      </c>
      <c r="J63" s="1">
        <f>'Paste cell here'!O63</f>
        <v>0</v>
      </c>
      <c r="K63" s="1">
        <f>'Paste cell here'!Q63</f>
        <v>0.34778215299999998</v>
      </c>
      <c r="L63" s="1">
        <f>'Paste cell here'!S63</f>
        <v>0</v>
      </c>
      <c r="M63" s="1">
        <f>'Paste cell here'!T63</f>
        <v>1.2400000000000001E-10</v>
      </c>
      <c r="N63" s="1">
        <f>'Paste cell here'!W63</f>
        <v>0</v>
      </c>
      <c r="O63" s="1">
        <f>'Paste cell here'!U63</f>
        <v>6.3301550510000002</v>
      </c>
      <c r="P63" s="1">
        <f t="shared" si="3"/>
        <v>6.677937204</v>
      </c>
      <c r="Q63" s="1">
        <f>'Paste cell here'!V63</f>
        <v>0</v>
      </c>
      <c r="R63" s="1">
        <f t="shared" si="4"/>
        <v>1.2400036553117388E-10</v>
      </c>
      <c r="S63" s="7">
        <f>Sintesi!$C$30</f>
        <v>8.3099999999999993E-2</v>
      </c>
      <c r="T63" s="7">
        <f>Sintesi!$C$29</f>
        <v>0.229209</v>
      </c>
      <c r="U63" s="5">
        <f>O63/(Sintesi!$C$5*1000)</f>
        <v>6.3301550509999999E-2</v>
      </c>
      <c r="V63" s="1">
        <f t="shared" si="0"/>
        <v>0.14610899999999999</v>
      </c>
      <c r="W63" s="1">
        <v>0.63119632841886997</v>
      </c>
      <c r="X63" s="1">
        <f t="shared" si="1"/>
        <v>9.2223464348952663E-2</v>
      </c>
      <c r="Y63" s="1">
        <f t="shared" si="2"/>
        <v>0.13698553565104732</v>
      </c>
      <c r="Z63" s="1">
        <f>'Paste cellinfo here'!$B$11</f>
        <v>0.51802400000000004</v>
      </c>
    </row>
    <row r="64" spans="1:26">
      <c r="A64" s="1">
        <v>63</v>
      </c>
      <c r="B64" s="2">
        <f>DATE(Sintesi!$C$4-1,12,31)+A64</f>
        <v>44259</v>
      </c>
      <c r="C64" s="1">
        <f>'Paste cell here'!B64</f>
        <v>0</v>
      </c>
      <c r="D64" s="1">
        <f>'Paste cell here'!I64</f>
        <v>0</v>
      </c>
      <c r="E64" s="1">
        <f>'Paste cell here'!J64</f>
        <v>0</v>
      </c>
      <c r="F64" s="1">
        <f>'Paste cell here'!K64</f>
        <v>0</v>
      </c>
      <c r="G64" s="1">
        <f>'Paste cell here'!L64</f>
        <v>0</v>
      </c>
      <c r="H64" s="1">
        <f>'Paste cell here'!M64</f>
        <v>0</v>
      </c>
      <c r="I64" s="1">
        <f>'Paste cell here'!N64</f>
        <v>0</v>
      </c>
      <c r="J64" s="1">
        <f>'Paste cell here'!O64</f>
        <v>0</v>
      </c>
      <c r="K64" s="1">
        <f>'Paste cell here'!Q64</f>
        <v>0.31359823999999997</v>
      </c>
      <c r="L64" s="1">
        <f>'Paste cell here'!S64</f>
        <v>0</v>
      </c>
      <c r="M64" s="1">
        <f>'Paste cell here'!T64</f>
        <v>1.8500000000000001E-11</v>
      </c>
      <c r="N64" s="1">
        <f>'Paste cell here'!W64</f>
        <v>0</v>
      </c>
      <c r="O64" s="1">
        <f>'Paste cell here'!U64</f>
        <v>6.0165568110000001</v>
      </c>
      <c r="P64" s="1">
        <f t="shared" si="3"/>
        <v>6.3301550510000002</v>
      </c>
      <c r="Q64" s="1">
        <f>'Paste cell here'!V64</f>
        <v>0</v>
      </c>
      <c r="R64" s="1">
        <f t="shared" si="4"/>
        <v>1.8499868303933908E-11</v>
      </c>
      <c r="S64" s="7">
        <f>Sintesi!$C$30</f>
        <v>8.3099999999999993E-2</v>
      </c>
      <c r="T64" s="7">
        <f>Sintesi!$C$29</f>
        <v>0.229209</v>
      </c>
      <c r="U64" s="5">
        <f>O64/(Sintesi!$C$5*1000)</f>
        <v>6.0165568109999998E-2</v>
      </c>
      <c r="V64" s="1">
        <f t="shared" si="0"/>
        <v>0.14610899999999999</v>
      </c>
      <c r="W64" s="1">
        <v>0.62131194068164697</v>
      </c>
      <c r="X64" s="1">
        <f t="shared" si="1"/>
        <v>9.0779266341054751E-2</v>
      </c>
      <c r="Y64" s="1">
        <f t="shared" si="2"/>
        <v>0.13842973365894523</v>
      </c>
      <c r="Z64" s="1">
        <f>'Paste cellinfo here'!$B$11</f>
        <v>0.51802400000000004</v>
      </c>
    </row>
    <row r="65" spans="1:26">
      <c r="A65" s="1">
        <v>64</v>
      </c>
      <c r="B65" s="2">
        <f>DATE(Sintesi!$C$4-1,12,31)+A65</f>
        <v>44260</v>
      </c>
      <c r="C65" s="1">
        <f>'Paste cell here'!B65</f>
        <v>0</v>
      </c>
      <c r="D65" s="1">
        <f>'Paste cell here'!I65</f>
        <v>0</v>
      </c>
      <c r="E65" s="1">
        <f>'Paste cell here'!J65</f>
        <v>0</v>
      </c>
      <c r="F65" s="1">
        <f>'Paste cell here'!K65</f>
        <v>0</v>
      </c>
      <c r="G65" s="1">
        <f>'Paste cell here'!L65</f>
        <v>0</v>
      </c>
      <c r="H65" s="1">
        <f>'Paste cell here'!M65</f>
        <v>0</v>
      </c>
      <c r="I65" s="1">
        <f>'Paste cell here'!N65</f>
        <v>0</v>
      </c>
      <c r="J65" s="1">
        <f>'Paste cell here'!O65</f>
        <v>0</v>
      </c>
      <c r="K65" s="1">
        <f>'Paste cell here'!Q65</f>
        <v>0.34257134700000003</v>
      </c>
      <c r="L65" s="1">
        <f>'Paste cell here'!S65</f>
        <v>0</v>
      </c>
      <c r="M65" s="1">
        <f>'Paste cell here'!T65</f>
        <v>2.0400000000000002E-12</v>
      </c>
      <c r="N65" s="1">
        <f>'Paste cell here'!W65</f>
        <v>0</v>
      </c>
      <c r="O65" s="1">
        <f>'Paste cell here'!U65</f>
        <v>5.6739854630000002</v>
      </c>
      <c r="P65" s="1">
        <f t="shared" si="3"/>
        <v>6.0165568110000001</v>
      </c>
      <c r="Q65" s="1">
        <f>'Paste cell here'!V65</f>
        <v>0</v>
      </c>
      <c r="R65" s="1">
        <f t="shared" si="4"/>
        <v>9.9795993691031981E-10</v>
      </c>
      <c r="S65" s="7">
        <f>Sintesi!$C$30</f>
        <v>8.3099999999999993E-2</v>
      </c>
      <c r="T65" s="7">
        <f>Sintesi!$C$29</f>
        <v>0.229209</v>
      </c>
      <c r="U65" s="5">
        <f>O65/(Sintesi!$C$5*1000)</f>
        <v>5.6739854630000003E-2</v>
      </c>
      <c r="V65" s="1">
        <f t="shared" si="0"/>
        <v>0.14610899999999999</v>
      </c>
      <c r="W65" s="1">
        <v>0.64387011417510198</v>
      </c>
      <c r="X65" s="1">
        <f t="shared" si="1"/>
        <v>9.4075218512009964E-2</v>
      </c>
      <c r="Y65" s="1">
        <f t="shared" si="2"/>
        <v>0.13513378148799005</v>
      </c>
      <c r="Z65" s="1">
        <f>'Paste cellinfo here'!$B$11</f>
        <v>0.51802400000000004</v>
      </c>
    </row>
    <row r="66" spans="1:26">
      <c r="A66" s="1">
        <v>65</v>
      </c>
      <c r="B66" s="2">
        <f>DATE(Sintesi!$C$4-1,12,31)+A66</f>
        <v>44261</v>
      </c>
      <c r="C66" s="1">
        <f>'Paste cell here'!B66</f>
        <v>0</v>
      </c>
      <c r="D66" s="1">
        <f>'Paste cell here'!I66</f>
        <v>0</v>
      </c>
      <c r="E66" s="1">
        <f>'Paste cell here'!J66</f>
        <v>0</v>
      </c>
      <c r="F66" s="1">
        <f>'Paste cell here'!K66</f>
        <v>0</v>
      </c>
      <c r="G66" s="1">
        <f>'Paste cell here'!L66</f>
        <v>0</v>
      </c>
      <c r="H66" s="1">
        <f>'Paste cell here'!M66</f>
        <v>0</v>
      </c>
      <c r="I66" s="1">
        <f>'Paste cell here'!N66</f>
        <v>0</v>
      </c>
      <c r="J66" s="1">
        <f>'Paste cell here'!O66</f>
        <v>0</v>
      </c>
      <c r="K66" s="1">
        <f>'Paste cell here'!Q66</f>
        <v>0.211807579</v>
      </c>
      <c r="L66" s="1">
        <f>'Paste cell here'!S66</f>
        <v>0</v>
      </c>
      <c r="M66" s="1">
        <f>'Paste cell here'!T66</f>
        <v>1.06E-13</v>
      </c>
      <c r="N66" s="1">
        <f>'Paste cell here'!W66</f>
        <v>0</v>
      </c>
      <c r="O66" s="1">
        <f>'Paste cell here'!U66</f>
        <v>5.4621778839999999</v>
      </c>
      <c r="P66" s="1">
        <f t="shared" si="3"/>
        <v>5.6739854630000002</v>
      </c>
      <c r="Q66" s="1">
        <f>'Paste cell here'!V66</f>
        <v>0</v>
      </c>
      <c r="R66" s="1">
        <f t="shared" si="4"/>
        <v>1.056932319443149E-13</v>
      </c>
      <c r="S66" s="7">
        <f>Sintesi!$C$30</f>
        <v>8.3099999999999993E-2</v>
      </c>
      <c r="T66" s="7">
        <f>Sintesi!$C$29</f>
        <v>0.229209</v>
      </c>
      <c r="U66" s="5">
        <f>O66/(Sintesi!$C$5*1000)</f>
        <v>5.4621778839999996E-2</v>
      </c>
      <c r="V66" s="1">
        <f t="shared" si="0"/>
        <v>0.14610899999999999</v>
      </c>
      <c r="W66" s="1">
        <v>0.61887845943874897</v>
      </c>
      <c r="X66" s="1">
        <f t="shared" si="1"/>
        <v>9.0423712830136171E-2</v>
      </c>
      <c r="Y66" s="1">
        <f t="shared" si="2"/>
        <v>0.13878528716986382</v>
      </c>
      <c r="Z66" s="1">
        <f>'Paste cellinfo here'!$B$11</f>
        <v>0.51802400000000004</v>
      </c>
    </row>
    <row r="67" spans="1:26">
      <c r="A67" s="1">
        <v>66</v>
      </c>
      <c r="B67" s="2">
        <f>DATE(Sintesi!$C$4-1,12,31)+A67</f>
        <v>44262</v>
      </c>
      <c r="C67" s="1">
        <f>'Paste cell here'!B67</f>
        <v>0</v>
      </c>
      <c r="D67" s="1">
        <f>'Paste cell here'!I67</f>
        <v>0</v>
      </c>
      <c r="E67" s="1">
        <f>'Paste cell here'!J67</f>
        <v>0</v>
      </c>
      <c r="F67" s="1">
        <f>'Paste cell here'!K67</f>
        <v>0</v>
      </c>
      <c r="G67" s="1">
        <f>'Paste cell here'!L67</f>
        <v>0</v>
      </c>
      <c r="H67" s="1">
        <f>'Paste cell here'!M67</f>
        <v>0</v>
      </c>
      <c r="I67" s="1">
        <f>'Paste cell here'!N67</f>
        <v>0</v>
      </c>
      <c r="J67" s="1">
        <f>'Paste cell here'!O67</f>
        <v>0</v>
      </c>
      <c r="K67" s="1">
        <f>'Paste cell here'!Q67</f>
        <v>0.20559682300000001</v>
      </c>
      <c r="L67" s="1">
        <f>'Paste cell here'!S67</f>
        <v>0</v>
      </c>
      <c r="M67" s="1">
        <f>'Paste cell here'!T67</f>
        <v>7.7900000000000008E-15</v>
      </c>
      <c r="N67" s="1">
        <f>'Paste cell here'!W67</f>
        <v>0</v>
      </c>
      <c r="O67" s="1">
        <f>'Paste cell here'!U67</f>
        <v>5.2565810610000003</v>
      </c>
      <c r="P67" s="1">
        <f t="shared" si="3"/>
        <v>5.4621778839999999</v>
      </c>
      <c r="Q67" s="1">
        <f>'Paste cell here'!V67</f>
        <v>0</v>
      </c>
      <c r="R67" s="1">
        <f t="shared" si="4"/>
        <v>7.9936057773011271E-15</v>
      </c>
      <c r="S67" s="7">
        <f>Sintesi!$C$30</f>
        <v>8.3099999999999993E-2</v>
      </c>
      <c r="T67" s="7">
        <f>Sintesi!$C$29</f>
        <v>0.229209</v>
      </c>
      <c r="U67" s="5">
        <f>O67/(Sintesi!$C$5*1000)</f>
        <v>5.2565810610000006E-2</v>
      </c>
      <c r="V67" s="1">
        <f t="shared" ref="V67:V130" si="5">T67-S67</f>
        <v>0.14610899999999999</v>
      </c>
      <c r="W67" s="1">
        <v>0.627909615053721</v>
      </c>
      <c r="X67" s="1">
        <f t="shared" ref="X67:X130" si="6">W67*V67</f>
        <v>9.1743245945884122E-2</v>
      </c>
      <c r="Y67" s="1">
        <f t="shared" ref="Y67:Y130" si="7">T67-X67</f>
        <v>0.13746575405411587</v>
      </c>
      <c r="Z67" s="1">
        <f>'Paste cellinfo here'!$B$11</f>
        <v>0.51802400000000004</v>
      </c>
    </row>
    <row r="68" spans="1:26">
      <c r="A68" s="1">
        <v>67</v>
      </c>
      <c r="B68" s="2">
        <f>DATE(Sintesi!$C$4-1,12,31)+A68</f>
        <v>44263</v>
      </c>
      <c r="C68" s="1">
        <f>'Paste cell here'!B68</f>
        <v>0</v>
      </c>
      <c r="D68" s="1">
        <f>'Paste cell here'!I68</f>
        <v>0</v>
      </c>
      <c r="E68" s="1">
        <f>'Paste cell here'!J68</f>
        <v>0</v>
      </c>
      <c r="F68" s="1">
        <f>'Paste cell here'!K68</f>
        <v>0</v>
      </c>
      <c r="G68" s="1">
        <f>'Paste cell here'!L68</f>
        <v>0</v>
      </c>
      <c r="H68" s="1">
        <f>'Paste cell here'!M68</f>
        <v>0</v>
      </c>
      <c r="I68" s="1">
        <f>'Paste cell here'!N68</f>
        <v>0</v>
      </c>
      <c r="J68" s="1">
        <f>'Paste cell here'!O68</f>
        <v>0</v>
      </c>
      <c r="K68" s="1">
        <f>'Paste cell here'!Q68</f>
        <v>0.180768241</v>
      </c>
      <c r="L68" s="1">
        <f>'Paste cell here'!S68</f>
        <v>0</v>
      </c>
      <c r="M68" s="1">
        <f>'Paste cell here'!T68</f>
        <v>2.4400000000000002E-16</v>
      </c>
      <c r="N68" s="1">
        <f>'Paste cell here'!W68</f>
        <v>0</v>
      </c>
      <c r="O68" s="1">
        <f>'Paste cell here'!U68</f>
        <v>5.0758128200000003</v>
      </c>
      <c r="P68" s="1">
        <f t="shared" ref="P68:P131" si="8">O67</f>
        <v>5.2565810610000003</v>
      </c>
      <c r="Q68" s="1">
        <f>'Paste cell here'!V68</f>
        <v>0</v>
      </c>
      <c r="R68" s="1">
        <f t="shared" ref="R68:R131" si="9">ABS(O67+C68+D68+N68+Q67-H68-I68-K68-L68-M68-O68-Q68)</f>
        <v>0</v>
      </c>
      <c r="S68" s="7">
        <f>Sintesi!$C$30</f>
        <v>8.3099999999999993E-2</v>
      </c>
      <c r="T68" s="7">
        <f>Sintesi!$C$29</f>
        <v>0.229209</v>
      </c>
      <c r="U68" s="5">
        <f>O68/(Sintesi!$C$5*1000)</f>
        <v>5.0758128200000002E-2</v>
      </c>
      <c r="V68" s="1">
        <f t="shared" si="5"/>
        <v>0.14610899999999999</v>
      </c>
      <c r="W68" s="1">
        <v>0.64231876903052798</v>
      </c>
      <c r="X68" s="1">
        <f t="shared" si="6"/>
        <v>9.3848553024281411E-2</v>
      </c>
      <c r="Y68" s="1">
        <f t="shared" si="7"/>
        <v>0.13536044697571858</v>
      </c>
      <c r="Z68" s="1">
        <f>'Paste cellinfo here'!$B$11</f>
        <v>0.51802400000000004</v>
      </c>
    </row>
    <row r="69" spans="1:26">
      <c r="A69" s="1">
        <v>68</v>
      </c>
      <c r="B69" s="2">
        <f>DATE(Sintesi!$C$4-1,12,31)+A69</f>
        <v>44264</v>
      </c>
      <c r="C69" s="1">
        <f>'Paste cell here'!B69</f>
        <v>0</v>
      </c>
      <c r="D69" s="1">
        <f>'Paste cell here'!I69</f>
        <v>0</v>
      </c>
      <c r="E69" s="1">
        <f>'Paste cell here'!J69</f>
        <v>0</v>
      </c>
      <c r="F69" s="1">
        <f>'Paste cell here'!K69</f>
        <v>0</v>
      </c>
      <c r="G69" s="1">
        <f>'Paste cell here'!L69</f>
        <v>0</v>
      </c>
      <c r="H69" s="1">
        <f>'Paste cell here'!M69</f>
        <v>0</v>
      </c>
      <c r="I69" s="1">
        <f>'Paste cell here'!N69</f>
        <v>0</v>
      </c>
      <c r="J69" s="1">
        <f>'Paste cell here'!O69</f>
        <v>0</v>
      </c>
      <c r="K69" s="1">
        <f>'Paste cell here'!Q69</f>
        <v>0.16417212</v>
      </c>
      <c r="L69" s="1">
        <f>'Paste cell here'!S69</f>
        <v>0</v>
      </c>
      <c r="M69" s="1">
        <f>'Paste cell here'!T69</f>
        <v>2.2200000000000001E-18</v>
      </c>
      <c r="N69" s="1">
        <f>'Paste cell here'!W69</f>
        <v>0</v>
      </c>
      <c r="O69" s="1">
        <f>'Paste cell here'!U69</f>
        <v>4.9116406990000003</v>
      </c>
      <c r="P69" s="1">
        <f t="shared" si="8"/>
        <v>5.0758128200000003</v>
      </c>
      <c r="Q69" s="1">
        <f>'Paste cell here'!V69</f>
        <v>0</v>
      </c>
      <c r="R69" s="1">
        <f t="shared" si="9"/>
        <v>1.000000082740371E-9</v>
      </c>
      <c r="S69" s="7">
        <f>Sintesi!$C$30</f>
        <v>8.3099999999999993E-2</v>
      </c>
      <c r="T69" s="7">
        <f>Sintesi!$C$29</f>
        <v>0.229209</v>
      </c>
      <c r="U69" s="5">
        <f>O69/(Sintesi!$C$5*1000)</f>
        <v>4.911640699E-2</v>
      </c>
      <c r="V69" s="1">
        <f t="shared" si="5"/>
        <v>0.14610899999999999</v>
      </c>
      <c r="W69" s="1">
        <v>0.62082496933556097</v>
      </c>
      <c r="X69" s="1">
        <f t="shared" si="6"/>
        <v>9.0708115444649476E-2</v>
      </c>
      <c r="Y69" s="1">
        <f t="shared" si="7"/>
        <v>0.13850088455535053</v>
      </c>
      <c r="Z69" s="1">
        <f>'Paste cellinfo here'!$B$11</f>
        <v>0.51802400000000004</v>
      </c>
    </row>
    <row r="70" spans="1:26">
      <c r="A70" s="1">
        <v>69</v>
      </c>
      <c r="B70" s="2">
        <f>DATE(Sintesi!$C$4-1,12,31)+A70</f>
        <v>44265</v>
      </c>
      <c r="C70" s="1">
        <f>'Paste cell here'!B70</f>
        <v>0</v>
      </c>
      <c r="D70" s="1">
        <f>'Paste cell here'!I70</f>
        <v>0</v>
      </c>
      <c r="E70" s="1">
        <f>'Paste cell here'!J70</f>
        <v>0</v>
      </c>
      <c r="F70" s="1">
        <f>'Paste cell here'!K70</f>
        <v>0</v>
      </c>
      <c r="G70" s="1">
        <f>'Paste cell here'!L70</f>
        <v>0</v>
      </c>
      <c r="H70" s="1">
        <f>'Paste cell here'!M70</f>
        <v>0</v>
      </c>
      <c r="I70" s="1">
        <f>'Paste cell here'!N70</f>
        <v>0</v>
      </c>
      <c r="J70" s="1">
        <f>'Paste cell here'!O70</f>
        <v>0</v>
      </c>
      <c r="K70" s="1">
        <f>'Paste cell here'!Q70</f>
        <v>0.141133745</v>
      </c>
      <c r="L70" s="1">
        <f>'Paste cell here'!S70</f>
        <v>0</v>
      </c>
      <c r="M70" s="1">
        <f>'Paste cell here'!T70</f>
        <v>4.5399999999999996E-22</v>
      </c>
      <c r="N70" s="1">
        <f>'Paste cell here'!W70</f>
        <v>0</v>
      </c>
      <c r="O70" s="1">
        <f>'Paste cell here'!U70</f>
        <v>4.770506954</v>
      </c>
      <c r="P70" s="1">
        <f t="shared" si="8"/>
        <v>4.9116406990000003</v>
      </c>
      <c r="Q70" s="1">
        <f>'Paste cell here'!V70</f>
        <v>0</v>
      </c>
      <c r="R70" s="1">
        <f t="shared" si="9"/>
        <v>0</v>
      </c>
      <c r="S70" s="7">
        <f>Sintesi!$C$30</f>
        <v>8.3099999999999993E-2</v>
      </c>
      <c r="T70" s="7">
        <f>Sintesi!$C$29</f>
        <v>0.229209</v>
      </c>
      <c r="U70" s="5">
        <f>O70/(Sintesi!$C$5*1000)</f>
        <v>4.7705069539999999E-2</v>
      </c>
      <c r="V70" s="1">
        <f t="shared" si="5"/>
        <v>0.14610899999999999</v>
      </c>
      <c r="W70" s="1">
        <v>0.60738816278569496</v>
      </c>
      <c r="X70" s="1">
        <f t="shared" si="6"/>
        <v>8.8744877076455092E-2</v>
      </c>
      <c r="Y70" s="1">
        <f t="shared" si="7"/>
        <v>0.1404641229235449</v>
      </c>
      <c r="Z70" s="1">
        <f>'Paste cellinfo here'!$B$11</f>
        <v>0.51802400000000004</v>
      </c>
    </row>
    <row r="71" spans="1:26">
      <c r="A71" s="1">
        <v>70</v>
      </c>
      <c r="B71" s="2">
        <f>DATE(Sintesi!$C$4-1,12,31)+A71</f>
        <v>44266</v>
      </c>
      <c r="C71" s="1">
        <f>'Paste cell here'!B71</f>
        <v>0</v>
      </c>
      <c r="D71" s="1">
        <f>'Paste cell here'!I71</f>
        <v>0</v>
      </c>
      <c r="E71" s="1">
        <f>'Paste cell here'!J71</f>
        <v>0</v>
      </c>
      <c r="F71" s="1">
        <f>'Paste cell here'!K71</f>
        <v>0</v>
      </c>
      <c r="G71" s="1">
        <f>'Paste cell here'!L71</f>
        <v>0</v>
      </c>
      <c r="H71" s="1">
        <f>'Paste cell here'!M71</f>
        <v>0</v>
      </c>
      <c r="I71" s="1">
        <f>'Paste cell here'!N71</f>
        <v>0</v>
      </c>
      <c r="J71" s="1">
        <f>'Paste cell here'!O71</f>
        <v>0</v>
      </c>
      <c r="K71" s="1">
        <f>'Paste cell here'!Q71</f>
        <v>7.1300000000000002E-2</v>
      </c>
      <c r="L71" s="1">
        <f>'Paste cell here'!S71</f>
        <v>0</v>
      </c>
      <c r="M71" s="1">
        <f>'Paste cell here'!T71</f>
        <v>0</v>
      </c>
      <c r="N71" s="1">
        <f>'Paste cell here'!W71</f>
        <v>0</v>
      </c>
      <c r="O71" s="1">
        <f>'Paste cell here'!U71</f>
        <v>4.6991921290000001</v>
      </c>
      <c r="P71" s="1">
        <f t="shared" si="8"/>
        <v>4.770506954</v>
      </c>
      <c r="Q71" s="1">
        <f>'Paste cell here'!V71</f>
        <v>0</v>
      </c>
      <c r="R71" s="1">
        <f t="shared" si="9"/>
        <v>1.4825000000051602E-5</v>
      </c>
      <c r="S71" s="7">
        <f>Sintesi!$C$30</f>
        <v>8.3099999999999993E-2</v>
      </c>
      <c r="T71" s="7">
        <f>Sintesi!$C$29</f>
        <v>0.229209</v>
      </c>
      <c r="U71" s="5">
        <f>O71/(Sintesi!$C$5*1000)</f>
        <v>4.6991921290000002E-2</v>
      </c>
      <c r="V71" s="1">
        <f t="shared" si="5"/>
        <v>0.14610899999999999</v>
      </c>
      <c r="W71" s="1">
        <v>0.61468644755971003</v>
      </c>
      <c r="X71" s="1">
        <f t="shared" si="6"/>
        <v>8.981122216650167E-2</v>
      </c>
      <c r="Y71" s="1">
        <f t="shared" si="7"/>
        <v>0.13939777783349833</v>
      </c>
      <c r="Z71" s="1">
        <f>'Paste cellinfo here'!$B$11</f>
        <v>0.51802400000000004</v>
      </c>
    </row>
    <row r="72" spans="1:26">
      <c r="A72" s="1">
        <v>71</v>
      </c>
      <c r="B72" s="2">
        <f>DATE(Sintesi!$C$4-1,12,31)+A72</f>
        <v>44267</v>
      </c>
      <c r="C72" s="1">
        <f>'Paste cell here'!B72</f>
        <v>0</v>
      </c>
      <c r="D72" s="1">
        <f>'Paste cell here'!I72</f>
        <v>0</v>
      </c>
      <c r="E72" s="1">
        <f>'Paste cell here'!J72</f>
        <v>0</v>
      </c>
      <c r="F72" s="1">
        <f>'Paste cell here'!K72</f>
        <v>0</v>
      </c>
      <c r="G72" s="1">
        <f>'Paste cell here'!L72</f>
        <v>0</v>
      </c>
      <c r="H72" s="1">
        <f>'Paste cell here'!M72</f>
        <v>0</v>
      </c>
      <c r="I72" s="1">
        <f>'Paste cell here'!N72</f>
        <v>0</v>
      </c>
      <c r="J72" s="1">
        <f>'Paste cell here'!O72</f>
        <v>0</v>
      </c>
      <c r="K72" s="1">
        <f>'Paste cell here'!Q72</f>
        <v>9.9299999999999999E-2</v>
      </c>
      <c r="L72" s="1">
        <f>'Paste cell here'!S72</f>
        <v>0</v>
      </c>
      <c r="M72" s="1">
        <f>'Paste cell here'!T72</f>
        <v>0</v>
      </c>
      <c r="N72" s="1">
        <f>'Paste cell here'!W72</f>
        <v>0</v>
      </c>
      <c r="O72" s="1">
        <f>'Paste cell here'!U72</f>
        <v>4.5999002449999997</v>
      </c>
      <c r="P72" s="1">
        <f t="shared" si="8"/>
        <v>4.6991921290000001</v>
      </c>
      <c r="Q72" s="1">
        <f>'Paste cell here'!V72</f>
        <v>0</v>
      </c>
      <c r="R72" s="1">
        <f t="shared" si="9"/>
        <v>8.1160000000579657E-6</v>
      </c>
      <c r="S72" s="7">
        <f>Sintesi!$C$30</f>
        <v>8.3099999999999993E-2</v>
      </c>
      <c r="T72" s="7">
        <f>Sintesi!$C$29</f>
        <v>0.229209</v>
      </c>
      <c r="U72" s="5">
        <f>O72/(Sintesi!$C$5*1000)</f>
        <v>4.599900245E-2</v>
      </c>
      <c r="V72" s="1">
        <f t="shared" si="5"/>
        <v>0.14610899999999999</v>
      </c>
      <c r="W72" s="1">
        <v>0.55511791159336199</v>
      </c>
      <c r="X72" s="1">
        <f t="shared" si="6"/>
        <v>8.110772294499452E-2</v>
      </c>
      <c r="Y72" s="1">
        <f t="shared" si="7"/>
        <v>0.14810127705500548</v>
      </c>
      <c r="Z72" s="1">
        <f>'Paste cellinfo here'!$B$11</f>
        <v>0.51802400000000004</v>
      </c>
    </row>
    <row r="73" spans="1:26">
      <c r="A73" s="1">
        <v>72</v>
      </c>
      <c r="B73" s="2">
        <f>DATE(Sintesi!$C$4-1,12,31)+A73</f>
        <v>44268</v>
      </c>
      <c r="C73" s="1">
        <f>'Paste cell here'!B73</f>
        <v>0</v>
      </c>
      <c r="D73" s="1">
        <f>'Paste cell here'!I73</f>
        <v>0</v>
      </c>
      <c r="E73" s="1">
        <f>'Paste cell here'!J73</f>
        <v>0</v>
      </c>
      <c r="F73" s="1">
        <f>'Paste cell here'!K73</f>
        <v>0</v>
      </c>
      <c r="G73" s="1">
        <f>'Paste cell here'!L73</f>
        <v>0</v>
      </c>
      <c r="H73" s="1">
        <f>'Paste cell here'!M73</f>
        <v>0</v>
      </c>
      <c r="I73" s="1">
        <f>'Paste cell here'!N73</f>
        <v>0</v>
      </c>
      <c r="J73" s="1">
        <f>'Paste cell here'!O73</f>
        <v>0</v>
      </c>
      <c r="K73" s="1">
        <f>'Paste cell here'!Q73</f>
        <v>8.9300000000000004E-2</v>
      </c>
      <c r="L73" s="1">
        <f>'Paste cell here'!S73</f>
        <v>0</v>
      </c>
      <c r="M73" s="1">
        <f>'Paste cell here'!T73</f>
        <v>0</v>
      </c>
      <c r="N73" s="1">
        <f>'Paste cell here'!W73</f>
        <v>0</v>
      </c>
      <c r="O73" s="1">
        <f>'Paste cell here'!U73</f>
        <v>4.5106403339999996</v>
      </c>
      <c r="P73" s="1">
        <f t="shared" si="8"/>
        <v>4.5999002449999997</v>
      </c>
      <c r="Q73" s="1">
        <f>'Paste cell here'!V73</f>
        <v>0</v>
      </c>
      <c r="R73" s="1">
        <f t="shared" si="9"/>
        <v>4.0088999999632335E-5</v>
      </c>
      <c r="S73" s="7">
        <f>Sintesi!$C$30</f>
        <v>8.3099999999999993E-2</v>
      </c>
      <c r="T73" s="7">
        <f>Sintesi!$C$29</f>
        <v>0.229209</v>
      </c>
      <c r="U73" s="5">
        <f>O73/(Sintesi!$C$5*1000)</f>
        <v>4.5106403339999997E-2</v>
      </c>
      <c r="V73" s="1">
        <f t="shared" si="5"/>
        <v>0.14610899999999999</v>
      </c>
      <c r="W73" s="1">
        <v>0.58215459590409002</v>
      </c>
      <c r="X73" s="1">
        <f t="shared" si="6"/>
        <v>8.5058025852950678E-2</v>
      </c>
      <c r="Y73" s="1">
        <f t="shared" si="7"/>
        <v>0.1441509741470493</v>
      </c>
      <c r="Z73" s="1">
        <f>'Paste cellinfo here'!$B$11</f>
        <v>0.51802400000000004</v>
      </c>
    </row>
    <row r="74" spans="1:26">
      <c r="A74" s="1">
        <v>73</v>
      </c>
      <c r="B74" s="2">
        <f>DATE(Sintesi!$C$4-1,12,31)+A74</f>
        <v>44269</v>
      </c>
      <c r="C74" s="1">
        <f>'Paste cell here'!B74</f>
        <v>0</v>
      </c>
      <c r="D74" s="1">
        <f>'Paste cell here'!I74</f>
        <v>0</v>
      </c>
      <c r="E74" s="1">
        <f>'Paste cell here'!J74</f>
        <v>0</v>
      </c>
      <c r="F74" s="1">
        <f>'Paste cell here'!K74</f>
        <v>0</v>
      </c>
      <c r="G74" s="1">
        <f>'Paste cell here'!L74</f>
        <v>0</v>
      </c>
      <c r="H74" s="1">
        <f>'Paste cell here'!M74</f>
        <v>0</v>
      </c>
      <c r="I74" s="1">
        <f>'Paste cell here'!N74</f>
        <v>0</v>
      </c>
      <c r="J74" s="1">
        <f>'Paste cell here'!O74</f>
        <v>0</v>
      </c>
      <c r="K74" s="1">
        <f>'Paste cell here'!Q74</f>
        <v>0.10822684</v>
      </c>
      <c r="L74" s="1">
        <f>'Paste cell here'!S74</f>
        <v>0</v>
      </c>
      <c r="M74" s="1">
        <f>'Paste cell here'!T74</f>
        <v>0</v>
      </c>
      <c r="N74" s="1">
        <f>'Paste cell here'!W74</f>
        <v>0</v>
      </c>
      <c r="O74" s="1">
        <f>'Paste cell here'!U74</f>
        <v>4.4024134940000001</v>
      </c>
      <c r="P74" s="1">
        <f t="shared" si="8"/>
        <v>4.5106403339999996</v>
      </c>
      <c r="Q74" s="1">
        <f>'Paste cell here'!V74</f>
        <v>0</v>
      </c>
      <c r="R74" s="1">
        <f t="shared" si="9"/>
        <v>8.8817841970012523E-16</v>
      </c>
      <c r="S74" s="7">
        <f>Sintesi!$C$30</f>
        <v>8.3099999999999993E-2</v>
      </c>
      <c r="T74" s="7">
        <f>Sintesi!$C$29</f>
        <v>0.229209</v>
      </c>
      <c r="U74" s="5">
        <f>O74/(Sintesi!$C$5*1000)</f>
        <v>4.4024134940000001E-2</v>
      </c>
      <c r="V74" s="1">
        <f t="shared" si="5"/>
        <v>0.14610899999999999</v>
      </c>
      <c r="W74" s="1">
        <v>0.62369204865129801</v>
      </c>
      <c r="X74" s="1">
        <f t="shared" si="6"/>
        <v>9.1127021536392488E-2</v>
      </c>
      <c r="Y74" s="1">
        <f t="shared" si="7"/>
        <v>0.13808197846360751</v>
      </c>
      <c r="Z74" s="1">
        <f>'Paste cellinfo here'!$B$11</f>
        <v>0.51802400000000004</v>
      </c>
    </row>
    <row r="75" spans="1:26">
      <c r="A75" s="1">
        <v>74</v>
      </c>
      <c r="B75" s="2">
        <f>DATE(Sintesi!$C$4-1,12,31)+A75</f>
        <v>44270</v>
      </c>
      <c r="C75" s="1">
        <f>'Paste cell here'!B75</f>
        <v>0</v>
      </c>
      <c r="D75" s="1">
        <f>'Paste cell here'!I75</f>
        <v>0</v>
      </c>
      <c r="E75" s="1">
        <f>'Paste cell here'!J75</f>
        <v>0</v>
      </c>
      <c r="F75" s="1">
        <f>'Paste cell here'!K75</f>
        <v>0</v>
      </c>
      <c r="G75" s="1">
        <f>'Paste cell here'!L75</f>
        <v>0</v>
      </c>
      <c r="H75" s="1">
        <f>'Paste cell here'!M75</f>
        <v>0</v>
      </c>
      <c r="I75" s="1">
        <f>'Paste cell here'!N75</f>
        <v>0</v>
      </c>
      <c r="J75" s="1">
        <f>'Paste cell here'!O75</f>
        <v>0</v>
      </c>
      <c r="K75" s="1">
        <f>'Paste cell here'!Q75</f>
        <v>7.2599999999999998E-2</v>
      </c>
      <c r="L75" s="1">
        <f>'Paste cell here'!S75</f>
        <v>0</v>
      </c>
      <c r="M75" s="1">
        <f>'Paste cell here'!T75</f>
        <v>0</v>
      </c>
      <c r="N75" s="1">
        <f>'Paste cell here'!W75</f>
        <v>0</v>
      </c>
      <c r="O75" s="1">
        <f>'Paste cell here'!U75</f>
        <v>4.3298198650000002</v>
      </c>
      <c r="P75" s="1">
        <f t="shared" si="8"/>
        <v>4.4024134940000001</v>
      </c>
      <c r="Q75" s="1">
        <f>'Paste cell here'!V75</f>
        <v>0</v>
      </c>
      <c r="R75" s="1">
        <f t="shared" si="9"/>
        <v>6.3710000004491008E-6</v>
      </c>
      <c r="S75" s="7">
        <f>Sintesi!$C$30</f>
        <v>8.3099999999999993E-2</v>
      </c>
      <c r="T75" s="7">
        <f>Sintesi!$C$29</f>
        <v>0.229209</v>
      </c>
      <c r="U75" s="5">
        <f>O75/(Sintesi!$C$5*1000)</f>
        <v>4.3298198650000001E-2</v>
      </c>
      <c r="V75" s="1">
        <f t="shared" si="5"/>
        <v>0.14610899999999999</v>
      </c>
      <c r="W75" s="1">
        <v>0.60417707699283196</v>
      </c>
      <c r="X75" s="1">
        <f t="shared" si="6"/>
        <v>8.8275708542345677E-2</v>
      </c>
      <c r="Y75" s="1">
        <f t="shared" si="7"/>
        <v>0.14093329145765432</v>
      </c>
      <c r="Z75" s="1">
        <f>'Paste cellinfo here'!$B$11</f>
        <v>0.51802400000000004</v>
      </c>
    </row>
    <row r="76" spans="1:26">
      <c r="A76" s="1">
        <v>75</v>
      </c>
      <c r="B76" s="2">
        <f>DATE(Sintesi!$C$4-1,12,31)+A76</f>
        <v>44271</v>
      </c>
      <c r="C76" s="1">
        <f>'Paste cell here'!B76</f>
        <v>0</v>
      </c>
      <c r="D76" s="1">
        <f>'Paste cell here'!I76</f>
        <v>0</v>
      </c>
      <c r="E76" s="1">
        <f>'Paste cell here'!J76</f>
        <v>0</v>
      </c>
      <c r="F76" s="1">
        <f>'Paste cell here'!K76</f>
        <v>0</v>
      </c>
      <c r="G76" s="1">
        <f>'Paste cell here'!L76</f>
        <v>0</v>
      </c>
      <c r="H76" s="1">
        <f>'Paste cell here'!M76</f>
        <v>0</v>
      </c>
      <c r="I76" s="1">
        <f>'Paste cell here'!N76</f>
        <v>0</v>
      </c>
      <c r="J76" s="1">
        <f>'Paste cell here'!O76</f>
        <v>0</v>
      </c>
      <c r="K76" s="1">
        <f>'Paste cell here'!Q76</f>
        <v>7.1599999999999997E-2</v>
      </c>
      <c r="L76" s="1">
        <f>'Paste cell here'!S76</f>
        <v>0</v>
      </c>
      <c r="M76" s="1">
        <f>'Paste cell here'!T76</f>
        <v>0</v>
      </c>
      <c r="N76" s="1">
        <f>'Paste cell here'!W76</f>
        <v>0</v>
      </c>
      <c r="O76" s="1">
        <f>'Paste cell here'!U76</f>
        <v>4.2582035879999998</v>
      </c>
      <c r="P76" s="1">
        <f t="shared" si="8"/>
        <v>4.3298198650000002</v>
      </c>
      <c r="Q76" s="1">
        <f>'Paste cell here'!V76</f>
        <v>0</v>
      </c>
      <c r="R76" s="1">
        <f t="shared" si="9"/>
        <v>1.6277000000286534E-5</v>
      </c>
      <c r="S76" s="7">
        <f>Sintesi!$C$30</f>
        <v>8.3099999999999993E-2</v>
      </c>
      <c r="T76" s="7">
        <f>Sintesi!$C$29</f>
        <v>0.229209</v>
      </c>
      <c r="U76" s="5">
        <f>O76/(Sintesi!$C$5*1000)</f>
        <v>4.2582035880000001E-2</v>
      </c>
      <c r="V76" s="1">
        <f t="shared" si="5"/>
        <v>0.14610899999999999</v>
      </c>
      <c r="W76" s="1">
        <v>0.58173030395754499</v>
      </c>
      <c r="X76" s="1">
        <f t="shared" si="6"/>
        <v>8.4996032980932931E-2</v>
      </c>
      <c r="Y76" s="1">
        <f t="shared" si="7"/>
        <v>0.14421296701906705</v>
      </c>
      <c r="Z76" s="1">
        <f>'Paste cellinfo here'!$B$11</f>
        <v>0.51802400000000004</v>
      </c>
    </row>
    <row r="77" spans="1:26">
      <c r="A77" s="1">
        <v>76</v>
      </c>
      <c r="B77" s="2">
        <f>DATE(Sintesi!$C$4-1,12,31)+A77</f>
        <v>44272</v>
      </c>
      <c r="C77" s="1">
        <f>'Paste cell here'!B77</f>
        <v>0</v>
      </c>
      <c r="D77" s="1">
        <f>'Paste cell here'!I77</f>
        <v>0</v>
      </c>
      <c r="E77" s="1">
        <f>'Paste cell here'!J77</f>
        <v>0</v>
      </c>
      <c r="F77" s="1">
        <f>'Paste cell here'!K77</f>
        <v>0</v>
      </c>
      <c r="G77" s="1">
        <f>'Paste cell here'!L77</f>
        <v>0</v>
      </c>
      <c r="H77" s="1">
        <f>'Paste cell here'!M77</f>
        <v>0</v>
      </c>
      <c r="I77" s="1">
        <f>'Paste cell here'!N77</f>
        <v>0</v>
      </c>
      <c r="J77" s="1">
        <f>'Paste cell here'!O77</f>
        <v>0</v>
      </c>
      <c r="K77" s="1">
        <f>'Paste cell here'!Q77</f>
        <v>3.15E-2</v>
      </c>
      <c r="L77" s="1">
        <f>'Paste cell here'!S77</f>
        <v>0</v>
      </c>
      <c r="M77" s="1">
        <f>'Paste cell here'!T77</f>
        <v>0</v>
      </c>
      <c r="N77" s="1">
        <f>'Paste cell here'!W77</f>
        <v>0</v>
      </c>
      <c r="O77" s="1">
        <f>'Paste cell here'!U77</f>
        <v>4.2266720099999997</v>
      </c>
      <c r="P77" s="1">
        <f t="shared" si="8"/>
        <v>4.2582035879999998</v>
      </c>
      <c r="Q77" s="1">
        <f>'Paste cell here'!V77</f>
        <v>0</v>
      </c>
      <c r="R77" s="1">
        <f t="shared" si="9"/>
        <v>3.1577999999754525E-5</v>
      </c>
      <c r="S77" s="7">
        <f>Sintesi!$C$30</f>
        <v>8.3099999999999993E-2</v>
      </c>
      <c r="T77" s="7">
        <f>Sintesi!$C$29</f>
        <v>0.229209</v>
      </c>
      <c r="U77" s="5">
        <f>O77/(Sintesi!$C$5*1000)</f>
        <v>4.2266720099999995E-2</v>
      </c>
      <c r="V77" s="1">
        <f t="shared" si="5"/>
        <v>0.14610899999999999</v>
      </c>
      <c r="W77" s="1">
        <v>0.59573724424285901</v>
      </c>
      <c r="X77" s="1">
        <f t="shared" si="6"/>
        <v>8.7042573019079875E-2</v>
      </c>
      <c r="Y77" s="1">
        <f t="shared" si="7"/>
        <v>0.14216642698092014</v>
      </c>
      <c r="Z77" s="1">
        <f>'Paste cellinfo here'!$B$11</f>
        <v>0.51802400000000004</v>
      </c>
    </row>
    <row r="78" spans="1:26">
      <c r="A78" s="1">
        <v>77</v>
      </c>
      <c r="B78" s="2">
        <f>DATE(Sintesi!$C$4-1,12,31)+A78</f>
        <v>44273</v>
      </c>
      <c r="C78" s="1">
        <f>'Paste cell here'!B78</f>
        <v>1.163617519</v>
      </c>
      <c r="D78" s="1">
        <f>'Paste cell here'!I78</f>
        <v>0</v>
      </c>
      <c r="E78" s="1">
        <f>'Paste cell here'!J78</f>
        <v>1.163617519</v>
      </c>
      <c r="F78" s="1">
        <f>'Paste cell here'!K78</f>
        <v>1.163617519</v>
      </c>
      <c r="G78" s="1">
        <f>'Paste cell here'!L78</f>
        <v>1.163617519</v>
      </c>
      <c r="H78" s="1">
        <f>'Paste cell here'!M78</f>
        <v>0</v>
      </c>
      <c r="I78" s="1">
        <f>'Paste cell here'!N78</f>
        <v>0</v>
      </c>
      <c r="J78" s="1">
        <f>'Paste cell here'!O78</f>
        <v>1.163617554</v>
      </c>
      <c r="K78" s="1">
        <f>'Paste cell here'!Q78</f>
        <v>0.12850803499999999</v>
      </c>
      <c r="L78" s="1">
        <f>'Paste cell here'!S78</f>
        <v>0</v>
      </c>
      <c r="M78" s="1">
        <f>'Paste cell here'!T78</f>
        <v>1.83E-17</v>
      </c>
      <c r="N78" s="1">
        <f>'Paste cell here'!W78</f>
        <v>0</v>
      </c>
      <c r="O78" s="1">
        <f>'Paste cell here'!U78</f>
        <v>5.2617815290000003</v>
      </c>
      <c r="P78" s="1">
        <f t="shared" si="8"/>
        <v>4.2266720099999997</v>
      </c>
      <c r="Q78" s="1">
        <f>'Paste cell here'!V78</f>
        <v>0</v>
      </c>
      <c r="R78" s="1">
        <f t="shared" si="9"/>
        <v>3.5000001119556146E-8</v>
      </c>
      <c r="S78" s="7">
        <f>Sintesi!$C$30</f>
        <v>8.3099999999999993E-2</v>
      </c>
      <c r="T78" s="7">
        <f>Sintesi!$C$29</f>
        <v>0.229209</v>
      </c>
      <c r="U78" s="5">
        <f>O78/(Sintesi!$C$5*1000)</f>
        <v>5.2617815290000002E-2</v>
      </c>
      <c r="V78" s="1">
        <f t="shared" si="5"/>
        <v>0.14610899999999999</v>
      </c>
      <c r="W78" s="1">
        <v>0.62108719457640704</v>
      </c>
      <c r="X78" s="1">
        <f t="shared" si="6"/>
        <v>9.0746428912364244E-2</v>
      </c>
      <c r="Y78" s="1">
        <f t="shared" si="7"/>
        <v>0.13846257108763577</v>
      </c>
      <c r="Z78" s="1">
        <f>'Paste cellinfo here'!$B$11</f>
        <v>0.51802400000000004</v>
      </c>
    </row>
    <row r="79" spans="1:26">
      <c r="A79" s="1">
        <v>78</v>
      </c>
      <c r="B79" s="2">
        <f>DATE(Sintesi!$C$4-1,12,31)+A79</f>
        <v>44274</v>
      </c>
      <c r="C79" s="1">
        <f>'Paste cell here'!B79</f>
        <v>0</v>
      </c>
      <c r="D79" s="1">
        <f>'Paste cell here'!I79</f>
        <v>0</v>
      </c>
      <c r="E79" s="1">
        <f>'Paste cell here'!J79</f>
        <v>0</v>
      </c>
      <c r="F79" s="1">
        <f>'Paste cell here'!K79</f>
        <v>0</v>
      </c>
      <c r="G79" s="1">
        <f>'Paste cell here'!L79</f>
        <v>0</v>
      </c>
      <c r="H79" s="1">
        <f>'Paste cell here'!M79</f>
        <v>0</v>
      </c>
      <c r="I79" s="1">
        <f>'Paste cell here'!N79</f>
        <v>0</v>
      </c>
      <c r="J79" s="1">
        <f>'Paste cell here'!O79</f>
        <v>0</v>
      </c>
      <c r="K79" s="1">
        <f>'Paste cell here'!Q79</f>
        <v>0.21722571800000001</v>
      </c>
      <c r="L79" s="1">
        <f>'Paste cell here'!S79</f>
        <v>0</v>
      </c>
      <c r="M79" s="1">
        <f>'Paste cell here'!T79</f>
        <v>2.5600000000000002E-16</v>
      </c>
      <c r="N79" s="1">
        <f>'Paste cell here'!W79</f>
        <v>0</v>
      </c>
      <c r="O79" s="1">
        <f>'Paste cell here'!U79</f>
        <v>5.0445558119999996</v>
      </c>
      <c r="P79" s="1">
        <f t="shared" si="8"/>
        <v>5.2617815290000003</v>
      </c>
      <c r="Q79" s="1">
        <f>'Paste cell here'!V79</f>
        <v>0</v>
      </c>
      <c r="R79" s="1">
        <f t="shared" si="9"/>
        <v>9.999991945619513E-10</v>
      </c>
      <c r="S79" s="7">
        <f>Sintesi!$C$30</f>
        <v>8.3099999999999993E-2</v>
      </c>
      <c r="T79" s="7">
        <f>Sintesi!$C$29</f>
        <v>0.229209</v>
      </c>
      <c r="U79" s="5">
        <f>O79/(Sintesi!$C$5*1000)</f>
        <v>5.0445558119999998E-2</v>
      </c>
      <c r="V79" s="1">
        <f t="shared" si="5"/>
        <v>0.14610899999999999</v>
      </c>
      <c r="W79" s="1">
        <v>0.63693762288728495</v>
      </c>
      <c r="X79" s="1">
        <f t="shared" si="6"/>
        <v>9.3062319142438316E-2</v>
      </c>
      <c r="Y79" s="1">
        <f t="shared" si="7"/>
        <v>0.13614668085756168</v>
      </c>
      <c r="Z79" s="1">
        <f>'Paste cellinfo here'!$B$11</f>
        <v>0.51802400000000004</v>
      </c>
    </row>
    <row r="80" spans="1:26">
      <c r="A80" s="1">
        <v>79</v>
      </c>
      <c r="B80" s="2">
        <f>DATE(Sintesi!$C$4-1,12,31)+A80</f>
        <v>44275</v>
      </c>
      <c r="C80" s="1">
        <f>'Paste cell here'!B80</f>
        <v>0</v>
      </c>
      <c r="D80" s="1">
        <f>'Paste cell here'!I80</f>
        <v>0</v>
      </c>
      <c r="E80" s="1">
        <f>'Paste cell here'!J80</f>
        <v>0</v>
      </c>
      <c r="F80" s="1">
        <f>'Paste cell here'!K80</f>
        <v>0</v>
      </c>
      <c r="G80" s="1">
        <f>'Paste cell here'!L80</f>
        <v>0</v>
      </c>
      <c r="H80" s="1">
        <f>'Paste cell here'!M80</f>
        <v>0</v>
      </c>
      <c r="I80" s="1">
        <f>'Paste cell here'!N80</f>
        <v>0</v>
      </c>
      <c r="J80" s="1">
        <f>'Paste cell here'!O80</f>
        <v>0</v>
      </c>
      <c r="K80" s="1">
        <f>'Paste cell here'!Q80</f>
        <v>0.18633611999999999</v>
      </c>
      <c r="L80" s="1">
        <f>'Paste cell here'!S80</f>
        <v>0</v>
      </c>
      <c r="M80" s="1">
        <f>'Paste cell here'!T80</f>
        <v>6.8800000000000002E-19</v>
      </c>
      <c r="N80" s="1">
        <f>'Paste cell here'!W80</f>
        <v>0</v>
      </c>
      <c r="O80" s="1">
        <f>'Paste cell here'!U80</f>
        <v>4.8582196910000004</v>
      </c>
      <c r="P80" s="1">
        <f t="shared" si="8"/>
        <v>5.0445558119999996</v>
      </c>
      <c r="Q80" s="1">
        <f>'Paste cell here'!V80</f>
        <v>0</v>
      </c>
      <c r="R80" s="1">
        <f t="shared" si="9"/>
        <v>9.999991945619513E-10</v>
      </c>
      <c r="S80" s="7">
        <f>Sintesi!$C$30</f>
        <v>8.3099999999999993E-2</v>
      </c>
      <c r="T80" s="7">
        <f>Sintesi!$C$29</f>
        <v>0.229209</v>
      </c>
      <c r="U80" s="5">
        <f>O80/(Sintesi!$C$5*1000)</f>
        <v>4.8582196910000007E-2</v>
      </c>
      <c r="V80" s="1">
        <f t="shared" si="5"/>
        <v>0.14610899999999999</v>
      </c>
      <c r="W80" s="1">
        <v>0.60258270909025902</v>
      </c>
      <c r="X80" s="1">
        <f t="shared" si="6"/>
        <v>8.8042757042468653E-2</v>
      </c>
      <c r="Y80" s="1">
        <f t="shared" si="7"/>
        <v>0.14116624295753133</v>
      </c>
      <c r="Z80" s="1">
        <f>'Paste cellinfo here'!$B$11</f>
        <v>0.51802400000000004</v>
      </c>
    </row>
    <row r="81" spans="1:26">
      <c r="A81" s="1">
        <v>80</v>
      </c>
      <c r="B81" s="2">
        <f>DATE(Sintesi!$C$4-1,12,31)+A81</f>
        <v>44276</v>
      </c>
      <c r="C81" s="1">
        <f>'Paste cell here'!B81</f>
        <v>0</v>
      </c>
      <c r="D81" s="1">
        <f>'Paste cell here'!I81</f>
        <v>0</v>
      </c>
      <c r="E81" s="1">
        <f>'Paste cell here'!J81</f>
        <v>0</v>
      </c>
      <c r="F81" s="1">
        <f>'Paste cell here'!K81</f>
        <v>0</v>
      </c>
      <c r="G81" s="1">
        <f>'Paste cell here'!L81</f>
        <v>0</v>
      </c>
      <c r="H81" s="1">
        <f>'Paste cell here'!M81</f>
        <v>0</v>
      </c>
      <c r="I81" s="1">
        <f>'Paste cell here'!N81</f>
        <v>0</v>
      </c>
      <c r="J81" s="1">
        <f>'Paste cell here'!O81</f>
        <v>0</v>
      </c>
      <c r="K81" s="1">
        <f>'Paste cell here'!Q81</f>
        <v>0.13608115000000001</v>
      </c>
      <c r="L81" s="1">
        <f>'Paste cell here'!S81</f>
        <v>0</v>
      </c>
      <c r="M81" s="1">
        <f>'Paste cell here'!T81</f>
        <v>8.2800000000000004E-25</v>
      </c>
      <c r="N81" s="1">
        <f>'Paste cell here'!W81</f>
        <v>0</v>
      </c>
      <c r="O81" s="1">
        <f>'Paste cell here'!U81</f>
        <v>4.7221385409999996</v>
      </c>
      <c r="P81" s="1">
        <f t="shared" si="8"/>
        <v>4.8582196910000004</v>
      </c>
      <c r="Q81" s="1">
        <f>'Paste cell here'!V81</f>
        <v>0</v>
      </c>
      <c r="R81" s="1">
        <f t="shared" si="9"/>
        <v>8.8817841970012523E-16</v>
      </c>
      <c r="S81" s="7">
        <f>Sintesi!$C$30</f>
        <v>8.3099999999999993E-2</v>
      </c>
      <c r="T81" s="7">
        <f>Sintesi!$C$29</f>
        <v>0.229209</v>
      </c>
      <c r="U81" s="5">
        <f>O81/(Sintesi!$C$5*1000)</f>
        <v>4.7221385409999997E-2</v>
      </c>
      <c r="V81" s="1">
        <f t="shared" si="5"/>
        <v>0.14610899999999999</v>
      </c>
      <c r="W81" s="1">
        <v>0.58682145796063101</v>
      </c>
      <c r="X81" s="1">
        <f t="shared" si="6"/>
        <v>8.5739896401169829E-2</v>
      </c>
      <c r="Y81" s="1">
        <f t="shared" si="7"/>
        <v>0.14346910359883017</v>
      </c>
      <c r="Z81" s="1">
        <f>'Paste cellinfo here'!$B$11</f>
        <v>0.51802400000000004</v>
      </c>
    </row>
    <row r="82" spans="1:26">
      <c r="A82" s="1">
        <v>81</v>
      </c>
      <c r="B82" s="2">
        <f>DATE(Sintesi!$C$4-1,12,31)+A82</f>
        <v>44277</v>
      </c>
      <c r="C82" s="1">
        <f>'Paste cell here'!B82</f>
        <v>0</v>
      </c>
      <c r="D82" s="1">
        <f>'Paste cell here'!I82</f>
        <v>0</v>
      </c>
      <c r="E82" s="1">
        <f>'Paste cell here'!J82</f>
        <v>0</v>
      </c>
      <c r="F82" s="1">
        <f>'Paste cell here'!K82</f>
        <v>0</v>
      </c>
      <c r="G82" s="1">
        <f>'Paste cell here'!L82</f>
        <v>0</v>
      </c>
      <c r="H82" s="1">
        <f>'Paste cell here'!M82</f>
        <v>0</v>
      </c>
      <c r="I82" s="1">
        <f>'Paste cell here'!N82</f>
        <v>0</v>
      </c>
      <c r="J82" s="1">
        <f>'Paste cell here'!O82</f>
        <v>0</v>
      </c>
      <c r="K82" s="1">
        <f>'Paste cell here'!Q82</f>
        <v>0.13441793499999999</v>
      </c>
      <c r="L82" s="1">
        <f>'Paste cell here'!S82</f>
        <v>0</v>
      </c>
      <c r="M82" s="1">
        <f>'Paste cell here'!T82</f>
        <v>0</v>
      </c>
      <c r="N82" s="1">
        <f>'Paste cell here'!W82</f>
        <v>0</v>
      </c>
      <c r="O82" s="1">
        <f>'Paste cell here'!U82</f>
        <v>4.5877206060000004</v>
      </c>
      <c r="P82" s="1">
        <f t="shared" si="8"/>
        <v>4.7221385409999996</v>
      </c>
      <c r="Q82" s="1">
        <f>'Paste cell here'!V82</f>
        <v>0</v>
      </c>
      <c r="R82" s="1">
        <f t="shared" si="9"/>
        <v>8.8817841970012523E-16</v>
      </c>
      <c r="S82" s="7">
        <f>Sintesi!$C$30</f>
        <v>8.3099999999999993E-2</v>
      </c>
      <c r="T82" s="7">
        <f>Sintesi!$C$29</f>
        <v>0.229209</v>
      </c>
      <c r="U82" s="5">
        <f>O82/(Sintesi!$C$5*1000)</f>
        <v>4.5877206060000002E-2</v>
      </c>
      <c r="V82" s="1">
        <f t="shared" si="5"/>
        <v>0.14610899999999999</v>
      </c>
      <c r="W82" s="1">
        <v>0.59354884822340004</v>
      </c>
      <c r="X82" s="1">
        <f t="shared" si="6"/>
        <v>8.6722828665072749E-2</v>
      </c>
      <c r="Y82" s="1">
        <f t="shared" si="7"/>
        <v>0.14248617133492725</v>
      </c>
      <c r="Z82" s="1">
        <f>'Paste cellinfo here'!$B$11</f>
        <v>0.51802400000000004</v>
      </c>
    </row>
    <row r="83" spans="1:26">
      <c r="A83" s="1">
        <v>82</v>
      </c>
      <c r="B83" s="2">
        <f>DATE(Sintesi!$C$4-1,12,31)+A83</f>
        <v>44278</v>
      </c>
      <c r="C83" s="1">
        <f>'Paste cell here'!B83</f>
        <v>0</v>
      </c>
      <c r="D83" s="1">
        <f>'Paste cell here'!I83</f>
        <v>0</v>
      </c>
      <c r="E83" s="1">
        <f>'Paste cell here'!J83</f>
        <v>0</v>
      </c>
      <c r="F83" s="1">
        <f>'Paste cell here'!K83</f>
        <v>0</v>
      </c>
      <c r="G83" s="1">
        <f>'Paste cell here'!L83</f>
        <v>0</v>
      </c>
      <c r="H83" s="1">
        <f>'Paste cell here'!M83</f>
        <v>0</v>
      </c>
      <c r="I83" s="1">
        <f>'Paste cell here'!N83</f>
        <v>0</v>
      </c>
      <c r="J83" s="1">
        <f>'Paste cell here'!O83</f>
        <v>0</v>
      </c>
      <c r="K83" s="1">
        <f>'Paste cell here'!Q83</f>
        <v>0.11007641999999999</v>
      </c>
      <c r="L83" s="1">
        <f>'Paste cell here'!S83</f>
        <v>0</v>
      </c>
      <c r="M83" s="1">
        <f>'Paste cell here'!T83</f>
        <v>0</v>
      </c>
      <c r="N83" s="1">
        <f>'Paste cell here'!W83</f>
        <v>0</v>
      </c>
      <c r="O83" s="1">
        <f>'Paste cell here'!U83</f>
        <v>4.477644186</v>
      </c>
      <c r="P83" s="1">
        <f t="shared" si="8"/>
        <v>4.5877206060000004</v>
      </c>
      <c r="Q83" s="1">
        <f>'Paste cell here'!V83</f>
        <v>0</v>
      </c>
      <c r="R83" s="1">
        <f t="shared" si="9"/>
        <v>0</v>
      </c>
      <c r="S83" s="7">
        <f>Sintesi!$C$30</f>
        <v>8.3099999999999993E-2</v>
      </c>
      <c r="T83" s="7">
        <f>Sintesi!$C$29</f>
        <v>0.229209</v>
      </c>
      <c r="U83" s="5">
        <f>O83/(Sintesi!$C$5*1000)</f>
        <v>4.4776441860000002E-2</v>
      </c>
      <c r="V83" s="1">
        <f t="shared" si="5"/>
        <v>0.14610899999999999</v>
      </c>
      <c r="W83" s="1">
        <v>0.58823851179106201</v>
      </c>
      <c r="X83" s="1">
        <f t="shared" si="6"/>
        <v>8.5946940719280274E-2</v>
      </c>
      <c r="Y83" s="1">
        <f t="shared" si="7"/>
        <v>0.14326205928071972</v>
      </c>
      <c r="Z83" s="1">
        <f>'Paste cellinfo here'!$B$11</f>
        <v>0.51802400000000004</v>
      </c>
    </row>
    <row r="84" spans="1:26">
      <c r="A84" s="1">
        <v>83</v>
      </c>
      <c r="B84" s="2">
        <f>DATE(Sintesi!$C$4-1,12,31)+A84</f>
        <v>44279</v>
      </c>
      <c r="C84" s="1">
        <f>'Paste cell here'!B84</f>
        <v>0</v>
      </c>
      <c r="D84" s="1">
        <f>'Paste cell here'!I84</f>
        <v>0</v>
      </c>
      <c r="E84" s="1">
        <f>'Paste cell here'!J84</f>
        <v>0</v>
      </c>
      <c r="F84" s="1">
        <f>'Paste cell here'!K84</f>
        <v>0</v>
      </c>
      <c r="G84" s="1">
        <f>'Paste cell here'!L84</f>
        <v>0</v>
      </c>
      <c r="H84" s="1">
        <f>'Paste cell here'!M84</f>
        <v>0</v>
      </c>
      <c r="I84" s="1">
        <f>'Paste cell here'!N84</f>
        <v>0</v>
      </c>
      <c r="J84" s="1">
        <f>'Paste cell here'!O84</f>
        <v>0</v>
      </c>
      <c r="K84" s="1">
        <f>'Paste cell here'!Q84</f>
        <v>7.8600000000000003E-2</v>
      </c>
      <c r="L84" s="1">
        <f>'Paste cell here'!S84</f>
        <v>0</v>
      </c>
      <c r="M84" s="1">
        <f>'Paste cell here'!T84</f>
        <v>0</v>
      </c>
      <c r="N84" s="1">
        <f>'Paste cell here'!W84</f>
        <v>0</v>
      </c>
      <c r="O84" s="1">
        <f>'Paste cell here'!U84</f>
        <v>4.3990268180000003</v>
      </c>
      <c r="P84" s="1">
        <f t="shared" si="8"/>
        <v>4.477644186</v>
      </c>
      <c r="Q84" s="1">
        <f>'Paste cell here'!V84</f>
        <v>0</v>
      </c>
      <c r="R84" s="1">
        <f t="shared" si="9"/>
        <v>1.736799999996208E-5</v>
      </c>
      <c r="S84" s="7">
        <f>Sintesi!$C$30</f>
        <v>8.3099999999999993E-2</v>
      </c>
      <c r="T84" s="7">
        <f>Sintesi!$C$29</f>
        <v>0.229209</v>
      </c>
      <c r="U84" s="5">
        <f>O84/(Sintesi!$C$5*1000)</f>
        <v>4.399026818E-2</v>
      </c>
      <c r="V84" s="1">
        <f t="shared" si="5"/>
        <v>0.14610899999999999</v>
      </c>
      <c r="W84" s="1">
        <v>0.57603670790621198</v>
      </c>
      <c r="X84" s="1">
        <f t="shared" si="6"/>
        <v>8.4164147355468719E-2</v>
      </c>
      <c r="Y84" s="1">
        <f t="shared" si="7"/>
        <v>0.14504485264453126</v>
      </c>
      <c r="Z84" s="1">
        <f>'Paste cellinfo here'!$B$11</f>
        <v>0.51802400000000004</v>
      </c>
    </row>
    <row r="85" spans="1:26">
      <c r="A85" s="1">
        <v>84</v>
      </c>
      <c r="B85" s="2">
        <f>DATE(Sintesi!$C$4-1,12,31)+A85</f>
        <v>44280</v>
      </c>
      <c r="C85" s="1">
        <f>'Paste cell here'!B85</f>
        <v>0</v>
      </c>
      <c r="D85" s="1">
        <f>'Paste cell here'!I85</f>
        <v>0</v>
      </c>
      <c r="E85" s="1">
        <f>'Paste cell here'!J85</f>
        <v>0</v>
      </c>
      <c r="F85" s="1">
        <f>'Paste cell here'!K85</f>
        <v>0</v>
      </c>
      <c r="G85" s="1">
        <f>'Paste cell here'!L85</f>
        <v>0</v>
      </c>
      <c r="H85" s="1">
        <f>'Paste cell here'!M85</f>
        <v>0</v>
      </c>
      <c r="I85" s="1">
        <f>'Paste cell here'!N85</f>
        <v>0</v>
      </c>
      <c r="J85" s="1">
        <f>'Paste cell here'!O85</f>
        <v>0</v>
      </c>
      <c r="K85" s="1">
        <f>'Paste cell here'!Q85</f>
        <v>6.13E-2</v>
      </c>
      <c r="L85" s="1">
        <f>'Paste cell here'!S85</f>
        <v>0</v>
      </c>
      <c r="M85" s="1">
        <f>'Paste cell here'!T85</f>
        <v>0</v>
      </c>
      <c r="N85" s="1">
        <f>'Paste cell here'!W85</f>
        <v>0</v>
      </c>
      <c r="O85" s="1">
        <f>'Paste cell here'!U85</f>
        <v>4.3377023929999998</v>
      </c>
      <c r="P85" s="1">
        <f t="shared" si="8"/>
        <v>4.3990268180000003</v>
      </c>
      <c r="Q85" s="1">
        <f>'Paste cell here'!V85</f>
        <v>0</v>
      </c>
      <c r="R85" s="1">
        <f t="shared" si="9"/>
        <v>2.4425000000327657E-5</v>
      </c>
      <c r="S85" s="7">
        <f>Sintesi!$C$30</f>
        <v>8.3099999999999993E-2</v>
      </c>
      <c r="T85" s="7">
        <f>Sintesi!$C$29</f>
        <v>0.229209</v>
      </c>
      <c r="U85" s="5">
        <f>O85/(Sintesi!$C$5*1000)</f>
        <v>4.3377023930000001E-2</v>
      </c>
      <c r="V85" s="1">
        <f t="shared" si="5"/>
        <v>0.14610899999999999</v>
      </c>
      <c r="W85" s="1">
        <v>0.56398938187598102</v>
      </c>
      <c r="X85" s="1">
        <f t="shared" si="6"/>
        <v>8.24039245965177E-2</v>
      </c>
      <c r="Y85" s="1">
        <f t="shared" si="7"/>
        <v>0.14680507540348231</v>
      </c>
      <c r="Z85" s="1">
        <f>'Paste cellinfo here'!$B$11</f>
        <v>0.51802400000000004</v>
      </c>
    </row>
    <row r="86" spans="1:26">
      <c r="A86" s="1">
        <v>85</v>
      </c>
      <c r="B86" s="2">
        <f>DATE(Sintesi!$C$4-1,12,31)+A86</f>
        <v>44281</v>
      </c>
      <c r="C86" s="1">
        <f>'Paste cell here'!B86</f>
        <v>0</v>
      </c>
      <c r="D86" s="1">
        <f>'Paste cell here'!I86</f>
        <v>0</v>
      </c>
      <c r="E86" s="1">
        <f>'Paste cell here'!J86</f>
        <v>0</v>
      </c>
      <c r="F86" s="1">
        <f>'Paste cell here'!K86</f>
        <v>0</v>
      </c>
      <c r="G86" s="1">
        <f>'Paste cell here'!L86</f>
        <v>0</v>
      </c>
      <c r="H86" s="1">
        <f>'Paste cell here'!M86</f>
        <v>0</v>
      </c>
      <c r="I86" s="1">
        <f>'Paste cell here'!N86</f>
        <v>0</v>
      </c>
      <c r="J86" s="1">
        <f>'Paste cell here'!O86</f>
        <v>0</v>
      </c>
      <c r="K86" s="1">
        <f>'Paste cell here'!Q86</f>
        <v>4.4600000000000001E-2</v>
      </c>
      <c r="L86" s="1">
        <f>'Paste cell here'!S86</f>
        <v>0</v>
      </c>
      <c r="M86" s="1">
        <f>'Paste cell here'!T86</f>
        <v>0</v>
      </c>
      <c r="N86" s="1">
        <f>'Paste cell here'!W86</f>
        <v>0</v>
      </c>
      <c r="O86" s="1">
        <f>'Paste cell here'!U86</f>
        <v>4.2930599599999999</v>
      </c>
      <c r="P86" s="1">
        <f t="shared" si="8"/>
        <v>4.3377023929999998</v>
      </c>
      <c r="Q86" s="1">
        <f>'Paste cell here'!V86</f>
        <v>0</v>
      </c>
      <c r="R86" s="1">
        <f t="shared" si="9"/>
        <v>4.243299999995287E-5</v>
      </c>
      <c r="S86" s="7">
        <f>Sintesi!$C$30</f>
        <v>8.3099999999999993E-2</v>
      </c>
      <c r="T86" s="7">
        <f>Sintesi!$C$29</f>
        <v>0.229209</v>
      </c>
      <c r="U86" s="5">
        <f>O86/(Sintesi!$C$5*1000)</f>
        <v>4.2930599600000001E-2</v>
      </c>
      <c r="V86" s="1">
        <f t="shared" si="5"/>
        <v>0.14610899999999999</v>
      </c>
      <c r="W86" s="1">
        <v>0.54976399291952804</v>
      </c>
      <c r="X86" s="1">
        <f t="shared" si="6"/>
        <v>8.032546724147932E-2</v>
      </c>
      <c r="Y86" s="1">
        <f t="shared" si="7"/>
        <v>0.14888353275852068</v>
      </c>
      <c r="Z86" s="1">
        <f>'Paste cellinfo here'!$B$11</f>
        <v>0.51802400000000004</v>
      </c>
    </row>
    <row r="87" spans="1:26">
      <c r="A87" s="1">
        <v>86</v>
      </c>
      <c r="B87" s="2">
        <f>DATE(Sintesi!$C$4-1,12,31)+A87</f>
        <v>44282</v>
      </c>
      <c r="C87" s="1">
        <f>'Paste cell here'!B87</f>
        <v>0</v>
      </c>
      <c r="D87" s="1">
        <f>'Paste cell here'!I87</f>
        <v>0</v>
      </c>
      <c r="E87" s="1">
        <f>'Paste cell here'!J87</f>
        <v>0</v>
      </c>
      <c r="F87" s="1">
        <f>'Paste cell here'!K87</f>
        <v>0</v>
      </c>
      <c r="G87" s="1">
        <f>'Paste cell here'!L87</f>
        <v>0</v>
      </c>
      <c r="H87" s="1">
        <f>'Paste cell here'!M87</f>
        <v>0</v>
      </c>
      <c r="I87" s="1">
        <f>'Paste cell here'!N87</f>
        <v>0</v>
      </c>
      <c r="J87" s="1">
        <f>'Paste cell here'!O87</f>
        <v>0</v>
      </c>
      <c r="K87" s="1">
        <f>'Paste cell here'!Q87</f>
        <v>2.2599999999999999E-2</v>
      </c>
      <c r="L87" s="1">
        <f>'Paste cell here'!S87</f>
        <v>0</v>
      </c>
      <c r="M87" s="1">
        <f>'Paste cell here'!T87</f>
        <v>0</v>
      </c>
      <c r="N87" s="1">
        <f>'Paste cell here'!W87</f>
        <v>0</v>
      </c>
      <c r="O87" s="1">
        <f>'Paste cell here'!U87</f>
        <v>4.2704786260000001</v>
      </c>
      <c r="P87" s="1">
        <f t="shared" si="8"/>
        <v>4.2930599599999999</v>
      </c>
      <c r="Q87" s="1">
        <f>'Paste cell here'!V87</f>
        <v>0</v>
      </c>
      <c r="R87" s="1">
        <f t="shared" si="9"/>
        <v>1.8665999999889493E-5</v>
      </c>
      <c r="S87" s="7">
        <f>Sintesi!$C$30</f>
        <v>8.3099999999999993E-2</v>
      </c>
      <c r="T87" s="7">
        <f>Sintesi!$C$29</f>
        <v>0.229209</v>
      </c>
      <c r="U87" s="5">
        <f>O87/(Sintesi!$C$5*1000)</f>
        <v>4.2704786260000002E-2</v>
      </c>
      <c r="V87" s="1">
        <f t="shared" si="5"/>
        <v>0.14610899999999999</v>
      </c>
      <c r="W87" s="1">
        <v>0.54981973499311898</v>
      </c>
      <c r="X87" s="1">
        <f t="shared" si="6"/>
        <v>8.0333611660109619E-2</v>
      </c>
      <c r="Y87" s="1">
        <f t="shared" si="7"/>
        <v>0.14887538833989039</v>
      </c>
      <c r="Z87" s="1">
        <f>'Paste cellinfo here'!$B$11</f>
        <v>0.51802400000000004</v>
      </c>
    </row>
    <row r="88" spans="1:26">
      <c r="A88" s="1">
        <v>87</v>
      </c>
      <c r="B88" s="2">
        <f>DATE(Sintesi!$C$4-1,12,31)+A88</f>
        <v>44283</v>
      </c>
      <c r="C88" s="1">
        <f>'Paste cell here'!B88</f>
        <v>0</v>
      </c>
      <c r="D88" s="1">
        <f>'Paste cell here'!I88</f>
        <v>0</v>
      </c>
      <c r="E88" s="1">
        <f>'Paste cell here'!J88</f>
        <v>0</v>
      </c>
      <c r="F88" s="1">
        <f>'Paste cell here'!K88</f>
        <v>0</v>
      </c>
      <c r="G88" s="1">
        <f>'Paste cell here'!L88</f>
        <v>0</v>
      </c>
      <c r="H88" s="1">
        <f>'Paste cell here'!M88</f>
        <v>0</v>
      </c>
      <c r="I88" s="1">
        <f>'Paste cell here'!N88</f>
        <v>0</v>
      </c>
      <c r="J88" s="1">
        <f>'Paste cell here'!O88</f>
        <v>0</v>
      </c>
      <c r="K88" s="1">
        <f>'Paste cell here'!Q88</f>
        <v>2.8299999999999999E-2</v>
      </c>
      <c r="L88" s="1">
        <f>'Paste cell here'!S88</f>
        <v>0</v>
      </c>
      <c r="M88" s="1">
        <f>'Paste cell here'!T88</f>
        <v>0</v>
      </c>
      <c r="N88" s="1">
        <f>'Paste cell here'!W88</f>
        <v>0</v>
      </c>
      <c r="O88" s="1">
        <f>'Paste cell here'!U88</f>
        <v>4.2421878279999996</v>
      </c>
      <c r="P88" s="1">
        <f t="shared" si="8"/>
        <v>4.2704786260000001</v>
      </c>
      <c r="Q88" s="1">
        <f>'Paste cell here'!V88</f>
        <v>0</v>
      </c>
      <c r="R88" s="1">
        <f t="shared" si="9"/>
        <v>9.2019999993198098E-6</v>
      </c>
      <c r="S88" s="7">
        <f>Sintesi!$C$30</f>
        <v>8.3099999999999993E-2</v>
      </c>
      <c r="T88" s="7">
        <f>Sintesi!$C$29</f>
        <v>0.229209</v>
      </c>
      <c r="U88" s="5">
        <f>O88/(Sintesi!$C$5*1000)</f>
        <v>4.2421878279999999E-2</v>
      </c>
      <c r="V88" s="1">
        <f t="shared" si="5"/>
        <v>0.14610899999999999</v>
      </c>
      <c r="W88" s="1">
        <v>0.57866441294165905</v>
      </c>
      <c r="X88" s="1">
        <f t="shared" si="6"/>
        <v>8.4548078710492858E-2</v>
      </c>
      <c r="Y88" s="1">
        <f t="shared" si="7"/>
        <v>0.14466092128950714</v>
      </c>
      <c r="Z88" s="1">
        <f>'Paste cellinfo here'!$B$11</f>
        <v>0.51802400000000004</v>
      </c>
    </row>
    <row r="89" spans="1:26">
      <c r="A89" s="1">
        <v>88</v>
      </c>
      <c r="B89" s="2">
        <f>DATE(Sintesi!$C$4-1,12,31)+A89</f>
        <v>44284</v>
      </c>
      <c r="C89" s="1">
        <f>'Paste cell here'!B89</f>
        <v>0</v>
      </c>
      <c r="D89" s="1">
        <f>'Paste cell here'!I89</f>
        <v>0</v>
      </c>
      <c r="E89" s="1">
        <f>'Paste cell here'!J89</f>
        <v>0</v>
      </c>
      <c r="F89" s="1">
        <f>'Paste cell here'!K89</f>
        <v>0</v>
      </c>
      <c r="G89" s="1">
        <f>'Paste cell here'!L89</f>
        <v>0</v>
      </c>
      <c r="H89" s="1">
        <f>'Paste cell here'!M89</f>
        <v>0</v>
      </c>
      <c r="I89" s="1">
        <f>'Paste cell here'!N89</f>
        <v>0</v>
      </c>
      <c r="J89" s="1">
        <f>'Paste cell here'!O89</f>
        <v>0</v>
      </c>
      <c r="K89" s="1">
        <f>'Paste cell here'!Q89</f>
        <v>2.3900000000000001E-2</v>
      </c>
      <c r="L89" s="1">
        <f>'Paste cell here'!S89</f>
        <v>0</v>
      </c>
      <c r="M89" s="1">
        <f>'Paste cell here'!T89</f>
        <v>0</v>
      </c>
      <c r="N89" s="1">
        <f>'Paste cell here'!W89</f>
        <v>0</v>
      </c>
      <c r="O89" s="1">
        <f>'Paste cell here'!U89</f>
        <v>4.2182628160000002</v>
      </c>
      <c r="P89" s="1">
        <f t="shared" si="8"/>
        <v>4.2421878279999996</v>
      </c>
      <c r="Q89" s="1">
        <f>'Paste cell here'!V89</f>
        <v>0</v>
      </c>
      <c r="R89" s="1">
        <f t="shared" si="9"/>
        <v>2.5011999999158263E-5</v>
      </c>
      <c r="S89" s="7">
        <f>Sintesi!$C$30</f>
        <v>8.3099999999999993E-2</v>
      </c>
      <c r="T89" s="7">
        <f>Sintesi!$C$29</f>
        <v>0.229209</v>
      </c>
      <c r="U89" s="5">
        <f>O89/(Sintesi!$C$5*1000)</f>
        <v>4.2182628159999999E-2</v>
      </c>
      <c r="V89" s="1">
        <f t="shared" si="5"/>
        <v>0.14610899999999999</v>
      </c>
      <c r="W89" s="1">
        <v>0.58084964295243002</v>
      </c>
      <c r="X89" s="1">
        <f t="shared" si="6"/>
        <v>8.4867360482136597E-2</v>
      </c>
      <c r="Y89" s="1">
        <f t="shared" si="7"/>
        <v>0.14434163951786338</v>
      </c>
      <c r="Z89" s="1">
        <f>'Paste cellinfo here'!$B$11</f>
        <v>0.51802400000000004</v>
      </c>
    </row>
    <row r="90" spans="1:26">
      <c r="A90" s="1">
        <v>89</v>
      </c>
      <c r="B90" s="2">
        <f>DATE(Sintesi!$C$4-1,12,31)+A90</f>
        <v>44285</v>
      </c>
      <c r="C90" s="1">
        <f>'Paste cell here'!B90</f>
        <v>0</v>
      </c>
      <c r="D90" s="1">
        <f>'Paste cell here'!I90</f>
        <v>0</v>
      </c>
      <c r="E90" s="1">
        <f>'Paste cell here'!J90</f>
        <v>0</v>
      </c>
      <c r="F90" s="1">
        <f>'Paste cell here'!K90</f>
        <v>0</v>
      </c>
      <c r="G90" s="1">
        <f>'Paste cell here'!L90</f>
        <v>0</v>
      </c>
      <c r="H90" s="1">
        <f>'Paste cell here'!M90</f>
        <v>0</v>
      </c>
      <c r="I90" s="1">
        <f>'Paste cell here'!N90</f>
        <v>0</v>
      </c>
      <c r="J90" s="1">
        <f>'Paste cell here'!O90</f>
        <v>0</v>
      </c>
      <c r="K90" s="1">
        <f>'Paste cell here'!Q90</f>
        <v>1.89E-2</v>
      </c>
      <c r="L90" s="1">
        <f>'Paste cell here'!S90</f>
        <v>0</v>
      </c>
      <c r="M90" s="1">
        <f>'Paste cell here'!T90</f>
        <v>0</v>
      </c>
      <c r="N90" s="1">
        <f>'Paste cell here'!W90</f>
        <v>0</v>
      </c>
      <c r="O90" s="1">
        <f>'Paste cell here'!U90</f>
        <v>4.1993413950000003</v>
      </c>
      <c r="P90" s="1">
        <f t="shared" si="8"/>
        <v>4.2182628160000002</v>
      </c>
      <c r="Q90" s="1">
        <f>'Paste cell here'!V90</f>
        <v>0</v>
      </c>
      <c r="R90" s="1">
        <f t="shared" si="9"/>
        <v>2.1420999999577361E-5</v>
      </c>
      <c r="S90" s="7">
        <f>Sintesi!$C$30</f>
        <v>8.3099999999999993E-2</v>
      </c>
      <c r="T90" s="7">
        <f>Sintesi!$C$29</f>
        <v>0.229209</v>
      </c>
      <c r="U90" s="5">
        <f>O90/(Sintesi!$C$5*1000)</f>
        <v>4.1993413950000003E-2</v>
      </c>
      <c r="V90" s="1">
        <f t="shared" si="5"/>
        <v>0.14610899999999999</v>
      </c>
      <c r="W90" s="1">
        <v>0.57885630215602102</v>
      </c>
      <c r="X90" s="1">
        <f t="shared" si="6"/>
        <v>8.4576115451714062E-2</v>
      </c>
      <c r="Y90" s="1">
        <f t="shared" si="7"/>
        <v>0.14463288454828593</v>
      </c>
      <c r="Z90" s="1">
        <f>'Paste cellinfo here'!$B$11</f>
        <v>0.51802400000000004</v>
      </c>
    </row>
    <row r="91" spans="1:26">
      <c r="A91" s="1">
        <v>90</v>
      </c>
      <c r="B91" s="2">
        <f>DATE(Sintesi!$C$4-1,12,31)+A91</f>
        <v>44286</v>
      </c>
      <c r="C91" s="1">
        <f>'Paste cell here'!B91</f>
        <v>0</v>
      </c>
      <c r="D91" s="1">
        <f>'Paste cell here'!I91</f>
        <v>0</v>
      </c>
      <c r="E91" s="1">
        <f>'Paste cell here'!J91</f>
        <v>0</v>
      </c>
      <c r="F91" s="1">
        <f>'Paste cell here'!K91</f>
        <v>0</v>
      </c>
      <c r="G91" s="1">
        <f>'Paste cell here'!L91</f>
        <v>0</v>
      </c>
      <c r="H91" s="1">
        <f>'Paste cell here'!M91</f>
        <v>0</v>
      </c>
      <c r="I91" s="1">
        <f>'Paste cell here'!N91</f>
        <v>0</v>
      </c>
      <c r="J91" s="1">
        <f>'Paste cell here'!O91</f>
        <v>0</v>
      </c>
      <c r="K91" s="1">
        <f>'Paste cell here'!Q91</f>
        <v>1.37E-2</v>
      </c>
      <c r="L91" s="1">
        <f>'Paste cell here'!S91</f>
        <v>0</v>
      </c>
      <c r="M91" s="1">
        <f>'Paste cell here'!T91</f>
        <v>0</v>
      </c>
      <c r="N91" s="1">
        <f>'Paste cell here'!W91</f>
        <v>0</v>
      </c>
      <c r="O91" s="1">
        <f>'Paste cell here'!U91</f>
        <v>4.1856596980000003</v>
      </c>
      <c r="P91" s="1">
        <f t="shared" si="8"/>
        <v>4.1993413950000003</v>
      </c>
      <c r="Q91" s="1">
        <f>'Paste cell here'!V91</f>
        <v>0</v>
      </c>
      <c r="R91" s="1">
        <f t="shared" si="9"/>
        <v>1.8303000000052805E-5</v>
      </c>
      <c r="S91" s="7">
        <f>Sintesi!$C$30</f>
        <v>8.3099999999999993E-2</v>
      </c>
      <c r="T91" s="7">
        <f>Sintesi!$C$29</f>
        <v>0.229209</v>
      </c>
      <c r="U91" s="5">
        <f>O91/(Sintesi!$C$5*1000)</f>
        <v>4.1856596980000001E-2</v>
      </c>
      <c r="V91" s="1">
        <f t="shared" si="5"/>
        <v>0.14610899999999999</v>
      </c>
      <c r="W91" s="1">
        <v>0.56255172777320805</v>
      </c>
      <c r="X91" s="1">
        <f t="shared" si="6"/>
        <v>8.2193870393215643E-2</v>
      </c>
      <c r="Y91" s="1">
        <f t="shared" si="7"/>
        <v>0.14701512960678437</v>
      </c>
      <c r="Z91" s="1">
        <f>'Paste cellinfo here'!$B$11</f>
        <v>0.51802400000000004</v>
      </c>
    </row>
    <row r="92" spans="1:26">
      <c r="A92" s="1">
        <v>91</v>
      </c>
      <c r="B92" s="2">
        <f>DATE(Sintesi!$C$4-1,12,31)+A92</f>
        <v>44287</v>
      </c>
      <c r="C92" s="1">
        <f>'Paste cell here'!B92</f>
        <v>0</v>
      </c>
      <c r="D92" s="1">
        <f>'Paste cell here'!I92</f>
        <v>0</v>
      </c>
      <c r="E92" s="1">
        <f>'Paste cell here'!J92</f>
        <v>0</v>
      </c>
      <c r="F92" s="1">
        <f>'Paste cell here'!K92</f>
        <v>0</v>
      </c>
      <c r="G92" s="1">
        <f>'Paste cell here'!L92</f>
        <v>0</v>
      </c>
      <c r="H92" s="1">
        <f>'Paste cell here'!M92</f>
        <v>0</v>
      </c>
      <c r="I92" s="1">
        <f>'Paste cell here'!N92</f>
        <v>0</v>
      </c>
      <c r="J92" s="1">
        <f>'Paste cell here'!O92</f>
        <v>0</v>
      </c>
      <c r="K92" s="1">
        <f>'Paste cell here'!Q92</f>
        <v>1.04E-2</v>
      </c>
      <c r="L92" s="1">
        <f>'Paste cell here'!S92</f>
        <v>0</v>
      </c>
      <c r="M92" s="1">
        <f>'Paste cell here'!T92</f>
        <v>0</v>
      </c>
      <c r="N92" s="1">
        <f>'Paste cell here'!W92</f>
        <v>0</v>
      </c>
      <c r="O92" s="1">
        <f>'Paste cell here'!U92</f>
        <v>4.1752455670000002</v>
      </c>
      <c r="P92" s="1">
        <f t="shared" si="8"/>
        <v>4.1856596980000003</v>
      </c>
      <c r="Q92" s="1">
        <f>'Paste cell here'!V92</f>
        <v>0</v>
      </c>
      <c r="R92" s="1">
        <f t="shared" si="9"/>
        <v>1.4131000000361382E-5</v>
      </c>
      <c r="S92" s="7">
        <f>Sintesi!$C$30</f>
        <v>8.3099999999999993E-2</v>
      </c>
      <c r="T92" s="7">
        <f>Sintesi!$C$29</f>
        <v>0.229209</v>
      </c>
      <c r="U92" s="5">
        <f>O92/(Sintesi!$C$5*1000)</f>
        <v>4.1752455670000001E-2</v>
      </c>
      <c r="V92" s="1">
        <f t="shared" si="5"/>
        <v>0.14610899999999999</v>
      </c>
      <c r="W92" s="1">
        <v>0.55488562889481996</v>
      </c>
      <c r="X92" s="1">
        <f t="shared" si="6"/>
        <v>8.1073784352193243E-2</v>
      </c>
      <c r="Y92" s="1">
        <f t="shared" si="7"/>
        <v>0.14813521564780674</v>
      </c>
      <c r="Z92" s="1">
        <f>'Paste cellinfo here'!$B$11</f>
        <v>0.51802400000000004</v>
      </c>
    </row>
    <row r="93" spans="1:26">
      <c r="A93" s="1">
        <v>92</v>
      </c>
      <c r="B93" s="2">
        <f>DATE(Sintesi!$C$4-1,12,31)+A93</f>
        <v>44288</v>
      </c>
      <c r="C93" s="1">
        <f>'Paste cell here'!B93</f>
        <v>0</v>
      </c>
      <c r="D93" s="1">
        <f>'Paste cell here'!I93</f>
        <v>0</v>
      </c>
      <c r="E93" s="1">
        <f>'Paste cell here'!J93</f>
        <v>0</v>
      </c>
      <c r="F93" s="1">
        <f>'Paste cell here'!K93</f>
        <v>0</v>
      </c>
      <c r="G93" s="1">
        <f>'Paste cell here'!L93</f>
        <v>0</v>
      </c>
      <c r="H93" s="1">
        <f>'Paste cell here'!M93</f>
        <v>0</v>
      </c>
      <c r="I93" s="1">
        <f>'Paste cell here'!N93</f>
        <v>0</v>
      </c>
      <c r="J93" s="1">
        <f>'Paste cell here'!O93</f>
        <v>0</v>
      </c>
      <c r="K93" s="1">
        <f>'Paste cell here'!Q93</f>
        <v>7.4599999999999996E-3</v>
      </c>
      <c r="L93" s="1">
        <f>'Paste cell here'!S93</f>
        <v>0</v>
      </c>
      <c r="M93" s="1">
        <f>'Paste cell here'!T93</f>
        <v>0</v>
      </c>
      <c r="N93" s="1">
        <f>'Paste cell here'!W93</f>
        <v>0</v>
      </c>
      <c r="O93" s="1">
        <f>'Paste cell here'!U93</f>
        <v>4.1677847249999997</v>
      </c>
      <c r="P93" s="1">
        <f t="shared" si="8"/>
        <v>4.1752455670000002</v>
      </c>
      <c r="Q93" s="1">
        <f>'Paste cell here'!V93</f>
        <v>0</v>
      </c>
      <c r="R93" s="1">
        <f t="shared" si="9"/>
        <v>8.4200000038947564E-7</v>
      </c>
      <c r="S93" s="7">
        <f>Sintesi!$C$30</f>
        <v>8.3099999999999993E-2</v>
      </c>
      <c r="T93" s="7">
        <f>Sintesi!$C$29</f>
        <v>0.229209</v>
      </c>
      <c r="U93" s="5">
        <f>O93/(Sintesi!$C$5*1000)</f>
        <v>4.1677847249999997E-2</v>
      </c>
      <c r="V93" s="1">
        <f t="shared" si="5"/>
        <v>0.14610899999999999</v>
      </c>
      <c r="W93" s="1">
        <v>0.53128523169892095</v>
      </c>
      <c r="X93" s="1">
        <f t="shared" si="6"/>
        <v>7.7625553918297632E-2</v>
      </c>
      <c r="Y93" s="1">
        <f t="shared" si="7"/>
        <v>0.15158344608170238</v>
      </c>
      <c r="Z93" s="1">
        <f>'Paste cellinfo here'!$B$11</f>
        <v>0.51802400000000004</v>
      </c>
    </row>
    <row r="94" spans="1:26">
      <c r="A94" s="1">
        <v>93</v>
      </c>
      <c r="B94" s="2">
        <f>DATE(Sintesi!$C$4-1,12,31)+A94</f>
        <v>44289</v>
      </c>
      <c r="C94" s="1">
        <f>'Paste cell here'!B94</f>
        <v>0</v>
      </c>
      <c r="D94" s="1">
        <f>'Paste cell here'!I94</f>
        <v>0</v>
      </c>
      <c r="E94" s="1">
        <f>'Paste cell here'!J94</f>
        <v>0</v>
      </c>
      <c r="F94" s="1">
        <f>'Paste cell here'!K94</f>
        <v>0</v>
      </c>
      <c r="G94" s="1">
        <f>'Paste cell here'!L94</f>
        <v>0</v>
      </c>
      <c r="H94" s="1">
        <f>'Paste cell here'!M94</f>
        <v>0</v>
      </c>
      <c r="I94" s="1">
        <f>'Paste cell here'!N94</f>
        <v>0</v>
      </c>
      <c r="J94" s="1">
        <f>'Paste cell here'!O94</f>
        <v>0</v>
      </c>
      <c r="K94" s="1">
        <f>'Paste cell here'!Q94</f>
        <v>3.6900000000000001E-3</v>
      </c>
      <c r="L94" s="1">
        <f>'Paste cell here'!S94</f>
        <v>0</v>
      </c>
      <c r="M94" s="1">
        <f>'Paste cell here'!T94</f>
        <v>0</v>
      </c>
      <c r="N94" s="1">
        <f>'Paste cell here'!W94</f>
        <v>0</v>
      </c>
      <c r="O94" s="1">
        <f>'Paste cell here'!U94</f>
        <v>4.1640917140000004</v>
      </c>
      <c r="P94" s="1">
        <f t="shared" si="8"/>
        <v>4.1677847249999997</v>
      </c>
      <c r="Q94" s="1">
        <f>'Paste cell here'!V94</f>
        <v>0</v>
      </c>
      <c r="R94" s="1">
        <f t="shared" si="9"/>
        <v>3.0109999995531211E-6</v>
      </c>
      <c r="S94" s="7">
        <f>Sintesi!$C$30</f>
        <v>8.3099999999999993E-2</v>
      </c>
      <c r="T94" s="7">
        <f>Sintesi!$C$29</f>
        <v>0.229209</v>
      </c>
      <c r="U94" s="5">
        <f>O94/(Sintesi!$C$5*1000)</f>
        <v>4.1640917140000004E-2</v>
      </c>
      <c r="V94" s="1">
        <f t="shared" si="5"/>
        <v>0.14610899999999999</v>
      </c>
      <c r="W94" s="1">
        <v>0.54756804439161</v>
      </c>
      <c r="X94" s="1">
        <f t="shared" si="6"/>
        <v>8.0004619398013746E-2</v>
      </c>
      <c r="Y94" s="1">
        <f t="shared" si="7"/>
        <v>0.14920438060198626</v>
      </c>
      <c r="Z94" s="1">
        <f>'Paste cellinfo here'!$B$11</f>
        <v>0.51802400000000004</v>
      </c>
    </row>
    <row r="95" spans="1:26">
      <c r="A95" s="1">
        <v>94</v>
      </c>
      <c r="B95" s="2">
        <f>DATE(Sintesi!$C$4-1,12,31)+A95</f>
        <v>44290</v>
      </c>
      <c r="C95" s="1">
        <f>'Paste cell here'!B95</f>
        <v>0</v>
      </c>
      <c r="D95" s="1">
        <f>'Paste cell here'!I95</f>
        <v>0</v>
      </c>
      <c r="E95" s="1">
        <f>'Paste cell here'!J95</f>
        <v>0</v>
      </c>
      <c r="F95" s="1">
        <f>'Paste cell here'!K95</f>
        <v>0</v>
      </c>
      <c r="G95" s="1">
        <f>'Paste cell here'!L95</f>
        <v>0</v>
      </c>
      <c r="H95" s="1">
        <f>'Paste cell here'!M95</f>
        <v>0</v>
      </c>
      <c r="I95" s="1">
        <f>'Paste cell here'!N95</f>
        <v>0</v>
      </c>
      <c r="J95" s="1">
        <f>'Paste cell here'!O95</f>
        <v>0</v>
      </c>
      <c r="K95" s="1">
        <f>'Paste cell here'!Q95</f>
        <v>2.1800000000000001E-3</v>
      </c>
      <c r="L95" s="1">
        <f>'Paste cell here'!S95</f>
        <v>0</v>
      </c>
      <c r="M95" s="1">
        <f>'Paste cell here'!T95</f>
        <v>0</v>
      </c>
      <c r="N95" s="1">
        <f>'Paste cell here'!W95</f>
        <v>0</v>
      </c>
      <c r="O95" s="1">
        <f>'Paste cell here'!U95</f>
        <v>4.161916433</v>
      </c>
      <c r="P95" s="1">
        <f t="shared" si="8"/>
        <v>4.1640917140000004</v>
      </c>
      <c r="Q95" s="1">
        <f>'Paste cell here'!V95</f>
        <v>0</v>
      </c>
      <c r="R95" s="1">
        <f t="shared" si="9"/>
        <v>4.7189999996533061E-6</v>
      </c>
      <c r="S95" s="7">
        <f>Sintesi!$C$30</f>
        <v>8.3099999999999993E-2</v>
      </c>
      <c r="T95" s="7">
        <f>Sintesi!$C$29</f>
        <v>0.229209</v>
      </c>
      <c r="U95" s="5">
        <f>O95/(Sintesi!$C$5*1000)</f>
        <v>4.161916433E-2</v>
      </c>
      <c r="V95" s="1">
        <f t="shared" si="5"/>
        <v>0.14610899999999999</v>
      </c>
      <c r="W95" s="1">
        <v>0.61783271981170496</v>
      </c>
      <c r="X95" s="1">
        <f t="shared" si="6"/>
        <v>9.0270920858968387E-2</v>
      </c>
      <c r="Y95" s="1">
        <f t="shared" si="7"/>
        <v>0.13893807914103162</v>
      </c>
      <c r="Z95" s="1">
        <f>'Paste cellinfo here'!$B$11</f>
        <v>0.51802400000000004</v>
      </c>
    </row>
    <row r="96" spans="1:26">
      <c r="A96" s="1">
        <v>95</v>
      </c>
      <c r="B96" s="2">
        <f>DATE(Sintesi!$C$4-1,12,31)+A96</f>
        <v>44291</v>
      </c>
      <c r="C96" s="1">
        <f>'Paste cell here'!B96</f>
        <v>0</v>
      </c>
      <c r="D96" s="1">
        <f>'Paste cell here'!I96</f>
        <v>0</v>
      </c>
      <c r="E96" s="1">
        <f>'Paste cell here'!J96</f>
        <v>0</v>
      </c>
      <c r="F96" s="1">
        <f>'Paste cell here'!K96</f>
        <v>0</v>
      </c>
      <c r="G96" s="1">
        <f>'Paste cell here'!L96</f>
        <v>0</v>
      </c>
      <c r="H96" s="1">
        <f>'Paste cell here'!M96</f>
        <v>0</v>
      </c>
      <c r="I96" s="1">
        <f>'Paste cell here'!N96</f>
        <v>0</v>
      </c>
      <c r="J96" s="1">
        <f>'Paste cell here'!O96</f>
        <v>0</v>
      </c>
      <c r="K96" s="1">
        <f>'Paste cell here'!Q96</f>
        <v>1.5900000000000001E-3</v>
      </c>
      <c r="L96" s="1">
        <f>'Paste cell here'!S96</f>
        <v>0</v>
      </c>
      <c r="M96" s="1">
        <f>'Paste cell here'!T96</f>
        <v>0</v>
      </c>
      <c r="N96" s="1">
        <f>'Paste cell here'!W96</f>
        <v>0</v>
      </c>
      <c r="O96" s="1">
        <f>'Paste cell here'!U96</f>
        <v>4.1603241090000003</v>
      </c>
      <c r="P96" s="1">
        <f t="shared" si="8"/>
        <v>4.161916433</v>
      </c>
      <c r="Q96" s="1">
        <f>'Paste cell here'!V96</f>
        <v>0</v>
      </c>
      <c r="R96" s="1">
        <f t="shared" si="9"/>
        <v>2.3239999995539051E-6</v>
      </c>
      <c r="S96" s="7">
        <f>Sintesi!$C$30</f>
        <v>8.3099999999999993E-2</v>
      </c>
      <c r="T96" s="7">
        <f>Sintesi!$C$29</f>
        <v>0.229209</v>
      </c>
      <c r="U96" s="5">
        <f>O96/(Sintesi!$C$5*1000)</f>
        <v>4.160324109E-2</v>
      </c>
      <c r="V96" s="1">
        <f t="shared" si="5"/>
        <v>0.14610899999999999</v>
      </c>
      <c r="W96" s="1">
        <v>0.64974552662700003</v>
      </c>
      <c r="X96" s="1">
        <f t="shared" si="6"/>
        <v>9.4933669149944333E-2</v>
      </c>
      <c r="Y96" s="1">
        <f t="shared" si="7"/>
        <v>0.13427533085005566</v>
      </c>
      <c r="Z96" s="1">
        <f>'Paste cellinfo here'!$B$11</f>
        <v>0.51802400000000004</v>
      </c>
    </row>
    <row r="97" spans="1:26">
      <c r="A97" s="1">
        <v>96</v>
      </c>
      <c r="B97" s="2">
        <f>DATE(Sintesi!$C$4-1,12,31)+A97</f>
        <v>44292</v>
      </c>
      <c r="C97" s="1">
        <f>'Paste cell here'!B97</f>
        <v>0</v>
      </c>
      <c r="D97" s="1">
        <f>'Paste cell here'!I97</f>
        <v>0</v>
      </c>
      <c r="E97" s="1">
        <f>'Paste cell here'!J97</f>
        <v>0</v>
      </c>
      <c r="F97" s="1">
        <f>'Paste cell here'!K97</f>
        <v>0</v>
      </c>
      <c r="G97" s="1">
        <f>'Paste cell here'!L97</f>
        <v>0</v>
      </c>
      <c r="H97" s="1">
        <f>'Paste cell here'!M97</f>
        <v>0</v>
      </c>
      <c r="I97" s="1">
        <f>'Paste cell here'!N97</f>
        <v>0</v>
      </c>
      <c r="J97" s="1">
        <f>'Paste cell here'!O97</f>
        <v>0</v>
      </c>
      <c r="K97" s="1">
        <f>'Paste cell here'!Q97</f>
        <v>1.2099999999999999E-3</v>
      </c>
      <c r="L97" s="1">
        <f>'Paste cell here'!S97</f>
        <v>0</v>
      </c>
      <c r="M97" s="1">
        <f>'Paste cell here'!T97</f>
        <v>0</v>
      </c>
      <c r="N97" s="1">
        <f>'Paste cell here'!W97</f>
        <v>0</v>
      </c>
      <c r="O97" s="1">
        <f>'Paste cell here'!U97</f>
        <v>4.1591121869999998</v>
      </c>
      <c r="P97" s="1">
        <f t="shared" si="8"/>
        <v>4.1603241090000003</v>
      </c>
      <c r="Q97" s="1">
        <f>'Paste cell here'!V97</f>
        <v>0</v>
      </c>
      <c r="R97" s="1">
        <f t="shared" si="9"/>
        <v>1.9220000000430559E-6</v>
      </c>
      <c r="S97" s="7">
        <f>Sintesi!$C$30</f>
        <v>8.3099999999999993E-2</v>
      </c>
      <c r="T97" s="7">
        <f>Sintesi!$C$29</f>
        <v>0.229209</v>
      </c>
      <c r="U97" s="5">
        <f>O97/(Sintesi!$C$5*1000)</f>
        <v>4.1591121869999997E-2</v>
      </c>
      <c r="V97" s="1">
        <f t="shared" si="5"/>
        <v>0.14610899999999999</v>
      </c>
      <c r="W97" s="1">
        <v>0.61715403290563697</v>
      </c>
      <c r="X97" s="1">
        <f t="shared" si="6"/>
        <v>9.01717585938097E-2</v>
      </c>
      <c r="Y97" s="1">
        <f t="shared" si="7"/>
        <v>0.13903724140619028</v>
      </c>
      <c r="Z97" s="1">
        <f>'Paste cellinfo here'!$B$11</f>
        <v>0.51802400000000004</v>
      </c>
    </row>
    <row r="98" spans="1:26">
      <c r="A98" s="1">
        <v>97</v>
      </c>
      <c r="B98" s="2">
        <f>DATE(Sintesi!$C$4-1,12,31)+A98</f>
        <v>44293</v>
      </c>
      <c r="C98" s="1">
        <f>'Paste cell here'!B98</f>
        <v>0</v>
      </c>
      <c r="D98" s="1">
        <f>'Paste cell here'!I98</f>
        <v>0</v>
      </c>
      <c r="E98" s="1">
        <f>'Paste cell here'!J98</f>
        <v>0</v>
      </c>
      <c r="F98" s="1">
        <f>'Paste cell here'!K98</f>
        <v>0</v>
      </c>
      <c r="G98" s="1">
        <f>'Paste cell here'!L98</f>
        <v>0</v>
      </c>
      <c r="H98" s="1">
        <f>'Paste cell here'!M98</f>
        <v>0</v>
      </c>
      <c r="I98" s="1">
        <f>'Paste cell here'!N98</f>
        <v>0</v>
      </c>
      <c r="J98" s="1">
        <f>'Paste cell here'!O98</f>
        <v>0</v>
      </c>
      <c r="K98" s="1">
        <f>'Paste cell here'!Q98</f>
        <v>9.6199999999999996E-4</v>
      </c>
      <c r="L98" s="1">
        <f>'Paste cell here'!S98</f>
        <v>0</v>
      </c>
      <c r="M98" s="1">
        <f>'Paste cell here'!T98</f>
        <v>0</v>
      </c>
      <c r="N98" s="1">
        <f>'Paste cell here'!W98</f>
        <v>0</v>
      </c>
      <c r="O98" s="1">
        <f>'Paste cell here'!U98</f>
        <v>4.1581502280000002</v>
      </c>
      <c r="P98" s="1">
        <f t="shared" si="8"/>
        <v>4.1591121869999998</v>
      </c>
      <c r="Q98" s="1">
        <f>'Paste cell here'!V98</f>
        <v>0</v>
      </c>
      <c r="R98" s="1">
        <f t="shared" si="9"/>
        <v>4.1000000727819952E-8</v>
      </c>
      <c r="S98" s="7">
        <f>Sintesi!$C$30</f>
        <v>8.3099999999999993E-2</v>
      </c>
      <c r="T98" s="7">
        <f>Sintesi!$C$29</f>
        <v>0.229209</v>
      </c>
      <c r="U98" s="5">
        <f>O98/(Sintesi!$C$5*1000)</f>
        <v>4.1581502280000002E-2</v>
      </c>
      <c r="V98" s="1">
        <f t="shared" si="5"/>
        <v>0.14610899999999999</v>
      </c>
      <c r="W98" s="1">
        <v>0.61636722117423604</v>
      </c>
      <c r="X98" s="1">
        <f t="shared" si="6"/>
        <v>9.0056798318546447E-2</v>
      </c>
      <c r="Y98" s="1">
        <f t="shared" si="7"/>
        <v>0.13915220168145354</v>
      </c>
      <c r="Z98" s="1">
        <f>'Paste cellinfo here'!$B$11</f>
        <v>0.51802400000000004</v>
      </c>
    </row>
    <row r="99" spans="1:26">
      <c r="A99" s="1">
        <v>98</v>
      </c>
      <c r="B99" s="2">
        <f>DATE(Sintesi!$C$4-1,12,31)+A99</f>
        <v>44294</v>
      </c>
      <c r="C99" s="1">
        <f>'Paste cell here'!B99</f>
        <v>0</v>
      </c>
      <c r="D99" s="1">
        <f>'Paste cell here'!I99</f>
        <v>0</v>
      </c>
      <c r="E99" s="1">
        <f>'Paste cell here'!J99</f>
        <v>0</v>
      </c>
      <c r="F99" s="1">
        <f>'Paste cell here'!K99</f>
        <v>0</v>
      </c>
      <c r="G99" s="1">
        <f>'Paste cell here'!L99</f>
        <v>0</v>
      </c>
      <c r="H99" s="1">
        <f>'Paste cell here'!M99</f>
        <v>0</v>
      </c>
      <c r="I99" s="1">
        <f>'Paste cell here'!N99</f>
        <v>0</v>
      </c>
      <c r="J99" s="1">
        <f>'Paste cell here'!O99</f>
        <v>0</v>
      </c>
      <c r="K99" s="1">
        <f>'Paste cell here'!Q99</f>
        <v>6.29E-4</v>
      </c>
      <c r="L99" s="1">
        <f>'Paste cell here'!S99</f>
        <v>0</v>
      </c>
      <c r="M99" s="1">
        <f>'Paste cell here'!T99</f>
        <v>0</v>
      </c>
      <c r="N99" s="1">
        <f>'Paste cell here'!W99</f>
        <v>0</v>
      </c>
      <c r="O99" s="1">
        <f>'Paste cell here'!U99</f>
        <v>4.1575209830000004</v>
      </c>
      <c r="P99" s="1">
        <f t="shared" si="8"/>
        <v>4.1581502280000002</v>
      </c>
      <c r="Q99" s="1">
        <f>'Paste cell here'!V99</f>
        <v>0</v>
      </c>
      <c r="R99" s="1">
        <f t="shared" si="9"/>
        <v>2.4499999984328724E-7</v>
      </c>
      <c r="S99" s="7">
        <f>Sintesi!$C$30</f>
        <v>8.3099999999999993E-2</v>
      </c>
      <c r="T99" s="7">
        <f>Sintesi!$C$29</f>
        <v>0.229209</v>
      </c>
      <c r="U99" s="5">
        <f>O99/(Sintesi!$C$5*1000)</f>
        <v>4.1575209830000001E-2</v>
      </c>
      <c r="V99" s="1">
        <f t="shared" si="5"/>
        <v>0.14610899999999999</v>
      </c>
      <c r="W99" s="1">
        <v>0.60151280691434705</v>
      </c>
      <c r="X99" s="1">
        <f t="shared" si="6"/>
        <v>8.7886434705448324E-2</v>
      </c>
      <c r="Y99" s="1">
        <f t="shared" si="7"/>
        <v>0.14132256529455167</v>
      </c>
      <c r="Z99" s="1">
        <f>'Paste cellinfo here'!$B$11</f>
        <v>0.51802400000000004</v>
      </c>
    </row>
    <row r="100" spans="1:26">
      <c r="A100" s="1">
        <v>99</v>
      </c>
      <c r="B100" s="2">
        <f>DATE(Sintesi!$C$4-1,12,31)+A100</f>
        <v>44295</v>
      </c>
      <c r="C100" s="1">
        <f>'Paste cell here'!B100</f>
        <v>0</v>
      </c>
      <c r="D100" s="1">
        <f>'Paste cell here'!I100</f>
        <v>0</v>
      </c>
      <c r="E100" s="1">
        <f>'Paste cell here'!J100</f>
        <v>0</v>
      </c>
      <c r="F100" s="1">
        <f>'Paste cell here'!K100</f>
        <v>0</v>
      </c>
      <c r="G100" s="1">
        <f>'Paste cell here'!L100</f>
        <v>0</v>
      </c>
      <c r="H100" s="1">
        <f>'Paste cell here'!M100</f>
        <v>0</v>
      </c>
      <c r="I100" s="1">
        <f>'Paste cell here'!N100</f>
        <v>0</v>
      </c>
      <c r="J100" s="1">
        <f>'Paste cell here'!O100</f>
        <v>0</v>
      </c>
      <c r="K100" s="1">
        <f>'Paste cell here'!Q100</f>
        <v>3.0600000000000001E-4</v>
      </c>
      <c r="L100" s="1">
        <f>'Paste cell here'!S100</f>
        <v>0</v>
      </c>
      <c r="M100" s="1">
        <f>'Paste cell here'!T100</f>
        <v>0</v>
      </c>
      <c r="N100" s="1">
        <f>'Paste cell here'!W100</f>
        <v>0</v>
      </c>
      <c r="O100" s="1">
        <f>'Paste cell here'!U100</f>
        <v>4.1572154680000004</v>
      </c>
      <c r="P100" s="1">
        <f t="shared" si="8"/>
        <v>4.1575209830000004</v>
      </c>
      <c r="Q100" s="1">
        <f>'Paste cell here'!V100</f>
        <v>0</v>
      </c>
      <c r="R100" s="1">
        <f t="shared" si="9"/>
        <v>4.8500000016105105E-7</v>
      </c>
      <c r="S100" s="7">
        <f>Sintesi!$C$30</f>
        <v>8.3099999999999993E-2</v>
      </c>
      <c r="T100" s="7">
        <f>Sintesi!$C$29</f>
        <v>0.229209</v>
      </c>
      <c r="U100" s="5">
        <f>O100/(Sintesi!$C$5*1000)</f>
        <v>4.1572154680000001E-2</v>
      </c>
      <c r="V100" s="1">
        <f t="shared" si="5"/>
        <v>0.14610899999999999</v>
      </c>
      <c r="W100" s="1">
        <v>0.58521003631149804</v>
      </c>
      <c r="X100" s="1">
        <f t="shared" si="6"/>
        <v>8.5504453195436661E-2</v>
      </c>
      <c r="Y100" s="1">
        <f t="shared" si="7"/>
        <v>0.14370454680456335</v>
      </c>
      <c r="Z100" s="1">
        <f>'Paste cellinfo here'!$B$11</f>
        <v>0.51802400000000004</v>
      </c>
    </row>
    <row r="101" spans="1:26">
      <c r="A101" s="1">
        <v>100</v>
      </c>
      <c r="B101" s="2">
        <f>DATE(Sintesi!$C$4-1,12,31)+A101</f>
        <v>44296</v>
      </c>
      <c r="C101" s="1">
        <f>'Paste cell here'!B101</f>
        <v>1.9796382800000001</v>
      </c>
      <c r="D101" s="1">
        <f>'Paste cell here'!I101</f>
        <v>0</v>
      </c>
      <c r="E101" s="1">
        <f>'Paste cell here'!J101</f>
        <v>1.933756558</v>
      </c>
      <c r="F101" s="1">
        <f>'Paste cell here'!K101</f>
        <v>1.9796382800000001</v>
      </c>
      <c r="G101" s="1">
        <f>'Paste cell here'!L101</f>
        <v>1.933756558</v>
      </c>
      <c r="H101" s="1">
        <f>'Paste cell here'!M101</f>
        <v>4.5900000000000003E-2</v>
      </c>
      <c r="I101" s="1">
        <f>'Paste cell here'!N101</f>
        <v>0</v>
      </c>
      <c r="J101" s="1">
        <f>'Paste cell here'!O101</f>
        <v>1.9337566159999999</v>
      </c>
      <c r="K101" s="1">
        <f>'Paste cell here'!Q101</f>
        <v>0.161182837</v>
      </c>
      <c r="L101" s="1">
        <f>'Paste cell here'!S101</f>
        <v>0</v>
      </c>
      <c r="M101" s="1">
        <f>'Paste cell here'!T101</f>
        <v>1.06E-13</v>
      </c>
      <c r="N101" s="1">
        <f>'Paste cell here'!W101</f>
        <v>0</v>
      </c>
      <c r="O101" s="1">
        <f>'Paste cell here'!U101</f>
        <v>5.9297892470000004</v>
      </c>
      <c r="P101" s="1">
        <f t="shared" si="8"/>
        <v>4.1572154680000004</v>
      </c>
      <c r="Q101" s="1">
        <f>'Paste cell here'!V101</f>
        <v>0</v>
      </c>
      <c r="R101" s="1">
        <f t="shared" si="9"/>
        <v>1.8336000105811934E-5</v>
      </c>
      <c r="S101" s="7">
        <f>Sintesi!$C$30</f>
        <v>8.3099999999999993E-2</v>
      </c>
      <c r="T101" s="7">
        <f>Sintesi!$C$29</f>
        <v>0.229209</v>
      </c>
      <c r="U101" s="5">
        <f>O101/(Sintesi!$C$5*1000)</f>
        <v>5.9297892470000002E-2</v>
      </c>
      <c r="V101" s="1">
        <f t="shared" si="5"/>
        <v>0.14610899999999999</v>
      </c>
      <c r="W101" s="1">
        <v>0.58414776291818205</v>
      </c>
      <c r="X101" s="1">
        <f t="shared" si="6"/>
        <v>8.534924549221265E-2</v>
      </c>
      <c r="Y101" s="1">
        <f t="shared" si="7"/>
        <v>0.14385975450778735</v>
      </c>
      <c r="Z101" s="1">
        <f>'Paste cellinfo here'!$B$11</f>
        <v>0.51802400000000004</v>
      </c>
    </row>
    <row r="102" spans="1:26">
      <c r="A102" s="1">
        <v>101</v>
      </c>
      <c r="B102" s="2">
        <f>DATE(Sintesi!$C$4-1,12,31)+A102</f>
        <v>44297</v>
      </c>
      <c r="C102" s="1">
        <f>'Paste cell here'!B102</f>
        <v>7.3786207069999996</v>
      </c>
      <c r="D102" s="1">
        <f>'Paste cell here'!I102</f>
        <v>0</v>
      </c>
      <c r="E102" s="1">
        <f>'Paste cell here'!J102</f>
        <v>7.3000000590000003</v>
      </c>
      <c r="F102" s="1">
        <f>'Paste cell here'!K102</f>
        <v>7.3786207069999996</v>
      </c>
      <c r="G102" s="1">
        <f>'Paste cell here'!L102</f>
        <v>7.3000000590000003</v>
      </c>
      <c r="H102" s="1">
        <f>'Paste cell here'!M102</f>
        <v>7.8600000000000003E-2</v>
      </c>
      <c r="I102" s="1">
        <f>'Paste cell here'!N102</f>
        <v>0</v>
      </c>
      <c r="J102" s="1">
        <f>'Paste cell here'!O102</f>
        <v>7.3000002769999996</v>
      </c>
      <c r="K102" s="1">
        <f>'Paste cell here'!Q102</f>
        <v>0.49207340300000002</v>
      </c>
      <c r="L102" s="1">
        <f>'Paste cell here'!S102</f>
        <v>0</v>
      </c>
      <c r="M102" s="1">
        <f>'Paste cell here'!T102</f>
        <v>1.11E-5</v>
      </c>
      <c r="N102" s="1">
        <f>'Paste cell here'!W102</f>
        <v>0</v>
      </c>
      <c r="O102" s="1">
        <f>'Paste cell here'!U102</f>
        <v>12.73770506</v>
      </c>
      <c r="P102" s="1">
        <f t="shared" si="8"/>
        <v>5.9297892470000004</v>
      </c>
      <c r="Q102" s="1">
        <f>'Paste cell here'!V102</f>
        <v>0</v>
      </c>
      <c r="R102" s="1">
        <f t="shared" si="9"/>
        <v>2.0391000001396264E-5</v>
      </c>
      <c r="S102" s="7">
        <f>Sintesi!$C$30</f>
        <v>8.3099999999999993E-2</v>
      </c>
      <c r="T102" s="7">
        <f>Sintesi!$C$29</f>
        <v>0.229209</v>
      </c>
      <c r="U102" s="5">
        <f>O102/(Sintesi!$C$5*1000)</f>
        <v>0.12737705059999999</v>
      </c>
      <c r="V102" s="1">
        <f t="shared" si="5"/>
        <v>0.14610899999999999</v>
      </c>
      <c r="W102" s="1">
        <v>0.58807678383884399</v>
      </c>
      <c r="X102" s="1">
        <f t="shared" si="6"/>
        <v>8.5923310809909656E-2</v>
      </c>
      <c r="Y102" s="1">
        <f t="shared" si="7"/>
        <v>0.14328568919009033</v>
      </c>
      <c r="Z102" s="1">
        <f>'Paste cellinfo here'!$B$11</f>
        <v>0.51802400000000004</v>
      </c>
    </row>
    <row r="103" spans="1:26">
      <c r="A103" s="1">
        <v>102</v>
      </c>
      <c r="B103" s="2">
        <f>DATE(Sintesi!$C$4-1,12,31)+A103</f>
        <v>44298</v>
      </c>
      <c r="C103" s="1">
        <f>'Paste cell here'!B103</f>
        <v>7.0435778119999997</v>
      </c>
      <c r="D103" s="1">
        <f>'Paste cell here'!I103</f>
        <v>0</v>
      </c>
      <c r="E103" s="1">
        <f>'Paste cell here'!J103</f>
        <v>6.9580377430000002</v>
      </c>
      <c r="F103" s="1">
        <f>'Paste cell here'!K103</f>
        <v>7.0435778119999997</v>
      </c>
      <c r="G103" s="1">
        <f>'Paste cell here'!L103</f>
        <v>6.9580377430000002</v>
      </c>
      <c r="H103" s="1">
        <f>'Paste cell here'!M103</f>
        <v>8.5500000000000007E-2</v>
      </c>
      <c r="I103" s="1">
        <f>'Paste cell here'!N103</f>
        <v>0</v>
      </c>
      <c r="J103" s="1">
        <f>'Paste cell here'!O103</f>
        <v>6.9580379499999996</v>
      </c>
      <c r="K103" s="1">
        <f>'Paste cell here'!Q103</f>
        <v>1.0163839429999999</v>
      </c>
      <c r="L103" s="1">
        <f>'Paste cell here'!S103</f>
        <v>0</v>
      </c>
      <c r="M103" s="1">
        <f>'Paste cell here'!T103</f>
        <v>3.64E-3</v>
      </c>
      <c r="N103" s="1">
        <f>'Paste cell here'!W103</f>
        <v>0</v>
      </c>
      <c r="O103" s="1">
        <f>'Paste cell here'!U103</f>
        <v>18.675718499999999</v>
      </c>
      <c r="P103" s="1">
        <f t="shared" si="8"/>
        <v>12.73770506</v>
      </c>
      <c r="Q103" s="1">
        <f>'Paste cell here'!V103</f>
        <v>0</v>
      </c>
      <c r="R103" s="1">
        <f t="shared" si="9"/>
        <v>4.0428999998454174E-5</v>
      </c>
      <c r="S103" s="7">
        <f>Sintesi!$C$30</f>
        <v>8.3099999999999993E-2</v>
      </c>
      <c r="T103" s="7">
        <f>Sintesi!$C$29</f>
        <v>0.229209</v>
      </c>
      <c r="U103" s="5">
        <f>O103/(Sintesi!$C$5*1000)</f>
        <v>0.18675718499999999</v>
      </c>
      <c r="V103" s="1">
        <f t="shared" si="5"/>
        <v>0.14610899999999999</v>
      </c>
      <c r="W103" s="1">
        <v>0.65178967019572198</v>
      </c>
      <c r="X103" s="1">
        <f t="shared" si="6"/>
        <v>9.523233692262674E-2</v>
      </c>
      <c r="Y103" s="1">
        <f t="shared" si="7"/>
        <v>0.13397666307737327</v>
      </c>
      <c r="Z103" s="1">
        <f>'Paste cellinfo here'!$B$11</f>
        <v>0.51802400000000004</v>
      </c>
    </row>
    <row r="104" spans="1:26">
      <c r="A104" s="1">
        <v>103</v>
      </c>
      <c r="B104" s="2">
        <f>DATE(Sintesi!$C$4-1,12,31)+A104</f>
        <v>44299</v>
      </c>
      <c r="C104" s="1">
        <f>'Paste cell here'!B104</f>
        <v>1.8789038650000001</v>
      </c>
      <c r="D104" s="1">
        <f>'Paste cell here'!I104</f>
        <v>0</v>
      </c>
      <c r="E104" s="1">
        <f>'Paste cell here'!J104</f>
        <v>1.8191491769999999</v>
      </c>
      <c r="F104" s="1">
        <f>'Paste cell here'!K104</f>
        <v>1.8789038650000001</v>
      </c>
      <c r="G104" s="1">
        <f>'Paste cell here'!L104</f>
        <v>1.8191491769999999</v>
      </c>
      <c r="H104" s="1">
        <f>'Paste cell here'!M104</f>
        <v>5.9799999999999999E-2</v>
      </c>
      <c r="I104" s="1">
        <f>'Paste cell here'!N104</f>
        <v>0</v>
      </c>
      <c r="J104" s="1">
        <f>'Paste cell here'!O104</f>
        <v>1.8191492309999999</v>
      </c>
      <c r="K104" s="1">
        <f>'Paste cell here'!Q104</f>
        <v>2.767901626</v>
      </c>
      <c r="L104" s="1">
        <f>'Paste cell here'!S104</f>
        <v>0</v>
      </c>
      <c r="M104" s="1">
        <f>'Paste cell here'!T104</f>
        <v>1.43E-2</v>
      </c>
      <c r="N104" s="1">
        <f>'Paste cell here'!W104</f>
        <v>0</v>
      </c>
      <c r="O104" s="1">
        <f>'Paste cell here'!U104</f>
        <v>17.71263798</v>
      </c>
      <c r="P104" s="1">
        <f t="shared" si="8"/>
        <v>18.675718499999999</v>
      </c>
      <c r="Q104" s="1">
        <f>'Paste cell here'!V104</f>
        <v>0</v>
      </c>
      <c r="R104" s="1">
        <f t="shared" si="9"/>
        <v>1.7240999998335838E-5</v>
      </c>
      <c r="S104" s="7">
        <f>Sintesi!$C$30</f>
        <v>8.3099999999999993E-2</v>
      </c>
      <c r="T104" s="7">
        <f>Sintesi!$C$29</f>
        <v>0.229209</v>
      </c>
      <c r="U104" s="5">
        <f>O104/(Sintesi!$C$5*1000)</f>
        <v>0.17712637980000001</v>
      </c>
      <c r="V104" s="1">
        <f t="shared" si="5"/>
        <v>0.14610899999999999</v>
      </c>
      <c r="W104" s="1">
        <v>0.61306309201090303</v>
      </c>
      <c r="X104" s="1">
        <f t="shared" si="6"/>
        <v>8.9574035310621025E-2</v>
      </c>
      <c r="Y104" s="1">
        <f t="shared" si="7"/>
        <v>0.13963496468937897</v>
      </c>
      <c r="Z104" s="1">
        <f>'Paste cellinfo here'!$B$11</f>
        <v>0.51802400000000004</v>
      </c>
    </row>
    <row r="105" spans="1:26">
      <c r="A105" s="1">
        <v>104</v>
      </c>
      <c r="B105" s="2">
        <f>DATE(Sintesi!$C$4-1,12,31)+A105</f>
        <v>44300</v>
      </c>
      <c r="C105" s="1">
        <f>'Paste cell here'!B105</f>
        <v>0</v>
      </c>
      <c r="D105" s="1">
        <f>'Paste cell here'!I105</f>
        <v>0</v>
      </c>
      <c r="E105" s="1">
        <f>'Paste cell here'!J105</f>
        <v>0</v>
      </c>
      <c r="F105" s="1">
        <f>'Paste cell here'!K105</f>
        <v>0</v>
      </c>
      <c r="G105" s="1">
        <f>'Paste cell here'!L105</f>
        <v>0</v>
      </c>
      <c r="H105" s="1">
        <f>'Paste cell here'!M105</f>
        <v>0</v>
      </c>
      <c r="I105" s="1">
        <f>'Paste cell here'!N105</f>
        <v>0</v>
      </c>
      <c r="J105" s="1">
        <f>'Paste cell here'!O105</f>
        <v>0</v>
      </c>
      <c r="K105" s="1">
        <f>'Paste cell here'!Q105</f>
        <v>3.2995870009999999</v>
      </c>
      <c r="L105" s="1">
        <f>'Paste cell here'!S105</f>
        <v>0</v>
      </c>
      <c r="M105" s="1">
        <f>'Paste cell here'!T105</f>
        <v>4.4200000000000003E-3</v>
      </c>
      <c r="N105" s="1">
        <f>'Paste cell here'!W105</f>
        <v>0</v>
      </c>
      <c r="O105" s="1">
        <f>'Paste cell here'!U105</f>
        <v>14.408635889999999</v>
      </c>
      <c r="P105" s="1">
        <f t="shared" si="8"/>
        <v>17.71263798</v>
      </c>
      <c r="Q105" s="1">
        <f>'Paste cell here'!V105</f>
        <v>0</v>
      </c>
      <c r="R105" s="1">
        <f t="shared" si="9"/>
        <v>4.9109999977758889E-6</v>
      </c>
      <c r="S105" s="7">
        <f>Sintesi!$C$30</f>
        <v>8.3099999999999993E-2</v>
      </c>
      <c r="T105" s="7">
        <f>Sintesi!$C$29</f>
        <v>0.229209</v>
      </c>
      <c r="U105" s="5">
        <f>O105/(Sintesi!$C$5*1000)</f>
        <v>0.14408635889999999</v>
      </c>
      <c r="V105" s="1">
        <f t="shared" si="5"/>
        <v>0.14610899999999999</v>
      </c>
      <c r="W105" s="1">
        <v>0.60868254880482098</v>
      </c>
      <c r="X105" s="1">
        <f t="shared" si="6"/>
        <v>8.8933998523323579E-2</v>
      </c>
      <c r="Y105" s="1">
        <f t="shared" si="7"/>
        <v>0.14027500147667643</v>
      </c>
      <c r="Z105" s="1">
        <f>'Paste cellinfo here'!$B$11</f>
        <v>0.51802400000000004</v>
      </c>
    </row>
    <row r="106" spans="1:26">
      <c r="A106" s="1">
        <v>105</v>
      </c>
      <c r="B106" s="2">
        <f>DATE(Sintesi!$C$4-1,12,31)+A106</f>
        <v>44301</v>
      </c>
      <c r="C106" s="1">
        <f>'Paste cell here'!B106</f>
        <v>0</v>
      </c>
      <c r="D106" s="1">
        <f>'Paste cell here'!I106</f>
        <v>0</v>
      </c>
      <c r="E106" s="1">
        <f>'Paste cell here'!J106</f>
        <v>0</v>
      </c>
      <c r="F106" s="1">
        <f>'Paste cell here'!K106</f>
        <v>0</v>
      </c>
      <c r="G106" s="1">
        <f>'Paste cell here'!L106</f>
        <v>0</v>
      </c>
      <c r="H106" s="1">
        <f>'Paste cell here'!M106</f>
        <v>0</v>
      </c>
      <c r="I106" s="1">
        <f>'Paste cell here'!N106</f>
        <v>0</v>
      </c>
      <c r="J106" s="1">
        <f>'Paste cell here'!O106</f>
        <v>0</v>
      </c>
      <c r="K106" s="1">
        <f>'Paste cell here'!Q106</f>
        <v>2.1253929600000001</v>
      </c>
      <c r="L106" s="1">
        <f>'Paste cell here'!S106</f>
        <v>0</v>
      </c>
      <c r="M106" s="1">
        <f>'Paste cell here'!T106</f>
        <v>3.1100000000000002E-4</v>
      </c>
      <c r="N106" s="1">
        <f>'Paste cell here'!W106</f>
        <v>0</v>
      </c>
      <c r="O106" s="1">
        <f>'Paste cell here'!U106</f>
        <v>12.28293197</v>
      </c>
      <c r="P106" s="1">
        <f t="shared" si="8"/>
        <v>14.408635889999999</v>
      </c>
      <c r="Q106" s="1">
        <f>'Paste cell here'!V106</f>
        <v>0</v>
      </c>
      <c r="R106" s="1">
        <f t="shared" si="9"/>
        <v>3.9999999756901161E-8</v>
      </c>
      <c r="S106" s="7">
        <f>Sintesi!$C$30</f>
        <v>8.3099999999999993E-2</v>
      </c>
      <c r="T106" s="7">
        <f>Sintesi!$C$29</f>
        <v>0.229209</v>
      </c>
      <c r="U106" s="5">
        <f>O106/(Sintesi!$C$5*1000)</f>
        <v>0.12282931969999999</v>
      </c>
      <c r="V106" s="1">
        <f t="shared" si="5"/>
        <v>0.14610899999999999</v>
      </c>
      <c r="W106" s="1">
        <v>0.608788125110582</v>
      </c>
      <c r="X106" s="1">
        <f t="shared" si="6"/>
        <v>8.8949424171782018E-2</v>
      </c>
      <c r="Y106" s="1">
        <f t="shared" si="7"/>
        <v>0.14025957582821796</v>
      </c>
      <c r="Z106" s="1">
        <f>'Paste cellinfo here'!$B$11</f>
        <v>0.51802400000000004</v>
      </c>
    </row>
    <row r="107" spans="1:26">
      <c r="A107" s="1">
        <v>106</v>
      </c>
      <c r="B107" s="2">
        <f>DATE(Sintesi!$C$4-1,12,31)+A107</f>
        <v>44302</v>
      </c>
      <c r="C107" s="1">
        <f>'Paste cell here'!B107</f>
        <v>0.72731762499999997</v>
      </c>
      <c r="D107" s="1">
        <f>'Paste cell here'!I107</f>
        <v>0</v>
      </c>
      <c r="E107" s="1">
        <f>'Paste cell here'!J107</f>
        <v>0.68535894600000002</v>
      </c>
      <c r="F107" s="1">
        <f>'Paste cell here'!K107</f>
        <v>0.72731762499999997</v>
      </c>
      <c r="G107" s="1">
        <f>'Paste cell here'!L107</f>
        <v>0.68535894600000002</v>
      </c>
      <c r="H107" s="1">
        <f>'Paste cell here'!M107</f>
        <v>4.2000000000000003E-2</v>
      </c>
      <c r="I107" s="1">
        <f>'Paste cell here'!N107</f>
        <v>0</v>
      </c>
      <c r="J107" s="1">
        <f>'Paste cell here'!O107</f>
        <v>0.68535896600000001</v>
      </c>
      <c r="K107" s="1">
        <f>'Paste cell here'!Q107</f>
        <v>2.0257140850000002</v>
      </c>
      <c r="L107" s="1">
        <f>'Paste cell here'!S107</f>
        <v>0</v>
      </c>
      <c r="M107" s="1">
        <f>'Paste cell here'!T107</f>
        <v>3.79E-5</v>
      </c>
      <c r="N107" s="1">
        <f>'Paste cell here'!W107</f>
        <v>0</v>
      </c>
      <c r="O107" s="1">
        <f>'Paste cell here'!U107</f>
        <v>10.942538920000001</v>
      </c>
      <c r="P107" s="1">
        <f t="shared" si="8"/>
        <v>12.28293197</v>
      </c>
      <c r="Q107" s="1">
        <f>'Paste cell here'!V107</f>
        <v>0</v>
      </c>
      <c r="R107" s="1">
        <f t="shared" si="9"/>
        <v>4.1310000002070524E-5</v>
      </c>
      <c r="S107" s="7">
        <f>Sintesi!$C$30</f>
        <v>8.3099999999999993E-2</v>
      </c>
      <c r="T107" s="7">
        <f>Sintesi!$C$29</f>
        <v>0.229209</v>
      </c>
      <c r="U107" s="5">
        <f>O107/(Sintesi!$C$5*1000)</f>
        <v>0.1094253892</v>
      </c>
      <c r="V107" s="1">
        <f t="shared" si="5"/>
        <v>0.14610899999999999</v>
      </c>
      <c r="W107" s="1">
        <v>0.57172677498339697</v>
      </c>
      <c r="X107" s="1">
        <f t="shared" si="6"/>
        <v>8.3534427366049144E-2</v>
      </c>
      <c r="Y107" s="1">
        <f t="shared" si="7"/>
        <v>0.14567457263395084</v>
      </c>
      <c r="Z107" s="1">
        <f>'Paste cellinfo here'!$B$11</f>
        <v>0.51802400000000004</v>
      </c>
    </row>
    <row r="108" spans="1:26">
      <c r="A108" s="1">
        <v>107</v>
      </c>
      <c r="B108" s="2">
        <f>DATE(Sintesi!$C$4-1,12,31)+A108</f>
        <v>44303</v>
      </c>
      <c r="C108" s="1">
        <f>'Paste cell here'!B108</f>
        <v>0</v>
      </c>
      <c r="D108" s="1">
        <f>'Paste cell here'!I108</f>
        <v>0</v>
      </c>
      <c r="E108" s="1">
        <f>'Paste cell here'!J108</f>
        <v>0</v>
      </c>
      <c r="F108" s="1">
        <f>'Paste cell here'!K108</f>
        <v>0</v>
      </c>
      <c r="G108" s="1">
        <f>'Paste cell here'!L108</f>
        <v>0</v>
      </c>
      <c r="H108" s="1">
        <f>'Paste cell here'!M108</f>
        <v>0</v>
      </c>
      <c r="I108" s="1">
        <f>'Paste cell here'!N108</f>
        <v>0</v>
      </c>
      <c r="J108" s="1">
        <f>'Paste cell here'!O108</f>
        <v>0</v>
      </c>
      <c r="K108" s="1">
        <f>'Paste cell here'!Q108</f>
        <v>1.708456711</v>
      </c>
      <c r="L108" s="1">
        <f>'Paste cell here'!S108</f>
        <v>0</v>
      </c>
      <c r="M108" s="1">
        <f>'Paste cell here'!T108</f>
        <v>4.8600000000000001E-6</v>
      </c>
      <c r="N108" s="1">
        <f>'Paste cell here'!W108</f>
        <v>0</v>
      </c>
      <c r="O108" s="1">
        <f>'Paste cell here'!U108</f>
        <v>9.2340773479999996</v>
      </c>
      <c r="P108" s="1">
        <f t="shared" si="8"/>
        <v>10.942538920000001</v>
      </c>
      <c r="Q108" s="1">
        <f>'Paste cell here'!V108</f>
        <v>0</v>
      </c>
      <c r="R108" s="1">
        <f t="shared" si="9"/>
        <v>1.000000082740371E-9</v>
      </c>
      <c r="S108" s="7">
        <f>Sintesi!$C$30</f>
        <v>8.3099999999999993E-2</v>
      </c>
      <c r="T108" s="7">
        <f>Sintesi!$C$29</f>
        <v>0.229209</v>
      </c>
      <c r="U108" s="5">
        <f>O108/(Sintesi!$C$5*1000)</f>
        <v>9.2340773479999999E-2</v>
      </c>
      <c r="V108" s="1">
        <f t="shared" si="5"/>
        <v>0.14610899999999999</v>
      </c>
      <c r="W108" s="1">
        <v>0.57338877886459905</v>
      </c>
      <c r="X108" s="1">
        <f t="shared" si="6"/>
        <v>8.3777261091127694E-2</v>
      </c>
      <c r="Y108" s="1">
        <f t="shared" si="7"/>
        <v>0.14543173890887229</v>
      </c>
      <c r="Z108" s="1">
        <f>'Paste cellinfo here'!$B$11</f>
        <v>0.51802400000000004</v>
      </c>
    </row>
    <row r="109" spans="1:26">
      <c r="A109" s="1">
        <v>108</v>
      </c>
      <c r="B109" s="2">
        <f>DATE(Sintesi!$C$4-1,12,31)+A109</f>
        <v>44304</v>
      </c>
      <c r="C109" s="1">
        <f>'Paste cell here'!B109</f>
        <v>0</v>
      </c>
      <c r="D109" s="1">
        <f>'Paste cell here'!I109</f>
        <v>0</v>
      </c>
      <c r="E109" s="1">
        <f>'Paste cell here'!J109</f>
        <v>0</v>
      </c>
      <c r="F109" s="1">
        <f>'Paste cell here'!K109</f>
        <v>0</v>
      </c>
      <c r="G109" s="1">
        <f>'Paste cell here'!L109</f>
        <v>0</v>
      </c>
      <c r="H109" s="1">
        <f>'Paste cell here'!M109</f>
        <v>0</v>
      </c>
      <c r="I109" s="1">
        <f>'Paste cell here'!N109</f>
        <v>0</v>
      </c>
      <c r="J109" s="1">
        <f>'Paste cell here'!O109</f>
        <v>0</v>
      </c>
      <c r="K109" s="1">
        <f>'Paste cell here'!Q109</f>
        <v>1.2365520409999999</v>
      </c>
      <c r="L109" s="1">
        <f>'Paste cell here'!S109</f>
        <v>0</v>
      </c>
      <c r="M109" s="1">
        <f>'Paste cell here'!T109</f>
        <v>2.5199999999999998E-7</v>
      </c>
      <c r="N109" s="1">
        <f>'Paste cell here'!W109</f>
        <v>0</v>
      </c>
      <c r="O109" s="1">
        <f>'Paste cell here'!U109</f>
        <v>7.9975250549999997</v>
      </c>
      <c r="P109" s="1">
        <f t="shared" si="8"/>
        <v>9.2340773479999996</v>
      </c>
      <c r="Q109" s="1">
        <f>'Paste cell here'!V109</f>
        <v>0</v>
      </c>
      <c r="R109" s="1">
        <f t="shared" si="9"/>
        <v>0</v>
      </c>
      <c r="S109" s="7">
        <f>Sintesi!$C$30</f>
        <v>8.3099999999999993E-2</v>
      </c>
      <c r="T109" s="7">
        <f>Sintesi!$C$29</f>
        <v>0.229209</v>
      </c>
      <c r="U109" s="5">
        <f>O109/(Sintesi!$C$5*1000)</f>
        <v>7.9975250550000002E-2</v>
      </c>
      <c r="V109" s="1">
        <f t="shared" si="5"/>
        <v>0.14610899999999999</v>
      </c>
      <c r="W109" s="1">
        <v>0.55772217531415602</v>
      </c>
      <c r="X109" s="1">
        <f t="shared" si="6"/>
        <v>8.1488229312976015E-2</v>
      </c>
      <c r="Y109" s="1">
        <f t="shared" si="7"/>
        <v>0.14772077068702399</v>
      </c>
      <c r="Z109" s="1">
        <f>'Paste cellinfo here'!$B$11</f>
        <v>0.51802400000000004</v>
      </c>
    </row>
    <row r="110" spans="1:26">
      <c r="A110" s="1">
        <v>109</v>
      </c>
      <c r="B110" s="2">
        <f>DATE(Sintesi!$C$4-1,12,31)+A110</f>
        <v>44305</v>
      </c>
      <c r="C110" s="1">
        <f>'Paste cell here'!B110</f>
        <v>0</v>
      </c>
      <c r="D110" s="1">
        <f>'Paste cell here'!I110</f>
        <v>0</v>
      </c>
      <c r="E110" s="1">
        <f>'Paste cell here'!J110</f>
        <v>0</v>
      </c>
      <c r="F110" s="1">
        <f>'Paste cell here'!K110</f>
        <v>0</v>
      </c>
      <c r="G110" s="1">
        <f>'Paste cell here'!L110</f>
        <v>0</v>
      </c>
      <c r="H110" s="1">
        <f>'Paste cell here'!M110</f>
        <v>0</v>
      </c>
      <c r="I110" s="1">
        <f>'Paste cell here'!N110</f>
        <v>0</v>
      </c>
      <c r="J110" s="1">
        <f>'Paste cell here'!O110</f>
        <v>0</v>
      </c>
      <c r="K110" s="1">
        <f>'Paste cell here'!Q110</f>
        <v>1.0120417749999999</v>
      </c>
      <c r="L110" s="1">
        <f>'Paste cell here'!S110</f>
        <v>0</v>
      </c>
      <c r="M110" s="1">
        <f>'Paste cell here'!T110</f>
        <v>1.2299999999999999E-8</v>
      </c>
      <c r="N110" s="1">
        <f>'Paste cell here'!W110</f>
        <v>0</v>
      </c>
      <c r="O110" s="1">
        <f>'Paste cell here'!U110</f>
        <v>6.9854832680000003</v>
      </c>
      <c r="P110" s="1">
        <f t="shared" si="8"/>
        <v>7.9975250549999997</v>
      </c>
      <c r="Q110" s="1">
        <f>'Paste cell here'!V110</f>
        <v>0</v>
      </c>
      <c r="R110" s="1">
        <f t="shared" si="9"/>
        <v>3.00000913000531E-10</v>
      </c>
      <c r="S110" s="7">
        <f>Sintesi!$C$30</f>
        <v>8.3099999999999993E-2</v>
      </c>
      <c r="T110" s="7">
        <f>Sintesi!$C$29</f>
        <v>0.229209</v>
      </c>
      <c r="U110" s="5">
        <f>O110/(Sintesi!$C$5*1000)</f>
        <v>6.9854832680000006E-2</v>
      </c>
      <c r="V110" s="1">
        <f t="shared" si="5"/>
        <v>0.14610899999999999</v>
      </c>
      <c r="W110" s="1">
        <v>0.53031846019422102</v>
      </c>
      <c r="X110" s="1">
        <f t="shared" si="6"/>
        <v>7.7484299900517431E-2</v>
      </c>
      <c r="Y110" s="1">
        <f t="shared" si="7"/>
        <v>0.15172470009948258</v>
      </c>
      <c r="Z110" s="1">
        <f>'Paste cellinfo here'!$B$11</f>
        <v>0.51802400000000004</v>
      </c>
    </row>
    <row r="111" spans="1:26">
      <c r="A111" s="1">
        <v>110</v>
      </c>
      <c r="B111" s="2">
        <f>DATE(Sintesi!$C$4-1,12,31)+A111</f>
        <v>44306</v>
      </c>
      <c r="C111" s="1">
        <f>'Paste cell here'!B111</f>
        <v>0</v>
      </c>
      <c r="D111" s="1">
        <f>'Paste cell here'!I111</f>
        <v>0</v>
      </c>
      <c r="E111" s="1">
        <f>'Paste cell here'!J111</f>
        <v>0</v>
      </c>
      <c r="F111" s="1">
        <f>'Paste cell here'!K111</f>
        <v>0</v>
      </c>
      <c r="G111" s="1">
        <f>'Paste cell here'!L111</f>
        <v>0</v>
      </c>
      <c r="H111" s="1">
        <f>'Paste cell here'!M111</f>
        <v>0</v>
      </c>
      <c r="I111" s="1">
        <f>'Paste cell here'!N111</f>
        <v>0</v>
      </c>
      <c r="J111" s="1">
        <f>'Paste cell here'!O111</f>
        <v>0</v>
      </c>
      <c r="K111" s="1">
        <f>'Paste cell here'!Q111</f>
        <v>0.86286882600000003</v>
      </c>
      <c r="L111" s="1">
        <f>'Paste cell here'!S111</f>
        <v>0</v>
      </c>
      <c r="M111" s="1">
        <f>'Paste cell here'!T111</f>
        <v>3.59E-10</v>
      </c>
      <c r="N111" s="1">
        <f>'Paste cell here'!W111</f>
        <v>0</v>
      </c>
      <c r="O111" s="1">
        <f>'Paste cell here'!U111</f>
        <v>6.1226144409999996</v>
      </c>
      <c r="P111" s="1">
        <f t="shared" si="8"/>
        <v>6.9854832680000003</v>
      </c>
      <c r="Q111" s="1">
        <f>'Paste cell here'!V111</f>
        <v>0</v>
      </c>
      <c r="R111" s="1">
        <f t="shared" si="9"/>
        <v>6.4100103003283948E-10</v>
      </c>
      <c r="S111" s="7">
        <f>Sintesi!$C$30</f>
        <v>8.3099999999999993E-2</v>
      </c>
      <c r="T111" s="7">
        <f>Sintesi!$C$29</f>
        <v>0.229209</v>
      </c>
      <c r="U111" s="5">
        <f>O111/(Sintesi!$C$5*1000)</f>
        <v>6.1226144409999995E-2</v>
      </c>
      <c r="V111" s="1">
        <f t="shared" si="5"/>
        <v>0.14610899999999999</v>
      </c>
      <c r="W111" s="1">
        <v>0.53224145084044605</v>
      </c>
      <c r="X111" s="1">
        <f t="shared" si="6"/>
        <v>7.7765266140846723E-2</v>
      </c>
      <c r="Y111" s="1">
        <f t="shared" si="7"/>
        <v>0.15144373385915327</v>
      </c>
      <c r="Z111" s="1">
        <f>'Paste cellinfo here'!$B$11</f>
        <v>0.51802400000000004</v>
      </c>
    </row>
    <row r="112" spans="1:26">
      <c r="A112" s="1">
        <v>111</v>
      </c>
      <c r="B112" s="2">
        <f>DATE(Sintesi!$C$4-1,12,31)+A112</f>
        <v>44307</v>
      </c>
      <c r="C112" s="1">
        <f>'Paste cell here'!B112</f>
        <v>0</v>
      </c>
      <c r="D112" s="1">
        <f>'Paste cell here'!I112</f>
        <v>0</v>
      </c>
      <c r="E112" s="1">
        <f>'Paste cell here'!J112</f>
        <v>0</v>
      </c>
      <c r="F112" s="1">
        <f>'Paste cell here'!K112</f>
        <v>0</v>
      </c>
      <c r="G112" s="1">
        <f>'Paste cell here'!L112</f>
        <v>0</v>
      </c>
      <c r="H112" s="1">
        <f>'Paste cell here'!M112</f>
        <v>0</v>
      </c>
      <c r="I112" s="1">
        <f>'Paste cell here'!N112</f>
        <v>0</v>
      </c>
      <c r="J112" s="1">
        <f>'Paste cell here'!O112</f>
        <v>0</v>
      </c>
      <c r="K112" s="1">
        <f>'Paste cell here'!Q112</f>
        <v>0.58021723999999997</v>
      </c>
      <c r="L112" s="1">
        <f>'Paste cell here'!S112</f>
        <v>0</v>
      </c>
      <c r="M112" s="1">
        <f>'Paste cell here'!T112</f>
        <v>3.6399999999999998E-12</v>
      </c>
      <c r="N112" s="1">
        <f>'Paste cell here'!W112</f>
        <v>0</v>
      </c>
      <c r="O112" s="1">
        <f>'Paste cell here'!U112</f>
        <v>5.542397201</v>
      </c>
      <c r="P112" s="1">
        <f t="shared" si="8"/>
        <v>6.1226144409999996</v>
      </c>
      <c r="Q112" s="1">
        <f>'Paste cell here'!V112</f>
        <v>0</v>
      </c>
      <c r="R112" s="1">
        <f t="shared" si="9"/>
        <v>3.6397551639311132E-12</v>
      </c>
      <c r="S112" s="7">
        <f>Sintesi!$C$30</f>
        <v>8.3099999999999993E-2</v>
      </c>
      <c r="T112" s="7">
        <f>Sintesi!$C$29</f>
        <v>0.229209</v>
      </c>
      <c r="U112" s="5">
        <f>O112/(Sintesi!$C$5*1000)</f>
        <v>5.5423972010000003E-2</v>
      </c>
      <c r="V112" s="1">
        <f t="shared" si="5"/>
        <v>0.14610899999999999</v>
      </c>
      <c r="W112" s="1">
        <v>0.51406562333183303</v>
      </c>
      <c r="X112" s="1">
        <f t="shared" si="6"/>
        <v>7.5109614159390783E-2</v>
      </c>
      <c r="Y112" s="1">
        <f t="shared" si="7"/>
        <v>0.15409938584060923</v>
      </c>
      <c r="Z112" s="1">
        <f>'Paste cellinfo here'!$B$11</f>
        <v>0.51802400000000004</v>
      </c>
    </row>
    <row r="113" spans="1:26">
      <c r="A113" s="1">
        <v>112</v>
      </c>
      <c r="B113" s="2">
        <f>DATE(Sintesi!$C$4-1,12,31)+A113</f>
        <v>44308</v>
      </c>
      <c r="C113" s="1">
        <f>'Paste cell here'!B113</f>
        <v>0</v>
      </c>
      <c r="D113" s="1">
        <f>'Paste cell here'!I113</f>
        <v>0</v>
      </c>
      <c r="E113" s="1">
        <f>'Paste cell here'!J113</f>
        <v>0</v>
      </c>
      <c r="F113" s="1">
        <f>'Paste cell here'!K113</f>
        <v>0</v>
      </c>
      <c r="G113" s="1">
        <f>'Paste cell here'!L113</f>
        <v>0</v>
      </c>
      <c r="H113" s="1">
        <f>'Paste cell here'!M113</f>
        <v>0</v>
      </c>
      <c r="I113" s="1">
        <f>'Paste cell here'!N113</f>
        <v>0</v>
      </c>
      <c r="J113" s="1">
        <f>'Paste cell here'!O113</f>
        <v>0</v>
      </c>
      <c r="K113" s="1">
        <f>'Paste cell here'!Q113</f>
        <v>0.38706717000000002</v>
      </c>
      <c r="L113" s="1">
        <f>'Paste cell here'!S113</f>
        <v>0</v>
      </c>
      <c r="M113" s="1">
        <f>'Paste cell here'!T113</f>
        <v>1.81E-14</v>
      </c>
      <c r="N113" s="1">
        <f>'Paste cell here'!W113</f>
        <v>0</v>
      </c>
      <c r="O113" s="1">
        <f>'Paste cell here'!U113</f>
        <v>5.1553300310000001</v>
      </c>
      <c r="P113" s="1">
        <f t="shared" si="8"/>
        <v>5.542397201</v>
      </c>
      <c r="Q113" s="1">
        <f>'Paste cell here'!V113</f>
        <v>0</v>
      </c>
      <c r="R113" s="1">
        <f t="shared" si="9"/>
        <v>1.7763568394002505E-14</v>
      </c>
      <c r="S113" s="7">
        <f>Sintesi!$C$30</f>
        <v>8.3099999999999993E-2</v>
      </c>
      <c r="T113" s="7">
        <f>Sintesi!$C$29</f>
        <v>0.229209</v>
      </c>
      <c r="U113" s="5">
        <f>O113/(Sintesi!$C$5*1000)</f>
        <v>5.1553300310000001E-2</v>
      </c>
      <c r="V113" s="1">
        <f t="shared" si="5"/>
        <v>0.14610899999999999</v>
      </c>
      <c r="W113" s="1">
        <v>0.51659584132667302</v>
      </c>
      <c r="X113" s="1">
        <f t="shared" si="6"/>
        <v>7.5479301780398869E-2</v>
      </c>
      <c r="Y113" s="1">
        <f t="shared" si="7"/>
        <v>0.15372969821960114</v>
      </c>
      <c r="Z113" s="1">
        <f>'Paste cellinfo here'!$B$11</f>
        <v>0.51802400000000004</v>
      </c>
    </row>
    <row r="114" spans="1:26">
      <c r="A114" s="1">
        <v>113</v>
      </c>
      <c r="B114" s="2">
        <f>DATE(Sintesi!$C$4-1,12,31)+A114</f>
        <v>44309</v>
      </c>
      <c r="C114" s="1">
        <f>'Paste cell here'!B114</f>
        <v>0</v>
      </c>
      <c r="D114" s="1">
        <f>'Paste cell here'!I114</f>
        <v>0</v>
      </c>
      <c r="E114" s="1">
        <f>'Paste cell here'!J114</f>
        <v>0</v>
      </c>
      <c r="F114" s="1">
        <f>'Paste cell here'!K114</f>
        <v>0</v>
      </c>
      <c r="G114" s="1">
        <f>'Paste cell here'!L114</f>
        <v>0</v>
      </c>
      <c r="H114" s="1">
        <f>'Paste cell here'!M114</f>
        <v>0</v>
      </c>
      <c r="I114" s="1">
        <f>'Paste cell here'!N114</f>
        <v>0</v>
      </c>
      <c r="J114" s="1">
        <f>'Paste cell here'!O114</f>
        <v>0</v>
      </c>
      <c r="K114" s="1">
        <f>'Paste cell here'!Q114</f>
        <v>0.29974199899999998</v>
      </c>
      <c r="L114" s="1">
        <f>'Paste cell here'!S114</f>
        <v>0</v>
      </c>
      <c r="M114" s="1">
        <f>'Paste cell here'!T114</f>
        <v>1.9499999999999999E-17</v>
      </c>
      <c r="N114" s="1">
        <f>'Paste cell here'!W114</f>
        <v>0</v>
      </c>
      <c r="O114" s="1">
        <f>'Paste cell here'!U114</f>
        <v>4.855588032</v>
      </c>
      <c r="P114" s="1">
        <f t="shared" si="8"/>
        <v>5.1553300310000001</v>
      </c>
      <c r="Q114" s="1">
        <f>'Paste cell here'!V114</f>
        <v>0</v>
      </c>
      <c r="R114" s="1">
        <f t="shared" si="9"/>
        <v>0</v>
      </c>
      <c r="S114" s="7">
        <f>Sintesi!$C$30</f>
        <v>8.3099999999999993E-2</v>
      </c>
      <c r="T114" s="7">
        <f>Sintesi!$C$29</f>
        <v>0.229209</v>
      </c>
      <c r="U114" s="5">
        <f>O114/(Sintesi!$C$5*1000)</f>
        <v>4.8555880320000001E-2</v>
      </c>
      <c r="V114" s="1">
        <f t="shared" si="5"/>
        <v>0.14610899999999999</v>
      </c>
      <c r="W114" s="1">
        <v>0.53817664400712095</v>
      </c>
      <c r="X114" s="1">
        <f t="shared" si="6"/>
        <v>7.8632451279236432E-2</v>
      </c>
      <c r="Y114" s="1">
        <f t="shared" si="7"/>
        <v>0.15057654872076356</v>
      </c>
      <c r="Z114" s="1">
        <f>'Paste cellinfo here'!$B$11</f>
        <v>0.51802400000000004</v>
      </c>
    </row>
    <row r="115" spans="1:26">
      <c r="A115" s="1">
        <v>114</v>
      </c>
      <c r="B115" s="2">
        <f>DATE(Sintesi!$C$4-1,12,31)+A115</f>
        <v>44310</v>
      </c>
      <c r="C115" s="1">
        <f>'Paste cell here'!B115</f>
        <v>0</v>
      </c>
      <c r="D115" s="1">
        <f>'Paste cell here'!I115</f>
        <v>0</v>
      </c>
      <c r="E115" s="1">
        <f>'Paste cell here'!J115</f>
        <v>0</v>
      </c>
      <c r="F115" s="1">
        <f>'Paste cell here'!K115</f>
        <v>0</v>
      </c>
      <c r="G115" s="1">
        <f>'Paste cell here'!L115</f>
        <v>0</v>
      </c>
      <c r="H115" s="1">
        <f>'Paste cell here'!M115</f>
        <v>0</v>
      </c>
      <c r="I115" s="1">
        <f>'Paste cell here'!N115</f>
        <v>0</v>
      </c>
      <c r="J115" s="1">
        <f>'Paste cell here'!O115</f>
        <v>0</v>
      </c>
      <c r="K115" s="1">
        <f>'Paste cell here'!Q115</f>
        <v>0.22975105400000001</v>
      </c>
      <c r="L115" s="1">
        <f>'Paste cell here'!S115</f>
        <v>0</v>
      </c>
      <c r="M115" s="1">
        <f>'Paste cell here'!T115</f>
        <v>4.2499999999999999E-25</v>
      </c>
      <c r="N115" s="1">
        <f>'Paste cell here'!W115</f>
        <v>0</v>
      </c>
      <c r="O115" s="1">
        <f>'Paste cell here'!U115</f>
        <v>4.6258369779999997</v>
      </c>
      <c r="P115" s="1">
        <f t="shared" si="8"/>
        <v>4.855588032</v>
      </c>
      <c r="Q115" s="1">
        <f>'Paste cell here'!V115</f>
        <v>0</v>
      </c>
      <c r="R115" s="1">
        <f t="shared" si="9"/>
        <v>0</v>
      </c>
      <c r="S115" s="7">
        <f>Sintesi!$C$30</f>
        <v>8.3099999999999993E-2</v>
      </c>
      <c r="T115" s="7">
        <f>Sintesi!$C$29</f>
        <v>0.229209</v>
      </c>
      <c r="U115" s="5">
        <f>O115/(Sintesi!$C$5*1000)</f>
        <v>4.6258369779999996E-2</v>
      </c>
      <c r="V115" s="1">
        <f t="shared" si="5"/>
        <v>0.14610899999999999</v>
      </c>
      <c r="W115" s="1">
        <v>0.63624278406477197</v>
      </c>
      <c r="X115" s="1">
        <f t="shared" si="6"/>
        <v>9.2960796936919762E-2</v>
      </c>
      <c r="Y115" s="1">
        <f t="shared" si="7"/>
        <v>0.13624820306308022</v>
      </c>
      <c r="Z115" s="1">
        <f>'Paste cellinfo here'!$B$11</f>
        <v>0.51802400000000004</v>
      </c>
    </row>
    <row r="116" spans="1:26">
      <c r="A116" s="1">
        <v>115</v>
      </c>
      <c r="B116" s="2">
        <f>DATE(Sintesi!$C$4-1,12,31)+A116</f>
        <v>44311</v>
      </c>
      <c r="C116" s="1">
        <f>'Paste cell here'!B116</f>
        <v>0</v>
      </c>
      <c r="D116" s="1">
        <f>'Paste cell here'!I116</f>
        <v>0</v>
      </c>
      <c r="E116" s="1">
        <f>'Paste cell here'!J116</f>
        <v>0</v>
      </c>
      <c r="F116" s="1">
        <f>'Paste cell here'!K116</f>
        <v>0</v>
      </c>
      <c r="G116" s="1">
        <f>'Paste cell here'!L116</f>
        <v>0</v>
      </c>
      <c r="H116" s="1">
        <f>'Paste cell here'!M116</f>
        <v>0</v>
      </c>
      <c r="I116" s="1">
        <f>'Paste cell here'!N116</f>
        <v>0</v>
      </c>
      <c r="J116" s="1">
        <f>'Paste cell here'!O116</f>
        <v>0</v>
      </c>
      <c r="K116" s="1">
        <f>'Paste cell here'!Q116</f>
        <v>0.16056629</v>
      </c>
      <c r="L116" s="1">
        <f>'Paste cell here'!S116</f>
        <v>0</v>
      </c>
      <c r="M116" s="1">
        <f>'Paste cell here'!T116</f>
        <v>0</v>
      </c>
      <c r="N116" s="1">
        <f>'Paste cell here'!W116</f>
        <v>0</v>
      </c>
      <c r="O116" s="1">
        <f>'Paste cell here'!U116</f>
        <v>4.4652706880000004</v>
      </c>
      <c r="P116" s="1">
        <f t="shared" si="8"/>
        <v>4.6258369779999997</v>
      </c>
      <c r="Q116" s="1">
        <f>'Paste cell here'!V116</f>
        <v>0</v>
      </c>
      <c r="R116" s="1">
        <f t="shared" si="9"/>
        <v>8.8817841970012523E-16</v>
      </c>
      <c r="S116" s="7">
        <f>Sintesi!$C$30</f>
        <v>8.3099999999999993E-2</v>
      </c>
      <c r="T116" s="7">
        <f>Sintesi!$C$29</f>
        <v>0.229209</v>
      </c>
      <c r="U116" s="5">
        <f>O116/(Sintesi!$C$5*1000)</f>
        <v>4.4652706880000004E-2</v>
      </c>
      <c r="V116" s="1">
        <f t="shared" si="5"/>
        <v>0.14610899999999999</v>
      </c>
      <c r="W116" s="1">
        <v>0.59404963159490398</v>
      </c>
      <c r="X116" s="1">
        <f t="shared" si="6"/>
        <v>8.6795997622699822E-2</v>
      </c>
      <c r="Y116" s="1">
        <f t="shared" si="7"/>
        <v>0.14241300237730017</v>
      </c>
      <c r="Z116" s="1">
        <f>'Paste cellinfo here'!$B$11</f>
        <v>0.51802400000000004</v>
      </c>
    </row>
    <row r="117" spans="1:26">
      <c r="A117" s="1">
        <v>116</v>
      </c>
      <c r="B117" s="2">
        <f>DATE(Sintesi!$C$4-1,12,31)+A117</f>
        <v>44312</v>
      </c>
      <c r="C117" s="1">
        <f>'Paste cell here'!B117</f>
        <v>0</v>
      </c>
      <c r="D117" s="1">
        <f>'Paste cell here'!I117</f>
        <v>0</v>
      </c>
      <c r="E117" s="1">
        <f>'Paste cell here'!J117</f>
        <v>0</v>
      </c>
      <c r="F117" s="1">
        <f>'Paste cell here'!K117</f>
        <v>0</v>
      </c>
      <c r="G117" s="1">
        <f>'Paste cell here'!L117</f>
        <v>0</v>
      </c>
      <c r="H117" s="1">
        <f>'Paste cell here'!M117</f>
        <v>0</v>
      </c>
      <c r="I117" s="1">
        <f>'Paste cell here'!N117</f>
        <v>0</v>
      </c>
      <c r="J117" s="1">
        <f>'Paste cell here'!O117</f>
        <v>0</v>
      </c>
      <c r="K117" s="1">
        <f>'Paste cell here'!Q117</f>
        <v>4.6300000000000001E-2</v>
      </c>
      <c r="L117" s="1">
        <f>'Paste cell here'!S117</f>
        <v>0</v>
      </c>
      <c r="M117" s="1">
        <f>'Paste cell here'!T117</f>
        <v>0</v>
      </c>
      <c r="N117" s="1">
        <f>'Paste cell here'!W117</f>
        <v>0</v>
      </c>
      <c r="O117" s="1">
        <f>'Paste cell here'!U117</f>
        <v>4.419012801</v>
      </c>
      <c r="P117" s="1">
        <f t="shared" si="8"/>
        <v>4.4652706880000004</v>
      </c>
      <c r="Q117" s="1">
        <f>'Paste cell here'!V117</f>
        <v>0</v>
      </c>
      <c r="R117" s="1">
        <f t="shared" si="9"/>
        <v>4.2112999999233125E-5</v>
      </c>
      <c r="S117" s="7">
        <f>Sintesi!$C$30</f>
        <v>8.3099999999999993E-2</v>
      </c>
      <c r="T117" s="7">
        <f>Sintesi!$C$29</f>
        <v>0.229209</v>
      </c>
      <c r="U117" s="5">
        <f>O117/(Sintesi!$C$5*1000)</f>
        <v>4.4190128010000003E-2</v>
      </c>
      <c r="V117" s="1">
        <f t="shared" si="5"/>
        <v>0.14610899999999999</v>
      </c>
      <c r="W117" s="1">
        <v>0.58062355823008505</v>
      </c>
      <c r="X117" s="1">
        <f t="shared" si="6"/>
        <v>8.4834327469439488E-2</v>
      </c>
      <c r="Y117" s="1">
        <f t="shared" si="7"/>
        <v>0.14437467253056052</v>
      </c>
      <c r="Z117" s="1">
        <f>'Paste cellinfo here'!$B$11</f>
        <v>0.51802400000000004</v>
      </c>
    </row>
    <row r="118" spans="1:26">
      <c r="A118" s="1">
        <v>117</v>
      </c>
      <c r="B118" s="2">
        <f>DATE(Sintesi!$C$4-1,12,31)+A118</f>
        <v>44313</v>
      </c>
      <c r="C118" s="1">
        <f>'Paste cell here'!B118</f>
        <v>0.25834851399999997</v>
      </c>
      <c r="D118" s="1">
        <f>'Paste cell here'!I118</f>
        <v>0</v>
      </c>
      <c r="E118" s="1">
        <f>'Paste cell here'!J118</f>
        <v>0.22671935900000001</v>
      </c>
      <c r="F118" s="1">
        <f>'Paste cell here'!K118</f>
        <v>0.25834851399999997</v>
      </c>
      <c r="G118" s="1">
        <f>'Paste cell here'!L118</f>
        <v>0.22671935900000001</v>
      </c>
      <c r="H118" s="1">
        <f>'Paste cell here'!M118</f>
        <v>3.1600000000000003E-2</v>
      </c>
      <c r="I118" s="1">
        <f>'Paste cell here'!N118</f>
        <v>0</v>
      </c>
      <c r="J118" s="1">
        <f>'Paste cell here'!O118</f>
        <v>0.22671936600000001</v>
      </c>
      <c r="K118" s="1">
        <f>'Paste cell here'!Q118</f>
        <v>5.6500000000000002E-2</v>
      </c>
      <c r="L118" s="1">
        <f>'Paste cell here'!S118</f>
        <v>0</v>
      </c>
      <c r="M118" s="1">
        <f>'Paste cell here'!T118</f>
        <v>0</v>
      </c>
      <c r="N118" s="1">
        <f>'Paste cell here'!W118</f>
        <v>0</v>
      </c>
      <c r="O118" s="1">
        <f>'Paste cell here'!U118</f>
        <v>4.589198841</v>
      </c>
      <c r="P118" s="1">
        <f t="shared" si="8"/>
        <v>4.419012801</v>
      </c>
      <c r="Q118" s="1">
        <f>'Paste cell here'!V118</f>
        <v>0</v>
      </c>
      <c r="R118" s="1">
        <f t="shared" si="9"/>
        <v>6.2473999999923535E-5</v>
      </c>
      <c r="S118" s="7">
        <f>Sintesi!$C$30</f>
        <v>8.3099999999999993E-2</v>
      </c>
      <c r="T118" s="7">
        <f>Sintesi!$C$29</f>
        <v>0.229209</v>
      </c>
      <c r="U118" s="5">
        <f>O118/(Sintesi!$C$5*1000)</f>
        <v>4.5891988410000001E-2</v>
      </c>
      <c r="V118" s="1">
        <f t="shared" si="5"/>
        <v>0.14610899999999999</v>
      </c>
      <c r="W118" s="1">
        <v>0.59769404303912399</v>
      </c>
      <c r="X118" s="1">
        <f t="shared" si="6"/>
        <v>8.7328478934403361E-2</v>
      </c>
      <c r="Y118" s="1">
        <f t="shared" si="7"/>
        <v>0.14188052106559662</v>
      </c>
      <c r="Z118" s="1">
        <f>'Paste cellinfo here'!$B$11</f>
        <v>0.51802400000000004</v>
      </c>
    </row>
    <row r="119" spans="1:26">
      <c r="A119" s="1">
        <v>118</v>
      </c>
      <c r="B119" s="2">
        <f>DATE(Sintesi!$C$4-1,12,31)+A119</f>
        <v>44314</v>
      </c>
      <c r="C119" s="1">
        <f>'Paste cell here'!B119</f>
        <v>0.51518331799999995</v>
      </c>
      <c r="D119" s="1">
        <f>'Paste cell here'!I119</f>
        <v>0</v>
      </c>
      <c r="E119" s="1">
        <f>'Paste cell here'!J119</f>
        <v>0.45697110000000002</v>
      </c>
      <c r="F119" s="1">
        <f>'Paste cell here'!K119</f>
        <v>0.51518331799999995</v>
      </c>
      <c r="G119" s="1">
        <f>'Paste cell here'!L119</f>
        <v>0.45697110000000002</v>
      </c>
      <c r="H119" s="1">
        <f>'Paste cell here'!M119</f>
        <v>5.8200000000000002E-2</v>
      </c>
      <c r="I119" s="1">
        <f>'Paste cell here'!N119</f>
        <v>0</v>
      </c>
      <c r="J119" s="1">
        <f>'Paste cell here'!O119</f>
        <v>0.45697111299999998</v>
      </c>
      <c r="K119" s="1">
        <f>'Paste cell here'!Q119</f>
        <v>0.15233486099999999</v>
      </c>
      <c r="L119" s="1">
        <f>'Paste cell here'!S119</f>
        <v>0</v>
      </c>
      <c r="M119" s="1">
        <f>'Paste cell here'!T119</f>
        <v>2.3799999999999999E-24</v>
      </c>
      <c r="N119" s="1">
        <f>'Paste cell here'!W119</f>
        <v>0</v>
      </c>
      <c r="O119" s="1">
        <f>'Paste cell here'!U119</f>
        <v>4.8938350929999999</v>
      </c>
      <c r="P119" s="1">
        <f t="shared" si="8"/>
        <v>4.589198841</v>
      </c>
      <c r="Q119" s="1">
        <f>'Paste cell here'!V119</f>
        <v>0</v>
      </c>
      <c r="R119" s="1">
        <f t="shared" si="9"/>
        <v>1.2204999999987365E-5</v>
      </c>
      <c r="S119" s="7">
        <f>Sintesi!$C$30</f>
        <v>8.3099999999999993E-2</v>
      </c>
      <c r="T119" s="7">
        <f>Sintesi!$C$29</f>
        <v>0.229209</v>
      </c>
      <c r="U119" s="5">
        <f>O119/(Sintesi!$C$5*1000)</f>
        <v>4.8938350929999999E-2</v>
      </c>
      <c r="V119" s="1">
        <f t="shared" si="5"/>
        <v>0.14610899999999999</v>
      </c>
      <c r="W119" s="1">
        <v>0.51636313105941301</v>
      </c>
      <c r="X119" s="1">
        <f t="shared" si="6"/>
        <v>7.544530071595977E-2</v>
      </c>
      <c r="Y119" s="1">
        <f t="shared" si="7"/>
        <v>0.15376369928404021</v>
      </c>
      <c r="Z119" s="1">
        <f>'Paste cellinfo here'!$B$11</f>
        <v>0.51802400000000004</v>
      </c>
    </row>
    <row r="120" spans="1:26">
      <c r="A120" s="1">
        <v>119</v>
      </c>
      <c r="B120" s="2">
        <f>DATE(Sintesi!$C$4-1,12,31)+A120</f>
        <v>44315</v>
      </c>
      <c r="C120" s="1">
        <f>'Paste cell here'!B120</f>
        <v>6.8497257600000001</v>
      </c>
      <c r="D120" s="1">
        <f>'Paste cell here'!I120</f>
        <v>0</v>
      </c>
      <c r="E120" s="1">
        <f>'Paste cell here'!J120</f>
        <v>6.6349622310000003</v>
      </c>
      <c r="F120" s="1">
        <f>'Paste cell here'!K120</f>
        <v>6.8497257600000001</v>
      </c>
      <c r="G120" s="1">
        <f>'Paste cell here'!L120</f>
        <v>6.6349622310000003</v>
      </c>
      <c r="H120" s="1">
        <f>'Paste cell here'!M120</f>
        <v>0.21476352900000001</v>
      </c>
      <c r="I120" s="1">
        <f>'Paste cell here'!N120</f>
        <v>0</v>
      </c>
      <c r="J120" s="1">
        <f>'Paste cell here'!O120</f>
        <v>6.6349624289999998</v>
      </c>
      <c r="K120" s="1">
        <f>'Paste cell here'!Q120</f>
        <v>0.42141537299999998</v>
      </c>
      <c r="L120" s="1">
        <f>'Paste cell here'!S120</f>
        <v>0</v>
      </c>
      <c r="M120" s="1">
        <f>'Paste cell here'!T120</f>
        <v>1.17E-6</v>
      </c>
      <c r="N120" s="1">
        <f>'Paste cell here'!W120</f>
        <v>0</v>
      </c>
      <c r="O120" s="1">
        <f>'Paste cell here'!U120</f>
        <v>11.10738098</v>
      </c>
      <c r="P120" s="1">
        <f t="shared" si="8"/>
        <v>4.8938350929999999</v>
      </c>
      <c r="Q120" s="1">
        <f>'Paste cell here'!V120</f>
        <v>0</v>
      </c>
      <c r="R120" s="1">
        <f t="shared" si="9"/>
        <v>1.9900000225447911E-7</v>
      </c>
      <c r="S120" s="7">
        <f>Sintesi!$C$30</f>
        <v>8.3099999999999993E-2</v>
      </c>
      <c r="T120" s="7">
        <f>Sintesi!$C$29</f>
        <v>0.229209</v>
      </c>
      <c r="U120" s="5">
        <f>O120/(Sintesi!$C$5*1000)</f>
        <v>0.11107380980000001</v>
      </c>
      <c r="V120" s="1">
        <f t="shared" si="5"/>
        <v>0.14610899999999999</v>
      </c>
      <c r="W120" s="1">
        <v>0.58718834918644303</v>
      </c>
      <c r="X120" s="1">
        <f t="shared" si="6"/>
        <v>8.5793502511281997E-2</v>
      </c>
      <c r="Y120" s="1">
        <f t="shared" si="7"/>
        <v>0.14341549748871801</v>
      </c>
      <c r="Z120" s="1">
        <f>'Paste cellinfo here'!$B$11</f>
        <v>0.51802400000000004</v>
      </c>
    </row>
    <row r="121" spans="1:26">
      <c r="A121" s="1">
        <v>120</v>
      </c>
      <c r="B121" s="2">
        <f>DATE(Sintesi!$C$4-1,12,31)+A121</f>
        <v>44316</v>
      </c>
      <c r="C121" s="1">
        <f>'Paste cell here'!B121</f>
        <v>3.2102438750000002</v>
      </c>
      <c r="D121" s="1">
        <f>'Paste cell here'!I121</f>
        <v>0</v>
      </c>
      <c r="E121" s="1">
        <f>'Paste cell here'!J121</f>
        <v>3.0303251919999998</v>
      </c>
      <c r="F121" s="1">
        <f>'Paste cell here'!K121</f>
        <v>3.2102438750000002</v>
      </c>
      <c r="G121" s="1">
        <f>'Paste cell here'!L121</f>
        <v>3.0303251919999998</v>
      </c>
      <c r="H121" s="1">
        <f>'Paste cell here'!M121</f>
        <v>0.179918683</v>
      </c>
      <c r="I121" s="1">
        <f>'Paste cell here'!N121</f>
        <v>0</v>
      </c>
      <c r="J121" s="1">
        <f>'Paste cell here'!O121</f>
        <v>3.0303252820000002</v>
      </c>
      <c r="K121" s="1">
        <f>'Paste cell here'!Q121</f>
        <v>1.4666600510000001</v>
      </c>
      <c r="L121" s="1">
        <f>'Paste cell here'!S121</f>
        <v>0</v>
      </c>
      <c r="M121" s="1">
        <f>'Paste cell here'!T121</f>
        <v>4.21E-5</v>
      </c>
      <c r="N121" s="1">
        <f>'Paste cell here'!W121</f>
        <v>0</v>
      </c>
      <c r="O121" s="1">
        <f>'Paste cell here'!U121</f>
        <v>12.67100407</v>
      </c>
      <c r="P121" s="1">
        <f t="shared" si="8"/>
        <v>11.10738098</v>
      </c>
      <c r="Q121" s="1">
        <f>'Paste cell here'!V121</f>
        <v>0</v>
      </c>
      <c r="R121" s="1">
        <f t="shared" si="9"/>
        <v>4.90000005015645E-8</v>
      </c>
      <c r="S121" s="7">
        <f>Sintesi!$C$30</f>
        <v>8.3099999999999993E-2</v>
      </c>
      <c r="T121" s="7">
        <f>Sintesi!$C$29</f>
        <v>0.229209</v>
      </c>
      <c r="U121" s="5">
        <f>O121/(Sintesi!$C$5*1000)</f>
        <v>0.1267100407</v>
      </c>
      <c r="V121" s="1">
        <f t="shared" si="5"/>
        <v>0.14610899999999999</v>
      </c>
      <c r="W121" s="1">
        <v>0.61525036048079096</v>
      </c>
      <c r="X121" s="1">
        <f t="shared" si="6"/>
        <v>8.9893614919487885E-2</v>
      </c>
      <c r="Y121" s="1">
        <f t="shared" si="7"/>
        <v>0.13931538508051211</v>
      </c>
      <c r="Z121" s="1">
        <f>'Paste cellinfo here'!$B$11</f>
        <v>0.51802400000000004</v>
      </c>
    </row>
    <row r="122" spans="1:26">
      <c r="A122" s="1">
        <v>121</v>
      </c>
      <c r="B122" s="2">
        <f>DATE(Sintesi!$C$4-1,12,31)+A122</f>
        <v>44317</v>
      </c>
      <c r="C122" s="1">
        <f>'Paste cell here'!B122</f>
        <v>14.583699279999999</v>
      </c>
      <c r="D122" s="1">
        <f>'Paste cell here'!I122</f>
        <v>0</v>
      </c>
      <c r="E122" s="1">
        <f>'Paste cell here'!J122</f>
        <v>14.32520416</v>
      </c>
      <c r="F122" s="1">
        <f>'Paste cell here'!K122</f>
        <v>14.583699279999999</v>
      </c>
      <c r="G122" s="1">
        <f>'Paste cell here'!L122</f>
        <v>14.32520416</v>
      </c>
      <c r="H122" s="1">
        <f>'Paste cell here'!M122</f>
        <v>0.25849511800000002</v>
      </c>
      <c r="I122" s="1">
        <f>'Paste cell here'!N122</f>
        <v>0</v>
      </c>
      <c r="J122" s="1">
        <f>'Paste cell here'!O122</f>
        <v>14.32520459</v>
      </c>
      <c r="K122" s="1">
        <f>'Paste cell here'!Q122</f>
        <v>1.609769537</v>
      </c>
      <c r="L122" s="1">
        <f>'Paste cell here'!S122</f>
        <v>0</v>
      </c>
      <c r="M122" s="1">
        <f>'Paste cell here'!T122</f>
        <v>9.1499999999999998E-2</v>
      </c>
      <c r="N122" s="1">
        <f>'Paste cell here'!W122</f>
        <v>0</v>
      </c>
      <c r="O122" s="1">
        <f>'Paste cell here'!U122</f>
        <v>25.294981150000002</v>
      </c>
      <c r="P122" s="1">
        <f t="shared" si="8"/>
        <v>12.67100407</v>
      </c>
      <c r="Q122" s="1">
        <f>'Paste cell here'!V122</f>
        <v>0</v>
      </c>
      <c r="R122" s="1">
        <f t="shared" si="9"/>
        <v>4.2454999999108622E-5</v>
      </c>
      <c r="S122" s="7">
        <f>Sintesi!$C$30</f>
        <v>8.3099999999999993E-2</v>
      </c>
      <c r="T122" s="7">
        <f>Sintesi!$C$29</f>
        <v>0.229209</v>
      </c>
      <c r="U122" s="5">
        <f>O122/(Sintesi!$C$5*1000)</f>
        <v>0.25294981150000001</v>
      </c>
      <c r="V122" s="1">
        <f t="shared" si="5"/>
        <v>0.14610899999999999</v>
      </c>
      <c r="W122" s="1">
        <v>0.52168534581830805</v>
      </c>
      <c r="X122" s="1">
        <f t="shared" si="6"/>
        <v>7.6222924192167169E-2</v>
      </c>
      <c r="Y122" s="1">
        <f t="shared" si="7"/>
        <v>0.15298607580783283</v>
      </c>
      <c r="Z122" s="1">
        <f>'Paste cellinfo here'!$B$11</f>
        <v>0.51802400000000004</v>
      </c>
    </row>
    <row r="123" spans="1:26">
      <c r="A123" s="1">
        <v>122</v>
      </c>
      <c r="B123" s="2">
        <f>DATE(Sintesi!$C$4-1,12,31)+A123</f>
        <v>44318</v>
      </c>
      <c r="C123" s="1">
        <f>'Paste cell here'!B123</f>
        <v>0.42426861500000002</v>
      </c>
      <c r="D123" s="1">
        <f>'Paste cell here'!I123</f>
        <v>0</v>
      </c>
      <c r="E123" s="1">
        <f>'Paste cell here'!J123</f>
        <v>0.36704504700000001</v>
      </c>
      <c r="F123" s="1">
        <f>'Paste cell here'!K123</f>
        <v>0.42426861500000002</v>
      </c>
      <c r="G123" s="1">
        <f>'Paste cell here'!L123</f>
        <v>0.36704504700000001</v>
      </c>
      <c r="H123" s="1">
        <f>'Paste cell here'!M123</f>
        <v>5.7200000000000001E-2</v>
      </c>
      <c r="I123" s="1">
        <f>'Paste cell here'!N123</f>
        <v>0</v>
      </c>
      <c r="J123" s="1">
        <f>'Paste cell here'!O123</f>
        <v>0.36704505799999998</v>
      </c>
      <c r="K123" s="1">
        <f>'Paste cell here'!Q123</f>
        <v>4.4527087779999999</v>
      </c>
      <c r="L123" s="1">
        <f>'Paste cell here'!S123</f>
        <v>0</v>
      </c>
      <c r="M123" s="1">
        <f>'Paste cell here'!T123</f>
        <v>0.29945190799999999</v>
      </c>
      <c r="N123" s="1">
        <f>'Paste cell here'!W123</f>
        <v>0</v>
      </c>
      <c r="O123" s="1">
        <f>'Paste cell here'!U123</f>
        <v>20.909865530000001</v>
      </c>
      <c r="P123" s="1">
        <f t="shared" si="8"/>
        <v>25.294981150000002</v>
      </c>
      <c r="Q123" s="1">
        <f>'Paste cell here'!V123</f>
        <v>0</v>
      </c>
      <c r="R123" s="1">
        <f t="shared" si="9"/>
        <v>2.3548999994460473E-5</v>
      </c>
      <c r="S123" s="7">
        <f>Sintesi!$C$30</f>
        <v>8.3099999999999993E-2</v>
      </c>
      <c r="T123" s="7">
        <f>Sintesi!$C$29</f>
        <v>0.229209</v>
      </c>
      <c r="U123" s="5">
        <f>O123/(Sintesi!$C$5*1000)</f>
        <v>0.20909865530000002</v>
      </c>
      <c r="V123" s="1">
        <f t="shared" si="5"/>
        <v>0.14610899999999999</v>
      </c>
      <c r="W123" s="1">
        <v>0.51397347675027605</v>
      </c>
      <c r="X123" s="1">
        <f t="shared" si="6"/>
        <v>7.509615071450608E-2</v>
      </c>
      <c r="Y123" s="1">
        <f t="shared" si="7"/>
        <v>0.1541128492854939</v>
      </c>
      <c r="Z123" s="1">
        <f>'Paste cellinfo here'!$B$11</f>
        <v>0.51802400000000004</v>
      </c>
    </row>
    <row r="124" spans="1:26">
      <c r="A124" s="1">
        <v>123</v>
      </c>
      <c r="B124" s="2">
        <f>DATE(Sintesi!$C$4-1,12,31)+A124</f>
        <v>44319</v>
      </c>
      <c r="C124" s="1">
        <f>'Paste cell here'!B124</f>
        <v>0</v>
      </c>
      <c r="D124" s="1">
        <f>'Paste cell here'!I124</f>
        <v>0</v>
      </c>
      <c r="E124" s="1">
        <f>'Paste cell here'!J124</f>
        <v>0</v>
      </c>
      <c r="F124" s="1">
        <f>'Paste cell here'!K124</f>
        <v>0</v>
      </c>
      <c r="G124" s="1">
        <f>'Paste cell here'!L124</f>
        <v>0</v>
      </c>
      <c r="H124" s="1">
        <f>'Paste cell here'!M124</f>
        <v>0</v>
      </c>
      <c r="I124" s="1">
        <f>'Paste cell here'!N124</f>
        <v>0</v>
      </c>
      <c r="J124" s="1">
        <f>'Paste cell here'!O124</f>
        <v>0</v>
      </c>
      <c r="K124" s="1">
        <f>'Paste cell here'!Q124</f>
        <v>4.2249883439999998</v>
      </c>
      <c r="L124" s="1">
        <f>'Paste cell here'!S124</f>
        <v>0</v>
      </c>
      <c r="M124" s="1">
        <f>'Paste cell here'!T124</f>
        <v>3.1899999999999998E-2</v>
      </c>
      <c r="N124" s="1">
        <f>'Paste cell here'!W124</f>
        <v>0</v>
      </c>
      <c r="O124" s="1">
        <f>'Paste cell here'!U124</f>
        <v>16.652949790000001</v>
      </c>
      <c r="P124" s="1">
        <f t="shared" si="8"/>
        <v>20.909865530000001</v>
      </c>
      <c r="Q124" s="1">
        <f>'Paste cell here'!V124</f>
        <v>0</v>
      </c>
      <c r="R124" s="1">
        <f t="shared" si="9"/>
        <v>2.7396000000123877E-5</v>
      </c>
      <c r="S124" s="7">
        <f>Sintesi!$C$30</f>
        <v>8.3099999999999993E-2</v>
      </c>
      <c r="T124" s="7">
        <f>Sintesi!$C$29</f>
        <v>0.229209</v>
      </c>
      <c r="U124" s="5">
        <f>O124/(Sintesi!$C$5*1000)</f>
        <v>0.16652949790000002</v>
      </c>
      <c r="V124" s="1">
        <f t="shared" si="5"/>
        <v>0.14610899999999999</v>
      </c>
      <c r="W124" s="1">
        <v>0.523332701166623</v>
      </c>
      <c r="X124" s="1">
        <f t="shared" si="6"/>
        <v>7.6463617634754108E-2</v>
      </c>
      <c r="Y124" s="1">
        <f t="shared" si="7"/>
        <v>0.15274538236524587</v>
      </c>
      <c r="Z124" s="1">
        <f>'Paste cellinfo here'!$B$11</f>
        <v>0.51802400000000004</v>
      </c>
    </row>
    <row r="125" spans="1:26">
      <c r="A125" s="1">
        <v>124</v>
      </c>
      <c r="B125" s="2">
        <f>DATE(Sintesi!$C$4-1,12,31)+A125</f>
        <v>44320</v>
      </c>
      <c r="C125" s="1">
        <f>'Paste cell here'!B125</f>
        <v>0</v>
      </c>
      <c r="D125" s="1">
        <f>'Paste cell here'!I125</f>
        <v>0</v>
      </c>
      <c r="E125" s="1">
        <f>'Paste cell here'!J125</f>
        <v>0</v>
      </c>
      <c r="F125" s="1">
        <f>'Paste cell here'!K125</f>
        <v>0</v>
      </c>
      <c r="G125" s="1">
        <f>'Paste cell here'!L125</f>
        <v>0</v>
      </c>
      <c r="H125" s="1">
        <f>'Paste cell here'!M125</f>
        <v>0</v>
      </c>
      <c r="I125" s="1">
        <f>'Paste cell here'!N125</f>
        <v>0</v>
      </c>
      <c r="J125" s="1">
        <f>'Paste cell here'!O125</f>
        <v>0</v>
      </c>
      <c r="K125" s="1">
        <f>'Paste cell here'!Q125</f>
        <v>3.9582919900000002</v>
      </c>
      <c r="L125" s="1">
        <f>'Paste cell here'!S125</f>
        <v>0</v>
      </c>
      <c r="M125" s="1">
        <f>'Paste cell here'!T125</f>
        <v>1.7899999999999999E-3</v>
      </c>
      <c r="N125" s="1">
        <f>'Paste cell here'!W125</f>
        <v>0</v>
      </c>
      <c r="O125" s="1">
        <f>'Paste cell here'!U125</f>
        <v>12.69287042</v>
      </c>
      <c r="P125" s="1">
        <f t="shared" si="8"/>
        <v>16.652949790000001</v>
      </c>
      <c r="Q125" s="1">
        <f>'Paste cell here'!V125</f>
        <v>0</v>
      </c>
      <c r="R125" s="1">
        <f t="shared" si="9"/>
        <v>2.6199999982878808E-6</v>
      </c>
      <c r="S125" s="7">
        <f>Sintesi!$C$30</f>
        <v>8.3099999999999993E-2</v>
      </c>
      <c r="T125" s="7">
        <f>Sintesi!$C$29</f>
        <v>0.229209</v>
      </c>
      <c r="U125" s="5">
        <f>O125/(Sintesi!$C$5*1000)</f>
        <v>0.12692870419999999</v>
      </c>
      <c r="V125" s="1">
        <f t="shared" si="5"/>
        <v>0.14610899999999999</v>
      </c>
      <c r="W125" s="1">
        <v>0.57796159890698295</v>
      </c>
      <c r="X125" s="1">
        <f t="shared" si="6"/>
        <v>8.4445391254700367E-2</v>
      </c>
      <c r="Y125" s="1">
        <f t="shared" si="7"/>
        <v>0.14476360874529964</v>
      </c>
      <c r="Z125" s="1">
        <f>'Paste cellinfo here'!$B$11</f>
        <v>0.51802400000000004</v>
      </c>
    </row>
    <row r="126" spans="1:26">
      <c r="A126" s="1">
        <v>125</v>
      </c>
      <c r="B126" s="2">
        <f>DATE(Sintesi!$C$4-1,12,31)+A126</f>
        <v>44321</v>
      </c>
      <c r="C126" s="1">
        <f>'Paste cell here'!B126</f>
        <v>0</v>
      </c>
      <c r="D126" s="1">
        <f>'Paste cell here'!I126</f>
        <v>0</v>
      </c>
      <c r="E126" s="1">
        <f>'Paste cell here'!J126</f>
        <v>0</v>
      </c>
      <c r="F126" s="1">
        <f>'Paste cell here'!K126</f>
        <v>0</v>
      </c>
      <c r="G126" s="1">
        <f>'Paste cell here'!L126</f>
        <v>0</v>
      </c>
      <c r="H126" s="1">
        <f>'Paste cell here'!M126</f>
        <v>0</v>
      </c>
      <c r="I126" s="1">
        <f>'Paste cell here'!N126</f>
        <v>0</v>
      </c>
      <c r="J126" s="1">
        <f>'Paste cell here'!O126</f>
        <v>0</v>
      </c>
      <c r="K126" s="1">
        <f>'Paste cell here'!Q126</f>
        <v>2.1649086479999999</v>
      </c>
      <c r="L126" s="1">
        <f>'Paste cell here'!S126</f>
        <v>0</v>
      </c>
      <c r="M126" s="1">
        <f>'Paste cell here'!T126</f>
        <v>4.71E-5</v>
      </c>
      <c r="N126" s="1">
        <f>'Paste cell here'!W126</f>
        <v>0</v>
      </c>
      <c r="O126" s="1">
        <f>'Paste cell here'!U126</f>
        <v>10.52791463</v>
      </c>
      <c r="P126" s="1">
        <f t="shared" si="8"/>
        <v>12.69287042</v>
      </c>
      <c r="Q126" s="1">
        <f>'Paste cell here'!V126</f>
        <v>0</v>
      </c>
      <c r="R126" s="1">
        <f t="shared" si="9"/>
        <v>4.2000001698738743E-8</v>
      </c>
      <c r="S126" s="7">
        <f>Sintesi!$C$30</f>
        <v>8.3099999999999993E-2</v>
      </c>
      <c r="T126" s="7">
        <f>Sintesi!$C$29</f>
        <v>0.229209</v>
      </c>
      <c r="U126" s="5">
        <f>O126/(Sintesi!$C$5*1000)</f>
        <v>0.1052791463</v>
      </c>
      <c r="V126" s="1">
        <f t="shared" si="5"/>
        <v>0.14610899999999999</v>
      </c>
      <c r="W126" s="1">
        <v>0.58367773058325101</v>
      </c>
      <c r="X126" s="1">
        <f t="shared" si="6"/>
        <v>8.5280569537788217E-2</v>
      </c>
      <c r="Y126" s="1">
        <f t="shared" si="7"/>
        <v>0.14392843046221176</v>
      </c>
      <c r="Z126" s="1">
        <f>'Paste cellinfo here'!$B$11</f>
        <v>0.51802400000000004</v>
      </c>
    </row>
    <row r="127" spans="1:26">
      <c r="A127" s="1">
        <v>126</v>
      </c>
      <c r="B127" s="2">
        <f>DATE(Sintesi!$C$4-1,12,31)+A127</f>
        <v>44322</v>
      </c>
      <c r="C127" s="1">
        <f>'Paste cell here'!B127</f>
        <v>0</v>
      </c>
      <c r="D127" s="1">
        <f>'Paste cell here'!I127</f>
        <v>0</v>
      </c>
      <c r="E127" s="1">
        <f>'Paste cell here'!J127</f>
        <v>0</v>
      </c>
      <c r="F127" s="1">
        <f>'Paste cell here'!K127</f>
        <v>0</v>
      </c>
      <c r="G127" s="1">
        <f>'Paste cell here'!L127</f>
        <v>0</v>
      </c>
      <c r="H127" s="1">
        <f>'Paste cell here'!M127</f>
        <v>0</v>
      </c>
      <c r="I127" s="1">
        <f>'Paste cell here'!N127</f>
        <v>0</v>
      </c>
      <c r="J127" s="1">
        <f>'Paste cell here'!O127</f>
        <v>0</v>
      </c>
      <c r="K127" s="1">
        <f>'Paste cell here'!Q127</f>
        <v>1.72445889</v>
      </c>
      <c r="L127" s="1">
        <f>'Paste cell here'!S127</f>
        <v>0</v>
      </c>
      <c r="M127" s="1">
        <f>'Paste cell here'!T127</f>
        <v>2.4700000000000001E-6</v>
      </c>
      <c r="N127" s="1">
        <f>'Paste cell here'!W127</f>
        <v>0</v>
      </c>
      <c r="O127" s="1">
        <f>'Paste cell here'!U127</f>
        <v>8.8034532680000002</v>
      </c>
      <c r="P127" s="1">
        <f t="shared" si="8"/>
        <v>10.52791463</v>
      </c>
      <c r="Q127" s="1">
        <f>'Paste cell here'!V127</f>
        <v>0</v>
      </c>
      <c r="R127" s="1">
        <f t="shared" si="9"/>
        <v>2.000000165480742E-9</v>
      </c>
      <c r="S127" s="7">
        <f>Sintesi!$C$30</f>
        <v>8.3099999999999993E-2</v>
      </c>
      <c r="T127" s="7">
        <f>Sintesi!$C$29</f>
        <v>0.229209</v>
      </c>
      <c r="U127" s="5">
        <f>O127/(Sintesi!$C$5*1000)</f>
        <v>8.8034532679999999E-2</v>
      </c>
      <c r="V127" s="1">
        <f t="shared" si="5"/>
        <v>0.14610899999999999</v>
      </c>
      <c r="W127" s="1">
        <v>0.62850695063711304</v>
      </c>
      <c r="X127" s="1">
        <f t="shared" si="6"/>
        <v>9.1830522050637936E-2</v>
      </c>
      <c r="Y127" s="1">
        <f t="shared" si="7"/>
        <v>0.13737847794936206</v>
      </c>
      <c r="Z127" s="1">
        <f>'Paste cellinfo here'!$B$11</f>
        <v>0.51802400000000004</v>
      </c>
    </row>
    <row r="128" spans="1:26">
      <c r="A128" s="1">
        <v>127</v>
      </c>
      <c r="B128" s="2">
        <f>DATE(Sintesi!$C$4-1,12,31)+A128</f>
        <v>44323</v>
      </c>
      <c r="C128" s="1">
        <f>'Paste cell here'!B128</f>
        <v>0</v>
      </c>
      <c r="D128" s="1">
        <f>'Paste cell here'!I128</f>
        <v>0</v>
      </c>
      <c r="E128" s="1">
        <f>'Paste cell here'!J128</f>
        <v>0</v>
      </c>
      <c r="F128" s="1">
        <f>'Paste cell here'!K128</f>
        <v>0</v>
      </c>
      <c r="G128" s="1">
        <f>'Paste cell here'!L128</f>
        <v>0</v>
      </c>
      <c r="H128" s="1">
        <f>'Paste cell here'!M128</f>
        <v>0</v>
      </c>
      <c r="I128" s="1">
        <f>'Paste cell here'!N128</f>
        <v>0</v>
      </c>
      <c r="J128" s="1">
        <f>'Paste cell here'!O128</f>
        <v>0</v>
      </c>
      <c r="K128" s="1">
        <f>'Paste cell here'!Q128</f>
        <v>1.6690233050000001</v>
      </c>
      <c r="L128" s="1">
        <f>'Paste cell here'!S128</f>
        <v>0</v>
      </c>
      <c r="M128" s="1">
        <f>'Paste cell here'!T128</f>
        <v>8.4400000000000001E-8</v>
      </c>
      <c r="N128" s="1">
        <f>'Paste cell here'!W128</f>
        <v>0</v>
      </c>
      <c r="O128" s="1">
        <f>'Paste cell here'!U128</f>
        <v>7.1344298779999997</v>
      </c>
      <c r="P128" s="1">
        <f t="shared" si="8"/>
        <v>8.8034532680000002</v>
      </c>
      <c r="Q128" s="1">
        <f>'Paste cell here'!V128</f>
        <v>0</v>
      </c>
      <c r="R128" s="1">
        <f t="shared" si="9"/>
        <v>6.000009378226423E-10</v>
      </c>
      <c r="S128" s="7">
        <f>Sintesi!$C$30</f>
        <v>8.3099999999999993E-2</v>
      </c>
      <c r="T128" s="7">
        <f>Sintesi!$C$29</f>
        <v>0.229209</v>
      </c>
      <c r="U128" s="5">
        <f>O128/(Sintesi!$C$5*1000)</f>
        <v>7.1344298779999996E-2</v>
      </c>
      <c r="V128" s="1">
        <f t="shared" si="5"/>
        <v>0.14610899999999999</v>
      </c>
      <c r="W128" s="1">
        <v>0.54497579879770996</v>
      </c>
      <c r="X128" s="1">
        <f t="shared" si="6"/>
        <v>7.9625868986534593E-2</v>
      </c>
      <c r="Y128" s="1">
        <f t="shared" si="7"/>
        <v>0.1495831310134654</v>
      </c>
      <c r="Z128" s="1">
        <f>'Paste cellinfo here'!$B$11</f>
        <v>0.51802400000000004</v>
      </c>
    </row>
    <row r="129" spans="1:26">
      <c r="A129" s="1">
        <v>128</v>
      </c>
      <c r="B129" s="2">
        <f>DATE(Sintesi!$C$4-1,12,31)+A129</f>
        <v>44324</v>
      </c>
      <c r="C129" s="1">
        <f>'Paste cell here'!B129</f>
        <v>0</v>
      </c>
      <c r="D129" s="1">
        <f>'Paste cell here'!I129</f>
        <v>0</v>
      </c>
      <c r="E129" s="1">
        <f>'Paste cell here'!J129</f>
        <v>0</v>
      </c>
      <c r="F129" s="1">
        <f>'Paste cell here'!K129</f>
        <v>0</v>
      </c>
      <c r="G129" s="1">
        <f>'Paste cell here'!L129</f>
        <v>0</v>
      </c>
      <c r="H129" s="1">
        <f>'Paste cell here'!M129</f>
        <v>0</v>
      </c>
      <c r="I129" s="1">
        <f>'Paste cell here'!N129</f>
        <v>0</v>
      </c>
      <c r="J129" s="1">
        <f>'Paste cell here'!O129</f>
        <v>0</v>
      </c>
      <c r="K129" s="1">
        <f>'Paste cell here'!Q129</f>
        <v>0.83765931199999999</v>
      </c>
      <c r="L129" s="1">
        <f>'Paste cell here'!S129</f>
        <v>0</v>
      </c>
      <c r="M129" s="1">
        <f>'Paste cell here'!T129</f>
        <v>6.6499999999999998E-10</v>
      </c>
      <c r="N129" s="1">
        <f>'Paste cell here'!W129</f>
        <v>0</v>
      </c>
      <c r="O129" s="1">
        <f>'Paste cell here'!U129</f>
        <v>6.2967705660000002</v>
      </c>
      <c r="P129" s="1">
        <f t="shared" si="8"/>
        <v>7.1344298779999997</v>
      </c>
      <c r="Q129" s="1">
        <f>'Paste cell here'!V129</f>
        <v>0</v>
      </c>
      <c r="R129" s="1">
        <f t="shared" si="9"/>
        <v>6.6500049911155656E-10</v>
      </c>
      <c r="S129" s="7">
        <f>Sintesi!$C$30</f>
        <v>8.3099999999999993E-2</v>
      </c>
      <c r="T129" s="7">
        <f>Sintesi!$C$29</f>
        <v>0.229209</v>
      </c>
      <c r="U129" s="5">
        <f>O129/(Sintesi!$C$5*1000)</f>
        <v>6.2967705659999998E-2</v>
      </c>
      <c r="V129" s="1">
        <f t="shared" si="5"/>
        <v>0.14610899999999999</v>
      </c>
      <c r="W129" s="1">
        <v>0.54550247784744899</v>
      </c>
      <c r="X129" s="1">
        <f t="shared" si="6"/>
        <v>7.9702821535812915E-2</v>
      </c>
      <c r="Y129" s="1">
        <f t="shared" si="7"/>
        <v>0.14950617846418707</v>
      </c>
      <c r="Z129" s="1">
        <f>'Paste cellinfo here'!$B$11</f>
        <v>0.51802400000000004</v>
      </c>
    </row>
    <row r="130" spans="1:26">
      <c r="A130" s="1">
        <v>129</v>
      </c>
      <c r="B130" s="2">
        <f>DATE(Sintesi!$C$4-1,12,31)+A130</f>
        <v>44325</v>
      </c>
      <c r="C130" s="1">
        <f>'Paste cell here'!B130</f>
        <v>0</v>
      </c>
      <c r="D130" s="1">
        <f>'Paste cell here'!I130</f>
        <v>0</v>
      </c>
      <c r="E130" s="1">
        <f>'Paste cell here'!J130</f>
        <v>0</v>
      </c>
      <c r="F130" s="1">
        <f>'Paste cell here'!K130</f>
        <v>0</v>
      </c>
      <c r="G130" s="1">
        <f>'Paste cell here'!L130</f>
        <v>0</v>
      </c>
      <c r="H130" s="1">
        <f>'Paste cell here'!M130</f>
        <v>0</v>
      </c>
      <c r="I130" s="1">
        <f>'Paste cell here'!N130</f>
        <v>0</v>
      </c>
      <c r="J130" s="1">
        <f>'Paste cell here'!O130</f>
        <v>0</v>
      </c>
      <c r="K130" s="1">
        <f>'Paste cell here'!Q130</f>
        <v>0.57835726200000004</v>
      </c>
      <c r="L130" s="1">
        <f>'Paste cell here'!S130</f>
        <v>0</v>
      </c>
      <c r="M130" s="1">
        <f>'Paste cell here'!T130</f>
        <v>1.1500000000000001E-11</v>
      </c>
      <c r="N130" s="1">
        <f>'Paste cell here'!W130</f>
        <v>0</v>
      </c>
      <c r="O130" s="1">
        <f>'Paste cell here'!U130</f>
        <v>5.7184133040000003</v>
      </c>
      <c r="P130" s="1">
        <f t="shared" si="8"/>
        <v>6.2967705660000002</v>
      </c>
      <c r="Q130" s="1">
        <f>'Paste cell here'!V130</f>
        <v>0</v>
      </c>
      <c r="R130" s="1">
        <f t="shared" si="9"/>
        <v>1.1500134178277222E-11</v>
      </c>
      <c r="S130" s="7">
        <f>Sintesi!$C$30</f>
        <v>8.3099999999999993E-2</v>
      </c>
      <c r="T130" s="7">
        <f>Sintesi!$C$29</f>
        <v>0.229209</v>
      </c>
      <c r="U130" s="5">
        <f>O130/(Sintesi!$C$5*1000)</f>
        <v>5.7184133040000001E-2</v>
      </c>
      <c r="V130" s="1">
        <f t="shared" si="5"/>
        <v>0.14610899999999999</v>
      </c>
      <c r="W130" s="1">
        <v>0.60792515760602295</v>
      </c>
      <c r="X130" s="1">
        <f t="shared" si="6"/>
        <v>8.8823336852658405E-2</v>
      </c>
      <c r="Y130" s="1">
        <f t="shared" si="7"/>
        <v>0.14038566314734158</v>
      </c>
      <c r="Z130" s="1">
        <f>'Paste cellinfo here'!$B$11</f>
        <v>0.51802400000000004</v>
      </c>
    </row>
    <row r="131" spans="1:26">
      <c r="A131" s="1">
        <v>130</v>
      </c>
      <c r="B131" s="2">
        <f>DATE(Sintesi!$C$4-1,12,31)+A131</f>
        <v>44326</v>
      </c>
      <c r="C131" s="1">
        <f>'Paste cell here'!B131</f>
        <v>0.97461791099999995</v>
      </c>
      <c r="D131" s="1">
        <f>'Paste cell here'!I131</f>
        <v>0</v>
      </c>
      <c r="E131" s="1">
        <f>'Paste cell here'!J131</f>
        <v>0.68503749599999997</v>
      </c>
      <c r="F131" s="1">
        <f>'Paste cell here'!K131</f>
        <v>0.97461791099999995</v>
      </c>
      <c r="G131" s="1">
        <f>'Paste cell here'!L131</f>
        <v>0.68503749599999997</v>
      </c>
      <c r="H131" s="1">
        <f>'Paste cell here'!M131</f>
        <v>0.28958041499999998</v>
      </c>
      <c r="I131" s="1">
        <f>'Paste cell here'!N131</f>
        <v>0</v>
      </c>
      <c r="J131" s="1">
        <f>'Paste cell here'!O131</f>
        <v>0.68503751700000004</v>
      </c>
      <c r="K131" s="1">
        <f>'Paste cell here'!Q131</f>
        <v>0.482631062</v>
      </c>
      <c r="L131" s="1">
        <f>'Paste cell here'!S131</f>
        <v>0</v>
      </c>
      <c r="M131" s="1">
        <f>'Paste cell here'!T131</f>
        <v>9.4999999999999999E-13</v>
      </c>
      <c r="N131" s="1">
        <f>'Paste cell here'!W131</f>
        <v>0</v>
      </c>
      <c r="O131" s="1">
        <f>'Paste cell here'!U131</f>
        <v>5.9208197589999996</v>
      </c>
      <c r="P131" s="1">
        <f t="shared" si="8"/>
        <v>5.7184133040000003</v>
      </c>
      <c r="Q131" s="1">
        <f>'Paste cell here'!V131</f>
        <v>0</v>
      </c>
      <c r="R131" s="1">
        <f t="shared" si="9"/>
        <v>2.1000949423921611E-8</v>
      </c>
      <c r="S131" s="7">
        <f>Sintesi!$C$30</f>
        <v>8.3099999999999993E-2</v>
      </c>
      <c r="T131" s="7">
        <f>Sintesi!$C$29</f>
        <v>0.229209</v>
      </c>
      <c r="U131" s="5">
        <f>O131/(Sintesi!$C$5*1000)</f>
        <v>5.9208197589999997E-2</v>
      </c>
      <c r="V131" s="1">
        <f t="shared" ref="V131:V194" si="10">T131-S131</f>
        <v>0.14610899999999999</v>
      </c>
      <c r="W131" s="1">
        <v>0.55450755146153596</v>
      </c>
      <c r="X131" s="1">
        <f t="shared" ref="X131:X194" si="11">W131*V131</f>
        <v>8.1018543836493553E-2</v>
      </c>
      <c r="Y131" s="1">
        <f t="shared" ref="Y131:Y194" si="12">T131-X131</f>
        <v>0.14819045616350646</v>
      </c>
      <c r="Z131" s="1">
        <f>'Paste cellinfo here'!$B$11</f>
        <v>0.51802400000000004</v>
      </c>
    </row>
    <row r="132" spans="1:26">
      <c r="A132" s="1">
        <v>131</v>
      </c>
      <c r="B132" s="2">
        <f>DATE(Sintesi!$C$4-1,12,31)+A132</f>
        <v>44327</v>
      </c>
      <c r="C132" s="1">
        <f>'Paste cell here'!B132</f>
        <v>5.9644057789999998</v>
      </c>
      <c r="D132" s="1">
        <f>'Paste cell here'!I132</f>
        <v>0</v>
      </c>
      <c r="E132" s="1">
        <f>'Paste cell here'!J132</f>
        <v>5.280424666</v>
      </c>
      <c r="F132" s="1">
        <f>'Paste cell here'!K132</f>
        <v>5.9644057789999998</v>
      </c>
      <c r="G132" s="1">
        <f>'Paste cell here'!L132</f>
        <v>5.280424666</v>
      </c>
      <c r="H132" s="1">
        <f>'Paste cell here'!M132</f>
        <v>0.68398111299999997</v>
      </c>
      <c r="I132" s="1">
        <f>'Paste cell here'!N132</f>
        <v>0</v>
      </c>
      <c r="J132" s="1">
        <f>'Paste cell here'!O132</f>
        <v>5.2804248239999998</v>
      </c>
      <c r="K132" s="1">
        <f>'Paste cell here'!Q132</f>
        <v>0.48878854999999999</v>
      </c>
      <c r="L132" s="1">
        <f>'Paste cell here'!S132</f>
        <v>0</v>
      </c>
      <c r="M132" s="1">
        <f>'Paste cell here'!T132</f>
        <v>7.9500000000000001E-7</v>
      </c>
      <c r="N132" s="1">
        <f>'Paste cell here'!W132</f>
        <v>0</v>
      </c>
      <c r="O132" s="1">
        <f>'Paste cell here'!U132</f>
        <v>10.712455240000001</v>
      </c>
      <c r="P132" s="1">
        <f t="shared" ref="P132:P195" si="13">O131</f>
        <v>5.9208197589999996</v>
      </c>
      <c r="Q132" s="1">
        <f>'Paste cell here'!V132</f>
        <v>0</v>
      </c>
      <c r="R132" s="1">
        <f t="shared" ref="R132:R195" si="14">ABS(O131+C132+D132+N132+Q131-H132-I132-K132-L132-M132-O132-Q132)</f>
        <v>1.6000000080396148E-7</v>
      </c>
      <c r="S132" s="7">
        <f>Sintesi!$C$30</f>
        <v>8.3099999999999993E-2</v>
      </c>
      <c r="T132" s="7">
        <f>Sintesi!$C$29</f>
        <v>0.229209</v>
      </c>
      <c r="U132" s="5">
        <f>O132/(Sintesi!$C$5*1000)</f>
        <v>0.1071245524</v>
      </c>
      <c r="V132" s="1">
        <f t="shared" si="10"/>
        <v>0.14610899999999999</v>
      </c>
      <c r="W132" s="1">
        <v>0.55492818212878303</v>
      </c>
      <c r="X132" s="1">
        <f t="shared" si="11"/>
        <v>8.1080001762654355E-2</v>
      </c>
      <c r="Y132" s="1">
        <f t="shared" si="12"/>
        <v>0.14812899823734565</v>
      </c>
      <c r="Z132" s="1">
        <f>'Paste cellinfo here'!$B$11</f>
        <v>0.51802400000000004</v>
      </c>
    </row>
    <row r="133" spans="1:26">
      <c r="A133" s="1">
        <v>132</v>
      </c>
      <c r="B133" s="2">
        <f>DATE(Sintesi!$C$4-1,12,31)+A133</f>
        <v>44328</v>
      </c>
      <c r="C133" s="1">
        <f>'Paste cell here'!B133</f>
        <v>5.4114895289999998</v>
      </c>
      <c r="D133" s="1">
        <f>'Paste cell here'!I133</f>
        <v>0</v>
      </c>
      <c r="E133" s="1">
        <f>'Paste cell here'!J133</f>
        <v>4.6942588269999996</v>
      </c>
      <c r="F133" s="1">
        <f>'Paste cell here'!K133</f>
        <v>5.4114895289999998</v>
      </c>
      <c r="G133" s="1">
        <f>'Paste cell here'!L133</f>
        <v>4.6942588269999996</v>
      </c>
      <c r="H133" s="1">
        <f>'Paste cell here'!M133</f>
        <v>0.71723070099999997</v>
      </c>
      <c r="I133" s="1">
        <f>'Paste cell here'!N133</f>
        <v>0</v>
      </c>
      <c r="J133" s="1">
        <f>'Paste cell here'!O133</f>
        <v>4.6942589669999997</v>
      </c>
      <c r="K133" s="1">
        <f>'Paste cell here'!Q133</f>
        <v>2.3430569389999998</v>
      </c>
      <c r="L133" s="1">
        <f>'Paste cell here'!S133</f>
        <v>0</v>
      </c>
      <c r="M133" s="1">
        <f>'Paste cell here'!T133</f>
        <v>4.5800000000000002E-5</v>
      </c>
      <c r="N133" s="1">
        <f>'Paste cell here'!W133</f>
        <v>0</v>
      </c>
      <c r="O133" s="1">
        <f>'Paste cell here'!U133</f>
        <v>13.06361145</v>
      </c>
      <c r="P133" s="1">
        <f t="shared" si="13"/>
        <v>10.712455240000001</v>
      </c>
      <c r="Q133" s="1">
        <f>'Paste cell here'!V133</f>
        <v>0</v>
      </c>
      <c r="R133" s="1">
        <f t="shared" si="14"/>
        <v>1.2099999935344385E-7</v>
      </c>
      <c r="S133" s="7">
        <f>Sintesi!$C$30</f>
        <v>8.3099999999999993E-2</v>
      </c>
      <c r="T133" s="7">
        <f>Sintesi!$C$29</f>
        <v>0.229209</v>
      </c>
      <c r="U133" s="5">
        <f>O133/(Sintesi!$C$5*1000)</f>
        <v>0.13063611450000001</v>
      </c>
      <c r="V133" s="1">
        <f t="shared" si="10"/>
        <v>0.14610899999999999</v>
      </c>
      <c r="W133" s="1">
        <v>0.58761949570720795</v>
      </c>
      <c r="X133" s="1">
        <f t="shared" si="11"/>
        <v>8.5856496898284437E-2</v>
      </c>
      <c r="Y133" s="1">
        <f t="shared" si="12"/>
        <v>0.14335250310171554</v>
      </c>
      <c r="Z133" s="1">
        <f>'Paste cellinfo here'!$B$11</f>
        <v>0.51802400000000004</v>
      </c>
    </row>
    <row r="134" spans="1:26">
      <c r="A134" s="1">
        <v>133</v>
      </c>
      <c r="B134" s="2">
        <f>DATE(Sintesi!$C$4-1,12,31)+A134</f>
        <v>44329</v>
      </c>
      <c r="C134" s="1">
        <f>'Paste cell here'!B134</f>
        <v>0</v>
      </c>
      <c r="D134" s="1">
        <f>'Paste cell here'!I134</f>
        <v>0</v>
      </c>
      <c r="E134" s="1">
        <f>'Paste cell here'!J134</f>
        <v>0</v>
      </c>
      <c r="F134" s="1">
        <f>'Paste cell here'!K134</f>
        <v>0</v>
      </c>
      <c r="G134" s="1">
        <f>'Paste cell here'!L134</f>
        <v>0</v>
      </c>
      <c r="H134" s="1">
        <f>'Paste cell here'!M134</f>
        <v>0</v>
      </c>
      <c r="I134" s="1">
        <f>'Paste cell here'!N134</f>
        <v>0</v>
      </c>
      <c r="J134" s="1">
        <f>'Paste cell here'!O134</f>
        <v>0</v>
      </c>
      <c r="K134" s="1">
        <f>'Paste cell here'!Q134</f>
        <v>2.242754632</v>
      </c>
      <c r="L134" s="1">
        <f>'Paste cell here'!S134</f>
        <v>0</v>
      </c>
      <c r="M134" s="1">
        <f>'Paste cell here'!T134</f>
        <v>7.1400000000000001E-5</v>
      </c>
      <c r="N134" s="1">
        <f>'Paste cell here'!W134</f>
        <v>0</v>
      </c>
      <c r="O134" s="1">
        <f>'Paste cell here'!U134</f>
        <v>10.82078538</v>
      </c>
      <c r="P134" s="1">
        <f t="shared" si="13"/>
        <v>13.06361145</v>
      </c>
      <c r="Q134" s="1">
        <f>'Paste cell here'!V134</f>
        <v>0</v>
      </c>
      <c r="R134" s="1">
        <f t="shared" si="14"/>
        <v>3.7999999591420419E-8</v>
      </c>
      <c r="S134" s="7">
        <f>Sintesi!$C$30</f>
        <v>8.3099999999999993E-2</v>
      </c>
      <c r="T134" s="7">
        <f>Sintesi!$C$29</f>
        <v>0.229209</v>
      </c>
      <c r="U134" s="5">
        <f>O134/(Sintesi!$C$5*1000)</f>
        <v>0.1082078538</v>
      </c>
      <c r="V134" s="1">
        <f t="shared" si="10"/>
        <v>0.14610899999999999</v>
      </c>
      <c r="W134" s="1">
        <v>0.62648332923870598</v>
      </c>
      <c r="X134" s="1">
        <f t="shared" si="11"/>
        <v>9.1534852751738088E-2</v>
      </c>
      <c r="Y134" s="1">
        <f t="shared" si="12"/>
        <v>0.13767414724826191</v>
      </c>
      <c r="Z134" s="1">
        <f>'Paste cellinfo here'!$B$11</f>
        <v>0.51802400000000004</v>
      </c>
    </row>
    <row r="135" spans="1:26">
      <c r="A135" s="1">
        <v>134</v>
      </c>
      <c r="B135" s="2">
        <f>DATE(Sintesi!$C$4-1,12,31)+A135</f>
        <v>44330</v>
      </c>
      <c r="C135" s="1">
        <f>'Paste cell here'!B135</f>
        <v>3.373414887</v>
      </c>
      <c r="D135" s="1">
        <f>'Paste cell here'!I135</f>
        <v>0</v>
      </c>
      <c r="E135" s="1">
        <f>'Paste cell here'!J135</f>
        <v>2.6644872739999999</v>
      </c>
      <c r="F135" s="1">
        <f>'Paste cell here'!K135</f>
        <v>3.373414887</v>
      </c>
      <c r="G135" s="1">
        <f>'Paste cell here'!L135</f>
        <v>2.6644872739999999</v>
      </c>
      <c r="H135" s="1">
        <f>'Paste cell here'!M135</f>
        <v>0.70892761299999996</v>
      </c>
      <c r="I135" s="1">
        <f>'Paste cell here'!N135</f>
        <v>0</v>
      </c>
      <c r="J135" s="1">
        <f>'Paste cell here'!O135</f>
        <v>2.6644873530000002</v>
      </c>
      <c r="K135" s="1">
        <f>'Paste cell here'!Q135</f>
        <v>1.609783795</v>
      </c>
      <c r="L135" s="1">
        <f>'Paste cell here'!S135</f>
        <v>0</v>
      </c>
      <c r="M135" s="1">
        <f>'Paste cell here'!T135</f>
        <v>1.98E-5</v>
      </c>
      <c r="N135" s="1">
        <f>'Paste cell here'!W135</f>
        <v>0</v>
      </c>
      <c r="O135" s="1">
        <f>'Paste cell here'!U135</f>
        <v>11.87546918</v>
      </c>
      <c r="P135" s="1">
        <f t="shared" si="13"/>
        <v>10.82078538</v>
      </c>
      <c r="Q135" s="1">
        <f>'Paste cell here'!V135</f>
        <v>0</v>
      </c>
      <c r="R135" s="1">
        <f t="shared" si="14"/>
        <v>1.2100000112980069E-7</v>
      </c>
      <c r="S135" s="7">
        <f>Sintesi!$C$30</f>
        <v>8.3099999999999993E-2</v>
      </c>
      <c r="T135" s="7">
        <f>Sintesi!$C$29</f>
        <v>0.229209</v>
      </c>
      <c r="U135" s="5">
        <f>O135/(Sintesi!$C$5*1000)</f>
        <v>0.11875469179999999</v>
      </c>
      <c r="V135" s="1">
        <f t="shared" si="10"/>
        <v>0.14610899999999999</v>
      </c>
      <c r="W135" s="1">
        <v>0.62172386870412899</v>
      </c>
      <c r="X135" s="1">
        <f t="shared" si="11"/>
        <v>9.0839452732491582E-2</v>
      </c>
      <c r="Y135" s="1">
        <f t="shared" si="12"/>
        <v>0.13836954726750841</v>
      </c>
      <c r="Z135" s="1">
        <f>'Paste cellinfo here'!$B$11</f>
        <v>0.51802400000000004</v>
      </c>
    </row>
    <row r="136" spans="1:26">
      <c r="A136" s="1">
        <v>135</v>
      </c>
      <c r="B136" s="2">
        <f>DATE(Sintesi!$C$4-1,12,31)+A136</f>
        <v>44331</v>
      </c>
      <c r="C136" s="1">
        <f>'Paste cell here'!B136</f>
        <v>0</v>
      </c>
      <c r="D136" s="1">
        <f>'Paste cell here'!I136</f>
        <v>0</v>
      </c>
      <c r="E136" s="1">
        <f>'Paste cell here'!J136</f>
        <v>0</v>
      </c>
      <c r="F136" s="1">
        <f>'Paste cell here'!K136</f>
        <v>0</v>
      </c>
      <c r="G136" s="1">
        <f>'Paste cell here'!L136</f>
        <v>0</v>
      </c>
      <c r="H136" s="1">
        <f>'Paste cell here'!M136</f>
        <v>0</v>
      </c>
      <c r="I136" s="1">
        <f>'Paste cell here'!N136</f>
        <v>0</v>
      </c>
      <c r="J136" s="1">
        <f>'Paste cell here'!O136</f>
        <v>0</v>
      </c>
      <c r="K136" s="1">
        <f>'Paste cell here'!Q136</f>
        <v>1.262375563</v>
      </c>
      <c r="L136" s="1">
        <f>'Paste cell here'!S136</f>
        <v>0</v>
      </c>
      <c r="M136" s="1">
        <f>'Paste cell here'!T136</f>
        <v>2.0999999999999999E-5</v>
      </c>
      <c r="N136" s="1">
        <f>'Paste cell here'!W136</f>
        <v>0</v>
      </c>
      <c r="O136" s="1">
        <f>'Paste cell here'!U136</f>
        <v>10.613072600000001</v>
      </c>
      <c r="P136" s="1">
        <f t="shared" si="13"/>
        <v>11.87546918</v>
      </c>
      <c r="Q136" s="1">
        <f>'Paste cell here'!V136</f>
        <v>0</v>
      </c>
      <c r="R136" s="1">
        <f t="shared" si="14"/>
        <v>1.6999999630229468E-8</v>
      </c>
      <c r="S136" s="7">
        <f>Sintesi!$C$30</f>
        <v>8.3099999999999993E-2</v>
      </c>
      <c r="T136" s="7">
        <f>Sintesi!$C$29</f>
        <v>0.229209</v>
      </c>
      <c r="U136" s="5">
        <f>O136/(Sintesi!$C$5*1000)</f>
        <v>0.10613072600000001</v>
      </c>
      <c r="V136" s="1">
        <f t="shared" si="10"/>
        <v>0.14610899999999999</v>
      </c>
      <c r="W136" s="1">
        <v>0.55980678162315001</v>
      </c>
      <c r="X136" s="1">
        <f t="shared" si="11"/>
        <v>8.1792809056176821E-2</v>
      </c>
      <c r="Y136" s="1">
        <f t="shared" si="12"/>
        <v>0.14741619094382319</v>
      </c>
      <c r="Z136" s="1">
        <f>'Paste cellinfo here'!$B$11</f>
        <v>0.51802400000000004</v>
      </c>
    </row>
    <row r="137" spans="1:26">
      <c r="A137" s="1">
        <v>136</v>
      </c>
      <c r="B137" s="2">
        <f>DATE(Sintesi!$C$4-1,12,31)+A137</f>
        <v>44332</v>
      </c>
      <c r="C137" s="1">
        <f>'Paste cell here'!B137</f>
        <v>5.0848543389999996</v>
      </c>
      <c r="D137" s="1">
        <f>'Paste cell here'!I137</f>
        <v>198</v>
      </c>
      <c r="E137" s="1">
        <f>'Paste cell here'!J137</f>
        <v>4.1852924480000002</v>
      </c>
      <c r="F137" s="1">
        <f>'Paste cell here'!K137</f>
        <v>203.08485429999999</v>
      </c>
      <c r="G137" s="1">
        <f>'Paste cell here'!L137</f>
        <v>4.1852924480000002</v>
      </c>
      <c r="H137" s="1">
        <f>'Paste cell here'!M137</f>
        <v>0.89956188999999998</v>
      </c>
      <c r="I137" s="1">
        <f>'Paste cell here'!N137</f>
        <v>0</v>
      </c>
      <c r="J137" s="1">
        <f>'Paste cell here'!O137</f>
        <v>4.1852925729999999</v>
      </c>
      <c r="K137" s="1">
        <f>'Paste cell here'!Q137</f>
        <v>1.002210944</v>
      </c>
      <c r="L137" s="1">
        <f>'Paste cell here'!S137</f>
        <v>0</v>
      </c>
      <c r="M137" s="1">
        <f>'Paste cell here'!T137</f>
        <v>184.00463110000001</v>
      </c>
      <c r="N137" s="1">
        <f>'Paste cell here'!W137</f>
        <v>0</v>
      </c>
      <c r="O137" s="1">
        <f>'Paste cell here'!U137</f>
        <v>27.791523160000001</v>
      </c>
      <c r="P137" s="1">
        <f t="shared" si="13"/>
        <v>10.613072600000001</v>
      </c>
      <c r="Q137" s="1">
        <f>'Paste cell here'!V137</f>
        <v>0</v>
      </c>
      <c r="R137" s="1">
        <f t="shared" si="14"/>
        <v>1.550000128247575E-7</v>
      </c>
      <c r="S137" s="7">
        <f>Sintesi!$C$30</f>
        <v>8.3099999999999993E-2</v>
      </c>
      <c r="T137" s="7">
        <f>Sintesi!$C$29</f>
        <v>0.229209</v>
      </c>
      <c r="U137" s="5">
        <f>O137/(Sintesi!$C$5*1000)</f>
        <v>0.27791523159999998</v>
      </c>
      <c r="V137" s="1">
        <f t="shared" si="10"/>
        <v>0.14610899999999999</v>
      </c>
      <c r="W137" s="1">
        <v>0.614587813415027</v>
      </c>
      <c r="X137" s="1">
        <f t="shared" si="11"/>
        <v>8.9796810830256174E-2</v>
      </c>
      <c r="Y137" s="1">
        <f t="shared" si="12"/>
        <v>0.13941218916974382</v>
      </c>
      <c r="Z137" s="1">
        <f>'Paste cellinfo here'!$B$11</f>
        <v>0.51802400000000004</v>
      </c>
    </row>
    <row r="138" spans="1:26">
      <c r="A138" s="1">
        <v>137</v>
      </c>
      <c r="B138" s="2">
        <f>DATE(Sintesi!$C$4-1,12,31)+A138</f>
        <v>44333</v>
      </c>
      <c r="C138" s="1">
        <f>'Paste cell here'!B138</f>
        <v>1.3905510320000001</v>
      </c>
      <c r="D138" s="1">
        <f>'Paste cell here'!I138</f>
        <v>0</v>
      </c>
      <c r="E138" s="1">
        <f>'Paste cell here'!J138</f>
        <v>0.83094000999999995</v>
      </c>
      <c r="F138" s="1">
        <f>'Paste cell here'!K138</f>
        <v>1.3905510320000001</v>
      </c>
      <c r="G138" s="1">
        <f>'Paste cell here'!L138</f>
        <v>0.83094000999999995</v>
      </c>
      <c r="H138" s="1">
        <f>'Paste cell here'!M138</f>
        <v>0.55961102200000001</v>
      </c>
      <c r="I138" s="1">
        <f>'Paste cell here'!N138</f>
        <v>0</v>
      </c>
      <c r="J138" s="1">
        <f>'Paste cell here'!O138</f>
        <v>0.83094003400000005</v>
      </c>
      <c r="K138" s="1">
        <f>'Paste cell here'!Q138</f>
        <v>3.9030501179999999</v>
      </c>
      <c r="L138" s="1">
        <f>'Paste cell here'!S138</f>
        <v>0</v>
      </c>
      <c r="M138" s="1">
        <f>'Paste cell here'!T138</f>
        <v>2.5842767740000001</v>
      </c>
      <c r="N138" s="1">
        <f>'Paste cell here'!W138</f>
        <v>0</v>
      </c>
      <c r="O138" s="1">
        <f>'Paste cell here'!U138</f>
        <v>22.135136299999999</v>
      </c>
      <c r="P138" s="1">
        <f t="shared" si="13"/>
        <v>27.791523160000001</v>
      </c>
      <c r="Q138" s="1">
        <f>'Paste cell here'!V138</f>
        <v>0</v>
      </c>
      <c r="R138" s="1">
        <f t="shared" si="14"/>
        <v>2.1999994714860804E-8</v>
      </c>
      <c r="S138" s="7">
        <f>Sintesi!$C$30</f>
        <v>8.3099999999999993E-2</v>
      </c>
      <c r="T138" s="7">
        <f>Sintesi!$C$29</f>
        <v>0.229209</v>
      </c>
      <c r="U138" s="5">
        <f>O138/(Sintesi!$C$5*1000)</f>
        <v>0.221351363</v>
      </c>
      <c r="V138" s="1">
        <f t="shared" si="10"/>
        <v>0.14610899999999999</v>
      </c>
      <c r="W138" s="1">
        <v>0.56365755547914198</v>
      </c>
      <c r="X138" s="1">
        <f t="shared" si="11"/>
        <v>8.2355441773501945E-2</v>
      </c>
      <c r="Y138" s="1">
        <f t="shared" si="12"/>
        <v>0.14685355822649804</v>
      </c>
      <c r="Z138" s="1">
        <f>'Paste cellinfo here'!$B$11</f>
        <v>0.51802400000000004</v>
      </c>
    </row>
    <row r="139" spans="1:26">
      <c r="A139" s="1">
        <v>138</v>
      </c>
      <c r="B139" s="2">
        <f>DATE(Sintesi!$C$4-1,12,31)+A139</f>
        <v>44334</v>
      </c>
      <c r="C139" s="1">
        <f>'Paste cell here'!B139</f>
        <v>2.6367687499999999</v>
      </c>
      <c r="D139" s="1">
        <f>'Paste cell here'!I139</f>
        <v>0</v>
      </c>
      <c r="E139" s="1">
        <f>'Paste cell here'!J139</f>
        <v>1.8348212180000001</v>
      </c>
      <c r="F139" s="1">
        <f>'Paste cell here'!K139</f>
        <v>2.6367687499999999</v>
      </c>
      <c r="G139" s="1">
        <f>'Paste cell here'!L139</f>
        <v>1.8348212180000001</v>
      </c>
      <c r="H139" s="1">
        <f>'Paste cell here'!M139</f>
        <v>0.80194753299999999</v>
      </c>
      <c r="I139" s="1">
        <f>'Paste cell here'!N139</f>
        <v>0</v>
      </c>
      <c r="J139" s="1">
        <f>'Paste cell here'!O139</f>
        <v>1.834821273</v>
      </c>
      <c r="K139" s="1">
        <f>'Paste cell here'!Q139</f>
        <v>3.1831395219999998</v>
      </c>
      <c r="L139" s="1">
        <f>'Paste cell here'!S139</f>
        <v>0</v>
      </c>
      <c r="M139" s="1">
        <f>'Paste cell here'!T139</f>
        <v>0.25880229999999999</v>
      </c>
      <c r="N139" s="1">
        <f>'Paste cell here'!W139</f>
        <v>0</v>
      </c>
      <c r="O139" s="1">
        <f>'Paste cell here'!U139</f>
        <v>20.528015759999999</v>
      </c>
      <c r="P139" s="1">
        <f t="shared" si="13"/>
        <v>22.135136299999999</v>
      </c>
      <c r="Q139" s="1">
        <f>'Paste cell here'!V139</f>
        <v>0</v>
      </c>
      <c r="R139" s="1">
        <f t="shared" si="14"/>
        <v>6.4999998272696757E-8</v>
      </c>
      <c r="S139" s="7">
        <f>Sintesi!$C$30</f>
        <v>8.3099999999999993E-2</v>
      </c>
      <c r="T139" s="7">
        <f>Sintesi!$C$29</f>
        <v>0.229209</v>
      </c>
      <c r="U139" s="5">
        <f>O139/(Sintesi!$C$5*1000)</f>
        <v>0.20528015759999999</v>
      </c>
      <c r="V139" s="1">
        <f t="shared" si="10"/>
        <v>0.14610899999999999</v>
      </c>
      <c r="W139" s="1">
        <v>0.55145669364238004</v>
      </c>
      <c r="X139" s="1">
        <f t="shared" si="11"/>
        <v>8.0572786051394493E-2</v>
      </c>
      <c r="Y139" s="1">
        <f t="shared" si="12"/>
        <v>0.14863621394860549</v>
      </c>
      <c r="Z139" s="1">
        <f>'Paste cellinfo here'!$B$11</f>
        <v>0.51802400000000004</v>
      </c>
    </row>
    <row r="140" spans="1:26">
      <c r="A140" s="1">
        <v>139</v>
      </c>
      <c r="B140" s="2">
        <f>DATE(Sintesi!$C$4-1,12,31)+A140</f>
        <v>44335</v>
      </c>
      <c r="C140" s="1">
        <f>'Paste cell here'!B140</f>
        <v>0</v>
      </c>
      <c r="D140" s="1">
        <f>'Paste cell here'!I140</f>
        <v>0</v>
      </c>
      <c r="E140" s="1">
        <f>'Paste cell here'!J140</f>
        <v>0</v>
      </c>
      <c r="F140" s="1">
        <f>'Paste cell here'!K140</f>
        <v>0</v>
      </c>
      <c r="G140" s="1">
        <f>'Paste cell here'!L140</f>
        <v>0</v>
      </c>
      <c r="H140" s="1">
        <f>'Paste cell here'!M140</f>
        <v>0</v>
      </c>
      <c r="I140" s="1">
        <f>'Paste cell here'!N140</f>
        <v>0</v>
      </c>
      <c r="J140" s="1">
        <f>'Paste cell here'!O140</f>
        <v>0</v>
      </c>
      <c r="K140" s="1">
        <f>'Paste cell here'!Q140</f>
        <v>3.2417253339999998</v>
      </c>
      <c r="L140" s="1">
        <f>'Paste cell here'!S140</f>
        <v>0</v>
      </c>
      <c r="M140" s="1">
        <f>'Paste cell here'!T140</f>
        <v>5.1700000000000003E-2</v>
      </c>
      <c r="N140" s="1">
        <f>'Paste cell here'!W140</f>
        <v>0</v>
      </c>
      <c r="O140" s="1">
        <f>'Paste cell here'!U140</f>
        <v>17.234595200000001</v>
      </c>
      <c r="P140" s="1">
        <f t="shared" si="13"/>
        <v>20.528015759999999</v>
      </c>
      <c r="Q140" s="1">
        <f>'Paste cell here'!V140</f>
        <v>0</v>
      </c>
      <c r="R140" s="1">
        <f t="shared" si="14"/>
        <v>4.7740000006513128E-6</v>
      </c>
      <c r="S140" s="7">
        <f>Sintesi!$C$30</f>
        <v>8.3099999999999993E-2</v>
      </c>
      <c r="T140" s="7">
        <f>Sintesi!$C$29</f>
        <v>0.229209</v>
      </c>
      <c r="U140" s="5">
        <f>O140/(Sintesi!$C$5*1000)</f>
        <v>0.17234595200000002</v>
      </c>
      <c r="V140" s="1">
        <f t="shared" si="10"/>
        <v>0.14610899999999999</v>
      </c>
      <c r="W140" s="1">
        <v>0.611305651307125</v>
      </c>
      <c r="X140" s="1">
        <f t="shared" si="11"/>
        <v>8.9317257406832717E-2</v>
      </c>
      <c r="Y140" s="1">
        <f t="shared" si="12"/>
        <v>0.13989174259316728</v>
      </c>
      <c r="Z140" s="1">
        <f>'Paste cellinfo here'!$B$11</f>
        <v>0.51802400000000004</v>
      </c>
    </row>
    <row r="141" spans="1:26">
      <c r="A141" s="1">
        <v>140</v>
      </c>
      <c r="B141" s="2">
        <f>DATE(Sintesi!$C$4-1,12,31)+A141</f>
        <v>44336</v>
      </c>
      <c r="C141" s="1">
        <f>'Paste cell here'!B141</f>
        <v>0</v>
      </c>
      <c r="D141" s="1">
        <f>'Paste cell here'!I141</f>
        <v>0</v>
      </c>
      <c r="E141" s="1">
        <f>'Paste cell here'!J141</f>
        <v>0</v>
      </c>
      <c r="F141" s="1">
        <f>'Paste cell here'!K141</f>
        <v>0</v>
      </c>
      <c r="G141" s="1">
        <f>'Paste cell here'!L141</f>
        <v>0</v>
      </c>
      <c r="H141" s="1">
        <f>'Paste cell here'!M141</f>
        <v>0</v>
      </c>
      <c r="I141" s="1">
        <f>'Paste cell here'!N141</f>
        <v>0</v>
      </c>
      <c r="J141" s="1">
        <f>'Paste cell here'!O141</f>
        <v>0</v>
      </c>
      <c r="K141" s="1">
        <f>'Paste cell here'!Q141</f>
        <v>3.1808218560000001</v>
      </c>
      <c r="L141" s="1">
        <f>'Paste cell here'!S141</f>
        <v>0</v>
      </c>
      <c r="M141" s="1">
        <f>'Paste cell here'!T141</f>
        <v>4.3899999999999998E-3</v>
      </c>
      <c r="N141" s="1">
        <f>'Paste cell here'!W141</f>
        <v>0</v>
      </c>
      <c r="O141" s="1">
        <f>'Paste cell here'!U141</f>
        <v>14.04938681</v>
      </c>
      <c r="P141" s="1">
        <f t="shared" si="13"/>
        <v>17.234595200000001</v>
      </c>
      <c r="Q141" s="1">
        <f>'Paste cell here'!V141</f>
        <v>0</v>
      </c>
      <c r="R141" s="1">
        <f t="shared" si="14"/>
        <v>3.4659999990083179E-6</v>
      </c>
      <c r="S141" s="7">
        <f>Sintesi!$C$30</f>
        <v>8.3099999999999993E-2</v>
      </c>
      <c r="T141" s="7">
        <f>Sintesi!$C$29</f>
        <v>0.229209</v>
      </c>
      <c r="U141" s="5">
        <f>O141/(Sintesi!$C$5*1000)</f>
        <v>0.1404938681</v>
      </c>
      <c r="V141" s="1">
        <f t="shared" si="10"/>
        <v>0.14610899999999999</v>
      </c>
      <c r="W141" s="1">
        <v>0.63457617660772603</v>
      </c>
      <c r="X141" s="1">
        <f t="shared" si="11"/>
        <v>9.2717290587978229E-2</v>
      </c>
      <c r="Y141" s="1">
        <f t="shared" si="12"/>
        <v>0.13649170941202177</v>
      </c>
      <c r="Z141" s="1">
        <f>'Paste cellinfo here'!$B$11</f>
        <v>0.51802400000000004</v>
      </c>
    </row>
    <row r="142" spans="1:26">
      <c r="A142" s="1">
        <v>141</v>
      </c>
      <c r="B142" s="2">
        <f>DATE(Sintesi!$C$4-1,12,31)+A142</f>
        <v>44337</v>
      </c>
      <c r="C142" s="1">
        <f>'Paste cell here'!B142</f>
        <v>7.5600000000000001E-2</v>
      </c>
      <c r="D142" s="1">
        <f>'Paste cell here'!I142</f>
        <v>0</v>
      </c>
      <c r="E142" s="1">
        <f>'Paste cell here'!J142</f>
        <v>1.3299999999999999E-2</v>
      </c>
      <c r="F142" s="1">
        <f>'Paste cell here'!K142</f>
        <v>7.5600000000000001E-2</v>
      </c>
      <c r="G142" s="1">
        <f>'Paste cell here'!L142</f>
        <v>1.3299999999999999E-2</v>
      </c>
      <c r="H142" s="1">
        <f>'Paste cell here'!M142</f>
        <v>6.2399999999999997E-2</v>
      </c>
      <c r="I142" s="1">
        <f>'Paste cell here'!N142</f>
        <v>0</v>
      </c>
      <c r="J142" s="1">
        <f>'Paste cell here'!O142</f>
        <v>1.3299999999999999E-2</v>
      </c>
      <c r="K142" s="1">
        <f>'Paste cell here'!Q142</f>
        <v>2.0864754560000001</v>
      </c>
      <c r="L142" s="1">
        <f>'Paste cell here'!S142</f>
        <v>0</v>
      </c>
      <c r="M142" s="1">
        <f>'Paste cell here'!T142</f>
        <v>2.6200000000000003E-4</v>
      </c>
      <c r="N142" s="1">
        <f>'Paste cell here'!W142</f>
        <v>0</v>
      </c>
      <c r="O142" s="1">
        <f>'Paste cell here'!U142</f>
        <v>11.9759347</v>
      </c>
      <c r="P142" s="1">
        <f t="shared" si="13"/>
        <v>14.04938681</v>
      </c>
      <c r="Q142" s="1">
        <f>'Paste cell here'!V142</f>
        <v>0</v>
      </c>
      <c r="R142" s="1">
        <f t="shared" si="14"/>
        <v>8.5346000000541267E-5</v>
      </c>
      <c r="S142" s="7">
        <f>Sintesi!$C$30</f>
        <v>8.3099999999999993E-2</v>
      </c>
      <c r="T142" s="7">
        <f>Sintesi!$C$29</f>
        <v>0.229209</v>
      </c>
      <c r="U142" s="5">
        <f>O142/(Sintesi!$C$5*1000)</f>
        <v>0.119759347</v>
      </c>
      <c r="V142" s="1">
        <f t="shared" si="10"/>
        <v>0.14610899999999999</v>
      </c>
      <c r="W142" s="1">
        <v>0.61510276823326904</v>
      </c>
      <c r="X142" s="1">
        <f t="shared" si="11"/>
        <v>8.9872050363794698E-2</v>
      </c>
      <c r="Y142" s="1">
        <f t="shared" si="12"/>
        <v>0.1393369496362053</v>
      </c>
      <c r="Z142" s="1">
        <f>'Paste cellinfo here'!$B$11</f>
        <v>0.51802400000000004</v>
      </c>
    </row>
    <row r="143" spans="1:26">
      <c r="A143" s="1">
        <v>142</v>
      </c>
      <c r="B143" s="2">
        <f>DATE(Sintesi!$C$4-1,12,31)+A143</f>
        <v>44338</v>
      </c>
      <c r="C143" s="1">
        <f>'Paste cell here'!B143</f>
        <v>1.6814453149999999</v>
      </c>
      <c r="D143" s="1">
        <f>'Paste cell here'!I143</f>
        <v>0</v>
      </c>
      <c r="E143" s="1">
        <f>'Paste cell here'!J143</f>
        <v>0.90308546000000001</v>
      </c>
      <c r="F143" s="1">
        <f>'Paste cell here'!K143</f>
        <v>1.6814453149999999</v>
      </c>
      <c r="G143" s="1">
        <f>'Paste cell here'!L143</f>
        <v>0.90308546000000001</v>
      </c>
      <c r="H143" s="1">
        <f>'Paste cell here'!M143</f>
        <v>0.77835985500000004</v>
      </c>
      <c r="I143" s="1">
        <f>'Paste cell here'!N143</f>
        <v>0</v>
      </c>
      <c r="J143" s="1">
        <f>'Paste cell here'!O143</f>
        <v>0.90308548700000002</v>
      </c>
      <c r="K143" s="1">
        <f>'Paste cell here'!Q143</f>
        <v>1.0419374669999999</v>
      </c>
      <c r="L143" s="1">
        <f>'Paste cell here'!S143</f>
        <v>0</v>
      </c>
      <c r="M143" s="1">
        <f>'Paste cell here'!T143</f>
        <v>4.6199999999999998E-5</v>
      </c>
      <c r="N143" s="1">
        <f>'Paste cell here'!W143</f>
        <v>0</v>
      </c>
      <c r="O143" s="1">
        <f>'Paste cell here'!U143</f>
        <v>11.837036550000001</v>
      </c>
      <c r="P143" s="1">
        <f t="shared" si="13"/>
        <v>11.9759347</v>
      </c>
      <c r="Q143" s="1">
        <f>'Paste cell here'!V143</f>
        <v>0</v>
      </c>
      <c r="R143" s="1">
        <f t="shared" si="14"/>
        <v>5.7000001163487468E-8</v>
      </c>
      <c r="S143" s="7">
        <f>Sintesi!$C$30</f>
        <v>8.3099999999999993E-2</v>
      </c>
      <c r="T143" s="7">
        <f>Sintesi!$C$29</f>
        <v>0.229209</v>
      </c>
      <c r="U143" s="5">
        <f>O143/(Sintesi!$C$5*1000)</f>
        <v>0.1183703655</v>
      </c>
      <c r="V143" s="1">
        <f t="shared" si="10"/>
        <v>0.14610899999999999</v>
      </c>
      <c r="W143" s="1">
        <v>0.53996840293265402</v>
      </c>
      <c r="X143" s="1">
        <f t="shared" si="11"/>
        <v>7.889424338408714E-2</v>
      </c>
      <c r="Y143" s="1">
        <f t="shared" si="12"/>
        <v>0.15031475661591287</v>
      </c>
      <c r="Z143" s="1">
        <f>'Paste cellinfo here'!$B$11</f>
        <v>0.51802400000000004</v>
      </c>
    </row>
    <row r="144" spans="1:26">
      <c r="A144" s="1">
        <v>143</v>
      </c>
      <c r="B144" s="2">
        <f>DATE(Sintesi!$C$4-1,12,31)+A144</f>
        <v>44339</v>
      </c>
      <c r="C144" s="1">
        <f>'Paste cell here'!B144</f>
        <v>0</v>
      </c>
      <c r="D144" s="1">
        <f>'Paste cell here'!I144</f>
        <v>0</v>
      </c>
      <c r="E144" s="1">
        <f>'Paste cell here'!J144</f>
        <v>0</v>
      </c>
      <c r="F144" s="1">
        <f>'Paste cell here'!K144</f>
        <v>0</v>
      </c>
      <c r="G144" s="1">
        <f>'Paste cell here'!L144</f>
        <v>0</v>
      </c>
      <c r="H144" s="1">
        <f>'Paste cell here'!M144</f>
        <v>0</v>
      </c>
      <c r="I144" s="1">
        <f>'Paste cell here'!N144</f>
        <v>0</v>
      </c>
      <c r="J144" s="1">
        <f>'Paste cell here'!O144</f>
        <v>0</v>
      </c>
      <c r="K144" s="1">
        <f>'Paste cell here'!Q144</f>
        <v>1.6367093619999999</v>
      </c>
      <c r="L144" s="1">
        <f>'Paste cell here'!S144</f>
        <v>0</v>
      </c>
      <c r="M144" s="1">
        <f>'Paste cell here'!T144</f>
        <v>1.8700000000000001E-5</v>
      </c>
      <c r="N144" s="1">
        <f>'Paste cell here'!W144</f>
        <v>0</v>
      </c>
      <c r="O144" s="1">
        <f>'Paste cell here'!U144</f>
        <v>10.2003085</v>
      </c>
      <c r="P144" s="1">
        <f t="shared" si="13"/>
        <v>11.837036550000001</v>
      </c>
      <c r="Q144" s="1">
        <f>'Paste cell here'!V144</f>
        <v>0</v>
      </c>
      <c r="R144" s="1">
        <f t="shared" si="14"/>
        <v>1.1999999216527613E-8</v>
      </c>
      <c r="S144" s="7">
        <f>Sintesi!$C$30</f>
        <v>8.3099999999999993E-2</v>
      </c>
      <c r="T144" s="7">
        <f>Sintesi!$C$29</f>
        <v>0.229209</v>
      </c>
      <c r="U144" s="5">
        <f>O144/(Sintesi!$C$5*1000)</f>
        <v>0.10200308500000001</v>
      </c>
      <c r="V144" s="1">
        <f t="shared" si="10"/>
        <v>0.14610899999999999</v>
      </c>
      <c r="W144" s="1">
        <v>0.53411231779656199</v>
      </c>
      <c r="X144" s="1">
        <f t="shared" si="11"/>
        <v>7.8038616640937863E-2</v>
      </c>
      <c r="Y144" s="1">
        <f t="shared" si="12"/>
        <v>0.15117038335906213</v>
      </c>
      <c r="Z144" s="1">
        <f>'Paste cellinfo here'!$B$11</f>
        <v>0.51802400000000004</v>
      </c>
    </row>
    <row r="145" spans="1:26">
      <c r="A145" s="1">
        <v>144</v>
      </c>
      <c r="B145" s="2">
        <f>DATE(Sintesi!$C$4-1,12,31)+A145</f>
        <v>44340</v>
      </c>
      <c r="C145" s="1">
        <f>'Paste cell here'!B145</f>
        <v>29.83870499</v>
      </c>
      <c r="D145" s="1">
        <f>'Paste cell here'!I145</f>
        <v>0</v>
      </c>
      <c r="E145" s="1">
        <f>'Paste cell here'!J145</f>
        <v>28.19486835</v>
      </c>
      <c r="F145" s="1">
        <f>'Paste cell here'!K145</f>
        <v>29.83870499</v>
      </c>
      <c r="G145" s="1">
        <f>'Paste cell here'!L145</f>
        <v>28.11381553</v>
      </c>
      <c r="H145" s="1">
        <f>'Paste cell here'!M145</f>
        <v>1.643836649</v>
      </c>
      <c r="I145" s="1">
        <f>'Paste cell here'!N145</f>
        <v>8.1100000000000005E-2</v>
      </c>
      <c r="J145" s="1">
        <f>'Paste cell here'!O145</f>
        <v>28.113816369999999</v>
      </c>
      <c r="K145" s="1">
        <f>'Paste cell here'!Q145</f>
        <v>0.471015923</v>
      </c>
      <c r="L145" s="1">
        <f>'Paste cell here'!S145</f>
        <v>0</v>
      </c>
      <c r="M145" s="1">
        <f>'Paste cell here'!T145</f>
        <v>3.271689399</v>
      </c>
      <c r="N145" s="1">
        <f>'Paste cell here'!W145</f>
        <v>0</v>
      </c>
      <c r="O145" s="1">
        <f>'Paste cell here'!U145</f>
        <v>34.571419550000002</v>
      </c>
      <c r="P145" s="1">
        <f t="shared" si="13"/>
        <v>10.2003085</v>
      </c>
      <c r="Q145" s="1">
        <f>'Paste cell here'!V145</f>
        <v>0</v>
      </c>
      <c r="R145" s="1">
        <f t="shared" si="14"/>
        <v>4.803100000572158E-5</v>
      </c>
      <c r="S145" s="7">
        <f>Sintesi!$C$30</f>
        <v>8.3099999999999993E-2</v>
      </c>
      <c r="T145" s="7">
        <f>Sintesi!$C$29</f>
        <v>0.229209</v>
      </c>
      <c r="U145" s="5">
        <f>O145/(Sintesi!$C$5*1000)</f>
        <v>0.34571419550000004</v>
      </c>
      <c r="V145" s="1">
        <f t="shared" si="10"/>
        <v>0.14610899999999999</v>
      </c>
      <c r="W145" s="1">
        <v>0.51390072230976502</v>
      </c>
      <c r="X145" s="1">
        <f t="shared" si="11"/>
        <v>7.5085520635957456E-2</v>
      </c>
      <c r="Y145" s="1">
        <f t="shared" si="12"/>
        <v>0.15412347936404253</v>
      </c>
      <c r="Z145" s="1">
        <f>'Paste cellinfo here'!$B$11</f>
        <v>0.51802400000000004</v>
      </c>
    </row>
    <row r="146" spans="1:26">
      <c r="A146" s="1">
        <v>145</v>
      </c>
      <c r="B146" s="2">
        <f>DATE(Sintesi!$C$4-1,12,31)+A146</f>
        <v>44341</v>
      </c>
      <c r="C146" s="1">
        <f>'Paste cell here'!B146</f>
        <v>0</v>
      </c>
      <c r="D146" s="1">
        <f>'Paste cell here'!I146</f>
        <v>0</v>
      </c>
      <c r="E146" s="1">
        <f>'Paste cell here'!J146</f>
        <v>0</v>
      </c>
      <c r="F146" s="1">
        <f>'Paste cell here'!K146</f>
        <v>0</v>
      </c>
      <c r="G146" s="1">
        <f>'Paste cell here'!L146</f>
        <v>0</v>
      </c>
      <c r="H146" s="1">
        <f>'Paste cell here'!M146</f>
        <v>0</v>
      </c>
      <c r="I146" s="1">
        <f>'Paste cell here'!N146</f>
        <v>0</v>
      </c>
      <c r="J146" s="1">
        <f>'Paste cell here'!O146</f>
        <v>0</v>
      </c>
      <c r="K146" s="1">
        <f>'Paste cell here'!Q146</f>
        <v>2.7409316769999998</v>
      </c>
      <c r="L146" s="1">
        <f>'Paste cell here'!S146</f>
        <v>0</v>
      </c>
      <c r="M146" s="1">
        <f>'Paste cell here'!T146</f>
        <v>4.8972187790000001</v>
      </c>
      <c r="N146" s="1">
        <f>'Paste cell here'!W146</f>
        <v>0</v>
      </c>
      <c r="O146" s="1">
        <f>'Paste cell here'!U146</f>
        <v>26.93326909</v>
      </c>
      <c r="P146" s="1">
        <f t="shared" si="13"/>
        <v>34.571419550000002</v>
      </c>
      <c r="Q146" s="1">
        <f>'Paste cell here'!V146</f>
        <v>0</v>
      </c>
      <c r="R146" s="1">
        <f t="shared" si="14"/>
        <v>4.0000038836751628E-9</v>
      </c>
      <c r="S146" s="7">
        <f>Sintesi!$C$30</f>
        <v>8.3099999999999993E-2</v>
      </c>
      <c r="T146" s="7">
        <f>Sintesi!$C$29</f>
        <v>0.229209</v>
      </c>
      <c r="U146" s="5">
        <f>O146/(Sintesi!$C$5*1000)</f>
        <v>0.2693326909</v>
      </c>
      <c r="V146" s="1">
        <f t="shared" si="10"/>
        <v>0.14610899999999999</v>
      </c>
      <c r="W146" s="1">
        <v>0.52653998962155102</v>
      </c>
      <c r="X146" s="1">
        <f t="shared" si="11"/>
        <v>7.6932231343615196E-2</v>
      </c>
      <c r="Y146" s="1">
        <f t="shared" si="12"/>
        <v>0.15227676865638479</v>
      </c>
      <c r="Z146" s="1">
        <f>'Paste cellinfo here'!$B$11</f>
        <v>0.51802400000000004</v>
      </c>
    </row>
    <row r="147" spans="1:26">
      <c r="A147" s="1">
        <v>146</v>
      </c>
      <c r="B147" s="2">
        <f>DATE(Sintesi!$C$4-1,12,31)+A147</f>
        <v>44342</v>
      </c>
      <c r="C147" s="1">
        <f>'Paste cell here'!B147</f>
        <v>0</v>
      </c>
      <c r="D147" s="1">
        <f>'Paste cell here'!I147</f>
        <v>0</v>
      </c>
      <c r="E147" s="1">
        <f>'Paste cell here'!J147</f>
        <v>0</v>
      </c>
      <c r="F147" s="1">
        <f>'Paste cell here'!K147</f>
        <v>0</v>
      </c>
      <c r="G147" s="1">
        <f>'Paste cell here'!L147</f>
        <v>0</v>
      </c>
      <c r="H147" s="1">
        <f>'Paste cell here'!M147</f>
        <v>0</v>
      </c>
      <c r="I147" s="1">
        <f>'Paste cell here'!N147</f>
        <v>0</v>
      </c>
      <c r="J147" s="1">
        <f>'Paste cell here'!O147</f>
        <v>0</v>
      </c>
      <c r="K147" s="1">
        <f>'Paste cell here'!Q147</f>
        <v>2.013343227</v>
      </c>
      <c r="L147" s="1">
        <f>'Paste cell here'!S147</f>
        <v>0</v>
      </c>
      <c r="M147" s="1">
        <f>'Paste cell here'!T147</f>
        <v>0.72964129499999997</v>
      </c>
      <c r="N147" s="1">
        <f>'Paste cell here'!W147</f>
        <v>0</v>
      </c>
      <c r="O147" s="1">
        <f>'Paste cell here'!U147</f>
        <v>24.190284569999999</v>
      </c>
      <c r="P147" s="1">
        <f t="shared" si="13"/>
        <v>26.93326909</v>
      </c>
      <c r="Q147" s="1">
        <f>'Paste cell here'!V147</f>
        <v>0</v>
      </c>
      <c r="R147" s="1">
        <f t="shared" si="14"/>
        <v>2.000000165480742E-9</v>
      </c>
      <c r="S147" s="7">
        <f>Sintesi!$C$30</f>
        <v>8.3099999999999993E-2</v>
      </c>
      <c r="T147" s="7">
        <f>Sintesi!$C$29</f>
        <v>0.229209</v>
      </c>
      <c r="U147" s="5">
        <f>O147/(Sintesi!$C$5*1000)</f>
        <v>0.24190284569999998</v>
      </c>
      <c r="V147" s="1">
        <f t="shared" si="10"/>
        <v>0.14610899999999999</v>
      </c>
      <c r="W147" s="1">
        <v>0.56040104983835604</v>
      </c>
      <c r="X147" s="1">
        <f t="shared" si="11"/>
        <v>8.1879636990832352E-2</v>
      </c>
      <c r="Y147" s="1">
        <f t="shared" si="12"/>
        <v>0.14732936300916766</v>
      </c>
      <c r="Z147" s="1">
        <f>'Paste cellinfo here'!$B$11</f>
        <v>0.51802400000000004</v>
      </c>
    </row>
    <row r="148" spans="1:26">
      <c r="A148" s="1">
        <v>147</v>
      </c>
      <c r="B148" s="2">
        <f>DATE(Sintesi!$C$4-1,12,31)+A148</f>
        <v>44343</v>
      </c>
      <c r="C148" s="1">
        <f>'Paste cell here'!B148</f>
        <v>0</v>
      </c>
      <c r="D148" s="1">
        <f>'Paste cell here'!I148</f>
        <v>0</v>
      </c>
      <c r="E148" s="1">
        <f>'Paste cell here'!J148</f>
        <v>0</v>
      </c>
      <c r="F148" s="1">
        <f>'Paste cell here'!K148</f>
        <v>0</v>
      </c>
      <c r="G148" s="1">
        <f>'Paste cell here'!L148</f>
        <v>0</v>
      </c>
      <c r="H148" s="1">
        <f>'Paste cell here'!M148</f>
        <v>0</v>
      </c>
      <c r="I148" s="1">
        <f>'Paste cell here'!N148</f>
        <v>0</v>
      </c>
      <c r="J148" s="1">
        <f>'Paste cell here'!O148</f>
        <v>0</v>
      </c>
      <c r="K148" s="1">
        <f>'Paste cell here'!Q148</f>
        <v>2.1117820840000001</v>
      </c>
      <c r="L148" s="1">
        <f>'Paste cell here'!S148</f>
        <v>0</v>
      </c>
      <c r="M148" s="1">
        <f>'Paste cell here'!T148</f>
        <v>0.22948601199999999</v>
      </c>
      <c r="N148" s="1">
        <f>'Paste cell here'!W148</f>
        <v>0</v>
      </c>
      <c r="O148" s="1">
        <f>'Paste cell here'!U148</f>
        <v>21.84901648</v>
      </c>
      <c r="P148" s="1">
        <f t="shared" si="13"/>
        <v>24.190284569999999</v>
      </c>
      <c r="Q148" s="1">
        <f>'Paste cell here'!V148</f>
        <v>0</v>
      </c>
      <c r="R148" s="1">
        <f t="shared" si="14"/>
        <v>6.000000496442226E-9</v>
      </c>
      <c r="S148" s="7">
        <f>Sintesi!$C$30</f>
        <v>8.3099999999999993E-2</v>
      </c>
      <c r="T148" s="7">
        <f>Sintesi!$C$29</f>
        <v>0.229209</v>
      </c>
      <c r="U148" s="5">
        <f>O148/(Sintesi!$C$5*1000)</f>
        <v>0.2184901648</v>
      </c>
      <c r="V148" s="1">
        <f t="shared" si="10"/>
        <v>0.14610899999999999</v>
      </c>
      <c r="W148" s="1">
        <v>0.51366834836081099</v>
      </c>
      <c r="X148" s="1">
        <f t="shared" si="11"/>
        <v>7.5051568710649733E-2</v>
      </c>
      <c r="Y148" s="1">
        <f t="shared" si="12"/>
        <v>0.15415743128935028</v>
      </c>
      <c r="Z148" s="1">
        <f>'Paste cellinfo here'!$B$11</f>
        <v>0.51802400000000004</v>
      </c>
    </row>
    <row r="149" spans="1:26">
      <c r="A149" s="1">
        <v>148</v>
      </c>
      <c r="B149" s="2">
        <f>DATE(Sintesi!$C$4-1,12,31)+A149</f>
        <v>44344</v>
      </c>
      <c r="C149" s="1">
        <f>'Paste cell here'!B149</f>
        <v>0</v>
      </c>
      <c r="D149" s="1">
        <f>'Paste cell here'!I149</f>
        <v>0</v>
      </c>
      <c r="E149" s="1">
        <f>'Paste cell here'!J149</f>
        <v>0</v>
      </c>
      <c r="F149" s="1">
        <f>'Paste cell here'!K149</f>
        <v>0</v>
      </c>
      <c r="G149" s="1">
        <f>'Paste cell here'!L149</f>
        <v>0</v>
      </c>
      <c r="H149" s="1">
        <f>'Paste cell here'!M149</f>
        <v>0</v>
      </c>
      <c r="I149" s="1">
        <f>'Paste cell here'!N149</f>
        <v>0</v>
      </c>
      <c r="J149" s="1">
        <f>'Paste cell here'!O149</f>
        <v>0</v>
      </c>
      <c r="K149" s="1">
        <f>'Paste cell here'!Q149</f>
        <v>1.8894572890000001</v>
      </c>
      <c r="L149" s="1">
        <f>'Paste cell here'!S149</f>
        <v>0</v>
      </c>
      <c r="M149" s="1">
        <f>'Paste cell here'!T149</f>
        <v>7.3899999999999993E-2</v>
      </c>
      <c r="N149" s="1">
        <f>'Paste cell here'!W149</f>
        <v>0</v>
      </c>
      <c r="O149" s="1">
        <f>'Paste cell here'!U149</f>
        <v>19.885619810000001</v>
      </c>
      <c r="P149" s="1">
        <f t="shared" si="13"/>
        <v>21.84901648</v>
      </c>
      <c r="Q149" s="1">
        <f>'Paste cell here'!V149</f>
        <v>0</v>
      </c>
      <c r="R149" s="1">
        <f t="shared" si="14"/>
        <v>3.9381000000560107E-5</v>
      </c>
      <c r="S149" s="7">
        <f>Sintesi!$C$30</f>
        <v>8.3099999999999993E-2</v>
      </c>
      <c r="T149" s="7">
        <f>Sintesi!$C$29</f>
        <v>0.229209</v>
      </c>
      <c r="U149" s="5">
        <f>O149/(Sintesi!$C$5*1000)</f>
        <v>0.19885619810000002</v>
      </c>
      <c r="V149" s="1">
        <f t="shared" si="10"/>
        <v>0.14610899999999999</v>
      </c>
      <c r="W149" s="1">
        <v>0.66226304000794001</v>
      </c>
      <c r="X149" s="1">
        <f t="shared" si="11"/>
        <v>9.6762590512520105E-2</v>
      </c>
      <c r="Y149" s="1">
        <f t="shared" si="12"/>
        <v>0.13244640948747988</v>
      </c>
      <c r="Z149" s="1">
        <f>'Paste cellinfo here'!$B$11</f>
        <v>0.51802400000000004</v>
      </c>
    </row>
    <row r="150" spans="1:26">
      <c r="A150" s="1">
        <v>149</v>
      </c>
      <c r="B150" s="2">
        <f>DATE(Sintesi!$C$4-1,12,31)+A150</f>
        <v>44345</v>
      </c>
      <c r="C150" s="1">
        <f>'Paste cell here'!B150</f>
        <v>0</v>
      </c>
      <c r="D150" s="1">
        <f>'Paste cell here'!I150</f>
        <v>0</v>
      </c>
      <c r="E150" s="1">
        <f>'Paste cell here'!J150</f>
        <v>0</v>
      </c>
      <c r="F150" s="1">
        <f>'Paste cell here'!K150</f>
        <v>0</v>
      </c>
      <c r="G150" s="1">
        <f>'Paste cell here'!L150</f>
        <v>0</v>
      </c>
      <c r="H150" s="1">
        <f>'Paste cell here'!M150</f>
        <v>0</v>
      </c>
      <c r="I150" s="1">
        <f>'Paste cell here'!N150</f>
        <v>0</v>
      </c>
      <c r="J150" s="1">
        <f>'Paste cell here'!O150</f>
        <v>0</v>
      </c>
      <c r="K150" s="1">
        <f>'Paste cell here'!Q150</f>
        <v>1.972987705</v>
      </c>
      <c r="L150" s="1">
        <f>'Paste cell here'!S150</f>
        <v>0</v>
      </c>
      <c r="M150" s="1">
        <f>'Paste cell here'!T150</f>
        <v>2.3300000000000001E-2</v>
      </c>
      <c r="N150" s="1">
        <f>'Paste cell here'!W150</f>
        <v>0</v>
      </c>
      <c r="O150" s="1">
        <f>'Paste cell here'!U150</f>
        <v>17.889335519999999</v>
      </c>
      <c r="P150" s="1">
        <f t="shared" si="13"/>
        <v>19.885619810000001</v>
      </c>
      <c r="Q150" s="1">
        <f>'Paste cell here'!V150</f>
        <v>0</v>
      </c>
      <c r="R150" s="1">
        <f t="shared" si="14"/>
        <v>3.4149999983412727E-6</v>
      </c>
      <c r="S150" s="7">
        <f>Sintesi!$C$30</f>
        <v>8.3099999999999993E-2</v>
      </c>
      <c r="T150" s="7">
        <f>Sintesi!$C$29</f>
        <v>0.229209</v>
      </c>
      <c r="U150" s="5">
        <f>O150/(Sintesi!$C$5*1000)</f>
        <v>0.17889335519999999</v>
      </c>
      <c r="V150" s="1">
        <f t="shared" si="10"/>
        <v>0.14610899999999999</v>
      </c>
      <c r="W150" s="1">
        <v>0.55453697148582104</v>
      </c>
      <c r="X150" s="1">
        <f t="shared" si="11"/>
        <v>8.1022842366821821E-2</v>
      </c>
      <c r="Y150" s="1">
        <f t="shared" si="12"/>
        <v>0.14818615763317816</v>
      </c>
      <c r="Z150" s="1">
        <f>'Paste cellinfo here'!$B$11</f>
        <v>0.51802400000000004</v>
      </c>
    </row>
    <row r="151" spans="1:26">
      <c r="A151" s="1">
        <v>150</v>
      </c>
      <c r="B151" s="2">
        <f>DATE(Sintesi!$C$4-1,12,31)+A151</f>
        <v>44346</v>
      </c>
      <c r="C151" s="1">
        <f>'Paste cell here'!B151</f>
        <v>0</v>
      </c>
      <c r="D151" s="1">
        <f>'Paste cell here'!I151</f>
        <v>0</v>
      </c>
      <c r="E151" s="1">
        <f>'Paste cell here'!J151</f>
        <v>0</v>
      </c>
      <c r="F151" s="1">
        <f>'Paste cell here'!K151</f>
        <v>0</v>
      </c>
      <c r="G151" s="1">
        <f>'Paste cell here'!L151</f>
        <v>0</v>
      </c>
      <c r="H151" s="1">
        <f>'Paste cell here'!M151</f>
        <v>0</v>
      </c>
      <c r="I151" s="1">
        <f>'Paste cell here'!N151</f>
        <v>0</v>
      </c>
      <c r="J151" s="1">
        <f>'Paste cell here'!O151</f>
        <v>0</v>
      </c>
      <c r="K151" s="1">
        <f>'Paste cell here'!Q151</f>
        <v>2.0065475930000001</v>
      </c>
      <c r="L151" s="1">
        <f>'Paste cell here'!S151</f>
        <v>0</v>
      </c>
      <c r="M151" s="1">
        <f>'Paste cell here'!T151</f>
        <v>6.0699999999999999E-3</v>
      </c>
      <c r="N151" s="1">
        <f>'Paste cell here'!W151</f>
        <v>0</v>
      </c>
      <c r="O151" s="1">
        <f>'Paste cell here'!U151</f>
        <v>15.87671967</v>
      </c>
      <c r="P151" s="1">
        <f t="shared" si="13"/>
        <v>17.889335519999999</v>
      </c>
      <c r="Q151" s="1">
        <f>'Paste cell here'!V151</f>
        <v>0</v>
      </c>
      <c r="R151" s="1">
        <f t="shared" si="14"/>
        <v>1.7430000003315627E-6</v>
      </c>
      <c r="S151" s="7">
        <f>Sintesi!$C$30</f>
        <v>8.3099999999999993E-2</v>
      </c>
      <c r="T151" s="7">
        <f>Sintesi!$C$29</f>
        <v>0.229209</v>
      </c>
      <c r="U151" s="5">
        <f>O151/(Sintesi!$C$5*1000)</f>
        <v>0.1587671967</v>
      </c>
      <c r="V151" s="1">
        <f t="shared" si="10"/>
        <v>0.14610899999999999</v>
      </c>
      <c r="W151" s="1">
        <v>0.61940017351381005</v>
      </c>
      <c r="X151" s="1">
        <f t="shared" si="11"/>
        <v>9.0499939951929259E-2</v>
      </c>
      <c r="Y151" s="1">
        <f t="shared" si="12"/>
        <v>0.13870906004807074</v>
      </c>
      <c r="Z151" s="1">
        <f>'Paste cellinfo here'!$B$11</f>
        <v>0.51802400000000004</v>
      </c>
    </row>
    <row r="152" spans="1:26">
      <c r="A152" s="1">
        <v>151</v>
      </c>
      <c r="B152" s="2">
        <f>DATE(Sintesi!$C$4-1,12,31)+A152</f>
        <v>44347</v>
      </c>
      <c r="C152" s="1">
        <f>'Paste cell here'!B152</f>
        <v>0</v>
      </c>
      <c r="D152" s="1">
        <f>'Paste cell here'!I152</f>
        <v>0</v>
      </c>
      <c r="E152" s="1">
        <f>'Paste cell here'!J152</f>
        <v>0</v>
      </c>
      <c r="F152" s="1">
        <f>'Paste cell here'!K152</f>
        <v>0</v>
      </c>
      <c r="G152" s="1">
        <f>'Paste cell here'!L152</f>
        <v>0</v>
      </c>
      <c r="H152" s="1">
        <f>'Paste cell here'!M152</f>
        <v>0</v>
      </c>
      <c r="I152" s="1">
        <f>'Paste cell here'!N152</f>
        <v>0</v>
      </c>
      <c r="J152" s="1">
        <f>'Paste cell here'!O152</f>
        <v>0</v>
      </c>
      <c r="K152" s="1">
        <f>'Paste cell here'!Q152</f>
        <v>1.5480935810000001</v>
      </c>
      <c r="L152" s="1">
        <f>'Paste cell here'!S152</f>
        <v>0</v>
      </c>
      <c r="M152" s="1">
        <f>'Paste cell here'!T152</f>
        <v>1.3699999999999999E-3</v>
      </c>
      <c r="N152" s="1">
        <f>'Paste cell here'!W152</f>
        <v>0</v>
      </c>
      <c r="O152" s="1">
        <f>'Paste cell here'!U152</f>
        <v>14.32725656</v>
      </c>
      <c r="P152" s="1">
        <f t="shared" si="13"/>
        <v>15.87671967</v>
      </c>
      <c r="Q152" s="1">
        <f>'Paste cell here'!V152</f>
        <v>0</v>
      </c>
      <c r="R152" s="1">
        <f t="shared" si="14"/>
        <v>4.7099999989086427E-7</v>
      </c>
      <c r="S152" s="7">
        <f>Sintesi!$C$30</f>
        <v>8.3099999999999993E-2</v>
      </c>
      <c r="T152" s="7">
        <f>Sintesi!$C$29</f>
        <v>0.229209</v>
      </c>
      <c r="U152" s="5">
        <f>O152/(Sintesi!$C$5*1000)</f>
        <v>0.14327256560000001</v>
      </c>
      <c r="V152" s="1">
        <f t="shared" si="10"/>
        <v>0.14610899999999999</v>
      </c>
      <c r="W152" s="1">
        <v>0.54788616709579896</v>
      </c>
      <c r="X152" s="1">
        <f t="shared" si="11"/>
        <v>8.0051099988200078E-2</v>
      </c>
      <c r="Y152" s="1">
        <f t="shared" si="12"/>
        <v>0.1491579000117999</v>
      </c>
      <c r="Z152" s="1">
        <f>'Paste cellinfo here'!$B$11</f>
        <v>0.51802400000000004</v>
      </c>
    </row>
    <row r="153" spans="1:26">
      <c r="A153" s="1">
        <v>152</v>
      </c>
      <c r="B153" s="2">
        <f>DATE(Sintesi!$C$4-1,12,31)+A153</f>
        <v>44348</v>
      </c>
      <c r="C153" s="1">
        <f>'Paste cell here'!B153</f>
        <v>0</v>
      </c>
      <c r="D153" s="1">
        <f>'Paste cell here'!I153</f>
        <v>0</v>
      </c>
      <c r="E153" s="1">
        <f>'Paste cell here'!J153</f>
        <v>0</v>
      </c>
      <c r="F153" s="1">
        <f>'Paste cell here'!K153</f>
        <v>0</v>
      </c>
      <c r="G153" s="1">
        <f>'Paste cell here'!L153</f>
        <v>0</v>
      </c>
      <c r="H153" s="1">
        <f>'Paste cell here'!M153</f>
        <v>0</v>
      </c>
      <c r="I153" s="1">
        <f>'Paste cell here'!N153</f>
        <v>0</v>
      </c>
      <c r="J153" s="1">
        <f>'Paste cell here'!O153</f>
        <v>0</v>
      </c>
      <c r="K153" s="1">
        <f>'Paste cell here'!Q153</f>
        <v>1.388792324</v>
      </c>
      <c r="L153" s="1">
        <f>'Paste cell here'!S153</f>
        <v>0</v>
      </c>
      <c r="M153" s="1">
        <f>'Paste cell here'!T153</f>
        <v>3.4000000000000002E-4</v>
      </c>
      <c r="N153" s="1">
        <f>'Paste cell here'!W153</f>
        <v>0</v>
      </c>
      <c r="O153" s="1">
        <f>'Paste cell here'!U153</f>
        <v>12.938123839999999</v>
      </c>
      <c r="P153" s="1">
        <f t="shared" si="13"/>
        <v>14.32725656</v>
      </c>
      <c r="Q153" s="1">
        <f>'Paste cell here'!V153</f>
        <v>0</v>
      </c>
      <c r="R153" s="1">
        <f t="shared" si="14"/>
        <v>3.9600000079076381E-7</v>
      </c>
      <c r="S153" s="7">
        <f>Sintesi!$C$30</f>
        <v>8.3099999999999993E-2</v>
      </c>
      <c r="T153" s="7">
        <f>Sintesi!$C$29</f>
        <v>0.229209</v>
      </c>
      <c r="U153" s="5">
        <f>O153/(Sintesi!$C$5*1000)</f>
        <v>0.12938123839999999</v>
      </c>
      <c r="V153" s="1">
        <f t="shared" si="10"/>
        <v>0.14610899999999999</v>
      </c>
      <c r="W153" s="1">
        <v>0.49944484358049401</v>
      </c>
      <c r="X153" s="1">
        <f t="shared" si="11"/>
        <v>7.2973386650702396E-2</v>
      </c>
      <c r="Y153" s="1">
        <f t="shared" si="12"/>
        <v>0.15623561334929759</v>
      </c>
      <c r="Z153" s="1">
        <f>'Paste cellinfo here'!$B$11</f>
        <v>0.51802400000000004</v>
      </c>
    </row>
    <row r="154" spans="1:26">
      <c r="A154" s="1">
        <v>153</v>
      </c>
      <c r="B154" s="2">
        <f>DATE(Sintesi!$C$4-1,12,31)+A154</f>
        <v>44349</v>
      </c>
      <c r="C154" s="1">
        <f>'Paste cell here'!B154</f>
        <v>0</v>
      </c>
      <c r="D154" s="1">
        <f>'Paste cell here'!I154</f>
        <v>0</v>
      </c>
      <c r="E154" s="1">
        <f>'Paste cell here'!J154</f>
        <v>0</v>
      </c>
      <c r="F154" s="1">
        <f>'Paste cell here'!K154</f>
        <v>0</v>
      </c>
      <c r="G154" s="1">
        <f>'Paste cell here'!L154</f>
        <v>0</v>
      </c>
      <c r="H154" s="1">
        <f>'Paste cell here'!M154</f>
        <v>0</v>
      </c>
      <c r="I154" s="1">
        <f>'Paste cell here'!N154</f>
        <v>0</v>
      </c>
      <c r="J154" s="1">
        <f>'Paste cell here'!O154</f>
        <v>0</v>
      </c>
      <c r="K154" s="1">
        <f>'Paste cell here'!Q154</f>
        <v>0.98719313500000005</v>
      </c>
      <c r="L154" s="1">
        <f>'Paste cell here'!S154</f>
        <v>0</v>
      </c>
      <c r="M154" s="1">
        <f>'Paste cell here'!T154</f>
        <v>8.7600000000000002E-5</v>
      </c>
      <c r="N154" s="1">
        <f>'Paste cell here'!W154</f>
        <v>0</v>
      </c>
      <c r="O154" s="1">
        <f>'Paste cell here'!U154</f>
        <v>11.95084306</v>
      </c>
      <c r="P154" s="1">
        <f t="shared" si="13"/>
        <v>12.938123839999999</v>
      </c>
      <c r="Q154" s="1">
        <f>'Paste cell here'!V154</f>
        <v>0</v>
      </c>
      <c r="R154" s="1">
        <f t="shared" si="14"/>
        <v>4.4999998394246177E-8</v>
      </c>
      <c r="S154" s="7">
        <f>Sintesi!$C$30</f>
        <v>8.3099999999999993E-2</v>
      </c>
      <c r="T154" s="7">
        <f>Sintesi!$C$29</f>
        <v>0.229209</v>
      </c>
      <c r="U154" s="5">
        <f>O154/(Sintesi!$C$5*1000)</f>
        <v>0.11950843060000001</v>
      </c>
      <c r="V154" s="1">
        <f t="shared" si="10"/>
        <v>0.14610899999999999</v>
      </c>
      <c r="W154" s="1">
        <v>0.47397236539349102</v>
      </c>
      <c r="X154" s="1">
        <f t="shared" si="11"/>
        <v>6.9251628335277579E-2</v>
      </c>
      <c r="Y154" s="1">
        <f t="shared" si="12"/>
        <v>0.1599573716647224</v>
      </c>
      <c r="Z154" s="1">
        <f>'Paste cellinfo here'!$B$11</f>
        <v>0.51802400000000004</v>
      </c>
    </row>
    <row r="155" spans="1:26">
      <c r="A155" s="1">
        <v>154</v>
      </c>
      <c r="B155" s="2">
        <f>DATE(Sintesi!$C$4-1,12,31)+A155</f>
        <v>44350</v>
      </c>
      <c r="C155" s="1">
        <f>'Paste cell here'!B155</f>
        <v>0</v>
      </c>
      <c r="D155" s="1">
        <f>'Paste cell here'!I155</f>
        <v>198</v>
      </c>
      <c r="E155" s="1">
        <f>'Paste cell here'!J155</f>
        <v>0</v>
      </c>
      <c r="F155" s="1">
        <f>'Paste cell here'!K155</f>
        <v>198</v>
      </c>
      <c r="G155" s="1">
        <f>'Paste cell here'!L155</f>
        <v>0</v>
      </c>
      <c r="H155" s="1">
        <f>'Paste cell here'!M155</f>
        <v>0</v>
      </c>
      <c r="I155" s="1">
        <f>'Paste cell here'!N155</f>
        <v>0</v>
      </c>
      <c r="J155" s="1">
        <f>'Paste cell here'!O155</f>
        <v>0</v>
      </c>
      <c r="K155" s="1">
        <f>'Paste cell here'!Q155</f>
        <v>1.3469186799999999</v>
      </c>
      <c r="L155" s="1">
        <f>'Paste cell here'!S155</f>
        <v>0</v>
      </c>
      <c r="M155" s="1">
        <f>'Paste cell here'!T155</f>
        <v>181.28002079999999</v>
      </c>
      <c r="N155" s="1">
        <f>'Paste cell here'!W155</f>
        <v>0</v>
      </c>
      <c r="O155" s="1">
        <f>'Paste cell here'!U155</f>
        <v>27.323903550000001</v>
      </c>
      <c r="P155" s="1">
        <f t="shared" si="13"/>
        <v>11.95084306</v>
      </c>
      <c r="Q155" s="1">
        <f>'Paste cell here'!V155</f>
        <v>0</v>
      </c>
      <c r="R155" s="1">
        <f t="shared" si="14"/>
        <v>3.0000034456634239E-8</v>
      </c>
      <c r="S155" s="7">
        <f>Sintesi!$C$30</f>
        <v>8.3099999999999993E-2</v>
      </c>
      <c r="T155" s="7">
        <f>Sintesi!$C$29</f>
        <v>0.229209</v>
      </c>
      <c r="U155" s="5">
        <f>O155/(Sintesi!$C$5*1000)</f>
        <v>0.2732390355</v>
      </c>
      <c r="V155" s="1">
        <f t="shared" si="10"/>
        <v>0.14610899999999999</v>
      </c>
      <c r="W155" s="1">
        <v>0.48220186215408201</v>
      </c>
      <c r="X155" s="1">
        <f t="shared" si="11"/>
        <v>7.0454031877470763E-2</v>
      </c>
      <c r="Y155" s="1">
        <f t="shared" si="12"/>
        <v>0.15875496812252923</v>
      </c>
      <c r="Z155" s="1">
        <f>'Paste cellinfo here'!$B$11</f>
        <v>0.51802400000000004</v>
      </c>
    </row>
    <row r="156" spans="1:26">
      <c r="A156" s="1">
        <v>155</v>
      </c>
      <c r="B156" s="2">
        <f>DATE(Sintesi!$C$4-1,12,31)+A156</f>
        <v>44351</v>
      </c>
      <c r="C156" s="1">
        <f>'Paste cell here'!B156</f>
        <v>0</v>
      </c>
      <c r="D156" s="1">
        <f>'Paste cell here'!I156</f>
        <v>0</v>
      </c>
      <c r="E156" s="1">
        <f>'Paste cell here'!J156</f>
        <v>0</v>
      </c>
      <c r="F156" s="1">
        <f>'Paste cell here'!K156</f>
        <v>0</v>
      </c>
      <c r="G156" s="1">
        <f>'Paste cell here'!L156</f>
        <v>0</v>
      </c>
      <c r="H156" s="1">
        <f>'Paste cell here'!M156</f>
        <v>0</v>
      </c>
      <c r="I156" s="1">
        <f>'Paste cell here'!N156</f>
        <v>0</v>
      </c>
      <c r="J156" s="1">
        <f>'Paste cell here'!O156</f>
        <v>0</v>
      </c>
      <c r="K156" s="1">
        <f>'Paste cell here'!Q156</f>
        <v>1.409771154</v>
      </c>
      <c r="L156" s="1">
        <f>'Paste cell here'!S156</f>
        <v>0</v>
      </c>
      <c r="M156" s="1">
        <f>'Paste cell here'!T156</f>
        <v>2.623251292</v>
      </c>
      <c r="N156" s="1">
        <f>'Paste cell here'!W156</f>
        <v>0</v>
      </c>
      <c r="O156" s="1">
        <f>'Paste cell here'!U156</f>
        <v>23.290881110000001</v>
      </c>
      <c r="P156" s="1">
        <f t="shared" si="13"/>
        <v>27.323903550000001</v>
      </c>
      <c r="Q156" s="1">
        <f>'Paste cell here'!V156</f>
        <v>0</v>
      </c>
      <c r="R156" s="1">
        <f t="shared" si="14"/>
        <v>6.000000496442226E-9</v>
      </c>
      <c r="S156" s="7">
        <f>Sintesi!$C$30</f>
        <v>8.3099999999999993E-2</v>
      </c>
      <c r="T156" s="7">
        <f>Sintesi!$C$29</f>
        <v>0.229209</v>
      </c>
      <c r="U156" s="5">
        <f>O156/(Sintesi!$C$5*1000)</f>
        <v>0.2329088111</v>
      </c>
      <c r="V156" s="1">
        <f t="shared" si="10"/>
        <v>0.14610899999999999</v>
      </c>
      <c r="W156" s="1">
        <v>0.492118123196849</v>
      </c>
      <c r="X156" s="1">
        <f t="shared" si="11"/>
        <v>7.1902886862168405E-2</v>
      </c>
      <c r="Y156" s="1">
        <f t="shared" si="12"/>
        <v>0.1573061131378316</v>
      </c>
      <c r="Z156" s="1">
        <f>'Paste cellinfo here'!$B$11</f>
        <v>0.51802400000000004</v>
      </c>
    </row>
    <row r="157" spans="1:26">
      <c r="A157" s="1">
        <v>156</v>
      </c>
      <c r="B157" s="2">
        <f>DATE(Sintesi!$C$4-1,12,31)+A157</f>
        <v>44352</v>
      </c>
      <c r="C157" s="1">
        <f>'Paste cell here'!B157</f>
        <v>5.8799999999999998E-2</v>
      </c>
      <c r="D157" s="1">
        <f>'Paste cell here'!I157</f>
        <v>0</v>
      </c>
      <c r="E157" s="1">
        <f>'Paste cell here'!J157</f>
        <v>1.33E-3</v>
      </c>
      <c r="F157" s="1">
        <f>'Paste cell here'!K157</f>
        <v>5.8799999999999998E-2</v>
      </c>
      <c r="G157" s="1">
        <f>'Paste cell here'!L157</f>
        <v>1.33E-3</v>
      </c>
      <c r="H157" s="1">
        <f>'Paste cell here'!M157</f>
        <v>5.74E-2</v>
      </c>
      <c r="I157" s="1">
        <f>'Paste cell here'!N157</f>
        <v>0</v>
      </c>
      <c r="J157" s="1">
        <f>'Paste cell here'!O157</f>
        <v>1.33E-3</v>
      </c>
      <c r="K157" s="1">
        <f>'Paste cell here'!Q157</f>
        <v>0.79711679199999996</v>
      </c>
      <c r="L157" s="1">
        <f>'Paste cell here'!S157</f>
        <v>0</v>
      </c>
      <c r="M157" s="1">
        <f>'Paste cell here'!T157</f>
        <v>0.47990958500000003</v>
      </c>
      <c r="N157" s="1">
        <f>'Paste cell here'!W157</f>
        <v>0</v>
      </c>
      <c r="O157" s="1">
        <f>'Paste cell here'!U157</f>
        <v>22.015189110000001</v>
      </c>
      <c r="P157" s="1">
        <f t="shared" si="13"/>
        <v>23.290881110000001</v>
      </c>
      <c r="Q157" s="1">
        <f>'Paste cell here'!V157</f>
        <v>0</v>
      </c>
      <c r="R157" s="1">
        <f t="shared" si="14"/>
        <v>6.5622999997572151E-5</v>
      </c>
      <c r="S157" s="7">
        <f>Sintesi!$C$30</f>
        <v>8.3099999999999993E-2</v>
      </c>
      <c r="T157" s="7">
        <f>Sintesi!$C$29</f>
        <v>0.229209</v>
      </c>
      <c r="U157" s="5">
        <f>O157/(Sintesi!$C$5*1000)</f>
        <v>0.22015189110000002</v>
      </c>
      <c r="V157" s="1">
        <f t="shared" si="10"/>
        <v>0.14610899999999999</v>
      </c>
      <c r="W157" s="1">
        <v>0.48495629987690902</v>
      </c>
      <c r="X157" s="1">
        <f t="shared" si="11"/>
        <v>7.0856480018715293E-2</v>
      </c>
      <c r="Y157" s="1">
        <f t="shared" si="12"/>
        <v>0.15835251998128469</v>
      </c>
      <c r="Z157" s="1">
        <f>'Paste cellinfo here'!$B$11</f>
        <v>0.51802400000000004</v>
      </c>
    </row>
    <row r="158" spans="1:26">
      <c r="A158" s="1">
        <v>157</v>
      </c>
      <c r="B158" s="2">
        <f>DATE(Sintesi!$C$4-1,12,31)+A158</f>
        <v>44353</v>
      </c>
      <c r="C158" s="1">
        <f>'Paste cell here'!B158</f>
        <v>7.3007469489999997</v>
      </c>
      <c r="D158" s="1">
        <f>'Paste cell here'!I158</f>
        <v>0</v>
      </c>
      <c r="E158" s="1">
        <f>'Paste cell here'!J158</f>
        <v>5.3859172769999999</v>
      </c>
      <c r="F158" s="1">
        <f>'Paste cell here'!K158</f>
        <v>7.3007469489999997</v>
      </c>
      <c r="G158" s="1">
        <f>'Paste cell here'!L158</f>
        <v>5.3859172769999999</v>
      </c>
      <c r="H158" s="1">
        <f>'Paste cell here'!M158</f>
        <v>1.914829672</v>
      </c>
      <c r="I158" s="1">
        <f>'Paste cell here'!N158</f>
        <v>0</v>
      </c>
      <c r="J158" s="1">
        <f>'Paste cell here'!O158</f>
        <v>5.3859174379999999</v>
      </c>
      <c r="K158" s="1">
        <f>'Paste cell here'!Q158</f>
        <v>1.0541404999999999</v>
      </c>
      <c r="L158" s="1">
        <f>'Paste cell here'!S158</f>
        <v>0</v>
      </c>
      <c r="M158" s="1">
        <f>'Paste cell here'!T158</f>
        <v>0.66360114800000003</v>
      </c>
      <c r="N158" s="1">
        <f>'Paste cell here'!W158</f>
        <v>0</v>
      </c>
      <c r="O158" s="1">
        <f>'Paste cell here'!U158</f>
        <v>25.683364900000001</v>
      </c>
      <c r="P158" s="1">
        <f t="shared" si="13"/>
        <v>22.015189110000001</v>
      </c>
      <c r="Q158" s="1">
        <f>'Paste cell here'!V158</f>
        <v>0</v>
      </c>
      <c r="R158" s="1">
        <f t="shared" si="14"/>
        <v>1.6099999911034502E-7</v>
      </c>
      <c r="S158" s="7">
        <f>Sintesi!$C$30</f>
        <v>8.3099999999999993E-2</v>
      </c>
      <c r="T158" s="7">
        <f>Sintesi!$C$29</f>
        <v>0.229209</v>
      </c>
      <c r="U158" s="5">
        <f>O158/(Sintesi!$C$5*1000)</f>
        <v>0.256833649</v>
      </c>
      <c r="V158" s="1">
        <f t="shared" si="10"/>
        <v>0.14610899999999999</v>
      </c>
      <c r="W158" s="1">
        <v>0.482468186636001</v>
      </c>
      <c r="X158" s="1">
        <f t="shared" si="11"/>
        <v>7.0492944281199468E-2</v>
      </c>
      <c r="Y158" s="1">
        <f t="shared" si="12"/>
        <v>0.15871605571880054</v>
      </c>
      <c r="Z158" s="1">
        <f>'Paste cellinfo here'!$B$11</f>
        <v>0.51802400000000004</v>
      </c>
    </row>
    <row r="159" spans="1:26">
      <c r="A159" s="1">
        <v>158</v>
      </c>
      <c r="B159" s="2">
        <f>DATE(Sintesi!$C$4-1,12,31)+A159</f>
        <v>44354</v>
      </c>
      <c r="C159" s="1">
        <f>'Paste cell here'!B159</f>
        <v>2.52E-2</v>
      </c>
      <c r="D159" s="1">
        <f>'Paste cell here'!I159</f>
        <v>0</v>
      </c>
      <c r="E159" s="1">
        <f>'Paste cell here'!J159</f>
        <v>2.3699999999999999E-4</v>
      </c>
      <c r="F159" s="1">
        <f>'Paste cell here'!K159</f>
        <v>2.52E-2</v>
      </c>
      <c r="G159" s="1">
        <f>'Paste cell here'!L159</f>
        <v>2.3699999999999999E-4</v>
      </c>
      <c r="H159" s="1">
        <f>'Paste cell here'!M159</f>
        <v>2.5000000000000001E-2</v>
      </c>
      <c r="I159" s="1">
        <f>'Paste cell here'!N159</f>
        <v>0</v>
      </c>
      <c r="J159" s="1">
        <f>'Paste cell here'!O159</f>
        <v>2.3699999999999999E-4</v>
      </c>
      <c r="K159" s="1">
        <f>'Paste cell here'!Q159</f>
        <v>0.47973486300000001</v>
      </c>
      <c r="L159" s="1">
        <f>'Paste cell here'!S159</f>
        <v>0</v>
      </c>
      <c r="M159" s="1">
        <f>'Paste cell here'!T159</f>
        <v>0.78253888299999996</v>
      </c>
      <c r="N159" s="1">
        <f>'Paste cell here'!W159</f>
        <v>0</v>
      </c>
      <c r="O159" s="1">
        <f>'Paste cell here'!U159</f>
        <v>24.421327810000001</v>
      </c>
      <c r="P159" s="1">
        <f t="shared" si="13"/>
        <v>25.683364900000001</v>
      </c>
      <c r="Q159" s="1">
        <f>'Paste cell here'!V159</f>
        <v>0</v>
      </c>
      <c r="R159" s="1">
        <f t="shared" si="14"/>
        <v>3.6655999998913558E-5</v>
      </c>
      <c r="S159" s="7">
        <f>Sintesi!$C$30</f>
        <v>8.3099999999999993E-2</v>
      </c>
      <c r="T159" s="7">
        <f>Sintesi!$C$29</f>
        <v>0.229209</v>
      </c>
      <c r="U159" s="5">
        <f>O159/(Sintesi!$C$5*1000)</f>
        <v>0.24421327810000001</v>
      </c>
      <c r="V159" s="1">
        <f t="shared" si="10"/>
        <v>0.14610899999999999</v>
      </c>
      <c r="W159" s="1">
        <v>0.52832517082921304</v>
      </c>
      <c r="X159" s="1">
        <f t="shared" si="11"/>
        <v>7.7193062384685485E-2</v>
      </c>
      <c r="Y159" s="1">
        <f t="shared" si="12"/>
        <v>0.15201593761531451</v>
      </c>
      <c r="Z159" s="1">
        <f>'Paste cellinfo here'!$B$11</f>
        <v>0.51802400000000004</v>
      </c>
    </row>
    <row r="160" spans="1:26">
      <c r="A160" s="1">
        <v>159</v>
      </c>
      <c r="B160" s="2">
        <f>DATE(Sintesi!$C$4-1,12,31)+A160</f>
        <v>44355</v>
      </c>
      <c r="C160" s="1">
        <f>'Paste cell here'!B160</f>
        <v>0</v>
      </c>
      <c r="D160" s="1">
        <f>'Paste cell here'!I160</f>
        <v>0</v>
      </c>
      <c r="E160" s="1">
        <f>'Paste cell here'!J160</f>
        <v>0</v>
      </c>
      <c r="F160" s="1">
        <f>'Paste cell here'!K160</f>
        <v>0</v>
      </c>
      <c r="G160" s="1">
        <f>'Paste cell here'!L160</f>
        <v>0</v>
      </c>
      <c r="H160" s="1">
        <f>'Paste cell here'!M160</f>
        <v>0</v>
      </c>
      <c r="I160" s="1">
        <f>'Paste cell here'!N160</f>
        <v>0</v>
      </c>
      <c r="J160" s="1">
        <f>'Paste cell here'!O160</f>
        <v>0</v>
      </c>
      <c r="K160" s="1">
        <f>'Paste cell here'!Q160</f>
        <v>0.43792983600000002</v>
      </c>
      <c r="L160" s="1">
        <f>'Paste cell here'!S160</f>
        <v>0</v>
      </c>
      <c r="M160" s="1">
        <f>'Paste cell here'!T160</f>
        <v>0.41132971200000001</v>
      </c>
      <c r="N160" s="1">
        <f>'Paste cell here'!W160</f>
        <v>0</v>
      </c>
      <c r="O160" s="1">
        <f>'Paste cell here'!U160</f>
        <v>23.572068269999999</v>
      </c>
      <c r="P160" s="1">
        <f t="shared" si="13"/>
        <v>24.421327810000001</v>
      </c>
      <c r="Q160" s="1">
        <f>'Paste cell here'!V160</f>
        <v>0</v>
      </c>
      <c r="R160" s="1">
        <f t="shared" si="14"/>
        <v>7.9999971092092892E-9</v>
      </c>
      <c r="S160" s="7">
        <f>Sintesi!$C$30</f>
        <v>8.3099999999999993E-2</v>
      </c>
      <c r="T160" s="7">
        <f>Sintesi!$C$29</f>
        <v>0.229209</v>
      </c>
      <c r="U160" s="5">
        <f>O160/(Sintesi!$C$5*1000)</f>
        <v>0.23572068269999999</v>
      </c>
      <c r="V160" s="1">
        <f t="shared" si="10"/>
        <v>0.14610899999999999</v>
      </c>
      <c r="W160" s="1">
        <v>0.48000323223791103</v>
      </c>
      <c r="X160" s="1">
        <f t="shared" si="11"/>
        <v>7.0132792259048934E-2</v>
      </c>
      <c r="Y160" s="1">
        <f t="shared" si="12"/>
        <v>0.15907620774095105</v>
      </c>
      <c r="Z160" s="1">
        <f>'Paste cellinfo here'!$B$11</f>
        <v>0.51802400000000004</v>
      </c>
    </row>
    <row r="161" spans="1:26">
      <c r="A161" s="1">
        <v>160</v>
      </c>
      <c r="B161" s="2">
        <f>DATE(Sintesi!$C$4-1,12,31)+A161</f>
        <v>44356</v>
      </c>
      <c r="C161" s="1">
        <f>'Paste cell here'!B161</f>
        <v>0</v>
      </c>
      <c r="D161" s="1">
        <f>'Paste cell here'!I161</f>
        <v>0</v>
      </c>
      <c r="E161" s="1">
        <f>'Paste cell here'!J161</f>
        <v>0</v>
      </c>
      <c r="F161" s="1">
        <f>'Paste cell here'!K161</f>
        <v>0</v>
      </c>
      <c r="G161" s="1">
        <f>'Paste cell here'!L161</f>
        <v>0</v>
      </c>
      <c r="H161" s="1">
        <f>'Paste cell here'!M161</f>
        <v>0</v>
      </c>
      <c r="I161" s="1">
        <f>'Paste cell here'!N161</f>
        <v>0</v>
      </c>
      <c r="J161" s="1">
        <f>'Paste cell here'!O161</f>
        <v>0</v>
      </c>
      <c r="K161" s="1">
        <f>'Paste cell here'!Q161</f>
        <v>0.73706408099999998</v>
      </c>
      <c r="L161" s="1">
        <f>'Paste cell here'!S161</f>
        <v>0</v>
      </c>
      <c r="M161" s="1">
        <f>'Paste cell here'!T161</f>
        <v>0.242868791</v>
      </c>
      <c r="N161" s="1">
        <f>'Paste cell here'!W161</f>
        <v>0</v>
      </c>
      <c r="O161" s="1">
        <f>'Paste cell here'!U161</f>
        <v>22.592135389999999</v>
      </c>
      <c r="P161" s="1">
        <f t="shared" si="13"/>
        <v>23.572068269999999</v>
      </c>
      <c r="Q161" s="1">
        <f>'Paste cell here'!V161</f>
        <v>0</v>
      </c>
      <c r="R161" s="1">
        <f t="shared" si="14"/>
        <v>8.000000661922968E-9</v>
      </c>
      <c r="S161" s="7">
        <f>Sintesi!$C$30</f>
        <v>8.3099999999999993E-2</v>
      </c>
      <c r="T161" s="7">
        <f>Sintesi!$C$29</f>
        <v>0.229209</v>
      </c>
      <c r="U161" s="5">
        <f>O161/(Sintesi!$C$5*1000)</f>
        <v>0.22592135389999998</v>
      </c>
      <c r="V161" s="1">
        <f t="shared" si="10"/>
        <v>0.14610899999999999</v>
      </c>
      <c r="W161" s="1">
        <v>0.47611367671472299</v>
      </c>
      <c r="X161" s="1">
        <f t="shared" si="11"/>
        <v>6.9564493191111451E-2</v>
      </c>
      <c r="Y161" s="1">
        <f t="shared" si="12"/>
        <v>0.15964450680888853</v>
      </c>
      <c r="Z161" s="1">
        <f>'Paste cellinfo here'!$B$11</f>
        <v>0.51802400000000004</v>
      </c>
    </row>
    <row r="162" spans="1:26">
      <c r="A162" s="1">
        <v>161</v>
      </c>
      <c r="B162" s="2">
        <f>DATE(Sintesi!$C$4-1,12,31)+A162</f>
        <v>44357</v>
      </c>
      <c r="C162" s="1">
        <f>'Paste cell here'!B162</f>
        <v>0</v>
      </c>
      <c r="D162" s="1">
        <f>'Paste cell here'!I162</f>
        <v>0</v>
      </c>
      <c r="E162" s="1">
        <f>'Paste cell here'!J162</f>
        <v>0</v>
      </c>
      <c r="F162" s="1">
        <f>'Paste cell here'!K162</f>
        <v>0</v>
      </c>
      <c r="G162" s="1">
        <f>'Paste cell here'!L162</f>
        <v>0</v>
      </c>
      <c r="H162" s="1">
        <f>'Paste cell here'!M162</f>
        <v>0</v>
      </c>
      <c r="I162" s="1">
        <f>'Paste cell here'!N162</f>
        <v>0</v>
      </c>
      <c r="J162" s="1">
        <f>'Paste cell here'!O162</f>
        <v>0</v>
      </c>
      <c r="K162" s="1">
        <f>'Paste cell here'!Q162</f>
        <v>0.60244368400000003</v>
      </c>
      <c r="L162" s="1">
        <f>'Paste cell here'!S162</f>
        <v>0</v>
      </c>
      <c r="M162" s="1">
        <f>'Paste cell here'!T162</f>
        <v>0.14870599000000001</v>
      </c>
      <c r="N162" s="1">
        <f>'Paste cell here'!W162</f>
        <v>0</v>
      </c>
      <c r="O162" s="1">
        <f>'Paste cell here'!U162</f>
        <v>21.840985719999999</v>
      </c>
      <c r="P162" s="1">
        <f t="shared" si="13"/>
        <v>22.592135389999999</v>
      </c>
      <c r="Q162" s="1">
        <f>'Paste cell here'!V162</f>
        <v>0</v>
      </c>
      <c r="R162" s="1">
        <f t="shared" si="14"/>
        <v>4.000000330961484E-9</v>
      </c>
      <c r="S162" s="7">
        <f>Sintesi!$C$30</f>
        <v>8.3099999999999993E-2</v>
      </c>
      <c r="T162" s="7">
        <f>Sintesi!$C$29</f>
        <v>0.229209</v>
      </c>
      <c r="U162" s="5">
        <f>O162/(Sintesi!$C$5*1000)</f>
        <v>0.2184098572</v>
      </c>
      <c r="V162" s="1">
        <f t="shared" si="10"/>
        <v>0.14610899999999999</v>
      </c>
      <c r="W162" s="1">
        <v>0.45630450306385401</v>
      </c>
      <c r="X162" s="1">
        <f t="shared" si="11"/>
        <v>6.6670194638156641E-2</v>
      </c>
      <c r="Y162" s="1">
        <f t="shared" si="12"/>
        <v>0.16253880536184334</v>
      </c>
      <c r="Z162" s="1">
        <f>'Paste cellinfo here'!$B$11</f>
        <v>0.51802400000000004</v>
      </c>
    </row>
    <row r="163" spans="1:26">
      <c r="A163" s="1">
        <v>162</v>
      </c>
      <c r="B163" s="2">
        <f>DATE(Sintesi!$C$4-1,12,31)+A163</f>
        <v>44358</v>
      </c>
      <c r="C163" s="1">
        <f>'Paste cell here'!B163</f>
        <v>3.7986151989999999</v>
      </c>
      <c r="D163" s="1">
        <f>'Paste cell here'!I163</f>
        <v>0</v>
      </c>
      <c r="E163" s="1">
        <f>'Paste cell here'!J163</f>
        <v>2.1466638109999998</v>
      </c>
      <c r="F163" s="1">
        <f>'Paste cell here'!K163</f>
        <v>3.7986151989999999</v>
      </c>
      <c r="G163" s="1">
        <f>'Paste cell here'!L163</f>
        <v>2.1466638109999998</v>
      </c>
      <c r="H163" s="1">
        <f>'Paste cell here'!M163</f>
        <v>1.6519513880000001</v>
      </c>
      <c r="I163" s="1">
        <f>'Paste cell here'!N163</f>
        <v>0</v>
      </c>
      <c r="J163" s="1">
        <f>'Paste cell here'!O163</f>
        <v>2.1466638750000002</v>
      </c>
      <c r="K163" s="1">
        <f>'Paste cell here'!Q163</f>
        <v>0.564019665</v>
      </c>
      <c r="L163" s="1">
        <f>'Paste cell here'!S163</f>
        <v>0</v>
      </c>
      <c r="M163" s="1">
        <f>'Paste cell here'!T163</f>
        <v>0.171775172</v>
      </c>
      <c r="N163" s="1">
        <f>'Paste cell here'!W163</f>
        <v>0</v>
      </c>
      <c r="O163" s="1">
        <f>'Paste cell here'!U163</f>
        <v>23.251854760000001</v>
      </c>
      <c r="P163" s="1">
        <f t="shared" si="13"/>
        <v>21.840985719999999</v>
      </c>
      <c r="Q163" s="1">
        <f>'Paste cell here'!V163</f>
        <v>0</v>
      </c>
      <c r="R163" s="1">
        <f t="shared" si="14"/>
        <v>6.6000001908150807E-8</v>
      </c>
      <c r="S163" s="7">
        <f>Sintesi!$C$30</f>
        <v>8.3099999999999993E-2</v>
      </c>
      <c r="T163" s="7">
        <f>Sintesi!$C$29</f>
        <v>0.229209</v>
      </c>
      <c r="U163" s="5">
        <f>O163/(Sintesi!$C$5*1000)</f>
        <v>0.23251854760000001</v>
      </c>
      <c r="V163" s="1">
        <f t="shared" si="10"/>
        <v>0.14610899999999999</v>
      </c>
      <c r="W163" s="1">
        <v>0.45004783902072898</v>
      </c>
      <c r="X163" s="1">
        <f t="shared" si="11"/>
        <v>6.5756039711479683E-2</v>
      </c>
      <c r="Y163" s="1">
        <f t="shared" si="12"/>
        <v>0.1634529602885203</v>
      </c>
      <c r="Z163" s="1">
        <f>'Paste cellinfo here'!$B$11</f>
        <v>0.51802400000000004</v>
      </c>
    </row>
    <row r="164" spans="1:26">
      <c r="A164" s="1">
        <v>163</v>
      </c>
      <c r="B164" s="2">
        <f>DATE(Sintesi!$C$4-1,12,31)+A164</f>
        <v>44359</v>
      </c>
      <c r="C164" s="1">
        <f>'Paste cell here'!B164</f>
        <v>0</v>
      </c>
      <c r="D164" s="1">
        <f>'Paste cell here'!I164</f>
        <v>0</v>
      </c>
      <c r="E164" s="1">
        <f>'Paste cell here'!J164</f>
        <v>0</v>
      </c>
      <c r="F164" s="1">
        <f>'Paste cell here'!K164</f>
        <v>0</v>
      </c>
      <c r="G164" s="1">
        <f>'Paste cell here'!L164</f>
        <v>0</v>
      </c>
      <c r="H164" s="1">
        <f>'Paste cell here'!M164</f>
        <v>0</v>
      </c>
      <c r="I164" s="1">
        <f>'Paste cell here'!N164</f>
        <v>0</v>
      </c>
      <c r="J164" s="1">
        <f>'Paste cell here'!O164</f>
        <v>0</v>
      </c>
      <c r="K164" s="1">
        <f>'Paste cell here'!Q164</f>
        <v>0.48201352800000002</v>
      </c>
      <c r="L164" s="1">
        <f>'Paste cell here'!S164</f>
        <v>0</v>
      </c>
      <c r="M164" s="1">
        <f>'Paste cell here'!T164</f>
        <v>0.20300343600000001</v>
      </c>
      <c r="N164" s="1">
        <f>'Paste cell here'!W164</f>
        <v>0</v>
      </c>
      <c r="O164" s="1">
        <f>'Paste cell here'!U164</f>
        <v>22.566837790000001</v>
      </c>
      <c r="P164" s="1">
        <f t="shared" si="13"/>
        <v>23.251854760000001</v>
      </c>
      <c r="Q164" s="1">
        <f>'Paste cell here'!V164</f>
        <v>0</v>
      </c>
      <c r="R164" s="1">
        <f t="shared" si="14"/>
        <v>6.000000496442226E-9</v>
      </c>
      <c r="S164" s="7">
        <f>Sintesi!$C$30</f>
        <v>8.3099999999999993E-2</v>
      </c>
      <c r="T164" s="7">
        <f>Sintesi!$C$29</f>
        <v>0.229209</v>
      </c>
      <c r="U164" s="5">
        <f>O164/(Sintesi!$C$5*1000)</f>
        <v>0.22566837790000002</v>
      </c>
      <c r="V164" s="1">
        <f t="shared" si="10"/>
        <v>0.14610899999999999</v>
      </c>
      <c r="W164" s="1">
        <v>0.48404935885406802</v>
      </c>
      <c r="X164" s="1">
        <f t="shared" si="11"/>
        <v>7.0723967772809024E-2</v>
      </c>
      <c r="Y164" s="1">
        <f t="shared" si="12"/>
        <v>0.15848503222719096</v>
      </c>
      <c r="Z164" s="1">
        <f>'Paste cellinfo here'!$B$11</f>
        <v>0.51802400000000004</v>
      </c>
    </row>
    <row r="165" spans="1:26">
      <c r="A165" s="1">
        <v>164</v>
      </c>
      <c r="B165" s="2">
        <f>DATE(Sintesi!$C$4-1,12,31)+A165</f>
        <v>44360</v>
      </c>
      <c r="C165" s="1">
        <f>'Paste cell here'!B165</f>
        <v>0</v>
      </c>
      <c r="D165" s="1">
        <f>'Paste cell here'!I165</f>
        <v>0</v>
      </c>
      <c r="E165" s="1">
        <f>'Paste cell here'!J165</f>
        <v>0</v>
      </c>
      <c r="F165" s="1">
        <f>'Paste cell here'!K165</f>
        <v>0</v>
      </c>
      <c r="G165" s="1">
        <f>'Paste cell here'!L165</f>
        <v>0</v>
      </c>
      <c r="H165" s="1">
        <f>'Paste cell here'!M165</f>
        <v>0</v>
      </c>
      <c r="I165" s="1">
        <f>'Paste cell here'!N165</f>
        <v>0</v>
      </c>
      <c r="J165" s="1">
        <f>'Paste cell here'!O165</f>
        <v>0</v>
      </c>
      <c r="K165" s="1">
        <f>'Paste cell here'!Q165</f>
        <v>0.64340580000000003</v>
      </c>
      <c r="L165" s="1">
        <f>'Paste cell here'!S165</f>
        <v>0</v>
      </c>
      <c r="M165" s="1">
        <f>'Paste cell here'!T165</f>
        <v>0.139253243</v>
      </c>
      <c r="N165" s="1">
        <f>'Paste cell here'!W165</f>
        <v>0</v>
      </c>
      <c r="O165" s="1">
        <f>'Paste cell here'!U165</f>
        <v>21.784178749999999</v>
      </c>
      <c r="P165" s="1">
        <f t="shared" si="13"/>
        <v>22.566837790000001</v>
      </c>
      <c r="Q165" s="1">
        <f>'Paste cell here'!V165</f>
        <v>0</v>
      </c>
      <c r="R165" s="1">
        <f t="shared" si="14"/>
        <v>2.9999966955074342E-9</v>
      </c>
      <c r="S165" s="7">
        <f>Sintesi!$C$30</f>
        <v>8.3099999999999993E-2</v>
      </c>
      <c r="T165" s="7">
        <f>Sintesi!$C$29</f>
        <v>0.229209</v>
      </c>
      <c r="U165" s="5">
        <f>O165/(Sintesi!$C$5*1000)</f>
        <v>0.21784178749999999</v>
      </c>
      <c r="V165" s="1">
        <f t="shared" si="10"/>
        <v>0.14610899999999999</v>
      </c>
      <c r="W165" s="1">
        <v>0.58639127837830096</v>
      </c>
      <c r="X165" s="1">
        <f t="shared" si="11"/>
        <v>8.5677043292575167E-2</v>
      </c>
      <c r="Y165" s="1">
        <f t="shared" si="12"/>
        <v>0.14353195670742483</v>
      </c>
      <c r="Z165" s="1">
        <f>'Paste cellinfo here'!$B$11</f>
        <v>0.51802400000000004</v>
      </c>
    </row>
    <row r="166" spans="1:26">
      <c r="A166" s="1">
        <v>165</v>
      </c>
      <c r="B166" s="2">
        <f>DATE(Sintesi!$C$4-1,12,31)+A166</f>
        <v>44361</v>
      </c>
      <c r="C166" s="1">
        <f>'Paste cell here'!B166</f>
        <v>0</v>
      </c>
      <c r="D166" s="1">
        <f>'Paste cell here'!I166</f>
        <v>0</v>
      </c>
      <c r="E166" s="1">
        <f>'Paste cell here'!J166</f>
        <v>0</v>
      </c>
      <c r="F166" s="1">
        <f>'Paste cell here'!K166</f>
        <v>0</v>
      </c>
      <c r="G166" s="1">
        <f>'Paste cell here'!L166</f>
        <v>0</v>
      </c>
      <c r="H166" s="1">
        <f>'Paste cell here'!M166</f>
        <v>0</v>
      </c>
      <c r="I166" s="1">
        <f>'Paste cell here'!N166</f>
        <v>0</v>
      </c>
      <c r="J166" s="1">
        <f>'Paste cell here'!O166</f>
        <v>0</v>
      </c>
      <c r="K166" s="1">
        <f>'Paste cell here'!Q166</f>
        <v>0.32070890800000001</v>
      </c>
      <c r="L166" s="1">
        <f>'Paste cell here'!S166</f>
        <v>0</v>
      </c>
      <c r="M166" s="1">
        <f>'Paste cell here'!T166</f>
        <v>0.1</v>
      </c>
      <c r="N166" s="1">
        <f>'Paste cell here'!W166</f>
        <v>0</v>
      </c>
      <c r="O166" s="1">
        <f>'Paste cell here'!U166</f>
        <v>21.363486770000002</v>
      </c>
      <c r="P166" s="1">
        <f t="shared" si="13"/>
        <v>21.784178749999999</v>
      </c>
      <c r="Q166" s="1">
        <f>'Paste cell here'!V166</f>
        <v>0</v>
      </c>
      <c r="R166" s="1">
        <f t="shared" si="14"/>
        <v>1.6928000004412525E-5</v>
      </c>
      <c r="S166" s="7">
        <f>Sintesi!$C$30</f>
        <v>8.3099999999999993E-2</v>
      </c>
      <c r="T166" s="7">
        <f>Sintesi!$C$29</f>
        <v>0.229209</v>
      </c>
      <c r="U166" s="5">
        <f>O166/(Sintesi!$C$5*1000)</f>
        <v>0.21363486770000001</v>
      </c>
      <c r="V166" s="1">
        <f t="shared" si="10"/>
        <v>0.14610899999999999</v>
      </c>
      <c r="W166" s="1">
        <v>0.42975707697827598</v>
      </c>
      <c r="X166" s="1">
        <f t="shared" si="11"/>
        <v>6.2791376760218925E-2</v>
      </c>
      <c r="Y166" s="1">
        <f t="shared" si="12"/>
        <v>0.16641762323978107</v>
      </c>
      <c r="Z166" s="1">
        <f>'Paste cellinfo here'!$B$11</f>
        <v>0.51802400000000004</v>
      </c>
    </row>
    <row r="167" spans="1:26">
      <c r="A167" s="1">
        <v>166</v>
      </c>
      <c r="B167" s="2">
        <f>DATE(Sintesi!$C$4-1,12,31)+A167</f>
        <v>44362</v>
      </c>
      <c r="C167" s="1">
        <f>'Paste cell here'!B167</f>
        <v>0</v>
      </c>
      <c r="D167" s="1">
        <f>'Paste cell here'!I167</f>
        <v>198</v>
      </c>
      <c r="E167" s="1">
        <f>'Paste cell here'!J167</f>
        <v>0</v>
      </c>
      <c r="F167" s="1">
        <f>'Paste cell here'!K167</f>
        <v>198</v>
      </c>
      <c r="G167" s="1">
        <f>'Paste cell here'!L167</f>
        <v>0</v>
      </c>
      <c r="H167" s="1">
        <f>'Paste cell here'!M167</f>
        <v>0</v>
      </c>
      <c r="I167" s="1">
        <f>'Paste cell here'!N167</f>
        <v>0</v>
      </c>
      <c r="J167" s="1">
        <f>'Paste cell here'!O167</f>
        <v>0</v>
      </c>
      <c r="K167" s="1">
        <f>'Paste cell here'!Q167</f>
        <v>0.37957773299999997</v>
      </c>
      <c r="L167" s="1">
        <f>'Paste cell here'!S167</f>
        <v>0</v>
      </c>
      <c r="M167" s="1">
        <f>'Paste cell here'!T167</f>
        <v>190.74193690000001</v>
      </c>
      <c r="N167" s="1">
        <f>'Paste cell here'!W167</f>
        <v>0</v>
      </c>
      <c r="O167" s="1">
        <f>'Paste cell here'!U167</f>
        <v>28.241972140000001</v>
      </c>
      <c r="P167" s="1">
        <f t="shared" si="13"/>
        <v>21.363486770000002</v>
      </c>
      <c r="Q167" s="1">
        <f>'Paste cell here'!V167</f>
        <v>0</v>
      </c>
      <c r="R167" s="1">
        <f t="shared" si="14"/>
        <v>2.9999966955074342E-9</v>
      </c>
      <c r="S167" s="7">
        <f>Sintesi!$C$30</f>
        <v>8.3099999999999993E-2</v>
      </c>
      <c r="T167" s="7">
        <f>Sintesi!$C$29</f>
        <v>0.229209</v>
      </c>
      <c r="U167" s="5">
        <f>O167/(Sintesi!$C$5*1000)</f>
        <v>0.28241972139999999</v>
      </c>
      <c r="V167" s="1">
        <f t="shared" si="10"/>
        <v>0.14610899999999999</v>
      </c>
      <c r="W167" s="1">
        <v>0.42462164020563298</v>
      </c>
      <c r="X167" s="1">
        <f t="shared" si="11"/>
        <v>6.2041043228804826E-2</v>
      </c>
      <c r="Y167" s="1">
        <f t="shared" si="12"/>
        <v>0.16716795677119517</v>
      </c>
      <c r="Z167" s="1">
        <f>'Paste cellinfo here'!$B$11</f>
        <v>0.51802400000000004</v>
      </c>
    </row>
    <row r="168" spans="1:26">
      <c r="A168" s="1">
        <v>167</v>
      </c>
      <c r="B168" s="2">
        <f>DATE(Sintesi!$C$4-1,12,31)+A168</f>
        <v>44363</v>
      </c>
      <c r="C168" s="1">
        <f>'Paste cell here'!B168</f>
        <v>0</v>
      </c>
      <c r="D168" s="1">
        <f>'Paste cell here'!I168</f>
        <v>0</v>
      </c>
      <c r="E168" s="1">
        <f>'Paste cell here'!J168</f>
        <v>0</v>
      </c>
      <c r="F168" s="1">
        <f>'Paste cell here'!K168</f>
        <v>0</v>
      </c>
      <c r="G168" s="1">
        <f>'Paste cell here'!L168</f>
        <v>0</v>
      </c>
      <c r="H168" s="1">
        <f>'Paste cell here'!M168</f>
        <v>0</v>
      </c>
      <c r="I168" s="1">
        <f>'Paste cell here'!N168</f>
        <v>0</v>
      </c>
      <c r="J168" s="1">
        <f>'Paste cell here'!O168</f>
        <v>0</v>
      </c>
      <c r="K168" s="1">
        <f>'Paste cell here'!Q168</f>
        <v>0.211505471</v>
      </c>
      <c r="L168" s="1">
        <f>'Paste cell here'!S168</f>
        <v>0</v>
      </c>
      <c r="M168" s="1">
        <f>'Paste cell here'!T168</f>
        <v>3.7098002110000001</v>
      </c>
      <c r="N168" s="1">
        <f>'Paste cell here'!W168</f>
        <v>0</v>
      </c>
      <c r="O168" s="1">
        <f>'Paste cell here'!U168</f>
        <v>24.320666460000002</v>
      </c>
      <c r="P168" s="1">
        <f t="shared" si="13"/>
        <v>28.241972140000001</v>
      </c>
      <c r="Q168" s="1">
        <f>'Paste cell here'!V168</f>
        <v>0</v>
      </c>
      <c r="R168" s="1">
        <f t="shared" si="14"/>
        <v>2.000000165480742E-9</v>
      </c>
      <c r="S168" s="7">
        <f>Sintesi!$C$30</f>
        <v>8.3099999999999993E-2</v>
      </c>
      <c r="T168" s="7">
        <f>Sintesi!$C$29</f>
        <v>0.229209</v>
      </c>
      <c r="U168" s="5">
        <f>O168/(Sintesi!$C$5*1000)</f>
        <v>0.24320666460000001</v>
      </c>
      <c r="V168" s="1">
        <f t="shared" si="10"/>
        <v>0.14610899999999999</v>
      </c>
      <c r="W168" s="1">
        <v>0.46939447088163799</v>
      </c>
      <c r="X168" s="1">
        <f t="shared" si="11"/>
        <v>6.8582756746045234E-2</v>
      </c>
      <c r="Y168" s="1">
        <f t="shared" si="12"/>
        <v>0.16062624325395475</v>
      </c>
      <c r="Z168" s="1">
        <f>'Paste cellinfo here'!$B$11</f>
        <v>0.51802400000000004</v>
      </c>
    </row>
    <row r="169" spans="1:26">
      <c r="A169" s="1">
        <v>168</v>
      </c>
      <c r="B169" s="2">
        <f>DATE(Sintesi!$C$4-1,12,31)+A169</f>
        <v>44364</v>
      </c>
      <c r="C169" s="1">
        <f>'Paste cell here'!B169</f>
        <v>0</v>
      </c>
      <c r="D169" s="1">
        <f>'Paste cell here'!I169</f>
        <v>0</v>
      </c>
      <c r="E169" s="1">
        <f>'Paste cell here'!J169</f>
        <v>0</v>
      </c>
      <c r="F169" s="1">
        <f>'Paste cell here'!K169</f>
        <v>0</v>
      </c>
      <c r="G169" s="1">
        <f>'Paste cell here'!L169</f>
        <v>0</v>
      </c>
      <c r="H169" s="1">
        <f>'Paste cell here'!M169</f>
        <v>0</v>
      </c>
      <c r="I169" s="1">
        <f>'Paste cell here'!N169</f>
        <v>0</v>
      </c>
      <c r="J169" s="1">
        <f>'Paste cell here'!O169</f>
        <v>0</v>
      </c>
      <c r="K169" s="1">
        <f>'Paste cell here'!Q169</f>
        <v>0.19707370199999999</v>
      </c>
      <c r="L169" s="1">
        <f>'Paste cell here'!S169</f>
        <v>0</v>
      </c>
      <c r="M169" s="1">
        <f>'Paste cell here'!T169</f>
        <v>0.83254679200000004</v>
      </c>
      <c r="N169" s="1">
        <f>'Paste cell here'!W169</f>
        <v>0</v>
      </c>
      <c r="O169" s="1">
        <f>'Paste cell here'!U169</f>
        <v>23.291045960000002</v>
      </c>
      <c r="P169" s="1">
        <f t="shared" si="13"/>
        <v>24.320666460000002</v>
      </c>
      <c r="Q169" s="1">
        <f>'Paste cell here'!V169</f>
        <v>0</v>
      </c>
      <c r="R169" s="1">
        <f t="shared" si="14"/>
        <v>6.000000496442226E-9</v>
      </c>
      <c r="S169" s="7">
        <f>Sintesi!$C$30</f>
        <v>8.3099999999999993E-2</v>
      </c>
      <c r="T169" s="7">
        <f>Sintesi!$C$29</f>
        <v>0.229209</v>
      </c>
      <c r="U169" s="5">
        <f>O169/(Sintesi!$C$5*1000)</f>
        <v>0.23291045960000001</v>
      </c>
      <c r="V169" s="1">
        <f t="shared" si="10"/>
        <v>0.14610899999999999</v>
      </c>
      <c r="W169" s="1">
        <v>0.436828608031821</v>
      </c>
      <c r="X169" s="1">
        <f t="shared" si="11"/>
        <v>6.3824591090921326E-2</v>
      </c>
      <c r="Y169" s="1">
        <f t="shared" si="12"/>
        <v>0.16538440890907868</v>
      </c>
      <c r="Z169" s="1">
        <f>'Paste cellinfo here'!$B$11</f>
        <v>0.51802400000000004</v>
      </c>
    </row>
    <row r="170" spans="1:26">
      <c r="A170" s="1">
        <v>169</v>
      </c>
      <c r="B170" s="2">
        <f>DATE(Sintesi!$C$4-1,12,31)+A170</f>
        <v>44365</v>
      </c>
      <c r="C170" s="1">
        <f>'Paste cell here'!B170</f>
        <v>0</v>
      </c>
      <c r="D170" s="1">
        <f>'Paste cell here'!I170</f>
        <v>0</v>
      </c>
      <c r="E170" s="1">
        <f>'Paste cell here'!J170</f>
        <v>0</v>
      </c>
      <c r="F170" s="1">
        <f>'Paste cell here'!K170</f>
        <v>0</v>
      </c>
      <c r="G170" s="1">
        <f>'Paste cell here'!L170</f>
        <v>0</v>
      </c>
      <c r="H170" s="1">
        <f>'Paste cell here'!M170</f>
        <v>0</v>
      </c>
      <c r="I170" s="1">
        <f>'Paste cell here'!N170</f>
        <v>0</v>
      </c>
      <c r="J170" s="1">
        <f>'Paste cell here'!O170</f>
        <v>0</v>
      </c>
      <c r="K170" s="1">
        <f>'Paste cell here'!Q170</f>
        <v>0.345822827</v>
      </c>
      <c r="L170" s="1">
        <f>'Paste cell here'!S170</f>
        <v>0</v>
      </c>
      <c r="M170" s="1">
        <f>'Paste cell here'!T170</f>
        <v>0.37465030999999999</v>
      </c>
      <c r="N170" s="1">
        <f>'Paste cell here'!W170</f>
        <v>0</v>
      </c>
      <c r="O170" s="1">
        <f>'Paste cell here'!U170</f>
        <v>22.57057283</v>
      </c>
      <c r="P170" s="1">
        <f t="shared" si="13"/>
        <v>23.291045960000002</v>
      </c>
      <c r="Q170" s="1">
        <f>'Paste cell here'!V170</f>
        <v>0</v>
      </c>
      <c r="R170" s="1">
        <f t="shared" si="14"/>
        <v>6.9999970264689182E-9</v>
      </c>
      <c r="S170" s="7">
        <f>Sintesi!$C$30</f>
        <v>8.3099999999999993E-2</v>
      </c>
      <c r="T170" s="7">
        <f>Sintesi!$C$29</f>
        <v>0.229209</v>
      </c>
      <c r="U170" s="5">
        <f>O170/(Sintesi!$C$5*1000)</f>
        <v>0.22570572829999999</v>
      </c>
      <c r="V170" s="1">
        <f t="shared" si="10"/>
        <v>0.14610899999999999</v>
      </c>
      <c r="W170" s="1">
        <v>0.43498801120479202</v>
      </c>
      <c r="X170" s="1">
        <f t="shared" si="11"/>
        <v>6.3555663329120951E-2</v>
      </c>
      <c r="Y170" s="1">
        <f t="shared" si="12"/>
        <v>0.16565333667087906</v>
      </c>
      <c r="Z170" s="1">
        <f>'Paste cellinfo here'!$B$11</f>
        <v>0.51802400000000004</v>
      </c>
    </row>
    <row r="171" spans="1:26">
      <c r="A171" s="1">
        <v>170</v>
      </c>
      <c r="B171" s="2">
        <f>DATE(Sintesi!$C$4-1,12,31)+A171</f>
        <v>44366</v>
      </c>
      <c r="C171" s="1">
        <f>'Paste cell here'!B171</f>
        <v>0</v>
      </c>
      <c r="D171" s="1">
        <f>'Paste cell here'!I171</f>
        <v>0</v>
      </c>
      <c r="E171" s="1">
        <f>'Paste cell here'!J171</f>
        <v>0</v>
      </c>
      <c r="F171" s="1">
        <f>'Paste cell here'!K171</f>
        <v>0</v>
      </c>
      <c r="G171" s="1">
        <f>'Paste cell here'!L171</f>
        <v>0</v>
      </c>
      <c r="H171" s="1">
        <f>'Paste cell here'!M171</f>
        <v>0</v>
      </c>
      <c r="I171" s="1">
        <f>'Paste cell here'!N171</f>
        <v>0</v>
      </c>
      <c r="J171" s="1">
        <f>'Paste cell here'!O171</f>
        <v>0</v>
      </c>
      <c r="K171" s="1">
        <f>'Paste cell here'!Q171</f>
        <v>0.31502101100000002</v>
      </c>
      <c r="L171" s="1">
        <f>'Paste cell here'!S171</f>
        <v>0</v>
      </c>
      <c r="M171" s="1">
        <f>'Paste cell here'!T171</f>
        <v>0.21007849000000001</v>
      </c>
      <c r="N171" s="1">
        <f>'Paste cell here'!W171</f>
        <v>0</v>
      </c>
      <c r="O171" s="1">
        <f>'Paste cell here'!U171</f>
        <v>22.04547333</v>
      </c>
      <c r="P171" s="1">
        <f t="shared" si="13"/>
        <v>22.57057283</v>
      </c>
      <c r="Q171" s="1">
        <f>'Paste cell here'!V171</f>
        <v>0</v>
      </c>
      <c r="R171" s="1">
        <f>ABS(O170+C171+D171+N171+Q170-H171-I171-K171-L171-M171-O171-Q171)</f>
        <v>1.000000082740371E-9</v>
      </c>
      <c r="S171" s="7">
        <f>Sintesi!$C$30</f>
        <v>8.3099999999999993E-2</v>
      </c>
      <c r="T171" s="7">
        <f>Sintesi!$C$29</f>
        <v>0.229209</v>
      </c>
      <c r="U171" s="5">
        <f>O171/(Sintesi!$C$5*1000)</f>
        <v>0.22045473330000001</v>
      </c>
      <c r="V171" s="1">
        <f t="shared" si="10"/>
        <v>0.14610899999999999</v>
      </c>
      <c r="W171" s="1">
        <v>0.46867410807187998</v>
      </c>
      <c r="X171" s="1">
        <f t="shared" si="11"/>
        <v>6.8477505256274301E-2</v>
      </c>
      <c r="Y171" s="1">
        <f t="shared" si="12"/>
        <v>0.16073149474372569</v>
      </c>
      <c r="Z171" s="1">
        <f>'Paste cellinfo here'!$B$11</f>
        <v>0.51802400000000004</v>
      </c>
    </row>
    <row r="172" spans="1:26">
      <c r="A172" s="1">
        <v>171</v>
      </c>
      <c r="B172" s="2">
        <f>DATE(Sintesi!$C$4-1,12,31)+A172</f>
        <v>44367</v>
      </c>
      <c r="C172" s="1">
        <f>'Paste cell here'!B172</f>
        <v>0</v>
      </c>
      <c r="D172" s="1">
        <f>'Paste cell here'!I172</f>
        <v>0</v>
      </c>
      <c r="E172" s="1">
        <f>'Paste cell here'!J172</f>
        <v>0</v>
      </c>
      <c r="F172" s="1">
        <f>'Paste cell here'!K172</f>
        <v>0</v>
      </c>
      <c r="G172" s="1">
        <f>'Paste cell here'!L172</f>
        <v>0</v>
      </c>
      <c r="H172" s="1">
        <f>'Paste cell here'!M172</f>
        <v>0</v>
      </c>
      <c r="I172" s="1">
        <f>'Paste cell here'!N172</f>
        <v>0</v>
      </c>
      <c r="J172" s="1">
        <f>'Paste cell here'!O172</f>
        <v>0</v>
      </c>
      <c r="K172" s="1">
        <f>'Paste cell here'!Q172</f>
        <v>0.16724677299999999</v>
      </c>
      <c r="L172" s="1">
        <f>'Paste cell here'!S172</f>
        <v>0</v>
      </c>
      <c r="M172" s="1">
        <f>'Paste cell here'!T172</f>
        <v>0.14306771400000001</v>
      </c>
      <c r="N172" s="1">
        <f>'Paste cell here'!W172</f>
        <v>0</v>
      </c>
      <c r="O172" s="1">
        <f>'Paste cell here'!U172</f>
        <v>21.73515884</v>
      </c>
      <c r="P172" s="1">
        <f t="shared" si="13"/>
        <v>22.04547333</v>
      </c>
      <c r="Q172" s="1">
        <f>'Paste cell here'!V172</f>
        <v>0</v>
      </c>
      <c r="R172" s="1">
        <f t="shared" si="14"/>
        <v>3.000000248221113E-9</v>
      </c>
      <c r="S172" s="7">
        <f>Sintesi!$C$30</f>
        <v>8.3099999999999993E-2</v>
      </c>
      <c r="T172" s="7">
        <f>Sintesi!$C$29</f>
        <v>0.229209</v>
      </c>
      <c r="U172" s="5">
        <f>O172/(Sintesi!$C$5*1000)</f>
        <v>0.21735158840000002</v>
      </c>
      <c r="V172" s="1">
        <f t="shared" si="10"/>
        <v>0.14610899999999999</v>
      </c>
      <c r="W172" s="1">
        <v>0.44779756036518698</v>
      </c>
      <c r="X172" s="1">
        <f t="shared" si="11"/>
        <v>6.5427253747397093E-2</v>
      </c>
      <c r="Y172" s="1">
        <f t="shared" si="12"/>
        <v>0.16378174625260289</v>
      </c>
      <c r="Z172" s="1">
        <f>'Paste cellinfo here'!$B$11</f>
        <v>0.51802400000000004</v>
      </c>
    </row>
    <row r="173" spans="1:26">
      <c r="A173" s="1">
        <v>172</v>
      </c>
      <c r="B173" s="2">
        <f>DATE(Sintesi!$C$4-1,12,31)+A173</f>
        <v>44368</v>
      </c>
      <c r="C173" s="1">
        <f>'Paste cell here'!B173</f>
        <v>0</v>
      </c>
      <c r="D173" s="1">
        <f>'Paste cell here'!I173</f>
        <v>0</v>
      </c>
      <c r="E173" s="1">
        <f>'Paste cell here'!J173</f>
        <v>0</v>
      </c>
      <c r="F173" s="1">
        <f>'Paste cell here'!K173</f>
        <v>0</v>
      </c>
      <c r="G173" s="1">
        <f>'Paste cell here'!L173</f>
        <v>0</v>
      </c>
      <c r="H173" s="1">
        <f>'Paste cell here'!M173</f>
        <v>0</v>
      </c>
      <c r="I173" s="1">
        <f>'Paste cell here'!N173</f>
        <v>0</v>
      </c>
      <c r="J173" s="1">
        <f>'Paste cell here'!O173</f>
        <v>0</v>
      </c>
      <c r="K173" s="1">
        <f>'Paste cell here'!Q173</f>
        <v>0.32364128599999997</v>
      </c>
      <c r="L173" s="1">
        <f>'Paste cell here'!S173</f>
        <v>0</v>
      </c>
      <c r="M173" s="1">
        <f>'Paste cell here'!T173</f>
        <v>0.107167076</v>
      </c>
      <c r="N173" s="1">
        <f>'Paste cell here'!W173</f>
        <v>0</v>
      </c>
      <c r="O173" s="1">
        <f>'Paste cell here'!U173</f>
        <v>21.30435048</v>
      </c>
      <c r="P173" s="1">
        <f t="shared" si="13"/>
        <v>21.73515884</v>
      </c>
      <c r="Q173" s="1">
        <f>'Paste cell here'!V173</f>
        <v>0</v>
      </c>
      <c r="R173" s="1">
        <f t="shared" si="14"/>
        <v>2.000000165480742E-9</v>
      </c>
      <c r="S173" s="7">
        <f>Sintesi!$C$30</f>
        <v>8.3099999999999993E-2</v>
      </c>
      <c r="T173" s="7">
        <f>Sintesi!$C$29</f>
        <v>0.229209</v>
      </c>
      <c r="U173" s="5">
        <f>O173/(Sintesi!$C$5*1000)</f>
        <v>0.21304350480000001</v>
      </c>
      <c r="V173" s="1">
        <f t="shared" si="10"/>
        <v>0.14610899999999999</v>
      </c>
      <c r="W173" s="1">
        <v>0.51338630542942898</v>
      </c>
      <c r="X173" s="1">
        <f t="shared" si="11"/>
        <v>7.5010359699988427E-2</v>
      </c>
      <c r="Y173" s="1">
        <f t="shared" si="12"/>
        <v>0.15419864030001157</v>
      </c>
      <c r="Z173" s="1">
        <f>'Paste cellinfo here'!$B$11</f>
        <v>0.51802400000000004</v>
      </c>
    </row>
    <row r="174" spans="1:26">
      <c r="A174" s="1">
        <v>173</v>
      </c>
      <c r="B174" s="2">
        <f>DATE(Sintesi!$C$4-1,12,31)+A174</f>
        <v>44369</v>
      </c>
      <c r="C174" s="1">
        <f>'Paste cell here'!B174</f>
        <v>0</v>
      </c>
      <c r="D174" s="1">
        <f>'Paste cell here'!I174</f>
        <v>0</v>
      </c>
      <c r="E174" s="1">
        <f>'Paste cell here'!J174</f>
        <v>0</v>
      </c>
      <c r="F174" s="1">
        <f>'Paste cell here'!K174</f>
        <v>0</v>
      </c>
      <c r="G174" s="1">
        <f>'Paste cell here'!L174</f>
        <v>0</v>
      </c>
      <c r="H174" s="1">
        <f>'Paste cell here'!M174</f>
        <v>0</v>
      </c>
      <c r="I174" s="1">
        <f>'Paste cell here'!N174</f>
        <v>0</v>
      </c>
      <c r="J174" s="1">
        <f>'Paste cell here'!O174</f>
        <v>0</v>
      </c>
      <c r="K174" s="1">
        <f>'Paste cell here'!Q174</f>
        <v>0.34957961999999998</v>
      </c>
      <c r="L174" s="1">
        <f>'Paste cell here'!S174</f>
        <v>0</v>
      </c>
      <c r="M174" s="1">
        <f>'Paste cell here'!T174</f>
        <v>8.0500000000000002E-2</v>
      </c>
      <c r="N174" s="1">
        <f>'Paste cell here'!W174</f>
        <v>0</v>
      </c>
      <c r="O174" s="1">
        <f>'Paste cell here'!U174</f>
        <v>20.8742394</v>
      </c>
      <c r="P174" s="1">
        <f t="shared" si="13"/>
        <v>21.30435048</v>
      </c>
      <c r="Q174" s="1">
        <f>'Paste cell here'!V174</f>
        <v>0</v>
      </c>
      <c r="R174" s="1">
        <f t="shared" si="14"/>
        <v>3.1459999998872945E-5</v>
      </c>
      <c r="S174" s="7">
        <f>Sintesi!$C$30</f>
        <v>8.3099999999999993E-2</v>
      </c>
      <c r="T174" s="7">
        <f>Sintesi!$C$29</f>
        <v>0.229209</v>
      </c>
      <c r="U174" s="5">
        <f>O174/(Sintesi!$C$5*1000)</f>
        <v>0.208742394</v>
      </c>
      <c r="V174" s="1">
        <f t="shared" si="10"/>
        <v>0.14610899999999999</v>
      </c>
      <c r="W174" s="1">
        <v>0.45038459011381898</v>
      </c>
      <c r="X174" s="1">
        <f t="shared" si="11"/>
        <v>6.5805242076939968E-2</v>
      </c>
      <c r="Y174" s="1">
        <f t="shared" si="12"/>
        <v>0.16340375792306003</v>
      </c>
      <c r="Z174" s="1">
        <f>'Paste cellinfo here'!$B$11</f>
        <v>0.51802400000000004</v>
      </c>
    </row>
    <row r="175" spans="1:26">
      <c r="A175" s="1">
        <v>174</v>
      </c>
      <c r="B175" s="2">
        <f>DATE(Sintesi!$C$4-1,12,31)+A175</f>
        <v>44370</v>
      </c>
      <c r="C175" s="1">
        <f>'Paste cell here'!B175</f>
        <v>6.307786675</v>
      </c>
      <c r="D175" s="1">
        <f>'Paste cell here'!I175</f>
        <v>0</v>
      </c>
      <c r="E175" s="1">
        <f>'Paste cell here'!J175</f>
        <v>4.2451645539999996</v>
      </c>
      <c r="F175" s="1">
        <f>'Paste cell here'!K175</f>
        <v>6.307786675</v>
      </c>
      <c r="G175" s="1">
        <f>'Paste cell here'!L175</f>
        <v>4.2451645539999996</v>
      </c>
      <c r="H175" s="1">
        <f>'Paste cell here'!M175</f>
        <v>2.0626221199999999</v>
      </c>
      <c r="I175" s="1">
        <f>'Paste cell here'!N175</f>
        <v>0</v>
      </c>
      <c r="J175" s="1">
        <f>'Paste cell here'!O175</f>
        <v>4.2451646810000003</v>
      </c>
      <c r="K175" s="1">
        <f>'Paste cell here'!Q175</f>
        <v>0.25286565100000002</v>
      </c>
      <c r="L175" s="1">
        <f>'Paste cell here'!S175</f>
        <v>0</v>
      </c>
      <c r="M175" s="1">
        <f>'Paste cell here'!T175</f>
        <v>0.21727454900000001</v>
      </c>
      <c r="N175" s="1">
        <f>'Paste cell here'!W175</f>
        <v>0</v>
      </c>
      <c r="O175" s="1">
        <f>'Paste cell here'!U175</f>
        <v>24.649263879999999</v>
      </c>
      <c r="P175" s="1">
        <f t="shared" si="13"/>
        <v>20.8742394</v>
      </c>
      <c r="Q175" s="1">
        <f>'Paste cell here'!V175</f>
        <v>0</v>
      </c>
      <c r="R175" s="1">
        <f t="shared" si="14"/>
        <v>1.2499999968440534E-7</v>
      </c>
      <c r="S175" s="7">
        <f>Sintesi!$C$30</f>
        <v>8.3099999999999993E-2</v>
      </c>
      <c r="T175" s="7">
        <f>Sintesi!$C$29</f>
        <v>0.229209</v>
      </c>
      <c r="U175" s="5">
        <f>O175/(Sintesi!$C$5*1000)</f>
        <v>0.2464926388</v>
      </c>
      <c r="V175" s="1">
        <f t="shared" si="10"/>
        <v>0.14610899999999999</v>
      </c>
      <c r="W175" s="1">
        <v>0.54411003924872103</v>
      </c>
      <c r="X175" s="1">
        <f t="shared" si="11"/>
        <v>7.9499373724591371E-2</v>
      </c>
      <c r="Y175" s="1">
        <f t="shared" si="12"/>
        <v>0.14970962627540862</v>
      </c>
      <c r="Z175" s="1">
        <f>'Paste cellinfo here'!$B$11</f>
        <v>0.51802400000000004</v>
      </c>
    </row>
    <row r="176" spans="1:26">
      <c r="A176" s="1">
        <v>175</v>
      </c>
      <c r="B176" s="2">
        <f>DATE(Sintesi!$C$4-1,12,31)+A176</f>
        <v>44371</v>
      </c>
      <c r="C176" s="1">
        <f>'Paste cell here'!B176</f>
        <v>0</v>
      </c>
      <c r="D176" s="1">
        <f>'Paste cell here'!I176</f>
        <v>0</v>
      </c>
      <c r="E176" s="1">
        <f>'Paste cell here'!J176</f>
        <v>0</v>
      </c>
      <c r="F176" s="1">
        <f>'Paste cell here'!K176</f>
        <v>0</v>
      </c>
      <c r="G176" s="1">
        <f>'Paste cell here'!L176</f>
        <v>0</v>
      </c>
      <c r="H176" s="1">
        <f>'Paste cell here'!M176</f>
        <v>0</v>
      </c>
      <c r="I176" s="1">
        <f>'Paste cell here'!N176</f>
        <v>0</v>
      </c>
      <c r="J176" s="1">
        <f>'Paste cell here'!O176</f>
        <v>0</v>
      </c>
      <c r="K176" s="1">
        <f>'Paste cell here'!Q176</f>
        <v>0.310670956</v>
      </c>
      <c r="L176" s="1">
        <f>'Paste cell here'!S176</f>
        <v>0</v>
      </c>
      <c r="M176" s="1">
        <f>'Paste cell here'!T176</f>
        <v>0.39471735800000002</v>
      </c>
      <c r="N176" s="1">
        <f>'Paste cell here'!W176</f>
        <v>0</v>
      </c>
      <c r="O176" s="1">
        <f>'Paste cell here'!U176</f>
        <v>23.943875559999999</v>
      </c>
      <c r="P176" s="1">
        <f t="shared" si="13"/>
        <v>24.649263879999999</v>
      </c>
      <c r="Q176" s="1">
        <f>'Paste cell here'!V176</f>
        <v>0</v>
      </c>
      <c r="R176" s="1">
        <f t="shared" si="14"/>
        <v>6.000000496442226E-9</v>
      </c>
      <c r="S176" s="7">
        <f>Sintesi!$C$30</f>
        <v>8.3099999999999993E-2</v>
      </c>
      <c r="T176" s="7">
        <f>Sintesi!$C$29</f>
        <v>0.229209</v>
      </c>
      <c r="U176" s="5">
        <f>O176/(Sintesi!$C$5*1000)</f>
        <v>0.2394387556</v>
      </c>
      <c r="V176" s="1">
        <f t="shared" si="10"/>
        <v>0.14610899999999999</v>
      </c>
      <c r="W176" s="1">
        <v>0.46919623683516898</v>
      </c>
      <c r="X176" s="1">
        <f t="shared" si="11"/>
        <v>6.8553792967749702E-2</v>
      </c>
      <c r="Y176" s="1">
        <f t="shared" si="12"/>
        <v>0.16065520703225028</v>
      </c>
      <c r="Z176" s="1">
        <f>'Paste cellinfo here'!$B$11</f>
        <v>0.51802400000000004</v>
      </c>
    </row>
    <row r="177" spans="1:26">
      <c r="A177" s="1">
        <v>176</v>
      </c>
      <c r="B177" s="2">
        <f>DATE(Sintesi!$C$4-1,12,31)+A177</f>
        <v>44372</v>
      </c>
      <c r="C177" s="1">
        <f>'Paste cell here'!B177</f>
        <v>0</v>
      </c>
      <c r="D177" s="1">
        <f>'Paste cell here'!I177</f>
        <v>0</v>
      </c>
      <c r="E177" s="1">
        <f>'Paste cell here'!J177</f>
        <v>0</v>
      </c>
      <c r="F177" s="1">
        <f>'Paste cell here'!K177</f>
        <v>0</v>
      </c>
      <c r="G177" s="1">
        <f>'Paste cell here'!L177</f>
        <v>0</v>
      </c>
      <c r="H177" s="1">
        <f>'Paste cell here'!M177</f>
        <v>0</v>
      </c>
      <c r="I177" s="1">
        <f>'Paste cell here'!N177</f>
        <v>0</v>
      </c>
      <c r="J177" s="1">
        <f>'Paste cell here'!O177</f>
        <v>0</v>
      </c>
      <c r="K177" s="1">
        <f>'Paste cell here'!Q177</f>
        <v>0.47479980199999999</v>
      </c>
      <c r="L177" s="1">
        <f>'Paste cell here'!S177</f>
        <v>0</v>
      </c>
      <c r="M177" s="1">
        <f>'Paste cell here'!T177</f>
        <v>0.27850675699999999</v>
      </c>
      <c r="N177" s="1">
        <f>'Paste cell here'!W177</f>
        <v>0</v>
      </c>
      <c r="O177" s="1">
        <f>'Paste cell here'!U177</f>
        <v>23.190569</v>
      </c>
      <c r="P177" s="1">
        <f t="shared" si="13"/>
        <v>23.943875559999999</v>
      </c>
      <c r="Q177" s="1">
        <f>'Paste cell here'!V177</f>
        <v>0</v>
      </c>
      <c r="R177" s="1">
        <f t="shared" si="14"/>
        <v>1.000000082740371E-9</v>
      </c>
      <c r="S177" s="7">
        <f>Sintesi!$C$30</f>
        <v>8.3099999999999993E-2</v>
      </c>
      <c r="T177" s="7">
        <f>Sintesi!$C$29</f>
        <v>0.229209</v>
      </c>
      <c r="U177" s="5">
        <f>O177/(Sintesi!$C$5*1000)</f>
        <v>0.23190569</v>
      </c>
      <c r="V177" s="1">
        <f t="shared" si="10"/>
        <v>0.14610899999999999</v>
      </c>
      <c r="W177" s="1">
        <v>0.44781891804861801</v>
      </c>
      <c r="X177" s="1">
        <f t="shared" si="11"/>
        <v>6.5430374297165528E-2</v>
      </c>
      <c r="Y177" s="1">
        <f t="shared" si="12"/>
        <v>0.16377862570283447</v>
      </c>
      <c r="Z177" s="1">
        <f>'Paste cellinfo here'!$B$11</f>
        <v>0.51802400000000004</v>
      </c>
    </row>
    <row r="178" spans="1:26">
      <c r="A178" s="1">
        <v>177</v>
      </c>
      <c r="B178" s="2">
        <f>DATE(Sintesi!$C$4-1,12,31)+A178</f>
        <v>44373</v>
      </c>
      <c r="C178" s="1">
        <f>'Paste cell here'!B178</f>
        <v>0</v>
      </c>
      <c r="D178" s="1">
        <f>'Paste cell here'!I178</f>
        <v>0</v>
      </c>
      <c r="E178" s="1">
        <f>'Paste cell here'!J178</f>
        <v>0</v>
      </c>
      <c r="F178" s="1">
        <f>'Paste cell here'!K178</f>
        <v>0</v>
      </c>
      <c r="G178" s="1">
        <f>'Paste cell here'!L178</f>
        <v>0</v>
      </c>
      <c r="H178" s="1">
        <f>'Paste cell here'!M178</f>
        <v>0</v>
      </c>
      <c r="I178" s="1">
        <f>'Paste cell here'!N178</f>
        <v>0</v>
      </c>
      <c r="J178" s="1">
        <f>'Paste cell here'!O178</f>
        <v>0</v>
      </c>
      <c r="K178" s="1">
        <f>'Paste cell here'!Q178</f>
        <v>0.30350789700000003</v>
      </c>
      <c r="L178" s="1">
        <f>'Paste cell here'!S178</f>
        <v>0</v>
      </c>
      <c r="M178" s="1">
        <f>'Paste cell here'!T178</f>
        <v>0.20308817400000001</v>
      </c>
      <c r="N178" s="1">
        <f>'Paste cell here'!W178</f>
        <v>0</v>
      </c>
      <c r="O178" s="1">
        <f>'Paste cell here'!U178</f>
        <v>22.683972929999999</v>
      </c>
      <c r="P178" s="1">
        <f t="shared" si="13"/>
        <v>23.190569</v>
      </c>
      <c r="Q178" s="1">
        <f>'Paste cell here'!V178</f>
        <v>0</v>
      </c>
      <c r="R178" s="1">
        <f t="shared" si="14"/>
        <v>1.000000082740371E-9</v>
      </c>
      <c r="S178" s="7">
        <f>Sintesi!$C$30</f>
        <v>8.3099999999999993E-2</v>
      </c>
      <c r="T178" s="7">
        <f>Sintesi!$C$29</f>
        <v>0.229209</v>
      </c>
      <c r="U178" s="5">
        <f>O178/(Sintesi!$C$5*1000)</f>
        <v>0.22683972929999999</v>
      </c>
      <c r="V178" s="1">
        <f t="shared" si="10"/>
        <v>0.14610899999999999</v>
      </c>
      <c r="W178" s="1">
        <v>0.44566958887596297</v>
      </c>
      <c r="X178" s="1">
        <f t="shared" si="11"/>
        <v>6.5116337961078075E-2</v>
      </c>
      <c r="Y178" s="1">
        <f t="shared" si="12"/>
        <v>0.16409266203892192</v>
      </c>
      <c r="Z178" s="1">
        <f>'Paste cellinfo here'!$B$11</f>
        <v>0.51802400000000004</v>
      </c>
    </row>
    <row r="179" spans="1:26">
      <c r="A179" s="1">
        <v>178</v>
      </c>
      <c r="B179" s="2">
        <f>DATE(Sintesi!$C$4-1,12,31)+A179</f>
        <v>44374</v>
      </c>
      <c r="C179" s="1">
        <f>'Paste cell here'!B179</f>
        <v>0</v>
      </c>
      <c r="D179" s="1">
        <f>'Paste cell here'!I179</f>
        <v>198</v>
      </c>
      <c r="E179" s="1">
        <f>'Paste cell here'!J179</f>
        <v>0</v>
      </c>
      <c r="F179" s="1">
        <f>'Paste cell here'!K179</f>
        <v>198</v>
      </c>
      <c r="G179" s="1">
        <f>'Paste cell here'!L179</f>
        <v>0</v>
      </c>
      <c r="H179" s="1">
        <f>'Paste cell here'!M179</f>
        <v>0</v>
      </c>
      <c r="I179" s="1">
        <f>'Paste cell here'!N179</f>
        <v>0</v>
      </c>
      <c r="J179" s="1">
        <f>'Paste cell here'!O179</f>
        <v>0</v>
      </c>
      <c r="K179" s="1">
        <f>'Paste cell here'!Q179</f>
        <v>0.295570528</v>
      </c>
      <c r="L179" s="1">
        <f>'Paste cell here'!S179</f>
        <v>0</v>
      </c>
      <c r="M179" s="1">
        <f>'Paste cell here'!T179</f>
        <v>192.10943349999999</v>
      </c>
      <c r="N179" s="1">
        <f>'Paste cell here'!W179</f>
        <v>0</v>
      </c>
      <c r="O179" s="1">
        <f>'Paste cell here'!U179</f>
        <v>28.27896887</v>
      </c>
      <c r="P179" s="1">
        <f t="shared" si="13"/>
        <v>22.683972929999999</v>
      </c>
      <c r="Q179" s="1">
        <f>'Paste cell here'!V179</f>
        <v>0</v>
      </c>
      <c r="R179" s="1">
        <f t="shared" si="14"/>
        <v>3.2000002647691872E-8</v>
      </c>
      <c r="S179" s="7">
        <f>Sintesi!$C$30</f>
        <v>8.3099999999999993E-2</v>
      </c>
      <c r="T179" s="7">
        <f>Sintesi!$C$29</f>
        <v>0.229209</v>
      </c>
      <c r="U179" s="5">
        <f>O179/(Sintesi!$C$5*1000)</f>
        <v>0.28278968869999999</v>
      </c>
      <c r="V179" s="1">
        <f t="shared" si="10"/>
        <v>0.14610899999999999</v>
      </c>
      <c r="W179" s="1">
        <v>0.433018083538173</v>
      </c>
      <c r="X179" s="1">
        <f t="shared" si="11"/>
        <v>6.3267839167678919E-2</v>
      </c>
      <c r="Y179" s="1">
        <f t="shared" si="12"/>
        <v>0.16594116083232108</v>
      </c>
      <c r="Z179" s="1">
        <f>'Paste cellinfo here'!$B$11</f>
        <v>0.51802400000000004</v>
      </c>
    </row>
    <row r="180" spans="1:26">
      <c r="A180" s="1">
        <v>179</v>
      </c>
      <c r="B180" s="2">
        <f>DATE(Sintesi!$C$4-1,12,31)+A180</f>
        <v>44375</v>
      </c>
      <c r="C180" s="1">
        <f>'Paste cell here'!B180</f>
        <v>0</v>
      </c>
      <c r="D180" s="1">
        <f>'Paste cell here'!I180</f>
        <v>0</v>
      </c>
      <c r="E180" s="1">
        <f>'Paste cell here'!J180</f>
        <v>0</v>
      </c>
      <c r="F180" s="1">
        <f>'Paste cell here'!K180</f>
        <v>0</v>
      </c>
      <c r="G180" s="1">
        <f>'Paste cell here'!L180</f>
        <v>0</v>
      </c>
      <c r="H180" s="1">
        <f>'Paste cell here'!M180</f>
        <v>0</v>
      </c>
      <c r="I180" s="1">
        <f>'Paste cell here'!N180</f>
        <v>0</v>
      </c>
      <c r="J180" s="1">
        <f>'Paste cell here'!O180</f>
        <v>0</v>
      </c>
      <c r="K180" s="1">
        <f>'Paste cell here'!Q180</f>
        <v>0.389232513</v>
      </c>
      <c r="L180" s="1">
        <f>'Paste cell here'!S180</f>
        <v>0</v>
      </c>
      <c r="M180" s="1">
        <f>'Paste cell here'!T180</f>
        <v>3.6691797149999998</v>
      </c>
      <c r="N180" s="1">
        <f>'Paste cell here'!W180</f>
        <v>0</v>
      </c>
      <c r="O180" s="1">
        <f>'Paste cell here'!U180</f>
        <v>24.220556640000002</v>
      </c>
      <c r="P180" s="1">
        <f t="shared" si="13"/>
        <v>28.27896887</v>
      </c>
      <c r="Q180" s="1">
        <f>'Paste cell here'!V180</f>
        <v>0</v>
      </c>
      <c r="R180" s="1">
        <f t="shared" si="14"/>
        <v>2.000000165480742E-9</v>
      </c>
      <c r="S180" s="7">
        <f>Sintesi!$C$30</f>
        <v>8.3099999999999993E-2</v>
      </c>
      <c r="T180" s="7">
        <f>Sintesi!$C$29</f>
        <v>0.229209</v>
      </c>
      <c r="U180" s="5">
        <f>O180/(Sintesi!$C$5*1000)</f>
        <v>0.24220556640000002</v>
      </c>
      <c r="V180" s="1">
        <f t="shared" si="10"/>
        <v>0.14610899999999999</v>
      </c>
      <c r="W180" s="1">
        <v>0.39774876648587898</v>
      </c>
      <c r="X180" s="1">
        <f t="shared" si="11"/>
        <v>5.8114674522485289E-2</v>
      </c>
      <c r="Y180" s="1">
        <f t="shared" si="12"/>
        <v>0.17109432547751471</v>
      </c>
      <c r="Z180" s="1">
        <f>'Paste cellinfo here'!$B$11</f>
        <v>0.51802400000000004</v>
      </c>
    </row>
    <row r="181" spans="1:26">
      <c r="A181" s="1">
        <v>180</v>
      </c>
      <c r="B181" s="2">
        <f>DATE(Sintesi!$C$4-1,12,31)+A181</f>
        <v>44376</v>
      </c>
      <c r="C181" s="1">
        <f>'Paste cell here'!B181</f>
        <v>0</v>
      </c>
      <c r="D181" s="1">
        <f>'Paste cell here'!I181</f>
        <v>0</v>
      </c>
      <c r="E181" s="1">
        <f>'Paste cell here'!J181</f>
        <v>0</v>
      </c>
      <c r="F181" s="1">
        <f>'Paste cell here'!K181</f>
        <v>0</v>
      </c>
      <c r="G181" s="1">
        <f>'Paste cell here'!L181</f>
        <v>0</v>
      </c>
      <c r="H181" s="1">
        <f>'Paste cell here'!M181</f>
        <v>0</v>
      </c>
      <c r="I181" s="1">
        <f>'Paste cell here'!N181</f>
        <v>0</v>
      </c>
      <c r="J181" s="1">
        <f>'Paste cell here'!O181</f>
        <v>0</v>
      </c>
      <c r="K181" s="1">
        <f>'Paste cell here'!Q181</f>
        <v>0.41913726800000001</v>
      </c>
      <c r="L181" s="1">
        <f>'Paste cell here'!S181</f>
        <v>0</v>
      </c>
      <c r="M181" s="1">
        <f>'Paste cell here'!T181</f>
        <v>0.76676903799999996</v>
      </c>
      <c r="N181" s="1">
        <f>'Paste cell here'!W181</f>
        <v>0</v>
      </c>
      <c r="O181" s="1">
        <f>'Paste cell here'!U181</f>
        <v>23.034650330000002</v>
      </c>
      <c r="P181" s="1">
        <f t="shared" si="13"/>
        <v>24.220556640000002</v>
      </c>
      <c r="Q181" s="1">
        <f>'Paste cell here'!V181</f>
        <v>0</v>
      </c>
      <c r="R181" s="1">
        <f t="shared" si="14"/>
        <v>4.000000330961484E-9</v>
      </c>
      <c r="S181" s="7">
        <f>Sintesi!$C$30</f>
        <v>8.3099999999999993E-2</v>
      </c>
      <c r="T181" s="7">
        <f>Sintesi!$C$29</f>
        <v>0.229209</v>
      </c>
      <c r="U181" s="5">
        <f>O181/(Sintesi!$C$5*1000)</f>
        <v>0.23034650330000001</v>
      </c>
      <c r="V181" s="1">
        <f t="shared" si="10"/>
        <v>0.14610899999999999</v>
      </c>
      <c r="W181" s="1">
        <v>0.37925079813193002</v>
      </c>
      <c r="X181" s="1">
        <f t="shared" si="11"/>
        <v>5.5411954864258157E-2</v>
      </c>
      <c r="Y181" s="1">
        <f t="shared" si="12"/>
        <v>0.17379704513574185</v>
      </c>
      <c r="Z181" s="1">
        <f>'Paste cellinfo here'!$B$11</f>
        <v>0.51802400000000004</v>
      </c>
    </row>
    <row r="182" spans="1:26">
      <c r="A182" s="1">
        <v>181</v>
      </c>
      <c r="B182" s="2">
        <f>DATE(Sintesi!$C$4-1,12,31)+A182</f>
        <v>44377</v>
      </c>
      <c r="C182" s="1">
        <f>'Paste cell here'!B182</f>
        <v>0</v>
      </c>
      <c r="D182" s="1">
        <f>'Paste cell here'!I182</f>
        <v>0</v>
      </c>
      <c r="E182" s="1">
        <f>'Paste cell here'!J182</f>
        <v>0</v>
      </c>
      <c r="F182" s="1">
        <f>'Paste cell here'!K182</f>
        <v>0</v>
      </c>
      <c r="G182" s="1">
        <f>'Paste cell here'!L182</f>
        <v>0</v>
      </c>
      <c r="H182" s="1">
        <f>'Paste cell here'!M182</f>
        <v>0</v>
      </c>
      <c r="I182" s="1">
        <f>'Paste cell here'!N182</f>
        <v>0</v>
      </c>
      <c r="J182" s="1">
        <f>'Paste cell here'!O182</f>
        <v>0</v>
      </c>
      <c r="K182" s="1">
        <f>'Paste cell here'!Q182</f>
        <v>0.39399188600000001</v>
      </c>
      <c r="L182" s="1">
        <f>'Paste cell here'!S182</f>
        <v>0</v>
      </c>
      <c r="M182" s="1">
        <f>'Paste cell here'!T182</f>
        <v>0.32950549499999998</v>
      </c>
      <c r="N182" s="1">
        <f>'Paste cell here'!W182</f>
        <v>0</v>
      </c>
      <c r="O182" s="1">
        <f>'Paste cell here'!U182</f>
        <v>22.31115295</v>
      </c>
      <c r="P182" s="1">
        <f t="shared" si="13"/>
        <v>23.034650330000002</v>
      </c>
      <c r="Q182" s="1">
        <f>'Paste cell here'!V182</f>
        <v>0</v>
      </c>
      <c r="R182" s="1">
        <f t="shared" si="14"/>
        <v>9.999965300266922E-10</v>
      </c>
      <c r="S182" s="7">
        <f>Sintesi!$C$30</f>
        <v>8.3099999999999993E-2</v>
      </c>
      <c r="T182" s="7">
        <f>Sintesi!$C$29</f>
        <v>0.229209</v>
      </c>
      <c r="U182" s="5">
        <f>O182/(Sintesi!$C$5*1000)</f>
        <v>0.22311152950000002</v>
      </c>
      <c r="V182" s="1">
        <f t="shared" si="10"/>
        <v>0.14610899999999999</v>
      </c>
      <c r="W182" s="1">
        <v>0.38053722321066202</v>
      </c>
      <c r="X182" s="1">
        <f t="shared" si="11"/>
        <v>5.5599913146086616E-2</v>
      </c>
      <c r="Y182" s="1">
        <f t="shared" si="12"/>
        <v>0.17360908685391338</v>
      </c>
      <c r="Z182" s="1">
        <f>'Paste cellinfo here'!$B$11</f>
        <v>0.51802400000000004</v>
      </c>
    </row>
    <row r="183" spans="1:26">
      <c r="A183" s="1">
        <v>182</v>
      </c>
      <c r="B183" s="2">
        <f>DATE(Sintesi!$C$4-1,12,31)+A183</f>
        <v>44378</v>
      </c>
      <c r="C183" s="1">
        <f>'Paste cell here'!B183</f>
        <v>0</v>
      </c>
      <c r="D183" s="1">
        <f>'Paste cell here'!I183</f>
        <v>0</v>
      </c>
      <c r="E183" s="1">
        <f>'Paste cell here'!J183</f>
        <v>0</v>
      </c>
      <c r="F183" s="1">
        <f>'Paste cell here'!K183</f>
        <v>0</v>
      </c>
      <c r="G183" s="1">
        <f>'Paste cell here'!L183</f>
        <v>0</v>
      </c>
      <c r="H183" s="1">
        <f>'Paste cell here'!M183</f>
        <v>0</v>
      </c>
      <c r="I183" s="1">
        <f>'Paste cell here'!N183</f>
        <v>0</v>
      </c>
      <c r="J183" s="1">
        <f>'Paste cell here'!O183</f>
        <v>0</v>
      </c>
      <c r="K183" s="1">
        <f>'Paste cell here'!Q183</f>
        <v>0.55609855699999999</v>
      </c>
      <c r="L183" s="1">
        <f>'Paste cell here'!S183</f>
        <v>0</v>
      </c>
      <c r="M183" s="1">
        <f>'Paste cell here'!T183</f>
        <v>0.174794372</v>
      </c>
      <c r="N183" s="1">
        <f>'Paste cell here'!W183</f>
        <v>0</v>
      </c>
      <c r="O183" s="1">
        <f>'Paste cell here'!U183</f>
        <v>21.580260020000001</v>
      </c>
      <c r="P183" s="1">
        <f t="shared" si="13"/>
        <v>22.31115295</v>
      </c>
      <c r="Q183" s="1">
        <f>'Paste cell here'!V183</f>
        <v>0</v>
      </c>
      <c r="R183" s="1">
        <f t="shared" si="14"/>
        <v>1.000000082740371E-9</v>
      </c>
      <c r="S183" s="7">
        <f>Sintesi!$C$30</f>
        <v>8.3099999999999993E-2</v>
      </c>
      <c r="T183" s="7">
        <f>Sintesi!$C$29</f>
        <v>0.229209</v>
      </c>
      <c r="U183" s="5">
        <f>O183/(Sintesi!$C$5*1000)</f>
        <v>0.2158026002</v>
      </c>
      <c r="V183" s="1">
        <f t="shared" si="10"/>
        <v>0.14610899999999999</v>
      </c>
      <c r="W183" s="1">
        <v>0.42037677712902899</v>
      </c>
      <c r="X183" s="1">
        <f t="shared" si="11"/>
        <v>6.1420830529545292E-2</v>
      </c>
      <c r="Y183" s="1">
        <f t="shared" si="12"/>
        <v>0.16778816947045472</v>
      </c>
      <c r="Z183" s="1">
        <f>'Paste cellinfo here'!$B$11</f>
        <v>0.51802400000000004</v>
      </c>
    </row>
    <row r="184" spans="1:26">
      <c r="A184" s="1">
        <v>183</v>
      </c>
      <c r="B184" s="2">
        <f>DATE(Sintesi!$C$4-1,12,31)+A184</f>
        <v>44379</v>
      </c>
      <c r="C184" s="1">
        <f>'Paste cell here'!B184</f>
        <v>0</v>
      </c>
      <c r="D184" s="1">
        <f>'Paste cell here'!I184</f>
        <v>0</v>
      </c>
      <c r="E184" s="1">
        <f>'Paste cell here'!J184</f>
        <v>0</v>
      </c>
      <c r="F184" s="1">
        <f>'Paste cell here'!K184</f>
        <v>0</v>
      </c>
      <c r="G184" s="1">
        <f>'Paste cell here'!L184</f>
        <v>0</v>
      </c>
      <c r="H184" s="1">
        <f>'Paste cell here'!M184</f>
        <v>0</v>
      </c>
      <c r="I184" s="1">
        <f>'Paste cell here'!N184</f>
        <v>0</v>
      </c>
      <c r="J184" s="1">
        <f>'Paste cell here'!O184</f>
        <v>0</v>
      </c>
      <c r="K184" s="1">
        <f>'Paste cell here'!Q184</f>
        <v>0.39077867199999999</v>
      </c>
      <c r="L184" s="1">
        <f>'Paste cell here'!S184</f>
        <v>0</v>
      </c>
      <c r="M184" s="1">
        <f>'Paste cell here'!T184</f>
        <v>0.106256762</v>
      </c>
      <c r="N184" s="1">
        <f>'Paste cell here'!W184</f>
        <v>0</v>
      </c>
      <c r="O184" s="1">
        <f>'Paste cell here'!U184</f>
        <v>21.08322459</v>
      </c>
      <c r="P184" s="1">
        <f t="shared" si="13"/>
        <v>21.580260020000001</v>
      </c>
      <c r="Q184" s="1">
        <f>'Paste cell here'!V184</f>
        <v>0</v>
      </c>
      <c r="R184" s="1">
        <f t="shared" si="14"/>
        <v>4.000000330961484E-9</v>
      </c>
      <c r="S184" s="7">
        <f>Sintesi!$C$30</f>
        <v>8.3099999999999993E-2</v>
      </c>
      <c r="T184" s="7">
        <f>Sintesi!$C$29</f>
        <v>0.229209</v>
      </c>
      <c r="U184" s="5">
        <f>O184/(Sintesi!$C$5*1000)</f>
        <v>0.21083224589999999</v>
      </c>
      <c r="V184" s="1">
        <f t="shared" si="10"/>
        <v>0.14610899999999999</v>
      </c>
      <c r="W184" s="1">
        <v>0.409373302519563</v>
      </c>
      <c r="X184" s="1">
        <f t="shared" si="11"/>
        <v>5.9813123857830823E-2</v>
      </c>
      <c r="Y184" s="1">
        <f t="shared" si="12"/>
        <v>0.16939587614216917</v>
      </c>
      <c r="Z184" s="1">
        <f>'Paste cellinfo here'!$B$11</f>
        <v>0.51802400000000004</v>
      </c>
    </row>
    <row r="185" spans="1:26">
      <c r="A185" s="1">
        <v>184</v>
      </c>
      <c r="B185" s="2">
        <f>DATE(Sintesi!$C$4-1,12,31)+A185</f>
        <v>44380</v>
      </c>
      <c r="C185" s="1">
        <f>'Paste cell here'!B185</f>
        <v>0</v>
      </c>
      <c r="D185" s="1">
        <f>'Paste cell here'!I185</f>
        <v>0</v>
      </c>
      <c r="E185" s="1">
        <f>'Paste cell here'!J185</f>
        <v>0</v>
      </c>
      <c r="F185" s="1">
        <f>'Paste cell here'!K185</f>
        <v>0</v>
      </c>
      <c r="G185" s="1">
        <f>'Paste cell here'!L185</f>
        <v>0</v>
      </c>
      <c r="H185" s="1">
        <f>'Paste cell here'!M185</f>
        <v>0</v>
      </c>
      <c r="I185" s="1">
        <f>'Paste cell here'!N185</f>
        <v>0</v>
      </c>
      <c r="J185" s="1">
        <f>'Paste cell here'!O185</f>
        <v>0</v>
      </c>
      <c r="K185" s="1">
        <f>'Paste cell here'!Q185</f>
        <v>0.211009369</v>
      </c>
      <c r="L185" s="1">
        <f>'Paste cell here'!S185</f>
        <v>0</v>
      </c>
      <c r="M185" s="1">
        <f>'Paste cell here'!T185</f>
        <v>7.7600000000000002E-2</v>
      </c>
      <c r="N185" s="1">
        <f>'Paste cell here'!W185</f>
        <v>0</v>
      </c>
      <c r="O185" s="1">
        <f>'Paste cell here'!U185</f>
        <v>20.794618270000001</v>
      </c>
      <c r="P185" s="1">
        <f t="shared" si="13"/>
        <v>21.08322459</v>
      </c>
      <c r="Q185" s="1">
        <f>'Paste cell here'!V185</f>
        <v>0</v>
      </c>
      <c r="R185" s="1">
        <f t="shared" si="14"/>
        <v>3.04900000003272E-6</v>
      </c>
      <c r="S185" s="7">
        <f>Sintesi!$C$30</f>
        <v>8.3099999999999993E-2</v>
      </c>
      <c r="T185" s="7">
        <f>Sintesi!$C$29</f>
        <v>0.229209</v>
      </c>
      <c r="U185" s="5">
        <f>O185/(Sintesi!$C$5*1000)</f>
        <v>0.20794618270000001</v>
      </c>
      <c r="V185" s="1">
        <f t="shared" si="10"/>
        <v>0.14610899999999999</v>
      </c>
      <c r="W185" s="1">
        <v>0.41221040263144798</v>
      </c>
      <c r="X185" s="1">
        <f t="shared" si="11"/>
        <v>6.022764971807823E-2</v>
      </c>
      <c r="Y185" s="1">
        <f t="shared" si="12"/>
        <v>0.16898135028192177</v>
      </c>
      <c r="Z185" s="1">
        <f>'Paste cellinfo here'!$B$11</f>
        <v>0.51802400000000004</v>
      </c>
    </row>
    <row r="186" spans="1:26">
      <c r="A186" s="1">
        <v>185</v>
      </c>
      <c r="B186" s="2">
        <f>DATE(Sintesi!$C$4-1,12,31)+A186</f>
        <v>44381</v>
      </c>
      <c r="C186" s="1">
        <f>'Paste cell here'!B186</f>
        <v>3.2722081699999999</v>
      </c>
      <c r="D186" s="1">
        <f>'Paste cell here'!I186</f>
        <v>0</v>
      </c>
      <c r="E186" s="1">
        <f>'Paste cell here'!J186</f>
        <v>1.7077629839999999</v>
      </c>
      <c r="F186" s="1">
        <f>'Paste cell here'!K186</f>
        <v>3.2722081699999999</v>
      </c>
      <c r="G186" s="1">
        <f>'Paste cell here'!L186</f>
        <v>1.7077629839999999</v>
      </c>
      <c r="H186" s="1">
        <f>'Paste cell here'!M186</f>
        <v>1.5644451859999999</v>
      </c>
      <c r="I186" s="1">
        <f>'Paste cell here'!N186</f>
        <v>0</v>
      </c>
      <c r="J186" s="1">
        <f>'Paste cell here'!O186</f>
        <v>1.7077630340000001</v>
      </c>
      <c r="K186" s="1">
        <f>'Paste cell here'!Q186</f>
        <v>1.6299999999999999E-2</v>
      </c>
      <c r="L186" s="1">
        <f>'Paste cell here'!S186</f>
        <v>0</v>
      </c>
      <c r="M186" s="1">
        <f>'Paste cell here'!T186</f>
        <v>0.1075812</v>
      </c>
      <c r="N186" s="1">
        <f>'Paste cell here'!W186</f>
        <v>0</v>
      </c>
      <c r="O186" s="1">
        <f>'Paste cell here'!U186</f>
        <v>22.378544040000001</v>
      </c>
      <c r="P186" s="1">
        <f t="shared" si="13"/>
        <v>20.794618270000001</v>
      </c>
      <c r="Q186" s="1">
        <f>'Paste cell here'!V186</f>
        <v>0</v>
      </c>
      <c r="R186" s="1">
        <f t="shared" si="14"/>
        <v>4.3986000001439152E-5</v>
      </c>
      <c r="S186" s="7">
        <f>Sintesi!$C$30</f>
        <v>8.3099999999999993E-2</v>
      </c>
      <c r="T186" s="7">
        <f>Sintesi!$C$29</f>
        <v>0.229209</v>
      </c>
      <c r="U186" s="5">
        <f>O186/(Sintesi!$C$5*1000)</f>
        <v>0.22378544040000001</v>
      </c>
      <c r="V186" s="1">
        <f t="shared" si="10"/>
        <v>0.14610899999999999</v>
      </c>
      <c r="W186" s="1">
        <v>0.43755589255903499</v>
      </c>
      <c r="X186" s="1">
        <f t="shared" si="11"/>
        <v>6.3930853905908039E-2</v>
      </c>
      <c r="Y186" s="1">
        <f t="shared" si="12"/>
        <v>0.16527814609409197</v>
      </c>
      <c r="Z186" s="1">
        <f>'Paste cellinfo here'!$B$11</f>
        <v>0.51802400000000004</v>
      </c>
    </row>
    <row r="187" spans="1:26">
      <c r="A187" s="1">
        <v>186</v>
      </c>
      <c r="B187" s="2">
        <f>DATE(Sintesi!$C$4-1,12,31)+A187</f>
        <v>44382</v>
      </c>
      <c r="C187" s="1">
        <f>'Paste cell here'!B187</f>
        <v>0</v>
      </c>
      <c r="D187" s="1">
        <f>'Paste cell here'!I187</f>
        <v>0</v>
      </c>
      <c r="E187" s="1">
        <f>'Paste cell here'!J187</f>
        <v>0</v>
      </c>
      <c r="F187" s="1">
        <f>'Paste cell here'!K187</f>
        <v>0</v>
      </c>
      <c r="G187" s="1">
        <f>'Paste cell here'!L187</f>
        <v>0</v>
      </c>
      <c r="H187" s="1">
        <f>'Paste cell here'!M187</f>
        <v>0</v>
      </c>
      <c r="I187" s="1">
        <f>'Paste cell here'!N187</f>
        <v>0</v>
      </c>
      <c r="J187" s="1">
        <f>'Paste cell here'!O187</f>
        <v>0</v>
      </c>
      <c r="K187" s="1">
        <f>'Paste cell here'!Q187</f>
        <v>0.234612916</v>
      </c>
      <c r="L187" s="1">
        <f>'Paste cell here'!S187</f>
        <v>0</v>
      </c>
      <c r="M187" s="1">
        <f>'Paste cell here'!T187</f>
        <v>0.14176034600000001</v>
      </c>
      <c r="N187" s="1">
        <f>'Paste cell here'!W187</f>
        <v>0</v>
      </c>
      <c r="O187" s="1">
        <f>'Paste cell here'!U187</f>
        <v>22.00217078</v>
      </c>
      <c r="P187" s="1">
        <f t="shared" si="13"/>
        <v>22.378544040000001</v>
      </c>
      <c r="Q187" s="1">
        <f>'Paste cell here'!V187</f>
        <v>0</v>
      </c>
      <c r="R187" s="1">
        <f t="shared" si="14"/>
        <v>2.000000165480742E-9</v>
      </c>
      <c r="S187" s="7">
        <f>Sintesi!$C$30</f>
        <v>8.3099999999999993E-2</v>
      </c>
      <c r="T187" s="7">
        <f>Sintesi!$C$29</f>
        <v>0.229209</v>
      </c>
      <c r="U187" s="5">
        <f>O187/(Sintesi!$C$5*1000)</f>
        <v>0.22002170779999999</v>
      </c>
      <c r="V187" s="1">
        <f t="shared" si="10"/>
        <v>0.14610899999999999</v>
      </c>
      <c r="W187" s="1">
        <v>0.44955132964398797</v>
      </c>
      <c r="X187" s="1">
        <f t="shared" si="11"/>
        <v>6.5683495222953428E-2</v>
      </c>
      <c r="Y187" s="1">
        <f t="shared" si="12"/>
        <v>0.16352550477704658</v>
      </c>
      <c r="Z187" s="1">
        <f>'Paste cellinfo here'!$B$11</f>
        <v>0.51802400000000004</v>
      </c>
    </row>
    <row r="188" spans="1:26">
      <c r="A188" s="1">
        <v>187</v>
      </c>
      <c r="B188" s="2">
        <f>DATE(Sintesi!$C$4-1,12,31)+A188</f>
        <v>44383</v>
      </c>
      <c r="C188" s="1">
        <f>'Paste cell here'!B188</f>
        <v>0</v>
      </c>
      <c r="D188" s="1">
        <f>'Paste cell here'!I188</f>
        <v>0</v>
      </c>
      <c r="E188" s="1">
        <f>'Paste cell here'!J188</f>
        <v>0</v>
      </c>
      <c r="F188" s="1">
        <f>'Paste cell here'!K188</f>
        <v>0</v>
      </c>
      <c r="G188" s="1">
        <f>'Paste cell here'!L188</f>
        <v>0</v>
      </c>
      <c r="H188" s="1">
        <f>'Paste cell here'!M188</f>
        <v>0</v>
      </c>
      <c r="I188" s="1">
        <f>'Paste cell here'!N188</f>
        <v>0</v>
      </c>
      <c r="J188" s="1">
        <f>'Paste cell here'!O188</f>
        <v>0</v>
      </c>
      <c r="K188" s="1">
        <f>'Paste cell here'!Q188</f>
        <v>0.26505884400000002</v>
      </c>
      <c r="L188" s="1">
        <f>'Paste cell here'!S188</f>
        <v>0</v>
      </c>
      <c r="M188" s="1">
        <f>'Paste cell here'!T188</f>
        <v>0.11466722999999999</v>
      </c>
      <c r="N188" s="1">
        <f>'Paste cell here'!W188</f>
        <v>0</v>
      </c>
      <c r="O188" s="1">
        <f>'Paste cell here'!U188</f>
        <v>21.622444699999999</v>
      </c>
      <c r="P188" s="1">
        <f t="shared" si="13"/>
        <v>22.00217078</v>
      </c>
      <c r="Q188" s="1">
        <f>'Paste cell here'!V188</f>
        <v>0</v>
      </c>
      <c r="R188" s="1">
        <f t="shared" si="14"/>
        <v>6.0000040491559048E-9</v>
      </c>
      <c r="S188" s="7">
        <f>Sintesi!$C$30</f>
        <v>8.3099999999999993E-2</v>
      </c>
      <c r="T188" s="7">
        <f>Sintesi!$C$29</f>
        <v>0.229209</v>
      </c>
      <c r="U188" s="5">
        <f>O188/(Sintesi!$C$5*1000)</f>
        <v>0.21622444699999999</v>
      </c>
      <c r="V188" s="1">
        <f t="shared" si="10"/>
        <v>0.14610899999999999</v>
      </c>
      <c r="W188" s="1">
        <v>0.42220944225157703</v>
      </c>
      <c r="X188" s="1">
        <f t="shared" si="11"/>
        <v>6.168859939793566E-2</v>
      </c>
      <c r="Y188" s="1">
        <f t="shared" si="12"/>
        <v>0.16752040060206433</v>
      </c>
      <c r="Z188" s="1">
        <f>'Paste cellinfo here'!$B$11</f>
        <v>0.51802400000000004</v>
      </c>
    </row>
    <row r="189" spans="1:26">
      <c r="A189" s="1">
        <v>188</v>
      </c>
      <c r="B189" s="2">
        <f>DATE(Sintesi!$C$4-1,12,31)+A189</f>
        <v>44384</v>
      </c>
      <c r="C189" s="1">
        <f>'Paste cell here'!B189</f>
        <v>7.9841720020000002</v>
      </c>
      <c r="D189" s="1">
        <f>'Paste cell here'!I189</f>
        <v>0</v>
      </c>
      <c r="E189" s="1">
        <f>'Paste cell here'!J189</f>
        <v>5.8146494960000004</v>
      </c>
      <c r="F189" s="1">
        <f>'Paste cell here'!K189</f>
        <v>7.9841720020000002</v>
      </c>
      <c r="G189" s="1">
        <f>'Paste cell here'!L189</f>
        <v>5.8146494960000004</v>
      </c>
      <c r="H189" s="1">
        <f>'Paste cell here'!M189</f>
        <v>2.1695225059999999</v>
      </c>
      <c r="I189" s="1">
        <f>'Paste cell here'!N189</f>
        <v>0</v>
      </c>
      <c r="J189" s="1">
        <f>'Paste cell here'!O189</f>
        <v>5.8146496689999996</v>
      </c>
      <c r="K189" s="1">
        <f>'Paste cell here'!Q189</f>
        <v>0.32274744799999999</v>
      </c>
      <c r="L189" s="1">
        <f>'Paste cell here'!S189</f>
        <v>0</v>
      </c>
      <c r="M189" s="1">
        <f>'Paste cell here'!T189</f>
        <v>0.45376509399999998</v>
      </c>
      <c r="N189" s="1">
        <f>'Paste cell here'!W189</f>
        <v>0</v>
      </c>
      <c r="O189" s="1">
        <f>'Paste cell here'!U189</f>
        <v>26.660581830000002</v>
      </c>
      <c r="P189" s="1">
        <f t="shared" si="13"/>
        <v>21.622444699999999</v>
      </c>
      <c r="Q189" s="1">
        <f>'Paste cell here'!V189</f>
        <v>0</v>
      </c>
      <c r="R189" s="1">
        <f t="shared" si="14"/>
        <v>1.7600000390416426E-7</v>
      </c>
      <c r="S189" s="7">
        <f>Sintesi!$C$30</f>
        <v>8.3099999999999993E-2</v>
      </c>
      <c r="T189" s="7">
        <f>Sintesi!$C$29</f>
        <v>0.229209</v>
      </c>
      <c r="U189" s="5">
        <f>O189/(Sintesi!$C$5*1000)</f>
        <v>0.26660581830000002</v>
      </c>
      <c r="V189" s="1">
        <f t="shared" si="10"/>
        <v>0.14610899999999999</v>
      </c>
      <c r="W189" s="1">
        <v>0.52262777393563897</v>
      </c>
      <c r="X189" s="1">
        <f t="shared" si="11"/>
        <v>7.6360621421962274E-2</v>
      </c>
      <c r="Y189" s="1">
        <f t="shared" si="12"/>
        <v>0.15284837857803774</v>
      </c>
      <c r="Z189" s="1">
        <f>'Paste cellinfo here'!$B$11</f>
        <v>0.51802400000000004</v>
      </c>
    </row>
    <row r="190" spans="1:26">
      <c r="A190" s="1">
        <v>189</v>
      </c>
      <c r="B190" s="2">
        <f>DATE(Sintesi!$C$4-1,12,31)+A190</f>
        <v>44385</v>
      </c>
      <c r="C190" s="1">
        <f>'Paste cell here'!B190</f>
        <v>26.62565781</v>
      </c>
      <c r="D190" s="1">
        <f>'Paste cell here'!I190</f>
        <v>0</v>
      </c>
      <c r="E190" s="1">
        <f>'Paste cell here'!J190</f>
        <v>23.951277059999999</v>
      </c>
      <c r="F190" s="1">
        <f>'Paste cell here'!K190</f>
        <v>26.62565781</v>
      </c>
      <c r="G190" s="1">
        <f>'Paste cell here'!L190</f>
        <v>21.50742443</v>
      </c>
      <c r="H190" s="1">
        <f>'Paste cell here'!M190</f>
        <v>2.6743807500000001</v>
      </c>
      <c r="I190" s="1">
        <f>'Paste cell here'!N190</f>
        <v>2.4438526290000002</v>
      </c>
      <c r="J190" s="1">
        <f>'Paste cell here'!O190</f>
        <v>21.507425080000001</v>
      </c>
      <c r="K190" s="1">
        <f>'Paste cell here'!Q190</f>
        <v>0.155279318</v>
      </c>
      <c r="L190" s="1">
        <f>'Paste cell here'!S190</f>
        <v>0</v>
      </c>
      <c r="M190" s="1">
        <f>'Paste cell here'!T190</f>
        <v>12.94869231</v>
      </c>
      <c r="N190" s="1">
        <f>'Paste cell here'!W190</f>
        <v>0</v>
      </c>
      <c r="O190" s="1">
        <f>'Paste cell here'!U190</f>
        <v>35.064035279999999</v>
      </c>
      <c r="P190" s="1">
        <f t="shared" si="13"/>
        <v>26.660581830000002</v>
      </c>
      <c r="Q190" s="1">
        <f>'Paste cell here'!V190</f>
        <v>0</v>
      </c>
      <c r="R190" s="1">
        <f t="shared" si="14"/>
        <v>6.4699998603146014E-7</v>
      </c>
      <c r="S190" s="7">
        <f>Sintesi!$C$30</f>
        <v>8.3099999999999993E-2</v>
      </c>
      <c r="T190" s="7">
        <f>Sintesi!$C$29</f>
        <v>0.229209</v>
      </c>
      <c r="U190" s="5">
        <f>O190/(Sintesi!$C$5*1000)</f>
        <v>0.3506403528</v>
      </c>
      <c r="V190" s="1">
        <f t="shared" si="10"/>
        <v>0.14610899999999999</v>
      </c>
      <c r="W190" s="1">
        <v>0.426533078728562</v>
      </c>
      <c r="X190" s="1">
        <f t="shared" si="11"/>
        <v>6.2320321599951461E-2</v>
      </c>
      <c r="Y190" s="1">
        <f t="shared" si="12"/>
        <v>0.16688867840004853</v>
      </c>
      <c r="Z190" s="1">
        <f>'Paste cellinfo here'!$B$11</f>
        <v>0.51802400000000004</v>
      </c>
    </row>
    <row r="191" spans="1:26">
      <c r="A191" s="1">
        <v>190</v>
      </c>
      <c r="B191" s="2">
        <f>DATE(Sintesi!$C$4-1,12,31)+A191</f>
        <v>44386</v>
      </c>
      <c r="C191" s="1">
        <f>'Paste cell here'!B191</f>
        <v>0</v>
      </c>
      <c r="D191" s="1">
        <f>'Paste cell here'!I191</f>
        <v>0</v>
      </c>
      <c r="E191" s="1">
        <f>'Paste cell here'!J191</f>
        <v>0</v>
      </c>
      <c r="F191" s="1">
        <f>'Paste cell here'!K191</f>
        <v>0</v>
      </c>
      <c r="G191" s="1">
        <f>'Paste cell here'!L191</f>
        <v>0</v>
      </c>
      <c r="H191" s="1">
        <f>'Paste cell here'!M191</f>
        <v>0</v>
      </c>
      <c r="I191" s="1">
        <f>'Paste cell here'!N191</f>
        <v>0</v>
      </c>
      <c r="J191" s="1">
        <f>'Paste cell here'!O191</f>
        <v>0</v>
      </c>
      <c r="K191" s="1">
        <f>'Paste cell here'!Q191</f>
        <v>0.48900844599999999</v>
      </c>
      <c r="L191" s="1">
        <f>'Paste cell here'!S191</f>
        <v>0</v>
      </c>
      <c r="M191" s="1">
        <f>'Paste cell here'!T191</f>
        <v>6.0979857439999998</v>
      </c>
      <c r="N191" s="1">
        <f>'Paste cell here'!W191</f>
        <v>0</v>
      </c>
      <c r="O191" s="1">
        <f>'Paste cell here'!U191</f>
        <v>28.47704109</v>
      </c>
      <c r="P191" s="1">
        <f t="shared" si="13"/>
        <v>35.064035279999999</v>
      </c>
      <c r="Q191" s="1">
        <f>'Paste cell here'!V191</f>
        <v>0</v>
      </c>
      <c r="R191" s="1">
        <f t="shared" si="14"/>
        <v>0</v>
      </c>
      <c r="S191" s="7">
        <f>Sintesi!$C$30</f>
        <v>8.3099999999999993E-2</v>
      </c>
      <c r="T191" s="7">
        <f>Sintesi!$C$29</f>
        <v>0.229209</v>
      </c>
      <c r="U191" s="5">
        <f>O191/(Sintesi!$C$5*1000)</f>
        <v>0.28477041089999999</v>
      </c>
      <c r="V191" s="1">
        <f t="shared" si="10"/>
        <v>0.14610899999999999</v>
      </c>
      <c r="W191" s="1">
        <v>0.47822415005922803</v>
      </c>
      <c r="X191" s="1">
        <f t="shared" si="11"/>
        <v>6.9872852341003738E-2</v>
      </c>
      <c r="Y191" s="1">
        <f t="shared" si="12"/>
        <v>0.15933614765899626</v>
      </c>
      <c r="Z191" s="1">
        <f>'Paste cellinfo here'!$B$11</f>
        <v>0.51802400000000004</v>
      </c>
    </row>
    <row r="192" spans="1:26">
      <c r="A192" s="1">
        <v>191</v>
      </c>
      <c r="B192" s="2">
        <f>DATE(Sintesi!$C$4-1,12,31)+A192</f>
        <v>44387</v>
      </c>
      <c r="C192" s="1">
        <f>'Paste cell here'!B192</f>
        <v>0.81995939900000003</v>
      </c>
      <c r="D192" s="1">
        <f>'Paste cell here'!I192</f>
        <v>0</v>
      </c>
      <c r="E192" s="1">
        <f>'Paste cell here'!J192</f>
        <v>0.17782085</v>
      </c>
      <c r="F192" s="1">
        <f>'Paste cell here'!K192</f>
        <v>0.81995939900000003</v>
      </c>
      <c r="G192" s="1">
        <f>'Paste cell here'!L192</f>
        <v>0.17782085</v>
      </c>
      <c r="H192" s="1">
        <f>'Paste cell here'!M192</f>
        <v>0.64213854800000003</v>
      </c>
      <c r="I192" s="1">
        <f>'Paste cell here'!N192</f>
        <v>0</v>
      </c>
      <c r="J192" s="1">
        <f>'Paste cell here'!O192</f>
        <v>0.177820856</v>
      </c>
      <c r="K192" s="1">
        <f>'Paste cell here'!Q192</f>
        <v>0.35000938100000001</v>
      </c>
      <c r="L192" s="1">
        <f>'Paste cell here'!S192</f>
        <v>0</v>
      </c>
      <c r="M192" s="1">
        <f>'Paste cell here'!T192</f>
        <v>1.5810272780000001</v>
      </c>
      <c r="N192" s="1">
        <f>'Paste cell here'!W192</f>
        <v>0</v>
      </c>
      <c r="O192" s="1">
        <f>'Paste cell here'!U192</f>
        <v>26.723825290000001</v>
      </c>
      <c r="P192" s="1">
        <f t="shared" si="13"/>
        <v>28.47704109</v>
      </c>
      <c r="Q192" s="1">
        <f>'Paste cell here'!V192</f>
        <v>0</v>
      </c>
      <c r="R192" s="1">
        <f t="shared" si="14"/>
        <v>8.000000661922968E-9</v>
      </c>
      <c r="S192" s="7">
        <f>Sintesi!$C$30</f>
        <v>8.3099999999999993E-2</v>
      </c>
      <c r="T192" s="7">
        <f>Sintesi!$C$29</f>
        <v>0.229209</v>
      </c>
      <c r="U192" s="5">
        <f>O192/(Sintesi!$C$5*1000)</f>
        <v>0.26723825290000003</v>
      </c>
      <c r="V192" s="1">
        <f t="shared" si="10"/>
        <v>0.14610899999999999</v>
      </c>
      <c r="W192" s="1">
        <v>0.55087141040264298</v>
      </c>
      <c r="X192" s="1">
        <f t="shared" si="11"/>
        <v>8.0487270902519753E-2</v>
      </c>
      <c r="Y192" s="1">
        <f t="shared" si="12"/>
        <v>0.14872172909748024</v>
      </c>
      <c r="Z192" s="1">
        <f>'Paste cellinfo here'!$B$11</f>
        <v>0.51802400000000004</v>
      </c>
    </row>
    <row r="193" spans="1:26">
      <c r="A193" s="1">
        <v>192</v>
      </c>
      <c r="B193" s="2">
        <f>DATE(Sintesi!$C$4-1,12,31)+A193</f>
        <v>44388</v>
      </c>
      <c r="C193" s="1">
        <f>'Paste cell here'!B193</f>
        <v>0</v>
      </c>
      <c r="D193" s="1">
        <f>'Paste cell here'!I193</f>
        <v>0</v>
      </c>
      <c r="E193" s="1">
        <f>'Paste cell here'!J193</f>
        <v>0</v>
      </c>
      <c r="F193" s="1">
        <f>'Paste cell here'!K193</f>
        <v>0</v>
      </c>
      <c r="G193" s="1">
        <f>'Paste cell here'!L193</f>
        <v>0</v>
      </c>
      <c r="H193" s="1">
        <f>'Paste cell here'!M193</f>
        <v>0</v>
      </c>
      <c r="I193" s="1">
        <f>'Paste cell here'!N193</f>
        <v>0</v>
      </c>
      <c r="J193" s="1">
        <f>'Paste cell here'!O193</f>
        <v>0</v>
      </c>
      <c r="K193" s="1">
        <f>'Paste cell here'!Q193</f>
        <v>0.41299450100000001</v>
      </c>
      <c r="L193" s="1">
        <f>'Paste cell here'!S193</f>
        <v>0</v>
      </c>
      <c r="M193" s="1">
        <f>'Paste cell here'!T193</f>
        <v>0.85959179799999996</v>
      </c>
      <c r="N193" s="1">
        <f>'Paste cell here'!W193</f>
        <v>0</v>
      </c>
      <c r="O193" s="1">
        <f>'Paste cell here'!U193</f>
        <v>25.45123899</v>
      </c>
      <c r="P193" s="1">
        <f t="shared" si="13"/>
        <v>26.723825290000001</v>
      </c>
      <c r="Q193" s="1">
        <f>'Paste cell here'!V193</f>
        <v>0</v>
      </c>
      <c r="R193" s="1">
        <f t="shared" si="14"/>
        <v>1.000000082740371E-9</v>
      </c>
      <c r="S193" s="7">
        <f>Sintesi!$C$30</f>
        <v>8.3099999999999993E-2</v>
      </c>
      <c r="T193" s="7">
        <f>Sintesi!$C$29</f>
        <v>0.229209</v>
      </c>
      <c r="U193" s="5">
        <f>O193/(Sintesi!$C$5*1000)</f>
        <v>0.25451238990000002</v>
      </c>
      <c r="V193" s="1">
        <f t="shared" si="10"/>
        <v>0.14610899999999999</v>
      </c>
      <c r="W193" s="1">
        <v>0.46283717001582098</v>
      </c>
      <c r="X193" s="1">
        <f t="shared" si="11"/>
        <v>6.762467607384158E-2</v>
      </c>
      <c r="Y193" s="1">
        <f t="shared" si="12"/>
        <v>0.1615843239261584</v>
      </c>
      <c r="Z193" s="1">
        <f>'Paste cellinfo here'!$B$11</f>
        <v>0.51802400000000004</v>
      </c>
    </row>
    <row r="194" spans="1:26">
      <c r="A194" s="1">
        <v>193</v>
      </c>
      <c r="B194" s="2">
        <f>DATE(Sintesi!$C$4-1,12,31)+A194</f>
        <v>44389</v>
      </c>
      <c r="C194" s="1">
        <f>'Paste cell here'!B194</f>
        <v>0</v>
      </c>
      <c r="D194" s="1">
        <f>'Paste cell here'!I194</f>
        <v>0</v>
      </c>
      <c r="E194" s="1">
        <f>'Paste cell here'!J194</f>
        <v>0</v>
      </c>
      <c r="F194" s="1">
        <f>'Paste cell here'!K194</f>
        <v>0</v>
      </c>
      <c r="G194" s="1">
        <f>'Paste cell here'!L194</f>
        <v>0</v>
      </c>
      <c r="H194" s="1">
        <f>'Paste cell here'!M194</f>
        <v>0</v>
      </c>
      <c r="I194" s="1">
        <f>'Paste cell here'!N194</f>
        <v>0</v>
      </c>
      <c r="J194" s="1">
        <f>'Paste cell here'!O194</f>
        <v>0</v>
      </c>
      <c r="K194" s="1">
        <f>'Paste cell here'!Q194</f>
        <v>0.19733319499999999</v>
      </c>
      <c r="L194" s="1">
        <f>'Paste cell here'!S194</f>
        <v>0</v>
      </c>
      <c r="M194" s="1">
        <f>'Paste cell here'!T194</f>
        <v>0.55442686500000005</v>
      </c>
      <c r="N194" s="1">
        <f>'Paste cell here'!W194</f>
        <v>0</v>
      </c>
      <c r="O194" s="1">
        <f>'Paste cell here'!U194</f>
        <v>24.699478930000001</v>
      </c>
      <c r="P194" s="1">
        <f t="shared" si="13"/>
        <v>25.45123899</v>
      </c>
      <c r="Q194" s="1">
        <f>'Paste cell here'!V194</f>
        <v>0</v>
      </c>
      <c r="R194" s="1">
        <f t="shared" si="14"/>
        <v>0</v>
      </c>
      <c r="S194" s="7">
        <f>Sintesi!$C$30</f>
        <v>8.3099999999999993E-2</v>
      </c>
      <c r="T194" s="7">
        <f>Sintesi!$C$29</f>
        <v>0.229209</v>
      </c>
      <c r="U194" s="5">
        <f>O194/(Sintesi!$C$5*1000)</f>
        <v>0.24699478930000002</v>
      </c>
      <c r="V194" s="1">
        <f t="shared" si="10"/>
        <v>0.14610899999999999</v>
      </c>
      <c r="W194" s="1">
        <v>0.52504138034619596</v>
      </c>
      <c r="X194" s="1">
        <f t="shared" si="11"/>
        <v>7.671327104100234E-2</v>
      </c>
      <c r="Y194" s="1">
        <f t="shared" si="12"/>
        <v>0.15249572895899766</v>
      </c>
      <c r="Z194" s="1">
        <f>'Paste cellinfo here'!$B$11</f>
        <v>0.51802400000000004</v>
      </c>
    </row>
    <row r="195" spans="1:26">
      <c r="A195" s="1">
        <v>194</v>
      </c>
      <c r="B195" s="2">
        <f>DATE(Sintesi!$C$4-1,12,31)+A195</f>
        <v>44390</v>
      </c>
      <c r="C195" s="1">
        <f>'Paste cell here'!B195</f>
        <v>0</v>
      </c>
      <c r="D195" s="1">
        <f>'Paste cell here'!I195</f>
        <v>198</v>
      </c>
      <c r="E195" s="1">
        <f>'Paste cell here'!J195</f>
        <v>0</v>
      </c>
      <c r="F195" s="1">
        <f>'Paste cell here'!K195</f>
        <v>198</v>
      </c>
      <c r="G195" s="1">
        <f>'Paste cell here'!L195</f>
        <v>0</v>
      </c>
      <c r="H195" s="1">
        <f>'Paste cell here'!M195</f>
        <v>0</v>
      </c>
      <c r="I195" s="1">
        <f>'Paste cell here'!N195</f>
        <v>0</v>
      </c>
      <c r="J195" s="1">
        <f>'Paste cell here'!O195</f>
        <v>0</v>
      </c>
      <c r="K195" s="1">
        <f>'Paste cell here'!Q195</f>
        <v>0.421953731</v>
      </c>
      <c r="L195" s="1">
        <f>'Paste cell here'!S195</f>
        <v>0</v>
      </c>
      <c r="M195" s="1">
        <f>'Paste cell here'!T195</f>
        <v>194.82813949999999</v>
      </c>
      <c r="N195" s="1">
        <f>'Paste cell here'!W195</f>
        <v>0</v>
      </c>
      <c r="O195" s="1">
        <f>'Paste cell here'!U195</f>
        <v>27.449385679999999</v>
      </c>
      <c r="P195" s="1">
        <f t="shared" si="13"/>
        <v>24.699478930000001</v>
      </c>
      <c r="Q195" s="1">
        <f>'Paste cell here'!V195</f>
        <v>0</v>
      </c>
      <c r="R195" s="1">
        <f t="shared" si="14"/>
        <v>1.9000005124780728E-8</v>
      </c>
      <c r="S195" s="7">
        <f>Sintesi!$C$30</f>
        <v>8.3099999999999993E-2</v>
      </c>
      <c r="T195" s="7">
        <f>Sintesi!$C$29</f>
        <v>0.229209</v>
      </c>
      <c r="U195" s="5">
        <f>O195/(Sintesi!$C$5*1000)</f>
        <v>0.27449385679999999</v>
      </c>
      <c r="V195" s="1">
        <f t="shared" ref="V195:V258" si="15">T195-S195</f>
        <v>0.14610899999999999</v>
      </c>
      <c r="W195" s="1">
        <v>0.47586100438711898</v>
      </c>
      <c r="X195" s="1">
        <f t="shared" ref="X195:X258" si="16">W195*V195</f>
        <v>6.9527575489997565E-2</v>
      </c>
      <c r="Y195" s="1">
        <f t="shared" ref="Y195:Y258" si="17">T195-X195</f>
        <v>0.15968142451000245</v>
      </c>
      <c r="Z195" s="1">
        <f>'Paste cellinfo here'!$B$11</f>
        <v>0.51802400000000004</v>
      </c>
    </row>
    <row r="196" spans="1:26">
      <c r="A196" s="1">
        <v>195</v>
      </c>
      <c r="B196" s="2">
        <f>DATE(Sintesi!$C$4-1,12,31)+A196</f>
        <v>44391</v>
      </c>
      <c r="C196" s="1">
        <f>'Paste cell here'!B196</f>
        <v>0.39092781300000001</v>
      </c>
      <c r="D196" s="1">
        <f>'Paste cell here'!I196</f>
        <v>0</v>
      </c>
      <c r="E196" s="1">
        <f>'Paste cell here'!J196</f>
        <v>4.5900000000000003E-2</v>
      </c>
      <c r="F196" s="1">
        <f>'Paste cell here'!K196</f>
        <v>0.39092781300000001</v>
      </c>
      <c r="G196" s="1">
        <f>'Paste cell here'!L196</f>
        <v>4.5900000000000003E-2</v>
      </c>
      <c r="H196" s="1">
        <f>'Paste cell here'!M196</f>
        <v>0.34499769600000002</v>
      </c>
      <c r="I196" s="1">
        <f>'Paste cell here'!N196</f>
        <v>0</v>
      </c>
      <c r="J196" s="1">
        <f>'Paste cell here'!O196</f>
        <v>4.5900000000000003E-2</v>
      </c>
      <c r="K196" s="1">
        <f>'Paste cell here'!Q196</f>
        <v>0.138449035</v>
      </c>
      <c r="L196" s="1">
        <f>'Paste cell here'!S196</f>
        <v>0</v>
      </c>
      <c r="M196" s="1">
        <f>'Paste cell here'!T196</f>
        <v>3.1469870879999999</v>
      </c>
      <c r="N196" s="1">
        <f>'Paste cell here'!W196</f>
        <v>0</v>
      </c>
      <c r="O196" s="1">
        <f>'Paste cell here'!U196</f>
        <v>24.20987968</v>
      </c>
      <c r="P196" s="1">
        <f t="shared" ref="P196:P259" si="18">O195</f>
        <v>27.449385679999999</v>
      </c>
      <c r="Q196" s="1">
        <f>'Paste cell here'!V196</f>
        <v>0</v>
      </c>
      <c r="R196" s="1">
        <f t="shared" ref="R196:R259" si="19">ABS(O195+C196+D196+N196+Q195-H196-I196-K196-L196-M196-O196-Q196)</f>
        <v>6.000000496442226E-9</v>
      </c>
      <c r="S196" s="7">
        <f>Sintesi!$C$30</f>
        <v>8.3099999999999993E-2</v>
      </c>
      <c r="T196" s="7">
        <f>Sintesi!$C$29</f>
        <v>0.229209</v>
      </c>
      <c r="U196" s="5">
        <f>O196/(Sintesi!$C$5*1000)</f>
        <v>0.24209879680000002</v>
      </c>
      <c r="V196" s="1">
        <f t="shared" si="15"/>
        <v>0.14610899999999999</v>
      </c>
      <c r="W196" s="1">
        <v>0.47807804522998398</v>
      </c>
      <c r="X196" s="1">
        <f t="shared" si="16"/>
        <v>6.9851505110507722E-2</v>
      </c>
      <c r="Y196" s="1">
        <f t="shared" si="17"/>
        <v>0.15935749488949227</v>
      </c>
      <c r="Z196" s="1">
        <f>'Paste cellinfo here'!$B$11</f>
        <v>0.51802400000000004</v>
      </c>
    </row>
    <row r="197" spans="1:26">
      <c r="A197" s="1">
        <v>196</v>
      </c>
      <c r="B197" s="2">
        <f>DATE(Sintesi!$C$4-1,12,31)+A197</f>
        <v>44392</v>
      </c>
      <c r="C197" s="1">
        <f>'Paste cell here'!B197</f>
        <v>0</v>
      </c>
      <c r="D197" s="1">
        <f>'Paste cell here'!I197</f>
        <v>0</v>
      </c>
      <c r="E197" s="1">
        <f>'Paste cell here'!J197</f>
        <v>0</v>
      </c>
      <c r="F197" s="1">
        <f>'Paste cell here'!K197</f>
        <v>0</v>
      </c>
      <c r="G197" s="1">
        <f>'Paste cell here'!L197</f>
        <v>0</v>
      </c>
      <c r="H197" s="1">
        <f>'Paste cell here'!M197</f>
        <v>0</v>
      </c>
      <c r="I197" s="1">
        <f>'Paste cell here'!N197</f>
        <v>0</v>
      </c>
      <c r="J197" s="1">
        <f>'Paste cell here'!O197</f>
        <v>0</v>
      </c>
      <c r="K197" s="1">
        <f>'Paste cell here'!Q197</f>
        <v>0.123186621</v>
      </c>
      <c r="L197" s="1">
        <f>'Paste cell here'!S197</f>
        <v>0</v>
      </c>
      <c r="M197" s="1">
        <f>'Paste cell here'!T197</f>
        <v>0.80841734600000004</v>
      </c>
      <c r="N197" s="1">
        <f>'Paste cell here'!W197</f>
        <v>0</v>
      </c>
      <c r="O197" s="1">
        <f>'Paste cell here'!U197</f>
        <v>23.278275709999999</v>
      </c>
      <c r="P197" s="1">
        <f t="shared" si="18"/>
        <v>24.20987968</v>
      </c>
      <c r="Q197" s="1">
        <f>'Paste cell here'!V197</f>
        <v>0</v>
      </c>
      <c r="R197" s="1">
        <f t="shared" si="19"/>
        <v>3.0000038009347918E-9</v>
      </c>
      <c r="S197" s="7">
        <f>Sintesi!$C$30</f>
        <v>8.3099999999999993E-2</v>
      </c>
      <c r="T197" s="7">
        <f>Sintesi!$C$29</f>
        <v>0.229209</v>
      </c>
      <c r="U197" s="5">
        <f>O197/(Sintesi!$C$5*1000)</f>
        <v>0.23278275709999999</v>
      </c>
      <c r="V197" s="1">
        <f t="shared" si="15"/>
        <v>0.14610899999999999</v>
      </c>
      <c r="W197" s="1">
        <v>0.55265560870242103</v>
      </c>
      <c r="X197" s="1">
        <f t="shared" si="16"/>
        <v>8.0747958331902028E-2</v>
      </c>
      <c r="Y197" s="1">
        <f t="shared" si="17"/>
        <v>0.14846104166809798</v>
      </c>
      <c r="Z197" s="1">
        <f>'Paste cellinfo here'!$B$11</f>
        <v>0.51802400000000004</v>
      </c>
    </row>
    <row r="198" spans="1:26">
      <c r="A198" s="1">
        <v>197</v>
      </c>
      <c r="B198" s="2">
        <f>DATE(Sintesi!$C$4-1,12,31)+A198</f>
        <v>44393</v>
      </c>
      <c r="C198" s="1">
        <f>'Paste cell here'!B198</f>
        <v>13.33774753</v>
      </c>
      <c r="D198" s="1">
        <f>'Paste cell here'!I198</f>
        <v>0</v>
      </c>
      <c r="E198" s="1">
        <f>'Paste cell here'!J198</f>
        <v>10.93964205</v>
      </c>
      <c r="F198" s="1">
        <f>'Paste cell here'!K198</f>
        <v>13.33774753</v>
      </c>
      <c r="G198" s="1">
        <f>'Paste cell here'!L198</f>
        <v>10.915074349999999</v>
      </c>
      <c r="H198" s="1">
        <f>'Paste cell here'!M198</f>
        <v>2.3981054789999998</v>
      </c>
      <c r="I198" s="1">
        <f>'Paste cell here'!N198</f>
        <v>2.46E-2</v>
      </c>
      <c r="J198" s="1">
        <f>'Paste cell here'!O198</f>
        <v>10.91507468</v>
      </c>
      <c r="K198" s="1">
        <f>'Paste cell here'!Q198</f>
        <v>0.205517333</v>
      </c>
      <c r="L198" s="1">
        <f>'Paste cell here'!S198</f>
        <v>0</v>
      </c>
      <c r="M198" s="1">
        <f>'Paste cell here'!T198</f>
        <v>3.6927511669999999</v>
      </c>
      <c r="N198" s="1">
        <f>'Paste cell here'!W198</f>
        <v>0</v>
      </c>
      <c r="O198" s="1">
        <f>'Paste cell here'!U198</f>
        <v>30.295081889999999</v>
      </c>
      <c r="P198" s="1">
        <f t="shared" si="18"/>
        <v>23.278275709999999</v>
      </c>
      <c r="Q198" s="1">
        <f>'Paste cell here'!V198</f>
        <v>0</v>
      </c>
      <c r="R198" s="1">
        <f t="shared" si="19"/>
        <v>3.2629000006778597E-5</v>
      </c>
      <c r="S198" s="7">
        <f>Sintesi!$C$30</f>
        <v>8.3099999999999993E-2</v>
      </c>
      <c r="T198" s="7">
        <f>Sintesi!$C$29</f>
        <v>0.229209</v>
      </c>
      <c r="U198" s="5">
        <f>O198/(Sintesi!$C$5*1000)</f>
        <v>0.30295081889999997</v>
      </c>
      <c r="V198" s="1">
        <f t="shared" si="15"/>
        <v>0.14610899999999999</v>
      </c>
      <c r="W198" s="1">
        <v>0.55600989148386404</v>
      </c>
      <c r="X198" s="1">
        <f t="shared" si="16"/>
        <v>8.1238049234815882E-2</v>
      </c>
      <c r="Y198" s="1">
        <f t="shared" si="17"/>
        <v>0.14797095076518413</v>
      </c>
      <c r="Z198" s="1">
        <f>'Paste cellinfo here'!$B$11</f>
        <v>0.51802400000000004</v>
      </c>
    </row>
    <row r="199" spans="1:26">
      <c r="A199" s="1">
        <v>198</v>
      </c>
      <c r="B199" s="2">
        <f>DATE(Sintesi!$C$4-1,12,31)+A199</f>
        <v>44394</v>
      </c>
      <c r="C199" s="1">
        <f>'Paste cell here'!B199</f>
        <v>0</v>
      </c>
      <c r="D199" s="1">
        <f>'Paste cell here'!I199</f>
        <v>0</v>
      </c>
      <c r="E199" s="1">
        <f>'Paste cell here'!J199</f>
        <v>0</v>
      </c>
      <c r="F199" s="1">
        <f>'Paste cell here'!K199</f>
        <v>0</v>
      </c>
      <c r="G199" s="1">
        <f>'Paste cell here'!L199</f>
        <v>0</v>
      </c>
      <c r="H199" s="1">
        <f>'Paste cell here'!M199</f>
        <v>0</v>
      </c>
      <c r="I199" s="1">
        <f>'Paste cell here'!N199</f>
        <v>0</v>
      </c>
      <c r="J199" s="1">
        <f>'Paste cell here'!O199</f>
        <v>0</v>
      </c>
      <c r="K199" s="1">
        <f>'Paste cell here'!Q199</f>
        <v>0.15215693599999999</v>
      </c>
      <c r="L199" s="1">
        <f>'Paste cell here'!S199</f>
        <v>0</v>
      </c>
      <c r="M199" s="1">
        <f>'Paste cell here'!T199</f>
        <v>3.1951406960000002</v>
      </c>
      <c r="N199" s="1">
        <f>'Paste cell here'!W199</f>
        <v>0</v>
      </c>
      <c r="O199" s="1">
        <f>'Paste cell here'!U199</f>
        <v>26.947784259999999</v>
      </c>
      <c r="P199" s="1">
        <f t="shared" si="18"/>
        <v>30.295081889999999</v>
      </c>
      <c r="Q199" s="1">
        <f>'Paste cell here'!V199</f>
        <v>0</v>
      </c>
      <c r="R199" s="1">
        <f t="shared" si="19"/>
        <v>2.000000165480742E-9</v>
      </c>
      <c r="S199" s="7">
        <f>Sintesi!$C$30</f>
        <v>8.3099999999999993E-2</v>
      </c>
      <c r="T199" s="7">
        <f>Sintesi!$C$29</f>
        <v>0.229209</v>
      </c>
      <c r="U199" s="5">
        <f>O199/(Sintesi!$C$5*1000)</f>
        <v>0.26947784259999996</v>
      </c>
      <c r="V199" s="1">
        <f t="shared" si="15"/>
        <v>0.14610899999999999</v>
      </c>
      <c r="W199" s="1">
        <v>0.475707243119326</v>
      </c>
      <c r="X199" s="1">
        <f t="shared" si="16"/>
        <v>6.9505109584921593E-2</v>
      </c>
      <c r="Y199" s="1">
        <f t="shared" si="17"/>
        <v>0.1597038904150784</v>
      </c>
      <c r="Z199" s="1">
        <f>'Paste cellinfo here'!$B$11</f>
        <v>0.51802400000000004</v>
      </c>
    </row>
    <row r="200" spans="1:26">
      <c r="A200" s="1">
        <v>199</v>
      </c>
      <c r="B200" s="2">
        <f>DATE(Sintesi!$C$4-1,12,31)+A200</f>
        <v>44395</v>
      </c>
      <c r="C200" s="1">
        <f>'Paste cell here'!B200</f>
        <v>0</v>
      </c>
      <c r="D200" s="1">
        <f>'Paste cell here'!I200</f>
        <v>0</v>
      </c>
      <c r="E200" s="1">
        <f>'Paste cell here'!J200</f>
        <v>0</v>
      </c>
      <c r="F200" s="1">
        <f>'Paste cell here'!K200</f>
        <v>0</v>
      </c>
      <c r="G200" s="1">
        <f>'Paste cell here'!L200</f>
        <v>0</v>
      </c>
      <c r="H200" s="1">
        <f>'Paste cell here'!M200</f>
        <v>0</v>
      </c>
      <c r="I200" s="1">
        <f>'Paste cell here'!N200</f>
        <v>0</v>
      </c>
      <c r="J200" s="1">
        <f>'Paste cell here'!O200</f>
        <v>0</v>
      </c>
      <c r="K200" s="1">
        <f>'Paste cell here'!Q200</f>
        <v>0.17410546599999999</v>
      </c>
      <c r="L200" s="1">
        <f>'Paste cell here'!S200</f>
        <v>0</v>
      </c>
      <c r="M200" s="1">
        <f>'Paste cell here'!T200</f>
        <v>1.1322118619999999</v>
      </c>
      <c r="N200" s="1">
        <f>'Paste cell here'!W200</f>
        <v>0</v>
      </c>
      <c r="O200" s="1">
        <f>'Paste cell here'!U200</f>
        <v>25.64146693</v>
      </c>
      <c r="P200" s="1">
        <f t="shared" si="18"/>
        <v>26.947784259999999</v>
      </c>
      <c r="Q200" s="1">
        <f>'Paste cell here'!V200</f>
        <v>0</v>
      </c>
      <c r="R200" s="1">
        <f t="shared" si="19"/>
        <v>2.000000165480742E-9</v>
      </c>
      <c r="S200" s="7">
        <f>Sintesi!$C$30</f>
        <v>8.3099999999999993E-2</v>
      </c>
      <c r="T200" s="7">
        <f>Sintesi!$C$29</f>
        <v>0.229209</v>
      </c>
      <c r="U200" s="5">
        <f>O200/(Sintesi!$C$5*1000)</f>
        <v>0.25641466930000001</v>
      </c>
      <c r="V200" s="1">
        <f t="shared" si="15"/>
        <v>0.14610899999999999</v>
      </c>
      <c r="W200" s="1">
        <v>0.452342872807518</v>
      </c>
      <c r="X200" s="1">
        <f t="shared" si="16"/>
        <v>6.6091364803033639E-2</v>
      </c>
      <c r="Y200" s="1">
        <f t="shared" si="17"/>
        <v>0.16311763519696637</v>
      </c>
      <c r="Z200" s="1">
        <f>'Paste cellinfo here'!$B$11</f>
        <v>0.51802400000000004</v>
      </c>
    </row>
    <row r="201" spans="1:26">
      <c r="A201" s="1">
        <v>200</v>
      </c>
      <c r="B201" s="2">
        <f>DATE(Sintesi!$C$4-1,12,31)+A201</f>
        <v>44396</v>
      </c>
      <c r="C201" s="1">
        <f>'Paste cell here'!B201</f>
        <v>0</v>
      </c>
      <c r="D201" s="1">
        <f>'Paste cell here'!I201</f>
        <v>0</v>
      </c>
      <c r="E201" s="1">
        <f>'Paste cell here'!J201</f>
        <v>0</v>
      </c>
      <c r="F201" s="1">
        <f>'Paste cell here'!K201</f>
        <v>0</v>
      </c>
      <c r="G201" s="1">
        <f>'Paste cell here'!L201</f>
        <v>0</v>
      </c>
      <c r="H201" s="1">
        <f>'Paste cell here'!M201</f>
        <v>0</v>
      </c>
      <c r="I201" s="1">
        <f>'Paste cell here'!N201</f>
        <v>0</v>
      </c>
      <c r="J201" s="1">
        <f>'Paste cell here'!O201</f>
        <v>0</v>
      </c>
      <c r="K201" s="1">
        <f>'Paste cell here'!Q201</f>
        <v>0.477032662</v>
      </c>
      <c r="L201" s="1">
        <f>'Paste cell here'!S201</f>
        <v>0</v>
      </c>
      <c r="M201" s="1">
        <f>'Paste cell here'!T201</f>
        <v>0.61898325499999995</v>
      </c>
      <c r="N201" s="1">
        <f>'Paste cell here'!W201</f>
        <v>0</v>
      </c>
      <c r="O201" s="1">
        <f>'Paste cell here'!U201</f>
        <v>24.545451010000001</v>
      </c>
      <c r="P201" s="1">
        <f t="shared" si="18"/>
        <v>25.64146693</v>
      </c>
      <c r="Q201" s="1">
        <f>'Paste cell here'!V201</f>
        <v>0</v>
      </c>
      <c r="R201" s="1">
        <f t="shared" si="19"/>
        <v>3.000000248221113E-9</v>
      </c>
      <c r="S201" s="7">
        <f>Sintesi!$C$30</f>
        <v>8.3099999999999993E-2</v>
      </c>
      <c r="T201" s="7">
        <f>Sintesi!$C$29</f>
        <v>0.229209</v>
      </c>
      <c r="U201" s="5">
        <f>O201/(Sintesi!$C$5*1000)</f>
        <v>0.2454545101</v>
      </c>
      <c r="V201" s="1">
        <f t="shared" si="15"/>
        <v>0.14610899999999999</v>
      </c>
      <c r="W201" s="1">
        <v>0.52808554798449403</v>
      </c>
      <c r="X201" s="1">
        <f t="shared" si="16"/>
        <v>7.7158051330466437E-2</v>
      </c>
      <c r="Y201" s="1">
        <f t="shared" si="17"/>
        <v>0.15205094866953356</v>
      </c>
      <c r="Z201" s="1">
        <f>'Paste cellinfo here'!$B$11</f>
        <v>0.51802400000000004</v>
      </c>
    </row>
    <row r="202" spans="1:26">
      <c r="A202" s="1">
        <v>201</v>
      </c>
      <c r="B202" s="2">
        <f>DATE(Sintesi!$C$4-1,12,31)+A202</f>
        <v>44397</v>
      </c>
      <c r="C202" s="1">
        <f>'Paste cell here'!B202</f>
        <v>0</v>
      </c>
      <c r="D202" s="1">
        <f>'Paste cell here'!I202</f>
        <v>0</v>
      </c>
      <c r="E202" s="1">
        <f>'Paste cell here'!J202</f>
        <v>0</v>
      </c>
      <c r="F202" s="1">
        <f>'Paste cell here'!K202</f>
        <v>0</v>
      </c>
      <c r="G202" s="1">
        <f>'Paste cell here'!L202</f>
        <v>0</v>
      </c>
      <c r="H202" s="1">
        <f>'Paste cell here'!M202</f>
        <v>0</v>
      </c>
      <c r="I202" s="1">
        <f>'Paste cell here'!N202</f>
        <v>0</v>
      </c>
      <c r="J202" s="1">
        <f>'Paste cell here'!O202</f>
        <v>0</v>
      </c>
      <c r="K202" s="1">
        <f>'Paste cell here'!Q202</f>
        <v>0.344742365</v>
      </c>
      <c r="L202" s="1">
        <f>'Paste cell here'!S202</f>
        <v>0</v>
      </c>
      <c r="M202" s="1">
        <f>'Paste cell here'!T202</f>
        <v>0.38852796499999998</v>
      </c>
      <c r="N202" s="1">
        <f>'Paste cell here'!W202</f>
        <v>0</v>
      </c>
      <c r="O202" s="1">
        <f>'Paste cell here'!U202</f>
        <v>23.812180680000001</v>
      </c>
      <c r="P202" s="1">
        <f t="shared" si="18"/>
        <v>24.545451010000001</v>
      </c>
      <c r="Q202" s="1">
        <f>'Paste cell here'!V202</f>
        <v>0</v>
      </c>
      <c r="R202" s="1">
        <f t="shared" si="19"/>
        <v>0</v>
      </c>
      <c r="S202" s="7">
        <f>Sintesi!$C$30</f>
        <v>8.3099999999999993E-2</v>
      </c>
      <c r="T202" s="7">
        <f>Sintesi!$C$29</f>
        <v>0.229209</v>
      </c>
      <c r="U202" s="5">
        <f>O202/(Sintesi!$C$5*1000)</f>
        <v>0.2381218068</v>
      </c>
      <c r="V202" s="1">
        <f t="shared" si="15"/>
        <v>0.14610899999999999</v>
      </c>
      <c r="W202" s="1">
        <v>0.47485329225433998</v>
      </c>
      <c r="X202" s="1">
        <f t="shared" si="16"/>
        <v>6.9380339677989358E-2</v>
      </c>
      <c r="Y202" s="1">
        <f t="shared" si="17"/>
        <v>0.15982866032201065</v>
      </c>
      <c r="Z202" s="1">
        <f>'Paste cellinfo here'!$B$11</f>
        <v>0.51802400000000004</v>
      </c>
    </row>
    <row r="203" spans="1:26">
      <c r="A203" s="1">
        <v>202</v>
      </c>
      <c r="B203" s="2">
        <f>DATE(Sintesi!$C$4-1,12,31)+A203</f>
        <v>44398</v>
      </c>
      <c r="C203" s="1">
        <f>'Paste cell here'!B203</f>
        <v>0</v>
      </c>
      <c r="D203" s="1">
        <f>'Paste cell here'!I203</f>
        <v>0</v>
      </c>
      <c r="E203" s="1">
        <f>'Paste cell here'!J203</f>
        <v>0</v>
      </c>
      <c r="F203" s="1">
        <f>'Paste cell here'!K203</f>
        <v>0</v>
      </c>
      <c r="G203" s="1">
        <f>'Paste cell here'!L203</f>
        <v>0</v>
      </c>
      <c r="H203" s="1">
        <f>'Paste cell here'!M203</f>
        <v>0</v>
      </c>
      <c r="I203" s="1">
        <f>'Paste cell here'!N203</f>
        <v>0</v>
      </c>
      <c r="J203" s="1">
        <f>'Paste cell here'!O203</f>
        <v>0</v>
      </c>
      <c r="K203" s="1">
        <f>'Paste cell here'!Q203</f>
        <v>0.24925772900000001</v>
      </c>
      <c r="L203" s="1">
        <f>'Paste cell here'!S203</f>
        <v>0</v>
      </c>
      <c r="M203" s="1">
        <f>'Paste cell here'!T203</f>
        <v>0.28035468099999999</v>
      </c>
      <c r="N203" s="1">
        <f>'Paste cell here'!W203</f>
        <v>0</v>
      </c>
      <c r="O203" s="1">
        <f>'Paste cell here'!U203</f>
        <v>23.282568269999999</v>
      </c>
      <c r="P203" s="1">
        <f t="shared" si="18"/>
        <v>23.812180680000001</v>
      </c>
      <c r="Q203" s="1">
        <f>'Paste cell here'!V203</f>
        <v>0</v>
      </c>
      <c r="R203" s="1">
        <f t="shared" si="19"/>
        <v>3.5527136788005009E-15</v>
      </c>
      <c r="S203" s="7">
        <f>Sintesi!$C$30</f>
        <v>8.3099999999999993E-2</v>
      </c>
      <c r="T203" s="7">
        <f>Sintesi!$C$29</f>
        <v>0.229209</v>
      </c>
      <c r="U203" s="5">
        <f>O203/(Sintesi!$C$5*1000)</f>
        <v>0.23282568269999998</v>
      </c>
      <c r="V203" s="1">
        <f t="shared" si="15"/>
        <v>0.14610899999999999</v>
      </c>
      <c r="W203" s="1">
        <v>0.479907737522484</v>
      </c>
      <c r="X203" s="1">
        <f t="shared" si="16"/>
        <v>7.0118839621672605E-2</v>
      </c>
      <c r="Y203" s="1">
        <f t="shared" si="17"/>
        <v>0.15909016037832741</v>
      </c>
      <c r="Z203" s="1">
        <f>'Paste cellinfo here'!$B$11</f>
        <v>0.51802400000000004</v>
      </c>
    </row>
    <row r="204" spans="1:26">
      <c r="A204" s="1">
        <v>203</v>
      </c>
      <c r="B204" s="2">
        <f>DATE(Sintesi!$C$4-1,12,31)+A204</f>
        <v>44399</v>
      </c>
      <c r="C204" s="1">
        <f>'Paste cell here'!B204</f>
        <v>0</v>
      </c>
      <c r="D204" s="1">
        <f>'Paste cell here'!I204</f>
        <v>0</v>
      </c>
      <c r="E204" s="1">
        <f>'Paste cell here'!J204</f>
        <v>0</v>
      </c>
      <c r="F204" s="1">
        <f>'Paste cell here'!K204</f>
        <v>0</v>
      </c>
      <c r="G204" s="1">
        <f>'Paste cell here'!L204</f>
        <v>0</v>
      </c>
      <c r="H204" s="1">
        <f>'Paste cell here'!M204</f>
        <v>0</v>
      </c>
      <c r="I204" s="1">
        <f>'Paste cell here'!N204</f>
        <v>0</v>
      </c>
      <c r="J204" s="1">
        <f>'Paste cell here'!O204</f>
        <v>0</v>
      </c>
      <c r="K204" s="1">
        <f>'Paste cell here'!Q204</f>
        <v>0.260256294</v>
      </c>
      <c r="L204" s="1">
        <f>'Paste cell here'!S204</f>
        <v>0</v>
      </c>
      <c r="M204" s="1">
        <f>'Paste cell here'!T204</f>
        <v>0.21623052500000001</v>
      </c>
      <c r="N204" s="1">
        <f>'Paste cell here'!W204</f>
        <v>0</v>
      </c>
      <c r="O204" s="1">
        <f>'Paste cell here'!U204</f>
        <v>22.806081450000001</v>
      </c>
      <c r="P204" s="1">
        <f t="shared" si="18"/>
        <v>23.282568269999999</v>
      </c>
      <c r="Q204" s="1">
        <f>'Paste cell here'!V204</f>
        <v>0</v>
      </c>
      <c r="R204" s="1">
        <f t="shared" si="19"/>
        <v>9.999965300266922E-10</v>
      </c>
      <c r="S204" s="7">
        <f>Sintesi!$C$30</f>
        <v>8.3099999999999993E-2</v>
      </c>
      <c r="T204" s="7">
        <f>Sintesi!$C$29</f>
        <v>0.229209</v>
      </c>
      <c r="U204" s="5">
        <f>O204/(Sintesi!$C$5*1000)</f>
        <v>0.22806081450000001</v>
      </c>
      <c r="V204" s="1">
        <f t="shared" si="15"/>
        <v>0.14610899999999999</v>
      </c>
      <c r="W204" s="1">
        <v>0.42070866918423999</v>
      </c>
      <c r="X204" s="1">
        <f t="shared" si="16"/>
        <v>6.1469322945840114E-2</v>
      </c>
      <c r="Y204" s="1">
        <f t="shared" si="17"/>
        <v>0.16773967705415987</v>
      </c>
      <c r="Z204" s="1">
        <f>'Paste cellinfo here'!$B$11</f>
        <v>0.51802400000000004</v>
      </c>
    </row>
    <row r="205" spans="1:26">
      <c r="A205" s="1">
        <v>204</v>
      </c>
      <c r="B205" s="2">
        <f>DATE(Sintesi!$C$4-1,12,31)+A205</f>
        <v>44400</v>
      </c>
      <c r="C205" s="1">
        <f>'Paste cell here'!B205</f>
        <v>0</v>
      </c>
      <c r="D205" s="1">
        <f>'Paste cell here'!I205</f>
        <v>0</v>
      </c>
      <c r="E205" s="1">
        <f>'Paste cell here'!J205</f>
        <v>0</v>
      </c>
      <c r="F205" s="1">
        <f>'Paste cell here'!K205</f>
        <v>0</v>
      </c>
      <c r="G205" s="1">
        <f>'Paste cell here'!L205</f>
        <v>0</v>
      </c>
      <c r="H205" s="1">
        <f>'Paste cell here'!M205</f>
        <v>0</v>
      </c>
      <c r="I205" s="1">
        <f>'Paste cell here'!N205</f>
        <v>0</v>
      </c>
      <c r="J205" s="1">
        <f>'Paste cell here'!O205</f>
        <v>0</v>
      </c>
      <c r="K205" s="1">
        <f>'Paste cell here'!Q205</f>
        <v>0.17441452499999999</v>
      </c>
      <c r="L205" s="1">
        <f>'Paste cell here'!S205</f>
        <v>0</v>
      </c>
      <c r="M205" s="1">
        <f>'Paste cell here'!T205</f>
        <v>0.17433636399999999</v>
      </c>
      <c r="N205" s="1">
        <f>'Paste cell here'!W205</f>
        <v>0</v>
      </c>
      <c r="O205" s="1">
        <f>'Paste cell here'!U205</f>
        <v>22.45733057</v>
      </c>
      <c r="P205" s="1">
        <f t="shared" si="18"/>
        <v>22.806081450000001</v>
      </c>
      <c r="Q205" s="1">
        <f>'Paste cell here'!V205</f>
        <v>0</v>
      </c>
      <c r="R205" s="1">
        <f t="shared" si="19"/>
        <v>8.9999971919496602E-9</v>
      </c>
      <c r="S205" s="7">
        <f>Sintesi!$C$30</f>
        <v>8.3099999999999993E-2</v>
      </c>
      <c r="T205" s="7">
        <f>Sintesi!$C$29</f>
        <v>0.229209</v>
      </c>
      <c r="U205" s="5">
        <f>O205/(Sintesi!$C$5*1000)</f>
        <v>0.2245733057</v>
      </c>
      <c r="V205" s="1">
        <f t="shared" si="15"/>
        <v>0.14610899999999999</v>
      </c>
      <c r="W205" s="1">
        <v>0.53544148439359496</v>
      </c>
      <c r="X205" s="1">
        <f t="shared" si="16"/>
        <v>7.8232819843263759E-2</v>
      </c>
      <c r="Y205" s="1">
        <f t="shared" si="17"/>
        <v>0.15097618015673625</v>
      </c>
      <c r="Z205" s="1">
        <f>'Paste cellinfo here'!$B$11</f>
        <v>0.51802400000000004</v>
      </c>
    </row>
    <row r="206" spans="1:26">
      <c r="A206" s="1">
        <v>205</v>
      </c>
      <c r="B206" s="2">
        <f>DATE(Sintesi!$C$4-1,12,31)+A206</f>
        <v>44401</v>
      </c>
      <c r="C206" s="1">
        <f>'Paste cell here'!B206</f>
        <v>0</v>
      </c>
      <c r="D206" s="1">
        <f>'Paste cell here'!I206</f>
        <v>0</v>
      </c>
      <c r="E206" s="1">
        <f>'Paste cell here'!J206</f>
        <v>0</v>
      </c>
      <c r="F206" s="1">
        <f>'Paste cell here'!K206</f>
        <v>0</v>
      </c>
      <c r="G206" s="1">
        <f>'Paste cell here'!L206</f>
        <v>0</v>
      </c>
      <c r="H206" s="1">
        <f>'Paste cell here'!M206</f>
        <v>0</v>
      </c>
      <c r="I206" s="1">
        <f>'Paste cell here'!N206</f>
        <v>0</v>
      </c>
      <c r="J206" s="1">
        <f>'Paste cell here'!O206</f>
        <v>0</v>
      </c>
      <c r="K206" s="1">
        <f>'Paste cell here'!Q206</f>
        <v>0.17213489400000001</v>
      </c>
      <c r="L206" s="1">
        <f>'Paste cell here'!S206</f>
        <v>0</v>
      </c>
      <c r="M206" s="1">
        <f>'Paste cell here'!T206</f>
        <v>0.14638000700000001</v>
      </c>
      <c r="N206" s="1">
        <f>'Paste cell here'!W206</f>
        <v>0</v>
      </c>
      <c r="O206" s="1">
        <f>'Paste cell here'!U206</f>
        <v>22.138815659999999</v>
      </c>
      <c r="P206" s="1">
        <f t="shared" si="18"/>
        <v>22.45733057</v>
      </c>
      <c r="Q206" s="1">
        <f>'Paste cell here'!V206</f>
        <v>0</v>
      </c>
      <c r="R206" s="1">
        <f t="shared" si="19"/>
        <v>9.000000744663339E-9</v>
      </c>
      <c r="S206" s="7">
        <f>Sintesi!$C$30</f>
        <v>8.3099999999999993E-2</v>
      </c>
      <c r="T206" s="7">
        <f>Sintesi!$C$29</f>
        <v>0.229209</v>
      </c>
      <c r="U206" s="5">
        <f>O206/(Sintesi!$C$5*1000)</f>
        <v>0.2213881566</v>
      </c>
      <c r="V206" s="1">
        <f t="shared" si="15"/>
        <v>0.14610899999999999</v>
      </c>
      <c r="W206" s="1">
        <v>0.44066176249153099</v>
      </c>
      <c r="X206" s="1">
        <f t="shared" si="16"/>
        <v>6.4384649455875104E-2</v>
      </c>
      <c r="Y206" s="1">
        <f t="shared" si="17"/>
        <v>0.16482435054412489</v>
      </c>
      <c r="Z206" s="1">
        <f>'Paste cellinfo here'!$B$11</f>
        <v>0.51802400000000004</v>
      </c>
    </row>
    <row r="207" spans="1:26">
      <c r="A207" s="1">
        <v>206</v>
      </c>
      <c r="B207" s="2">
        <f>DATE(Sintesi!$C$4-1,12,31)+A207</f>
        <v>44402</v>
      </c>
      <c r="C207" s="1">
        <f>'Paste cell here'!B207</f>
        <v>0</v>
      </c>
      <c r="D207" s="1">
        <f>'Paste cell here'!I207</f>
        <v>0</v>
      </c>
      <c r="E207" s="1">
        <f>'Paste cell here'!J207</f>
        <v>0</v>
      </c>
      <c r="F207" s="1">
        <f>'Paste cell here'!K207</f>
        <v>0</v>
      </c>
      <c r="G207" s="1">
        <f>'Paste cell here'!L207</f>
        <v>0</v>
      </c>
      <c r="H207" s="1">
        <f>'Paste cell here'!M207</f>
        <v>0</v>
      </c>
      <c r="I207" s="1">
        <f>'Paste cell here'!N207</f>
        <v>0</v>
      </c>
      <c r="J207" s="1">
        <f>'Paste cell here'!O207</f>
        <v>0</v>
      </c>
      <c r="K207" s="1">
        <f>'Paste cell here'!Q207</f>
        <v>0.18519970699999999</v>
      </c>
      <c r="L207" s="1">
        <f>'Paste cell here'!S207</f>
        <v>0</v>
      </c>
      <c r="M207" s="1">
        <f>'Paste cell here'!T207</f>
        <v>0.124017842</v>
      </c>
      <c r="N207" s="1">
        <f>'Paste cell here'!W207</f>
        <v>0</v>
      </c>
      <c r="O207" s="1">
        <f>'Paste cell here'!U207</f>
        <v>21.829598109999999</v>
      </c>
      <c r="P207" s="1">
        <f t="shared" si="18"/>
        <v>22.138815659999999</v>
      </c>
      <c r="Q207" s="1">
        <f>'Paste cell here'!V207</f>
        <v>0</v>
      </c>
      <c r="R207" s="1">
        <f t="shared" si="19"/>
        <v>1.000000082740371E-9</v>
      </c>
      <c r="S207" s="7">
        <f>Sintesi!$C$30</f>
        <v>8.3099999999999993E-2</v>
      </c>
      <c r="T207" s="7">
        <f>Sintesi!$C$29</f>
        <v>0.229209</v>
      </c>
      <c r="U207" s="5">
        <f>O207/(Sintesi!$C$5*1000)</f>
        <v>0.21829598109999998</v>
      </c>
      <c r="V207" s="1">
        <f t="shared" si="15"/>
        <v>0.14610899999999999</v>
      </c>
      <c r="W207" s="1">
        <v>0.41676230226470701</v>
      </c>
      <c r="X207" s="1">
        <f t="shared" si="16"/>
        <v>6.0892723221594072E-2</v>
      </c>
      <c r="Y207" s="1">
        <f t="shared" si="17"/>
        <v>0.16831627677840594</v>
      </c>
      <c r="Z207" s="1">
        <f>'Paste cellinfo here'!$B$11</f>
        <v>0.51802400000000004</v>
      </c>
    </row>
    <row r="208" spans="1:26">
      <c r="A208" s="1">
        <v>207</v>
      </c>
      <c r="B208" s="2">
        <f>DATE(Sintesi!$C$4-1,12,31)+A208</f>
        <v>44403</v>
      </c>
      <c r="C208" s="1">
        <f>'Paste cell here'!B208</f>
        <v>61.04768352</v>
      </c>
      <c r="D208" s="1">
        <f>'Paste cell here'!I208</f>
        <v>0</v>
      </c>
      <c r="E208" s="1">
        <f>'Paste cell here'!J208</f>
        <v>58.313301989999999</v>
      </c>
      <c r="F208" s="1">
        <f>'Paste cell here'!K208</f>
        <v>61.04768352</v>
      </c>
      <c r="G208" s="1">
        <f>'Paste cell here'!L208</f>
        <v>47.833519359999997</v>
      </c>
      <c r="H208" s="1">
        <f>'Paste cell here'!M208</f>
        <v>2.7343815299999998</v>
      </c>
      <c r="I208" s="1">
        <f>'Paste cell here'!N208</f>
        <v>10.479782630000001</v>
      </c>
      <c r="J208" s="1">
        <f>'Paste cell here'!O208</f>
        <v>47.833520790000001</v>
      </c>
      <c r="K208" s="1">
        <f>'Paste cell here'!Q208</f>
        <v>8.43E-2</v>
      </c>
      <c r="L208" s="1">
        <f>'Paste cell here'!S208</f>
        <v>0</v>
      </c>
      <c r="M208" s="1">
        <f>'Paste cell here'!T208</f>
        <v>31.649921419999998</v>
      </c>
      <c r="N208" s="1">
        <f>'Paste cell here'!W208</f>
        <v>0</v>
      </c>
      <c r="O208" s="1">
        <f>'Paste cell here'!U208</f>
        <v>37.928933919999999</v>
      </c>
      <c r="P208" s="1">
        <f t="shared" si="18"/>
        <v>21.829598109999999</v>
      </c>
      <c r="Q208" s="1">
        <f>'Paste cell here'!V208</f>
        <v>0</v>
      </c>
      <c r="R208" s="1">
        <f t="shared" si="19"/>
        <v>3.7869999992778958E-5</v>
      </c>
      <c r="S208" s="7">
        <f>Sintesi!$C$30</f>
        <v>8.3099999999999993E-2</v>
      </c>
      <c r="T208" s="7">
        <f>Sintesi!$C$29</f>
        <v>0.229209</v>
      </c>
      <c r="U208" s="5">
        <f>O208/(Sintesi!$C$5*1000)</f>
        <v>0.37928933919999996</v>
      </c>
      <c r="V208" s="1">
        <f t="shared" si="15"/>
        <v>0.14610899999999999</v>
      </c>
      <c r="W208" s="1">
        <v>0.42785902437635298</v>
      </c>
      <c r="X208" s="1">
        <f t="shared" si="16"/>
        <v>6.2514054192604557E-2</v>
      </c>
      <c r="Y208" s="1">
        <f t="shared" si="17"/>
        <v>0.16669494580739544</v>
      </c>
      <c r="Z208" s="1">
        <f>'Paste cellinfo here'!$B$11</f>
        <v>0.51802400000000004</v>
      </c>
    </row>
    <row r="209" spans="1:26">
      <c r="A209" s="1">
        <v>208</v>
      </c>
      <c r="B209" s="2">
        <f>DATE(Sintesi!$C$4-1,12,31)+A209</f>
        <v>44404</v>
      </c>
      <c r="C209" s="1">
        <f>'Paste cell here'!B209</f>
        <v>0</v>
      </c>
      <c r="D209" s="1">
        <f>'Paste cell here'!I209</f>
        <v>0</v>
      </c>
      <c r="E209" s="1">
        <f>'Paste cell here'!J209</f>
        <v>0</v>
      </c>
      <c r="F209" s="1">
        <f>'Paste cell here'!K209</f>
        <v>0</v>
      </c>
      <c r="G209" s="1">
        <f>'Paste cell here'!L209</f>
        <v>0</v>
      </c>
      <c r="H209" s="1">
        <f>'Paste cell here'!M209</f>
        <v>0</v>
      </c>
      <c r="I209" s="1">
        <f>'Paste cell here'!N209</f>
        <v>0</v>
      </c>
      <c r="J209" s="1">
        <f>'Paste cell here'!O209</f>
        <v>0</v>
      </c>
      <c r="K209" s="1">
        <f>'Paste cell here'!Q209</f>
        <v>9.5899999999999999E-2</v>
      </c>
      <c r="L209" s="1">
        <f>'Paste cell here'!S209</f>
        <v>0</v>
      </c>
      <c r="M209" s="1">
        <f>'Paste cell here'!T209</f>
        <v>8.8890208919999996</v>
      </c>
      <c r="N209" s="1">
        <f>'Paste cell here'!W209</f>
        <v>0</v>
      </c>
      <c r="O209" s="1">
        <f>'Paste cell here'!U209</f>
        <v>28.94403398</v>
      </c>
      <c r="P209" s="1">
        <f t="shared" si="18"/>
        <v>37.928933919999999</v>
      </c>
      <c r="Q209" s="1">
        <f>'Paste cell here'!V209</f>
        <v>0</v>
      </c>
      <c r="R209" s="1">
        <f t="shared" si="19"/>
        <v>2.0951999999851978E-5</v>
      </c>
      <c r="S209" s="7">
        <f>Sintesi!$C$30</f>
        <v>8.3099999999999993E-2</v>
      </c>
      <c r="T209" s="7">
        <f>Sintesi!$C$29</f>
        <v>0.229209</v>
      </c>
      <c r="U209" s="5">
        <f>O209/(Sintesi!$C$5*1000)</f>
        <v>0.2894403398</v>
      </c>
      <c r="V209" s="1">
        <f t="shared" si="15"/>
        <v>0.14610899999999999</v>
      </c>
      <c r="W209" s="1">
        <v>0.42305181227299099</v>
      </c>
      <c r="X209" s="1">
        <f t="shared" si="16"/>
        <v>6.1811677239394437E-2</v>
      </c>
      <c r="Y209" s="1">
        <f t="shared" si="17"/>
        <v>0.16739732276060557</v>
      </c>
      <c r="Z209" s="1">
        <f>'Paste cellinfo here'!$B$11</f>
        <v>0.51802400000000004</v>
      </c>
    </row>
    <row r="210" spans="1:26">
      <c r="A210" s="1">
        <v>209</v>
      </c>
      <c r="B210" s="2">
        <f>DATE(Sintesi!$C$4-1,12,31)+A210</f>
        <v>44405</v>
      </c>
      <c r="C210" s="1">
        <f>'Paste cell here'!B210</f>
        <v>0</v>
      </c>
      <c r="D210" s="1">
        <f>'Paste cell here'!I210</f>
        <v>0</v>
      </c>
      <c r="E210" s="1">
        <f>'Paste cell here'!J210</f>
        <v>0</v>
      </c>
      <c r="F210" s="1">
        <f>'Paste cell here'!K210</f>
        <v>0</v>
      </c>
      <c r="G210" s="1">
        <f>'Paste cell here'!L210</f>
        <v>0</v>
      </c>
      <c r="H210" s="1">
        <f>'Paste cell here'!M210</f>
        <v>0</v>
      </c>
      <c r="I210" s="1">
        <f>'Paste cell here'!N210</f>
        <v>0</v>
      </c>
      <c r="J210" s="1">
        <f>'Paste cell here'!O210</f>
        <v>0</v>
      </c>
      <c r="K210" s="1">
        <f>'Paste cell here'!Q210</f>
        <v>7.5899999999999995E-2</v>
      </c>
      <c r="L210" s="1">
        <f>'Paste cell here'!S210</f>
        <v>0</v>
      </c>
      <c r="M210" s="1">
        <f>'Paste cell here'!T210</f>
        <v>1.832274363</v>
      </c>
      <c r="N210" s="1">
        <f>'Paste cell here'!W210</f>
        <v>0</v>
      </c>
      <c r="O210" s="1">
        <f>'Paste cell here'!U210</f>
        <v>27.035905570000001</v>
      </c>
      <c r="P210" s="1">
        <f t="shared" si="18"/>
        <v>28.94403398</v>
      </c>
      <c r="Q210" s="1">
        <f>'Paste cell here'!V210</f>
        <v>0</v>
      </c>
      <c r="R210" s="1">
        <f t="shared" si="19"/>
        <v>4.5953000000764632E-5</v>
      </c>
      <c r="S210" s="7">
        <f>Sintesi!$C$30</f>
        <v>8.3099999999999993E-2</v>
      </c>
      <c r="T210" s="7">
        <f>Sintesi!$C$29</f>
        <v>0.229209</v>
      </c>
      <c r="U210" s="5">
        <f>O210/(Sintesi!$C$5*1000)</f>
        <v>0.27035905570000002</v>
      </c>
      <c r="V210" s="1">
        <f t="shared" si="15"/>
        <v>0.14610899999999999</v>
      </c>
      <c r="W210" s="1">
        <v>0.54385274970063302</v>
      </c>
      <c r="X210" s="1">
        <f t="shared" si="16"/>
        <v>7.946178140600979E-2</v>
      </c>
      <c r="Y210" s="1">
        <f t="shared" si="17"/>
        <v>0.14974721859399021</v>
      </c>
      <c r="Z210" s="1">
        <f>'Paste cellinfo here'!$B$11</f>
        <v>0.51802400000000004</v>
      </c>
    </row>
    <row r="211" spans="1:26">
      <c r="A211" s="1">
        <v>210</v>
      </c>
      <c r="B211" s="2">
        <f>DATE(Sintesi!$C$4-1,12,31)+A211</f>
        <v>44406</v>
      </c>
      <c r="C211" s="1">
        <f>'Paste cell here'!B211</f>
        <v>0</v>
      </c>
      <c r="D211" s="1">
        <f>'Paste cell here'!I211</f>
        <v>0</v>
      </c>
      <c r="E211" s="1">
        <f>'Paste cell here'!J211</f>
        <v>0</v>
      </c>
      <c r="F211" s="1">
        <f>'Paste cell here'!K211</f>
        <v>0</v>
      </c>
      <c r="G211" s="1">
        <f>'Paste cell here'!L211</f>
        <v>0</v>
      </c>
      <c r="H211" s="1">
        <f>'Paste cell here'!M211</f>
        <v>0</v>
      </c>
      <c r="I211" s="1">
        <f>'Paste cell here'!N211</f>
        <v>0</v>
      </c>
      <c r="J211" s="1">
        <f>'Paste cell here'!O211</f>
        <v>0</v>
      </c>
      <c r="K211" s="1">
        <f>'Paste cell here'!Q211</f>
        <v>0.270224927</v>
      </c>
      <c r="L211" s="1">
        <f>'Paste cell here'!S211</f>
        <v>0</v>
      </c>
      <c r="M211" s="1">
        <f>'Paste cell here'!T211</f>
        <v>0.98167921899999999</v>
      </c>
      <c r="N211" s="1">
        <f>'Paste cell here'!W211</f>
        <v>0</v>
      </c>
      <c r="O211" s="1">
        <f>'Paste cell here'!U211</f>
        <v>25.78400143</v>
      </c>
      <c r="P211" s="1">
        <f t="shared" si="18"/>
        <v>27.035905570000001</v>
      </c>
      <c r="Q211" s="1">
        <f>'Paste cell here'!V211</f>
        <v>0</v>
      </c>
      <c r="R211" s="1">
        <f t="shared" si="19"/>
        <v>6.000000496442226E-9</v>
      </c>
      <c r="S211" s="7">
        <f>Sintesi!$C$30</f>
        <v>8.3099999999999993E-2</v>
      </c>
      <c r="T211" s="7">
        <f>Sintesi!$C$29</f>
        <v>0.229209</v>
      </c>
      <c r="U211" s="5">
        <f>O211/(Sintesi!$C$5*1000)</f>
        <v>0.25784001429999998</v>
      </c>
      <c r="V211" s="1">
        <f t="shared" si="15"/>
        <v>0.14610899999999999</v>
      </c>
      <c r="W211" s="1">
        <v>0.61163490498147899</v>
      </c>
      <c r="X211" s="1">
        <f t="shared" si="16"/>
        <v>8.936536433193891E-2</v>
      </c>
      <c r="Y211" s="1">
        <f t="shared" si="17"/>
        <v>0.13984363566806107</v>
      </c>
      <c r="Z211" s="1">
        <f>'Paste cellinfo here'!$B$11</f>
        <v>0.51802400000000004</v>
      </c>
    </row>
    <row r="212" spans="1:26">
      <c r="A212" s="1">
        <v>211</v>
      </c>
      <c r="B212" s="2">
        <f>DATE(Sintesi!$C$4-1,12,31)+A212</f>
        <v>44407</v>
      </c>
      <c r="C212" s="1">
        <f>'Paste cell here'!B212</f>
        <v>0</v>
      </c>
      <c r="D212" s="1">
        <f>'Paste cell here'!I212</f>
        <v>0</v>
      </c>
      <c r="E212" s="1">
        <f>'Paste cell here'!J212</f>
        <v>0</v>
      </c>
      <c r="F212" s="1">
        <f>'Paste cell here'!K212</f>
        <v>0</v>
      </c>
      <c r="G212" s="1">
        <f>'Paste cell here'!L212</f>
        <v>0</v>
      </c>
      <c r="H212" s="1">
        <f>'Paste cell here'!M212</f>
        <v>0</v>
      </c>
      <c r="I212" s="1">
        <f>'Paste cell here'!N212</f>
        <v>0</v>
      </c>
      <c r="J212" s="1">
        <f>'Paste cell here'!O212</f>
        <v>0</v>
      </c>
      <c r="K212" s="1">
        <f>'Paste cell here'!Q212</f>
        <v>0.14082787799999999</v>
      </c>
      <c r="L212" s="1">
        <f>'Paste cell here'!S212</f>
        <v>0</v>
      </c>
      <c r="M212" s="1">
        <f>'Paste cell here'!T212</f>
        <v>0.63750952299999997</v>
      </c>
      <c r="N212" s="1">
        <f>'Paste cell here'!W212</f>
        <v>0</v>
      </c>
      <c r="O212" s="1">
        <f>'Paste cell here'!U212</f>
        <v>25.005664029999998</v>
      </c>
      <c r="P212" s="1">
        <f t="shared" si="18"/>
        <v>25.78400143</v>
      </c>
      <c r="Q212" s="1">
        <f>'Paste cell here'!V212</f>
        <v>0</v>
      </c>
      <c r="R212" s="1">
        <f t="shared" si="19"/>
        <v>9.999965300266922E-10</v>
      </c>
      <c r="S212" s="7">
        <f>Sintesi!$C$30</f>
        <v>8.3099999999999993E-2</v>
      </c>
      <c r="T212" s="7">
        <f>Sintesi!$C$29</f>
        <v>0.229209</v>
      </c>
      <c r="U212" s="5">
        <f>O212/(Sintesi!$C$5*1000)</f>
        <v>0.25005664029999997</v>
      </c>
      <c r="V212" s="1">
        <f t="shared" si="15"/>
        <v>0.14610899999999999</v>
      </c>
      <c r="W212" s="1">
        <v>0.48083598142631701</v>
      </c>
      <c r="X212" s="1">
        <f t="shared" si="16"/>
        <v>7.0254464410217751E-2</v>
      </c>
      <c r="Y212" s="1">
        <f t="shared" si="17"/>
        <v>0.15895453558978223</v>
      </c>
      <c r="Z212" s="1">
        <f>'Paste cellinfo here'!$B$11</f>
        <v>0.51802400000000004</v>
      </c>
    </row>
    <row r="213" spans="1:26">
      <c r="A213" s="1">
        <v>212</v>
      </c>
      <c r="B213" s="2">
        <f>DATE(Sintesi!$C$4-1,12,31)+A213</f>
        <v>44408</v>
      </c>
      <c r="C213" s="1">
        <f>'Paste cell here'!B213</f>
        <v>0</v>
      </c>
      <c r="D213" s="1">
        <f>'Paste cell here'!I213</f>
        <v>0</v>
      </c>
      <c r="E213" s="1">
        <f>'Paste cell here'!J213</f>
        <v>0</v>
      </c>
      <c r="F213" s="1">
        <f>'Paste cell here'!K213</f>
        <v>0</v>
      </c>
      <c r="G213" s="1">
        <f>'Paste cell here'!L213</f>
        <v>0</v>
      </c>
      <c r="H213" s="1">
        <f>'Paste cell here'!M213</f>
        <v>0</v>
      </c>
      <c r="I213" s="1">
        <f>'Paste cell here'!N213</f>
        <v>0</v>
      </c>
      <c r="J213" s="1">
        <f>'Paste cell here'!O213</f>
        <v>0</v>
      </c>
      <c r="K213" s="1">
        <f>'Paste cell here'!Q213</f>
        <v>0.20864664199999999</v>
      </c>
      <c r="L213" s="1">
        <f>'Paste cell here'!S213</f>
        <v>0</v>
      </c>
      <c r="M213" s="1">
        <f>'Paste cell here'!T213</f>
        <v>0.46210205900000001</v>
      </c>
      <c r="N213" s="1">
        <f>'Paste cell here'!W213</f>
        <v>0</v>
      </c>
      <c r="O213" s="1">
        <f>'Paste cell here'!U213</f>
        <v>24.334915330000001</v>
      </c>
      <c r="P213" s="1">
        <f t="shared" si="18"/>
        <v>25.005664029999998</v>
      </c>
      <c r="Q213" s="1">
        <f>'Paste cell here'!V213</f>
        <v>0</v>
      </c>
      <c r="R213" s="1">
        <f t="shared" si="19"/>
        <v>1.0000036354540498E-9</v>
      </c>
      <c r="S213" s="7">
        <f>Sintesi!$C$30</f>
        <v>8.3099999999999993E-2</v>
      </c>
      <c r="T213" s="7">
        <f>Sintesi!$C$29</f>
        <v>0.229209</v>
      </c>
      <c r="U213" s="5">
        <f>O213/(Sintesi!$C$5*1000)</f>
        <v>0.24334915330000001</v>
      </c>
      <c r="V213" s="1">
        <f t="shared" si="15"/>
        <v>0.14610899999999999</v>
      </c>
      <c r="W213" s="1">
        <v>0.53539514588620996</v>
      </c>
      <c r="X213" s="1">
        <f t="shared" si="16"/>
        <v>7.822604937028825E-2</v>
      </c>
      <c r="Y213" s="1">
        <f t="shared" si="17"/>
        <v>0.15098295062971173</v>
      </c>
      <c r="Z213" s="1">
        <f>'Paste cellinfo here'!$B$11</f>
        <v>0.51802400000000004</v>
      </c>
    </row>
    <row r="214" spans="1:26">
      <c r="A214" s="1">
        <v>213</v>
      </c>
      <c r="B214" s="2">
        <f>DATE(Sintesi!$C$4-1,12,31)+A214</f>
        <v>44409</v>
      </c>
      <c r="C214" s="1">
        <f>'Paste cell here'!B214</f>
        <v>1.970787837</v>
      </c>
      <c r="D214" s="1">
        <f>'Paste cell here'!I214</f>
        <v>0</v>
      </c>
      <c r="E214" s="1">
        <f>'Paste cell here'!J214</f>
        <v>0.809709503</v>
      </c>
      <c r="F214" s="1">
        <f>'Paste cell here'!K214</f>
        <v>1.970787837</v>
      </c>
      <c r="G214" s="1">
        <f>'Paste cell here'!L214</f>
        <v>0.809709503</v>
      </c>
      <c r="H214" s="1">
        <f>'Paste cell here'!M214</f>
        <v>1.1610783330000001</v>
      </c>
      <c r="I214" s="1">
        <f>'Paste cell here'!N214</f>
        <v>0</v>
      </c>
      <c r="J214" s="1">
        <f>'Paste cell here'!O214</f>
        <v>0.80970952799999996</v>
      </c>
      <c r="K214" s="1">
        <f>'Paste cell here'!Q214</f>
        <v>9.2100000000000001E-2</v>
      </c>
      <c r="L214" s="1">
        <f>'Paste cell here'!S214</f>
        <v>0</v>
      </c>
      <c r="M214" s="1">
        <f>'Paste cell here'!T214</f>
        <v>0.42384114299999998</v>
      </c>
      <c r="N214" s="1">
        <f>'Paste cell here'!W214</f>
        <v>0</v>
      </c>
      <c r="O214" s="1">
        <f>'Paste cell here'!U214</f>
        <v>24.62868254</v>
      </c>
      <c r="P214" s="1">
        <f t="shared" si="18"/>
        <v>24.334915330000001</v>
      </c>
      <c r="Q214" s="1">
        <f>'Paste cell here'!V214</f>
        <v>0</v>
      </c>
      <c r="R214" s="1">
        <f t="shared" si="19"/>
        <v>1.1510000028636114E-6</v>
      </c>
      <c r="S214" s="7">
        <f>Sintesi!$C$30</f>
        <v>8.3099999999999993E-2</v>
      </c>
      <c r="T214" s="7">
        <f>Sintesi!$C$29</f>
        <v>0.229209</v>
      </c>
      <c r="U214" s="5">
        <f>O214/(Sintesi!$C$5*1000)</f>
        <v>0.24628682539999999</v>
      </c>
      <c r="V214" s="1">
        <f t="shared" si="15"/>
        <v>0.14610899999999999</v>
      </c>
      <c r="W214" s="1">
        <v>0.51052835394916596</v>
      </c>
      <c r="X214" s="1">
        <f t="shared" si="16"/>
        <v>7.4592787267158678E-2</v>
      </c>
      <c r="Y214" s="1">
        <f t="shared" si="17"/>
        <v>0.15461621273284132</v>
      </c>
      <c r="Z214" s="1">
        <f>'Paste cellinfo here'!$B$11</f>
        <v>0.51802400000000004</v>
      </c>
    </row>
    <row r="215" spans="1:26">
      <c r="A215" s="1">
        <v>214</v>
      </c>
      <c r="B215" s="2">
        <f>DATE(Sintesi!$C$4-1,12,31)+A215</f>
        <v>44410</v>
      </c>
      <c r="C215" s="1">
        <f>'Paste cell here'!B215</f>
        <v>0</v>
      </c>
      <c r="D215" s="1">
        <f>'Paste cell here'!I215</f>
        <v>0</v>
      </c>
      <c r="E215" s="1">
        <f>'Paste cell here'!J215</f>
        <v>0</v>
      </c>
      <c r="F215" s="1">
        <f>'Paste cell here'!K215</f>
        <v>0</v>
      </c>
      <c r="G215" s="1">
        <f>'Paste cell here'!L215</f>
        <v>0</v>
      </c>
      <c r="H215" s="1">
        <f>'Paste cell here'!M215</f>
        <v>0</v>
      </c>
      <c r="I215" s="1">
        <f>'Paste cell here'!N215</f>
        <v>0</v>
      </c>
      <c r="J215" s="1">
        <f>'Paste cell here'!O215</f>
        <v>0</v>
      </c>
      <c r="K215" s="1">
        <f>'Paste cell here'!Q215</f>
        <v>0.18905789200000001</v>
      </c>
      <c r="L215" s="1">
        <f>'Paste cell here'!S215</f>
        <v>0</v>
      </c>
      <c r="M215" s="1">
        <f>'Paste cell here'!T215</f>
        <v>0.39642161199999998</v>
      </c>
      <c r="N215" s="1">
        <f>'Paste cell here'!W215</f>
        <v>0</v>
      </c>
      <c r="O215" s="1">
        <f>'Paste cell here'!U215</f>
        <v>24.043203030000001</v>
      </c>
      <c r="P215" s="1">
        <f t="shared" si="18"/>
        <v>24.62868254</v>
      </c>
      <c r="Q215" s="1">
        <f>'Paste cell here'!V215</f>
        <v>0</v>
      </c>
      <c r="R215" s="1">
        <f t="shared" si="19"/>
        <v>5.9999969437285472E-9</v>
      </c>
      <c r="S215" s="7">
        <f>Sintesi!$C$30</f>
        <v>8.3099999999999993E-2</v>
      </c>
      <c r="T215" s="7">
        <f>Sintesi!$C$29</f>
        <v>0.229209</v>
      </c>
      <c r="U215" s="5">
        <f>O215/(Sintesi!$C$5*1000)</f>
        <v>0.24043203030000002</v>
      </c>
      <c r="V215" s="1">
        <f t="shared" si="15"/>
        <v>0.14610899999999999</v>
      </c>
      <c r="W215" s="1">
        <v>0.50611534803957003</v>
      </c>
      <c r="X215" s="1">
        <f t="shared" si="16"/>
        <v>7.3948007386713532E-2</v>
      </c>
      <c r="Y215" s="1">
        <f t="shared" si="17"/>
        <v>0.15526099261328646</v>
      </c>
      <c r="Z215" s="1">
        <f>'Paste cellinfo here'!$B$11</f>
        <v>0.51802400000000004</v>
      </c>
    </row>
    <row r="216" spans="1:26">
      <c r="A216" s="1">
        <v>215</v>
      </c>
      <c r="B216" s="2">
        <f>DATE(Sintesi!$C$4-1,12,31)+A216</f>
        <v>44411</v>
      </c>
      <c r="C216" s="1">
        <f>'Paste cell here'!B216</f>
        <v>0</v>
      </c>
      <c r="D216" s="1">
        <f>'Paste cell here'!I216</f>
        <v>0</v>
      </c>
      <c r="E216" s="1">
        <f>'Paste cell here'!J216</f>
        <v>0</v>
      </c>
      <c r="F216" s="1">
        <f>'Paste cell here'!K216</f>
        <v>0</v>
      </c>
      <c r="G216" s="1">
        <f>'Paste cell here'!L216</f>
        <v>0</v>
      </c>
      <c r="H216" s="1">
        <f>'Paste cell here'!M216</f>
        <v>0</v>
      </c>
      <c r="I216" s="1">
        <f>'Paste cell here'!N216</f>
        <v>0</v>
      </c>
      <c r="J216" s="1">
        <f>'Paste cell here'!O216</f>
        <v>0</v>
      </c>
      <c r="K216" s="1">
        <f>'Paste cell here'!Q216</f>
        <v>0.27757721000000002</v>
      </c>
      <c r="L216" s="1">
        <f>'Paste cell here'!S216</f>
        <v>0</v>
      </c>
      <c r="M216" s="1">
        <f>'Paste cell here'!T216</f>
        <v>0.30163519</v>
      </c>
      <c r="N216" s="1">
        <f>'Paste cell here'!W216</f>
        <v>0</v>
      </c>
      <c r="O216" s="1">
        <f>'Paste cell here'!U216</f>
        <v>23.463990630000001</v>
      </c>
      <c r="P216" s="1">
        <f t="shared" si="18"/>
        <v>24.043203030000001</v>
      </c>
      <c r="Q216" s="1">
        <f>'Paste cell here'!V216</f>
        <v>0</v>
      </c>
      <c r="R216" s="1">
        <f t="shared" si="19"/>
        <v>0</v>
      </c>
      <c r="S216" s="7">
        <f>Sintesi!$C$30</f>
        <v>8.3099999999999993E-2</v>
      </c>
      <c r="T216" s="7">
        <f>Sintesi!$C$29</f>
        <v>0.229209</v>
      </c>
      <c r="U216" s="5">
        <f>O216/(Sintesi!$C$5*1000)</f>
        <v>0.23463990630000001</v>
      </c>
      <c r="V216" s="1">
        <f t="shared" si="15"/>
        <v>0.14610899999999999</v>
      </c>
      <c r="W216" s="1">
        <v>0.54607224239502095</v>
      </c>
      <c r="X216" s="1">
        <f t="shared" si="16"/>
        <v>7.9786069264094109E-2</v>
      </c>
      <c r="Y216" s="1">
        <f t="shared" si="17"/>
        <v>0.1494229307359059</v>
      </c>
      <c r="Z216" s="1">
        <f>'Paste cellinfo here'!$B$11</f>
        <v>0.51802400000000004</v>
      </c>
    </row>
    <row r="217" spans="1:26">
      <c r="A217" s="1">
        <v>216</v>
      </c>
      <c r="B217" s="2">
        <f>DATE(Sintesi!$C$4-1,12,31)+A217</f>
        <v>44412</v>
      </c>
      <c r="C217" s="1">
        <f>'Paste cell here'!B217</f>
        <v>5.5773755859999996</v>
      </c>
      <c r="D217" s="1">
        <f>'Paste cell here'!I217</f>
        <v>0</v>
      </c>
      <c r="E217" s="1">
        <f>'Paste cell here'!J217</f>
        <v>3.7297023500000002</v>
      </c>
      <c r="F217" s="1">
        <f>'Paste cell here'!K217</f>
        <v>5.5773755859999996</v>
      </c>
      <c r="G217" s="1">
        <f>'Paste cell here'!L217</f>
        <v>3.7297023500000002</v>
      </c>
      <c r="H217" s="1">
        <f>'Paste cell here'!M217</f>
        <v>1.847673235</v>
      </c>
      <c r="I217" s="1">
        <f>'Paste cell here'!N217</f>
        <v>0</v>
      </c>
      <c r="J217" s="1">
        <f>'Paste cell here'!O217</f>
        <v>3.7297024620000001</v>
      </c>
      <c r="K217" s="1">
        <f>'Paste cell here'!Q217</f>
        <v>0.10440223</v>
      </c>
      <c r="L217" s="1">
        <f>'Paste cell here'!S217</f>
        <v>0</v>
      </c>
      <c r="M217" s="1">
        <f>'Paste cell here'!T217</f>
        <v>0.58456375800000004</v>
      </c>
      <c r="N217" s="1">
        <f>'Paste cell here'!W217</f>
        <v>0</v>
      </c>
      <c r="O217" s="1">
        <f>'Paste cell here'!U217</f>
        <v>26.504727110000001</v>
      </c>
      <c r="P217" s="1">
        <f t="shared" si="18"/>
        <v>23.463990630000001</v>
      </c>
      <c r="Q217" s="1">
        <f>'Paste cell here'!V217</f>
        <v>0</v>
      </c>
      <c r="R217" s="1">
        <f t="shared" si="19"/>
        <v>1.1700000257519605E-7</v>
      </c>
      <c r="S217" s="7">
        <f>Sintesi!$C$30</f>
        <v>8.3099999999999993E-2</v>
      </c>
      <c r="T217" s="7">
        <f>Sintesi!$C$29</f>
        <v>0.229209</v>
      </c>
      <c r="U217" s="5">
        <f>O217/(Sintesi!$C$5*1000)</f>
        <v>0.26504727110000004</v>
      </c>
      <c r="V217" s="1">
        <f t="shared" si="15"/>
        <v>0.14610899999999999</v>
      </c>
      <c r="W217" s="1">
        <v>0.47428245196886798</v>
      </c>
      <c r="X217" s="1">
        <f t="shared" si="16"/>
        <v>6.9296934774719321E-2</v>
      </c>
      <c r="Y217" s="1">
        <f t="shared" si="17"/>
        <v>0.15991206522528068</v>
      </c>
      <c r="Z217" s="1">
        <f>'Paste cellinfo here'!$B$11</f>
        <v>0.51802400000000004</v>
      </c>
    </row>
    <row r="218" spans="1:26">
      <c r="A218" s="1">
        <v>217</v>
      </c>
      <c r="B218" s="2">
        <f>DATE(Sintesi!$C$4-1,12,31)+A218</f>
        <v>44413</v>
      </c>
      <c r="C218" s="1">
        <f>'Paste cell here'!B218</f>
        <v>0</v>
      </c>
      <c r="D218" s="1">
        <f>'Paste cell here'!I218</f>
        <v>0</v>
      </c>
      <c r="E218" s="1">
        <f>'Paste cell here'!J218</f>
        <v>0</v>
      </c>
      <c r="F218" s="1">
        <f>'Paste cell here'!K218</f>
        <v>0</v>
      </c>
      <c r="G218" s="1">
        <f>'Paste cell here'!L218</f>
        <v>0</v>
      </c>
      <c r="H218" s="1">
        <f>'Paste cell here'!M218</f>
        <v>0</v>
      </c>
      <c r="I218" s="1">
        <f>'Paste cell here'!N218</f>
        <v>0</v>
      </c>
      <c r="J218" s="1">
        <f>'Paste cell here'!O218</f>
        <v>0</v>
      </c>
      <c r="K218" s="1">
        <f>'Paste cell here'!Q218</f>
        <v>1.098015089</v>
      </c>
      <c r="L218" s="1">
        <f>'Paste cell here'!S218</f>
        <v>0</v>
      </c>
      <c r="M218" s="1">
        <f>'Paste cell here'!T218</f>
        <v>0.708531358</v>
      </c>
      <c r="N218" s="1">
        <f>'Paste cell here'!W218</f>
        <v>0</v>
      </c>
      <c r="O218" s="1">
        <f>'Paste cell here'!U218</f>
        <v>24.698180659999998</v>
      </c>
      <c r="P218" s="1">
        <f t="shared" si="18"/>
        <v>26.504727110000001</v>
      </c>
      <c r="Q218" s="1">
        <f>'Paste cell here'!V218</f>
        <v>0</v>
      </c>
      <c r="R218" s="1">
        <f t="shared" si="19"/>
        <v>3.0000038009347918E-9</v>
      </c>
      <c r="S218" s="7">
        <f>Sintesi!$C$30</f>
        <v>8.3099999999999993E-2</v>
      </c>
      <c r="T218" s="7">
        <f>Sintesi!$C$29</f>
        <v>0.229209</v>
      </c>
      <c r="U218" s="5">
        <f>O218/(Sintesi!$C$5*1000)</f>
        <v>0.24698180659999999</v>
      </c>
      <c r="V218" s="1">
        <f t="shared" si="15"/>
        <v>0.14610899999999999</v>
      </c>
      <c r="W218" s="1">
        <v>0.48269619901923999</v>
      </c>
      <c r="X218" s="1">
        <f t="shared" si="16"/>
        <v>7.0526258942502126E-2</v>
      </c>
      <c r="Y218" s="1">
        <f t="shared" si="17"/>
        <v>0.15868274105749786</v>
      </c>
      <c r="Z218" s="1">
        <f>'Paste cellinfo here'!$B$11</f>
        <v>0.51802400000000004</v>
      </c>
    </row>
    <row r="219" spans="1:26">
      <c r="A219" s="1">
        <v>218</v>
      </c>
      <c r="B219" s="2">
        <f>DATE(Sintesi!$C$4-1,12,31)+A219</f>
        <v>44414</v>
      </c>
      <c r="C219" s="1">
        <f>'Paste cell here'!B219</f>
        <v>0</v>
      </c>
      <c r="D219" s="1">
        <f>'Paste cell here'!I219</f>
        <v>198</v>
      </c>
      <c r="E219" s="1">
        <f>'Paste cell here'!J219</f>
        <v>0</v>
      </c>
      <c r="F219" s="1">
        <f>'Paste cell here'!K219</f>
        <v>198</v>
      </c>
      <c r="G219" s="1">
        <f>'Paste cell here'!L219</f>
        <v>0</v>
      </c>
      <c r="H219" s="1">
        <f>'Paste cell here'!M219</f>
        <v>0</v>
      </c>
      <c r="I219" s="1">
        <f>'Paste cell here'!N219</f>
        <v>0</v>
      </c>
      <c r="J219" s="1">
        <f>'Paste cell here'!O219</f>
        <v>0</v>
      </c>
      <c r="K219" s="1">
        <f>'Paste cell here'!Q219</f>
        <v>0.95282571800000004</v>
      </c>
      <c r="L219" s="1">
        <f>'Paste cell here'!S219</f>
        <v>0</v>
      </c>
      <c r="M219" s="1">
        <f>'Paste cell here'!T219</f>
        <v>193.46627430000001</v>
      </c>
      <c r="N219" s="1">
        <f>'Paste cell here'!W219</f>
        <v>0</v>
      </c>
      <c r="O219" s="1">
        <f>'Paste cell here'!U219</f>
        <v>28.279080629999999</v>
      </c>
      <c r="P219" s="1">
        <f t="shared" si="18"/>
        <v>24.698180659999998</v>
      </c>
      <c r="Q219" s="1">
        <f>'Paste cell here'!V219</f>
        <v>0</v>
      </c>
      <c r="R219" s="1">
        <f t="shared" si="19"/>
        <v>1.1999969018461343E-8</v>
      </c>
      <c r="S219" s="7">
        <f>Sintesi!$C$30</f>
        <v>8.3099999999999993E-2</v>
      </c>
      <c r="T219" s="7">
        <f>Sintesi!$C$29</f>
        <v>0.229209</v>
      </c>
      <c r="U219" s="5">
        <f>O219/(Sintesi!$C$5*1000)</f>
        <v>0.28279080629999997</v>
      </c>
      <c r="V219" s="1">
        <f t="shared" si="15"/>
        <v>0.14610899999999999</v>
      </c>
      <c r="W219" s="1">
        <v>0.48844104014233702</v>
      </c>
      <c r="X219" s="1">
        <f t="shared" si="16"/>
        <v>7.1365631934156709E-2</v>
      </c>
      <c r="Y219" s="1">
        <f t="shared" si="17"/>
        <v>0.15784336806584329</v>
      </c>
      <c r="Z219" s="1">
        <f>'Paste cellinfo here'!$B$11</f>
        <v>0.51802400000000004</v>
      </c>
    </row>
    <row r="220" spans="1:26">
      <c r="A220" s="1">
        <v>219</v>
      </c>
      <c r="B220" s="2">
        <f>DATE(Sintesi!$C$4-1,12,31)+A220</f>
        <v>44415</v>
      </c>
      <c r="C220" s="1">
        <f>'Paste cell here'!B220</f>
        <v>0</v>
      </c>
      <c r="D220" s="1">
        <f>'Paste cell here'!I220</f>
        <v>0</v>
      </c>
      <c r="E220" s="1">
        <f>'Paste cell here'!J220</f>
        <v>0</v>
      </c>
      <c r="F220" s="1">
        <f>'Paste cell here'!K220</f>
        <v>0</v>
      </c>
      <c r="G220" s="1">
        <f>'Paste cell here'!L220</f>
        <v>0</v>
      </c>
      <c r="H220" s="1">
        <f>'Paste cell here'!M220</f>
        <v>0</v>
      </c>
      <c r="I220" s="1">
        <f>'Paste cell here'!N220</f>
        <v>0</v>
      </c>
      <c r="J220" s="1">
        <f>'Paste cell here'!O220</f>
        <v>0</v>
      </c>
      <c r="K220" s="1">
        <f>'Paste cell here'!Q220</f>
        <v>0.74282723100000003</v>
      </c>
      <c r="L220" s="1">
        <f>'Paste cell here'!S220</f>
        <v>0</v>
      </c>
      <c r="M220" s="1">
        <f>'Paste cell here'!T220</f>
        <v>3.5371748790000002</v>
      </c>
      <c r="N220" s="1">
        <f>'Paste cell here'!W220</f>
        <v>0</v>
      </c>
      <c r="O220" s="1">
        <f>'Paste cell here'!U220</f>
        <v>23.999078520000001</v>
      </c>
      <c r="P220" s="1">
        <f t="shared" si="18"/>
        <v>28.279080629999999</v>
      </c>
      <c r="Q220" s="1">
        <f>'Paste cell here'!V220</f>
        <v>0</v>
      </c>
      <c r="R220" s="1">
        <f t="shared" si="19"/>
        <v>3.5527136788005009E-15</v>
      </c>
      <c r="S220" s="7">
        <f>Sintesi!$C$30</f>
        <v>8.3099999999999993E-2</v>
      </c>
      <c r="T220" s="7">
        <f>Sintesi!$C$29</f>
        <v>0.229209</v>
      </c>
      <c r="U220" s="5">
        <f>O220/(Sintesi!$C$5*1000)</f>
        <v>0.2399907852</v>
      </c>
      <c r="V220" s="1">
        <f t="shared" si="15"/>
        <v>0.14610899999999999</v>
      </c>
      <c r="W220" s="1">
        <v>0.50196954625064905</v>
      </c>
      <c r="X220" s="1">
        <f t="shared" si="16"/>
        <v>7.3342268433136071E-2</v>
      </c>
      <c r="Y220" s="1">
        <f t="shared" si="17"/>
        <v>0.15586673156686393</v>
      </c>
      <c r="Z220" s="1">
        <f>'Paste cellinfo here'!$B$11</f>
        <v>0.51802400000000004</v>
      </c>
    </row>
    <row r="221" spans="1:26">
      <c r="A221" s="1">
        <v>220</v>
      </c>
      <c r="B221" s="2">
        <f>DATE(Sintesi!$C$4-1,12,31)+A221</f>
        <v>44416</v>
      </c>
      <c r="C221" s="1">
        <f>'Paste cell here'!B221</f>
        <v>0</v>
      </c>
      <c r="D221" s="1">
        <f>'Paste cell here'!I221</f>
        <v>0</v>
      </c>
      <c r="E221" s="1">
        <f>'Paste cell here'!J221</f>
        <v>0</v>
      </c>
      <c r="F221" s="1">
        <f>'Paste cell here'!K221</f>
        <v>0</v>
      </c>
      <c r="G221" s="1">
        <f>'Paste cell here'!L221</f>
        <v>0</v>
      </c>
      <c r="H221" s="1">
        <f>'Paste cell here'!M221</f>
        <v>0</v>
      </c>
      <c r="I221" s="1">
        <f>'Paste cell here'!N221</f>
        <v>0</v>
      </c>
      <c r="J221" s="1">
        <f>'Paste cell here'!O221</f>
        <v>0</v>
      </c>
      <c r="K221" s="1">
        <f>'Paste cell here'!Q221</f>
        <v>1.246850427</v>
      </c>
      <c r="L221" s="1">
        <f>'Paste cell here'!S221</f>
        <v>0</v>
      </c>
      <c r="M221" s="1">
        <f>'Paste cell here'!T221</f>
        <v>0.60191498499999996</v>
      </c>
      <c r="N221" s="1">
        <f>'Paste cell here'!W221</f>
        <v>0</v>
      </c>
      <c r="O221" s="1">
        <f>'Paste cell here'!U221</f>
        <v>22.150313109999999</v>
      </c>
      <c r="P221" s="1">
        <f t="shared" si="18"/>
        <v>23.999078520000001</v>
      </c>
      <c r="Q221" s="1">
        <f>'Paste cell here'!V221</f>
        <v>0</v>
      </c>
      <c r="R221" s="1">
        <f t="shared" si="19"/>
        <v>2.000000165480742E-9</v>
      </c>
      <c r="S221" s="7">
        <f>Sintesi!$C$30</f>
        <v>8.3099999999999993E-2</v>
      </c>
      <c r="T221" s="7">
        <f>Sintesi!$C$29</f>
        <v>0.229209</v>
      </c>
      <c r="U221" s="5">
        <f>O221/(Sintesi!$C$5*1000)</f>
        <v>0.2215031311</v>
      </c>
      <c r="V221" s="1">
        <f t="shared" si="15"/>
        <v>0.14610899999999999</v>
      </c>
      <c r="W221" s="1">
        <v>0.51148249295405901</v>
      </c>
      <c r="X221" s="1">
        <f t="shared" si="16"/>
        <v>7.47321955630246E-2</v>
      </c>
      <c r="Y221" s="1">
        <f t="shared" si="17"/>
        <v>0.1544768044369754</v>
      </c>
      <c r="Z221" s="1">
        <f>'Paste cellinfo here'!$B$11</f>
        <v>0.51802400000000004</v>
      </c>
    </row>
    <row r="222" spans="1:26">
      <c r="A222" s="1">
        <v>221</v>
      </c>
      <c r="B222" s="2">
        <f>DATE(Sintesi!$C$4-1,12,31)+A222</f>
        <v>44417</v>
      </c>
      <c r="C222" s="1">
        <f>'Paste cell here'!B222</f>
        <v>0</v>
      </c>
      <c r="D222" s="1">
        <f>'Paste cell here'!I222</f>
        <v>0</v>
      </c>
      <c r="E222" s="1">
        <f>'Paste cell here'!J222</f>
        <v>0</v>
      </c>
      <c r="F222" s="1">
        <f>'Paste cell here'!K222</f>
        <v>0</v>
      </c>
      <c r="G222" s="1">
        <f>'Paste cell here'!L222</f>
        <v>0</v>
      </c>
      <c r="H222" s="1">
        <f>'Paste cell here'!M222</f>
        <v>0</v>
      </c>
      <c r="I222" s="1">
        <f>'Paste cell here'!N222</f>
        <v>0</v>
      </c>
      <c r="J222" s="1">
        <f>'Paste cell here'!O222</f>
        <v>0</v>
      </c>
      <c r="K222" s="1">
        <f>'Paste cell here'!Q222</f>
        <v>1.6889089829999999</v>
      </c>
      <c r="L222" s="1">
        <f>'Paste cell here'!S222</f>
        <v>0</v>
      </c>
      <c r="M222" s="1">
        <f>'Paste cell here'!T222</f>
        <v>0.16342395600000001</v>
      </c>
      <c r="N222" s="1">
        <f>'Paste cell here'!W222</f>
        <v>0</v>
      </c>
      <c r="O222" s="1">
        <f>'Paste cell here'!U222</f>
        <v>20.297980169999999</v>
      </c>
      <c r="P222" s="1">
        <f t="shared" si="18"/>
        <v>22.150313109999999</v>
      </c>
      <c r="Q222" s="1">
        <f>'Paste cell here'!V222</f>
        <v>0</v>
      </c>
      <c r="R222" s="1">
        <f t="shared" si="19"/>
        <v>1.000000082740371E-9</v>
      </c>
      <c r="S222" s="7">
        <f>Sintesi!$C$30</f>
        <v>8.3099999999999993E-2</v>
      </c>
      <c r="T222" s="7">
        <f>Sintesi!$C$29</f>
        <v>0.229209</v>
      </c>
      <c r="U222" s="5">
        <f>O222/(Sintesi!$C$5*1000)</f>
        <v>0.20297980169999999</v>
      </c>
      <c r="V222" s="1">
        <f t="shared" si="15"/>
        <v>0.14610899999999999</v>
      </c>
      <c r="W222" s="1">
        <v>0.52788804169807602</v>
      </c>
      <c r="X222" s="1">
        <f t="shared" si="16"/>
        <v>7.7129193884464181E-2</v>
      </c>
      <c r="Y222" s="1">
        <f t="shared" si="17"/>
        <v>0.15207980611553581</v>
      </c>
      <c r="Z222" s="1">
        <f>'Paste cellinfo here'!$B$11</f>
        <v>0.51802400000000004</v>
      </c>
    </row>
    <row r="223" spans="1:26">
      <c r="A223" s="1">
        <v>222</v>
      </c>
      <c r="B223" s="2">
        <f>DATE(Sintesi!$C$4-1,12,31)+A223</f>
        <v>44418</v>
      </c>
      <c r="C223" s="1">
        <f>'Paste cell here'!B223</f>
        <v>0</v>
      </c>
      <c r="D223" s="1">
        <f>'Paste cell here'!I223</f>
        <v>0</v>
      </c>
      <c r="E223" s="1">
        <f>'Paste cell here'!J223</f>
        <v>0</v>
      </c>
      <c r="F223" s="1">
        <f>'Paste cell here'!K223</f>
        <v>0</v>
      </c>
      <c r="G223" s="1">
        <f>'Paste cell here'!L223</f>
        <v>0</v>
      </c>
      <c r="H223" s="1">
        <f>'Paste cell here'!M223</f>
        <v>0</v>
      </c>
      <c r="I223" s="1">
        <f>'Paste cell here'!N223</f>
        <v>0</v>
      </c>
      <c r="J223" s="1">
        <f>'Paste cell here'!O223</f>
        <v>0</v>
      </c>
      <c r="K223" s="1">
        <f>'Paste cell here'!Q223</f>
        <v>1.899511181</v>
      </c>
      <c r="L223" s="1">
        <f>'Paste cell here'!S223</f>
        <v>0</v>
      </c>
      <c r="M223" s="1">
        <f>'Paste cell here'!T223</f>
        <v>4.3400000000000001E-2</v>
      </c>
      <c r="N223" s="1">
        <f>'Paste cell here'!W223</f>
        <v>0</v>
      </c>
      <c r="O223" s="1">
        <f>'Paste cell here'!U223</f>
        <v>18.355078330000001</v>
      </c>
      <c r="P223" s="1">
        <f t="shared" si="18"/>
        <v>20.297980169999999</v>
      </c>
      <c r="Q223" s="1">
        <f>'Paste cell here'!V223</f>
        <v>0</v>
      </c>
      <c r="R223" s="1">
        <f t="shared" si="19"/>
        <v>9.3410000019389372E-6</v>
      </c>
      <c r="S223" s="7">
        <f>Sintesi!$C$30</f>
        <v>8.3099999999999993E-2</v>
      </c>
      <c r="T223" s="7">
        <f>Sintesi!$C$29</f>
        <v>0.229209</v>
      </c>
      <c r="U223" s="5">
        <f>O223/(Sintesi!$C$5*1000)</f>
        <v>0.18355078330000002</v>
      </c>
      <c r="V223" s="1">
        <f t="shared" si="15"/>
        <v>0.14610899999999999</v>
      </c>
      <c r="W223" s="1">
        <v>0.48587362789129601</v>
      </c>
      <c r="X223" s="1">
        <f t="shared" si="16"/>
        <v>7.0990509897569359E-2</v>
      </c>
      <c r="Y223" s="1">
        <f t="shared" si="17"/>
        <v>0.15821849010243064</v>
      </c>
      <c r="Z223" s="1">
        <f>'Paste cellinfo here'!$B$11</f>
        <v>0.51802400000000004</v>
      </c>
    </row>
    <row r="224" spans="1:26">
      <c r="A224" s="1">
        <v>223</v>
      </c>
      <c r="B224" s="2">
        <f>DATE(Sintesi!$C$4-1,12,31)+A224</f>
        <v>44419</v>
      </c>
      <c r="C224" s="1">
        <f>'Paste cell here'!B224</f>
        <v>0</v>
      </c>
      <c r="D224" s="1">
        <f>'Paste cell here'!I224</f>
        <v>0</v>
      </c>
      <c r="E224" s="1">
        <f>'Paste cell here'!J224</f>
        <v>0</v>
      </c>
      <c r="F224" s="1">
        <f>'Paste cell here'!K224</f>
        <v>0</v>
      </c>
      <c r="G224" s="1">
        <f>'Paste cell here'!L224</f>
        <v>0</v>
      </c>
      <c r="H224" s="1">
        <f>'Paste cell here'!M224</f>
        <v>0</v>
      </c>
      <c r="I224" s="1">
        <f>'Paste cell here'!N224</f>
        <v>0</v>
      </c>
      <c r="J224" s="1">
        <f>'Paste cell here'!O224</f>
        <v>0</v>
      </c>
      <c r="K224" s="1">
        <f>'Paste cell here'!Q224</f>
        <v>2.302649357</v>
      </c>
      <c r="L224" s="1">
        <f>'Paste cell here'!S224</f>
        <v>0</v>
      </c>
      <c r="M224" s="1">
        <f>'Paste cell here'!T224</f>
        <v>9.75E-3</v>
      </c>
      <c r="N224" s="1">
        <f>'Paste cell here'!W224</f>
        <v>0</v>
      </c>
      <c r="O224" s="1">
        <f>'Paste cell here'!U224</f>
        <v>16.042679230000001</v>
      </c>
      <c r="P224" s="1">
        <f t="shared" si="18"/>
        <v>18.355078330000001</v>
      </c>
      <c r="Q224" s="1">
        <f>'Paste cell here'!V224</f>
        <v>0</v>
      </c>
      <c r="R224" s="1">
        <f t="shared" si="19"/>
        <v>2.5699999994799327E-7</v>
      </c>
      <c r="S224" s="7">
        <f>Sintesi!$C$30</f>
        <v>8.3099999999999993E-2</v>
      </c>
      <c r="T224" s="7">
        <f>Sintesi!$C$29</f>
        <v>0.229209</v>
      </c>
      <c r="U224" s="5">
        <f>O224/(Sintesi!$C$5*1000)</f>
        <v>0.16042679230000001</v>
      </c>
      <c r="V224" s="1">
        <f t="shared" si="15"/>
        <v>0.14610899999999999</v>
      </c>
      <c r="W224" s="1">
        <v>0.47511584727802098</v>
      </c>
      <c r="X224" s="1">
        <f t="shared" si="16"/>
        <v>6.9418701329944363E-2</v>
      </c>
      <c r="Y224" s="1">
        <f t="shared" si="17"/>
        <v>0.15979029867005562</v>
      </c>
      <c r="Z224" s="1">
        <f>'Paste cellinfo here'!$B$11</f>
        <v>0.51802400000000004</v>
      </c>
    </row>
    <row r="225" spans="1:26">
      <c r="A225" s="1">
        <v>224</v>
      </c>
      <c r="B225" s="2">
        <f>DATE(Sintesi!$C$4-1,12,31)+A225</f>
        <v>44420</v>
      </c>
      <c r="C225" s="1">
        <f>'Paste cell here'!B225</f>
        <v>0</v>
      </c>
      <c r="D225" s="1">
        <f>'Paste cell here'!I225</f>
        <v>0</v>
      </c>
      <c r="E225" s="1">
        <f>'Paste cell here'!J225</f>
        <v>0</v>
      </c>
      <c r="F225" s="1">
        <f>'Paste cell here'!K225</f>
        <v>0</v>
      </c>
      <c r="G225" s="1">
        <f>'Paste cell here'!L225</f>
        <v>0</v>
      </c>
      <c r="H225" s="1">
        <f>'Paste cell here'!M225</f>
        <v>0</v>
      </c>
      <c r="I225" s="1">
        <f>'Paste cell here'!N225</f>
        <v>0</v>
      </c>
      <c r="J225" s="1">
        <f>'Paste cell here'!O225</f>
        <v>0</v>
      </c>
      <c r="K225" s="1">
        <f>'Paste cell here'!Q225</f>
        <v>2.610518259</v>
      </c>
      <c r="L225" s="1">
        <f>'Paste cell here'!S225</f>
        <v>0</v>
      </c>
      <c r="M225" s="1">
        <f>'Paste cell here'!T225</f>
        <v>1.41E-3</v>
      </c>
      <c r="N225" s="1">
        <f>'Paste cell here'!W225</f>
        <v>0</v>
      </c>
      <c r="O225" s="1">
        <f>'Paste cell here'!U225</f>
        <v>13.430753019999999</v>
      </c>
      <c r="P225" s="1">
        <f t="shared" si="18"/>
        <v>16.042679230000001</v>
      </c>
      <c r="Q225" s="1">
        <f>'Paste cell here'!V225</f>
        <v>0</v>
      </c>
      <c r="R225" s="1">
        <f t="shared" si="19"/>
        <v>2.0489999972284068E-6</v>
      </c>
      <c r="S225" s="7">
        <f>Sintesi!$C$30</f>
        <v>8.3099999999999993E-2</v>
      </c>
      <c r="T225" s="7">
        <f>Sintesi!$C$29</f>
        <v>0.229209</v>
      </c>
      <c r="U225" s="5">
        <f>O225/(Sintesi!$C$5*1000)</f>
        <v>0.1343075302</v>
      </c>
      <c r="V225" s="1">
        <f t="shared" si="15"/>
        <v>0.14610899999999999</v>
      </c>
      <c r="W225" s="1">
        <v>0.46292764881423898</v>
      </c>
      <c r="X225" s="1">
        <f t="shared" si="16"/>
        <v>6.7637895840599635E-2</v>
      </c>
      <c r="Y225" s="1">
        <f t="shared" si="17"/>
        <v>0.16157110415940035</v>
      </c>
      <c r="Z225" s="1">
        <f>'Paste cellinfo here'!$B$11</f>
        <v>0.51802400000000004</v>
      </c>
    </row>
    <row r="226" spans="1:26">
      <c r="A226" s="1">
        <v>225</v>
      </c>
      <c r="B226" s="2">
        <f>DATE(Sintesi!$C$4-1,12,31)+A226</f>
        <v>44421</v>
      </c>
      <c r="C226" s="1">
        <f>'Paste cell here'!B226</f>
        <v>0</v>
      </c>
      <c r="D226" s="1">
        <f>'Paste cell here'!I226</f>
        <v>0</v>
      </c>
      <c r="E226" s="1">
        <f>'Paste cell here'!J226</f>
        <v>0</v>
      </c>
      <c r="F226" s="1">
        <f>'Paste cell here'!K226</f>
        <v>0</v>
      </c>
      <c r="G226" s="1">
        <f>'Paste cell here'!L226</f>
        <v>0</v>
      </c>
      <c r="H226" s="1">
        <f>'Paste cell here'!M226</f>
        <v>0</v>
      </c>
      <c r="I226" s="1">
        <f>'Paste cell here'!N226</f>
        <v>0</v>
      </c>
      <c r="J226" s="1">
        <f>'Paste cell here'!O226</f>
        <v>0</v>
      </c>
      <c r="K226" s="1">
        <f>'Paste cell here'!Q226</f>
        <v>2.1374196169999999</v>
      </c>
      <c r="L226" s="1">
        <f>'Paste cell here'!S226</f>
        <v>0</v>
      </c>
      <c r="M226" s="1">
        <f>'Paste cell here'!T226</f>
        <v>1.17E-4</v>
      </c>
      <c r="N226" s="1">
        <f>'Paste cell here'!W226</f>
        <v>0</v>
      </c>
      <c r="O226" s="1">
        <f>'Paste cell here'!U226</f>
        <v>11.293216299999999</v>
      </c>
      <c r="P226" s="1">
        <f t="shared" si="18"/>
        <v>13.430753019999999</v>
      </c>
      <c r="Q226" s="1">
        <f>'Paste cell here'!V226</f>
        <v>0</v>
      </c>
      <c r="R226" s="1">
        <f t="shared" si="19"/>
        <v>1.0299999964047402E-7</v>
      </c>
      <c r="S226" s="7">
        <f>Sintesi!$C$30</f>
        <v>8.3099999999999993E-2</v>
      </c>
      <c r="T226" s="7">
        <f>Sintesi!$C$29</f>
        <v>0.229209</v>
      </c>
      <c r="U226" s="5">
        <f>O226/(Sintesi!$C$5*1000)</f>
        <v>0.11293216299999999</v>
      </c>
      <c r="V226" s="1">
        <f t="shared" si="15"/>
        <v>0.14610899999999999</v>
      </c>
      <c r="W226" s="1">
        <v>0.48517856453670499</v>
      </c>
      <c r="X226" s="1">
        <f t="shared" si="16"/>
        <v>7.0888954885893418E-2</v>
      </c>
      <c r="Y226" s="1">
        <f t="shared" si="17"/>
        <v>0.15832004511410658</v>
      </c>
      <c r="Z226" s="1">
        <f>'Paste cellinfo here'!$B$11</f>
        <v>0.51802400000000004</v>
      </c>
    </row>
    <row r="227" spans="1:26">
      <c r="A227" s="1">
        <v>226</v>
      </c>
      <c r="B227" s="2">
        <f>DATE(Sintesi!$C$4-1,12,31)+A227</f>
        <v>44422</v>
      </c>
      <c r="C227" s="1">
        <f>'Paste cell here'!B227</f>
        <v>0</v>
      </c>
      <c r="D227" s="1">
        <f>'Paste cell here'!I227</f>
        <v>0</v>
      </c>
      <c r="E227" s="1">
        <f>'Paste cell here'!J227</f>
        <v>0</v>
      </c>
      <c r="F227" s="1">
        <f>'Paste cell here'!K227</f>
        <v>0</v>
      </c>
      <c r="G227" s="1">
        <f>'Paste cell here'!L227</f>
        <v>0</v>
      </c>
      <c r="H227" s="1">
        <f>'Paste cell here'!M227</f>
        <v>0</v>
      </c>
      <c r="I227" s="1">
        <f>'Paste cell here'!N227</f>
        <v>0</v>
      </c>
      <c r="J227" s="1">
        <f>'Paste cell here'!O227</f>
        <v>0</v>
      </c>
      <c r="K227" s="1">
        <f>'Paste cell here'!Q227</f>
        <v>1.774249805</v>
      </c>
      <c r="L227" s="1">
        <f>'Paste cell here'!S227</f>
        <v>0</v>
      </c>
      <c r="M227" s="1">
        <f>'Paste cell here'!T227</f>
        <v>8.2700000000000004E-6</v>
      </c>
      <c r="N227" s="1">
        <f>'Paste cell here'!W227</f>
        <v>0</v>
      </c>
      <c r="O227" s="1">
        <f>'Paste cell here'!U227</f>
        <v>9.5189582179999999</v>
      </c>
      <c r="P227" s="1">
        <f t="shared" si="18"/>
        <v>11.293216299999999</v>
      </c>
      <c r="Q227" s="1">
        <f>'Paste cell here'!V227</f>
        <v>0</v>
      </c>
      <c r="R227" s="1">
        <f t="shared" si="19"/>
        <v>6.9999988028257576E-9</v>
      </c>
      <c r="S227" s="7">
        <f>Sintesi!$C$30</f>
        <v>8.3099999999999993E-2</v>
      </c>
      <c r="T227" s="7">
        <f>Sintesi!$C$29</f>
        <v>0.229209</v>
      </c>
      <c r="U227" s="5">
        <f>O227/(Sintesi!$C$5*1000)</f>
        <v>9.5189582179999996E-2</v>
      </c>
      <c r="V227" s="1">
        <f t="shared" si="15"/>
        <v>0.14610899999999999</v>
      </c>
      <c r="W227" s="1">
        <v>0.50097616994046501</v>
      </c>
      <c r="X227" s="1">
        <f t="shared" si="16"/>
        <v>7.3197127213831398E-2</v>
      </c>
      <c r="Y227" s="1">
        <f t="shared" si="17"/>
        <v>0.1560118727861686</v>
      </c>
      <c r="Z227" s="1">
        <f>'Paste cellinfo here'!$B$11</f>
        <v>0.51802400000000004</v>
      </c>
    </row>
    <row r="228" spans="1:26">
      <c r="A228" s="1">
        <v>227</v>
      </c>
      <c r="B228" s="2">
        <f>DATE(Sintesi!$C$4-1,12,31)+A228</f>
        <v>44423</v>
      </c>
      <c r="C228" s="1">
        <f>'Paste cell here'!B228</f>
        <v>0</v>
      </c>
      <c r="D228" s="1">
        <f>'Paste cell here'!I228</f>
        <v>0</v>
      </c>
      <c r="E228" s="1">
        <f>'Paste cell here'!J228</f>
        <v>0</v>
      </c>
      <c r="F228" s="1">
        <f>'Paste cell here'!K228</f>
        <v>0</v>
      </c>
      <c r="G228" s="1">
        <f>'Paste cell here'!L228</f>
        <v>0</v>
      </c>
      <c r="H228" s="1">
        <f>'Paste cell here'!M228</f>
        <v>0</v>
      </c>
      <c r="I228" s="1">
        <f>'Paste cell here'!N228</f>
        <v>0</v>
      </c>
      <c r="J228" s="1">
        <f>'Paste cell here'!O228</f>
        <v>0</v>
      </c>
      <c r="K228" s="1">
        <f>'Paste cell here'!Q228</f>
        <v>1.516413928</v>
      </c>
      <c r="L228" s="1">
        <f>'Paste cell here'!S228</f>
        <v>0</v>
      </c>
      <c r="M228" s="1">
        <f>'Paste cell here'!T228</f>
        <v>4.2199999999999999E-7</v>
      </c>
      <c r="N228" s="1">
        <f>'Paste cell here'!W228</f>
        <v>0</v>
      </c>
      <c r="O228" s="1">
        <f>'Paste cell here'!U228</f>
        <v>8.0025438680000001</v>
      </c>
      <c r="P228" s="1">
        <f t="shared" si="18"/>
        <v>9.5189582179999999</v>
      </c>
      <c r="Q228" s="1">
        <f>'Paste cell here'!V228</f>
        <v>0</v>
      </c>
      <c r="R228" s="1">
        <f t="shared" si="19"/>
        <v>0</v>
      </c>
      <c r="S228" s="7">
        <f>Sintesi!$C$30</f>
        <v>8.3099999999999993E-2</v>
      </c>
      <c r="T228" s="7">
        <f>Sintesi!$C$29</f>
        <v>0.229209</v>
      </c>
      <c r="U228" s="5">
        <f>O228/(Sintesi!$C$5*1000)</f>
        <v>8.0025438680000005E-2</v>
      </c>
      <c r="V228" s="1">
        <f t="shared" si="15"/>
        <v>0.14610899999999999</v>
      </c>
      <c r="W228" s="1">
        <v>0.50179345045914503</v>
      </c>
      <c r="X228" s="1">
        <f t="shared" si="16"/>
        <v>7.3316539253135221E-2</v>
      </c>
      <c r="Y228" s="1">
        <f t="shared" si="17"/>
        <v>0.15589246074686477</v>
      </c>
      <c r="Z228" s="1">
        <f>'Paste cellinfo here'!$B$11</f>
        <v>0.51802400000000004</v>
      </c>
    </row>
    <row r="229" spans="1:26">
      <c r="A229" s="1">
        <v>228</v>
      </c>
      <c r="B229" s="2">
        <f>DATE(Sintesi!$C$4-1,12,31)+A229</f>
        <v>44424</v>
      </c>
      <c r="C229" s="1">
        <f>'Paste cell here'!B229</f>
        <v>25.82138758</v>
      </c>
      <c r="D229" s="1">
        <f>'Paste cell here'!I229</f>
        <v>0</v>
      </c>
      <c r="E229" s="1">
        <f>'Paste cell here'!J229</f>
        <v>23.608924179999999</v>
      </c>
      <c r="F229" s="1">
        <f>'Paste cell here'!K229</f>
        <v>25.82138758</v>
      </c>
      <c r="G229" s="1">
        <f>'Paste cell here'!L229</f>
        <v>23.608924179999999</v>
      </c>
      <c r="H229" s="1">
        <f>'Paste cell here'!M229</f>
        <v>2.2124633920000001</v>
      </c>
      <c r="I229" s="1">
        <f>'Paste cell here'!N229</f>
        <v>0</v>
      </c>
      <c r="J229" s="1">
        <f>'Paste cell here'!O229</f>
        <v>23.608924890000001</v>
      </c>
      <c r="K229" s="1">
        <f>'Paste cell here'!Q229</f>
        <v>3.768490882</v>
      </c>
      <c r="L229" s="1">
        <f>'Paste cell here'!S229</f>
        <v>0</v>
      </c>
      <c r="M229" s="1">
        <f>'Paste cell here'!T229</f>
        <v>0.16837371400000001</v>
      </c>
      <c r="N229" s="1">
        <f>'Paste cell here'!W229</f>
        <v>0</v>
      </c>
      <c r="O229" s="1">
        <f>'Paste cell here'!U229</f>
        <v>27.674604160000001</v>
      </c>
      <c r="P229" s="1">
        <f t="shared" si="18"/>
        <v>8.0025438680000001</v>
      </c>
      <c r="Q229" s="1">
        <f>'Paste cell here'!V229</f>
        <v>0</v>
      </c>
      <c r="R229" s="1">
        <f t="shared" si="19"/>
        <v>7.0000000462755452E-7</v>
      </c>
      <c r="S229" s="7">
        <f>Sintesi!$C$30</f>
        <v>8.3099999999999993E-2</v>
      </c>
      <c r="T229" s="7">
        <f>Sintesi!$C$29</f>
        <v>0.229209</v>
      </c>
      <c r="U229" s="5">
        <f>O229/(Sintesi!$C$5*1000)</f>
        <v>0.27674604159999999</v>
      </c>
      <c r="V229" s="1">
        <f t="shared" si="15"/>
        <v>0.14610899999999999</v>
      </c>
      <c r="W229" s="1">
        <v>0.57379302150281097</v>
      </c>
      <c r="X229" s="1">
        <f t="shared" si="16"/>
        <v>8.3836324578754201E-2</v>
      </c>
      <c r="Y229" s="1">
        <f t="shared" si="17"/>
        <v>0.1453726754212458</v>
      </c>
      <c r="Z229" s="1">
        <f>'Paste cellinfo here'!$B$11</f>
        <v>0.51802400000000004</v>
      </c>
    </row>
    <row r="230" spans="1:26">
      <c r="A230" s="1">
        <v>229</v>
      </c>
      <c r="B230" s="2">
        <f>DATE(Sintesi!$C$4-1,12,31)+A230</f>
        <v>44425</v>
      </c>
      <c r="C230" s="1">
        <f>'Paste cell here'!B230</f>
        <v>0</v>
      </c>
      <c r="D230" s="1">
        <f>'Paste cell here'!I230</f>
        <v>0</v>
      </c>
      <c r="E230" s="1">
        <f>'Paste cell here'!J230</f>
        <v>0</v>
      </c>
      <c r="F230" s="1">
        <f>'Paste cell here'!K230</f>
        <v>0</v>
      </c>
      <c r="G230" s="1">
        <f>'Paste cell here'!L230</f>
        <v>0</v>
      </c>
      <c r="H230" s="1">
        <f>'Paste cell here'!M230</f>
        <v>0</v>
      </c>
      <c r="I230" s="1">
        <f>'Paste cell here'!N230</f>
        <v>0</v>
      </c>
      <c r="J230" s="1">
        <f>'Paste cell here'!O230</f>
        <v>0</v>
      </c>
      <c r="K230" s="1">
        <f>'Paste cell here'!Q230</f>
        <v>4.0640488530000001</v>
      </c>
      <c r="L230" s="1">
        <f>'Paste cell here'!S230</f>
        <v>0</v>
      </c>
      <c r="M230" s="1">
        <f>'Paste cell here'!T230</f>
        <v>0.76314210699999996</v>
      </c>
      <c r="N230" s="1">
        <f>'Paste cell here'!W230</f>
        <v>0</v>
      </c>
      <c r="O230" s="1">
        <f>'Paste cell here'!U230</f>
        <v>22.847413199999998</v>
      </c>
      <c r="P230" s="1">
        <f t="shared" si="18"/>
        <v>27.674604160000001</v>
      </c>
      <c r="Q230" s="1">
        <f>'Paste cell here'!V230</f>
        <v>0</v>
      </c>
      <c r="R230" s="1">
        <f t="shared" si="19"/>
        <v>3.5527136788005009E-15</v>
      </c>
      <c r="S230" s="7">
        <f>Sintesi!$C$30</f>
        <v>8.3099999999999993E-2</v>
      </c>
      <c r="T230" s="7">
        <f>Sintesi!$C$29</f>
        <v>0.229209</v>
      </c>
      <c r="U230" s="5">
        <f>O230/(Sintesi!$C$5*1000)</f>
        <v>0.228474132</v>
      </c>
      <c r="V230" s="1">
        <f t="shared" si="15"/>
        <v>0.14610899999999999</v>
      </c>
      <c r="W230" s="1">
        <v>0.50309251886311301</v>
      </c>
      <c r="X230" s="1">
        <f t="shared" si="16"/>
        <v>7.3506344838570575E-2</v>
      </c>
      <c r="Y230" s="1">
        <f t="shared" si="17"/>
        <v>0.15570265516142942</v>
      </c>
      <c r="Z230" s="1">
        <f>'Paste cellinfo here'!$B$11</f>
        <v>0.51802400000000004</v>
      </c>
    </row>
    <row r="231" spans="1:26">
      <c r="A231" s="1">
        <v>230</v>
      </c>
      <c r="B231" s="2">
        <f>DATE(Sintesi!$C$4-1,12,31)+A231</f>
        <v>44426</v>
      </c>
      <c r="C231" s="1">
        <f>'Paste cell here'!B231</f>
        <v>0</v>
      </c>
      <c r="D231" s="1">
        <f>'Paste cell here'!I231</f>
        <v>0</v>
      </c>
      <c r="E231" s="1">
        <f>'Paste cell here'!J231</f>
        <v>0</v>
      </c>
      <c r="F231" s="1">
        <f>'Paste cell here'!K231</f>
        <v>0</v>
      </c>
      <c r="G231" s="1">
        <f>'Paste cell here'!L231</f>
        <v>0</v>
      </c>
      <c r="H231" s="1">
        <f>'Paste cell here'!M231</f>
        <v>0</v>
      </c>
      <c r="I231" s="1">
        <f>'Paste cell here'!N231</f>
        <v>0</v>
      </c>
      <c r="J231" s="1">
        <f>'Paste cell here'!O231</f>
        <v>0</v>
      </c>
      <c r="K231" s="1">
        <f>'Paste cell here'!Q231</f>
        <v>4.2216762890000004</v>
      </c>
      <c r="L231" s="1">
        <f>'Paste cell here'!S231</f>
        <v>0</v>
      </c>
      <c r="M231" s="1">
        <f>'Paste cell here'!T231</f>
        <v>9.1800000000000007E-2</v>
      </c>
      <c r="N231" s="1">
        <f>'Paste cell here'!W231</f>
        <v>0</v>
      </c>
      <c r="O231" s="1">
        <f>'Paste cell here'!U231</f>
        <v>18.533953799999999</v>
      </c>
      <c r="P231" s="1">
        <f t="shared" si="18"/>
        <v>22.847413199999998</v>
      </c>
      <c r="Q231" s="1">
        <f>'Paste cell here'!V231</f>
        <v>0</v>
      </c>
      <c r="R231" s="1">
        <f t="shared" si="19"/>
        <v>1.688900000118565E-5</v>
      </c>
      <c r="S231" s="7">
        <f>Sintesi!$C$30</f>
        <v>8.3099999999999993E-2</v>
      </c>
      <c r="T231" s="7">
        <f>Sintesi!$C$29</f>
        <v>0.229209</v>
      </c>
      <c r="U231" s="5">
        <f>O231/(Sintesi!$C$5*1000)</f>
        <v>0.185339538</v>
      </c>
      <c r="V231" s="1">
        <f t="shared" si="15"/>
        <v>0.14610899999999999</v>
      </c>
      <c r="W231" s="1">
        <v>0.50727732913018098</v>
      </c>
      <c r="X231" s="1">
        <f t="shared" si="16"/>
        <v>7.4117783281881608E-2</v>
      </c>
      <c r="Y231" s="1">
        <f t="shared" si="17"/>
        <v>0.15509121671811837</v>
      </c>
      <c r="Z231" s="1">
        <f>'Paste cellinfo here'!$B$11</f>
        <v>0.51802400000000004</v>
      </c>
    </row>
    <row r="232" spans="1:26">
      <c r="A232" s="1">
        <v>231</v>
      </c>
      <c r="B232" s="2">
        <f>DATE(Sintesi!$C$4-1,12,31)+A232</f>
        <v>44427</v>
      </c>
      <c r="C232" s="1">
        <f>'Paste cell here'!B232</f>
        <v>0</v>
      </c>
      <c r="D232" s="1">
        <f>'Paste cell here'!I232</f>
        <v>0</v>
      </c>
      <c r="E232" s="1">
        <f>'Paste cell here'!J232</f>
        <v>0</v>
      </c>
      <c r="F232" s="1">
        <f>'Paste cell here'!K232</f>
        <v>0</v>
      </c>
      <c r="G232" s="1">
        <f>'Paste cell here'!L232</f>
        <v>0</v>
      </c>
      <c r="H232" s="1">
        <f>'Paste cell here'!M232</f>
        <v>0</v>
      </c>
      <c r="I232" s="1">
        <f>'Paste cell here'!N232</f>
        <v>0</v>
      </c>
      <c r="J232" s="1">
        <f>'Paste cell here'!O232</f>
        <v>0</v>
      </c>
      <c r="K232" s="1">
        <f>'Paste cell here'!Q232</f>
        <v>3.9581851010000002</v>
      </c>
      <c r="L232" s="1">
        <f>'Paste cell here'!S232</f>
        <v>0</v>
      </c>
      <c r="M232" s="1">
        <f>'Paste cell here'!T232</f>
        <v>7.3699999999999998E-3</v>
      </c>
      <c r="N232" s="1">
        <f>'Paste cell here'!W232</f>
        <v>0</v>
      </c>
      <c r="O232" s="1">
        <f>'Paste cell here'!U232</f>
        <v>14.568403590000001</v>
      </c>
      <c r="P232" s="1">
        <f t="shared" si="18"/>
        <v>18.533953799999999</v>
      </c>
      <c r="Q232" s="1">
        <f>'Paste cell here'!V232</f>
        <v>0</v>
      </c>
      <c r="R232" s="1">
        <f t="shared" si="19"/>
        <v>4.891000001450152E-6</v>
      </c>
      <c r="S232" s="7">
        <f>Sintesi!$C$30</f>
        <v>8.3099999999999993E-2</v>
      </c>
      <c r="T232" s="7">
        <f>Sintesi!$C$29</f>
        <v>0.229209</v>
      </c>
      <c r="U232" s="5">
        <f>O232/(Sintesi!$C$5*1000)</f>
        <v>0.14568403590000001</v>
      </c>
      <c r="V232" s="1">
        <f t="shared" si="15"/>
        <v>0.14610899999999999</v>
      </c>
      <c r="W232" s="1">
        <v>0.49830253620849901</v>
      </c>
      <c r="X232" s="1">
        <f t="shared" si="16"/>
        <v>7.2806485262887577E-2</v>
      </c>
      <c r="Y232" s="1">
        <f t="shared" si="17"/>
        <v>0.15640251473711242</v>
      </c>
      <c r="Z232" s="1">
        <f>'Paste cellinfo here'!$B$11</f>
        <v>0.51802400000000004</v>
      </c>
    </row>
    <row r="233" spans="1:26">
      <c r="A233" s="1">
        <v>232</v>
      </c>
      <c r="B233" s="2">
        <f>DATE(Sintesi!$C$4-1,12,31)+A233</f>
        <v>44428</v>
      </c>
      <c r="C233" s="1">
        <f>'Paste cell here'!B233</f>
        <v>0</v>
      </c>
      <c r="D233" s="1">
        <f>'Paste cell here'!I233</f>
        <v>0</v>
      </c>
      <c r="E233" s="1">
        <f>'Paste cell here'!J233</f>
        <v>0</v>
      </c>
      <c r="F233" s="1">
        <f>'Paste cell here'!K233</f>
        <v>0</v>
      </c>
      <c r="G233" s="1">
        <f>'Paste cell here'!L233</f>
        <v>0</v>
      </c>
      <c r="H233" s="1">
        <f>'Paste cell here'!M233</f>
        <v>0</v>
      </c>
      <c r="I233" s="1">
        <f>'Paste cell here'!N233</f>
        <v>0</v>
      </c>
      <c r="J233" s="1">
        <f>'Paste cell here'!O233</f>
        <v>0</v>
      </c>
      <c r="K233" s="1">
        <f>'Paste cell here'!Q233</f>
        <v>3.3371399519999998</v>
      </c>
      <c r="L233" s="1">
        <f>'Paste cell here'!S233</f>
        <v>0</v>
      </c>
      <c r="M233" s="1">
        <f>'Paste cell here'!T233</f>
        <v>3.0200000000000002E-4</v>
      </c>
      <c r="N233" s="1">
        <f>'Paste cell here'!W233</f>
        <v>0</v>
      </c>
      <c r="O233" s="1">
        <f>'Paste cell here'!U233</f>
        <v>11.230962010000001</v>
      </c>
      <c r="P233" s="1">
        <f t="shared" si="18"/>
        <v>14.568403590000001</v>
      </c>
      <c r="Q233" s="1">
        <f>'Paste cell here'!V233</f>
        <v>0</v>
      </c>
      <c r="R233" s="1">
        <f t="shared" si="19"/>
        <v>3.719999988049949E-7</v>
      </c>
      <c r="S233" s="7">
        <f>Sintesi!$C$30</f>
        <v>8.3099999999999993E-2</v>
      </c>
      <c r="T233" s="7">
        <f>Sintesi!$C$29</f>
        <v>0.229209</v>
      </c>
      <c r="U233" s="5">
        <f>O233/(Sintesi!$C$5*1000)</f>
        <v>0.11230962010000001</v>
      </c>
      <c r="V233" s="1">
        <f t="shared" si="15"/>
        <v>0.14610899999999999</v>
      </c>
      <c r="W233" s="1">
        <v>0.48341737423362902</v>
      </c>
      <c r="X233" s="1">
        <f t="shared" si="16"/>
        <v>7.0631629131901297E-2</v>
      </c>
      <c r="Y233" s="1">
        <f t="shared" si="17"/>
        <v>0.1585773708680987</v>
      </c>
      <c r="Z233" s="1">
        <f>'Paste cellinfo here'!$B$11</f>
        <v>0.51802400000000004</v>
      </c>
    </row>
    <row r="234" spans="1:26">
      <c r="A234" s="1">
        <v>233</v>
      </c>
      <c r="B234" s="2">
        <f>DATE(Sintesi!$C$4-1,12,31)+A234</f>
        <v>44429</v>
      </c>
      <c r="C234" s="1">
        <f>'Paste cell here'!B234</f>
        <v>0</v>
      </c>
      <c r="D234" s="1">
        <f>'Paste cell here'!I234</f>
        <v>0</v>
      </c>
      <c r="E234" s="1">
        <f>'Paste cell here'!J234</f>
        <v>0</v>
      </c>
      <c r="F234" s="1">
        <f>'Paste cell here'!K234</f>
        <v>0</v>
      </c>
      <c r="G234" s="1">
        <f>'Paste cell here'!L234</f>
        <v>0</v>
      </c>
      <c r="H234" s="1">
        <f>'Paste cell here'!M234</f>
        <v>0</v>
      </c>
      <c r="I234" s="1">
        <f>'Paste cell here'!N234</f>
        <v>0</v>
      </c>
      <c r="J234" s="1">
        <f>'Paste cell here'!O234</f>
        <v>0</v>
      </c>
      <c r="K234" s="1">
        <f>'Paste cell here'!Q234</f>
        <v>2.4137597579999999</v>
      </c>
      <c r="L234" s="1">
        <f>'Paste cell here'!S234</f>
        <v>0</v>
      </c>
      <c r="M234" s="1">
        <f>'Paste cell here'!T234</f>
        <v>6.5699999999999998E-6</v>
      </c>
      <c r="N234" s="1">
        <f>'Paste cell here'!W234</f>
        <v>0</v>
      </c>
      <c r="O234" s="1">
        <f>'Paste cell here'!U234</f>
        <v>8.8171956890000001</v>
      </c>
      <c r="P234" s="1">
        <f t="shared" si="18"/>
        <v>11.230962010000001</v>
      </c>
      <c r="Q234" s="1">
        <f>'Paste cell here'!V234</f>
        <v>0</v>
      </c>
      <c r="R234" s="1">
        <f t="shared" si="19"/>
        <v>6.9999988028257576E-9</v>
      </c>
      <c r="S234" s="7">
        <f>Sintesi!$C$30</f>
        <v>8.3099999999999993E-2</v>
      </c>
      <c r="T234" s="7">
        <f>Sintesi!$C$29</f>
        <v>0.229209</v>
      </c>
      <c r="U234" s="5">
        <f>O234/(Sintesi!$C$5*1000)</f>
        <v>8.817195689E-2</v>
      </c>
      <c r="V234" s="1">
        <f t="shared" si="15"/>
        <v>0.14610899999999999</v>
      </c>
      <c r="W234" s="1">
        <v>0.48709623334988</v>
      </c>
      <c r="X234" s="1">
        <f t="shared" si="16"/>
        <v>7.1169143558517611E-2</v>
      </c>
      <c r="Y234" s="1">
        <f t="shared" si="17"/>
        <v>0.15803985644148238</v>
      </c>
      <c r="Z234" s="1">
        <f>'Paste cellinfo here'!$B$11</f>
        <v>0.51802400000000004</v>
      </c>
    </row>
    <row r="235" spans="1:26">
      <c r="A235" s="1">
        <v>234</v>
      </c>
      <c r="B235" s="2">
        <f>DATE(Sintesi!$C$4-1,12,31)+A235</f>
        <v>44430</v>
      </c>
      <c r="C235" s="1">
        <f>'Paste cell here'!B235</f>
        <v>0</v>
      </c>
      <c r="D235" s="1">
        <f>'Paste cell here'!I235</f>
        <v>0</v>
      </c>
      <c r="E235" s="1">
        <f>'Paste cell here'!J235</f>
        <v>0</v>
      </c>
      <c r="F235" s="1">
        <f>'Paste cell here'!K235</f>
        <v>0</v>
      </c>
      <c r="G235" s="1">
        <f>'Paste cell here'!L235</f>
        <v>0</v>
      </c>
      <c r="H235" s="1">
        <f>'Paste cell here'!M235</f>
        <v>0</v>
      </c>
      <c r="I235" s="1">
        <f>'Paste cell here'!N235</f>
        <v>0</v>
      </c>
      <c r="J235" s="1">
        <f>'Paste cell here'!O235</f>
        <v>0</v>
      </c>
      <c r="K235" s="1">
        <f>'Paste cell here'!Q235</f>
        <v>1.614423962</v>
      </c>
      <c r="L235" s="1">
        <f>'Paste cell here'!S235</f>
        <v>0</v>
      </c>
      <c r="M235" s="1">
        <f>'Paste cell here'!T235</f>
        <v>8.9900000000000004E-8</v>
      </c>
      <c r="N235" s="1">
        <f>'Paste cell here'!W235</f>
        <v>0</v>
      </c>
      <c r="O235" s="1">
        <f>'Paste cell here'!U235</f>
        <v>7.2027716369999997</v>
      </c>
      <c r="P235" s="1">
        <f t="shared" si="18"/>
        <v>8.8171956890000001</v>
      </c>
      <c r="Q235" s="1">
        <f>'Paste cell here'!V235</f>
        <v>0</v>
      </c>
      <c r="R235" s="1">
        <f t="shared" si="19"/>
        <v>1.000000082740371E-10</v>
      </c>
      <c r="S235" s="7">
        <f>Sintesi!$C$30</f>
        <v>8.3099999999999993E-2</v>
      </c>
      <c r="T235" s="7">
        <f>Sintesi!$C$29</f>
        <v>0.229209</v>
      </c>
      <c r="U235" s="5">
        <f>O235/(Sintesi!$C$5*1000)</f>
        <v>7.2027716369999994E-2</v>
      </c>
      <c r="V235" s="1">
        <f t="shared" si="15"/>
        <v>0.14610899999999999</v>
      </c>
      <c r="W235" s="1">
        <v>0.47593564628798302</v>
      </c>
      <c r="X235" s="1">
        <f t="shared" si="16"/>
        <v>6.9538481343490902E-2</v>
      </c>
      <c r="Y235" s="1">
        <f t="shared" si="17"/>
        <v>0.15967051865650911</v>
      </c>
      <c r="Z235" s="1">
        <f>'Paste cellinfo here'!$B$11</f>
        <v>0.51802400000000004</v>
      </c>
    </row>
    <row r="236" spans="1:26">
      <c r="A236" s="1">
        <v>235</v>
      </c>
      <c r="B236" s="2">
        <f>DATE(Sintesi!$C$4-1,12,31)+A236</f>
        <v>44431</v>
      </c>
      <c r="C236" s="1">
        <f>'Paste cell here'!B236</f>
        <v>0.68141253700000004</v>
      </c>
      <c r="D236" s="1">
        <f>'Paste cell here'!I236</f>
        <v>0</v>
      </c>
      <c r="E236" s="1">
        <f>'Paste cell here'!J236</f>
        <v>0.160033446</v>
      </c>
      <c r="F236" s="1">
        <f>'Paste cell here'!K236</f>
        <v>0.68141253700000004</v>
      </c>
      <c r="G236" s="1">
        <f>'Paste cell here'!L236</f>
        <v>0.160033446</v>
      </c>
      <c r="H236" s="1">
        <f>'Paste cell here'!M236</f>
        <v>0.52137909199999999</v>
      </c>
      <c r="I236" s="1">
        <f>'Paste cell here'!N236</f>
        <v>0</v>
      </c>
      <c r="J236" s="1">
        <f>'Paste cell here'!O236</f>
        <v>0.16003345099999999</v>
      </c>
      <c r="K236" s="1">
        <f>'Paste cell here'!Q236</f>
        <v>1.0920423829999999</v>
      </c>
      <c r="L236" s="1">
        <f>'Paste cell here'!S236</f>
        <v>0</v>
      </c>
      <c r="M236" s="1">
        <f>'Paste cell here'!T236</f>
        <v>9.29E-10</v>
      </c>
      <c r="N236" s="1">
        <f>'Paste cell here'!W236</f>
        <v>0</v>
      </c>
      <c r="O236" s="1">
        <f>'Paste cell here'!U236</f>
        <v>6.270762704</v>
      </c>
      <c r="P236" s="1">
        <f t="shared" si="18"/>
        <v>7.2027716369999997</v>
      </c>
      <c r="Q236" s="1">
        <f>'Paste cell here'!V236</f>
        <v>0</v>
      </c>
      <c r="R236" s="1">
        <f t="shared" si="19"/>
        <v>5.9290004017498177E-9</v>
      </c>
      <c r="S236" s="7">
        <f>Sintesi!$C$30</f>
        <v>8.3099999999999993E-2</v>
      </c>
      <c r="T236" s="7">
        <f>Sintesi!$C$29</f>
        <v>0.229209</v>
      </c>
      <c r="U236" s="5">
        <f>O236/(Sintesi!$C$5*1000)</f>
        <v>6.2707627040000005E-2</v>
      </c>
      <c r="V236" s="1">
        <f t="shared" si="15"/>
        <v>0.14610899999999999</v>
      </c>
      <c r="W236" s="1">
        <v>0.52578000822592197</v>
      </c>
      <c r="X236" s="1">
        <f t="shared" si="16"/>
        <v>7.6821191221881233E-2</v>
      </c>
      <c r="Y236" s="1">
        <f t="shared" si="17"/>
        <v>0.15238780877811875</v>
      </c>
      <c r="Z236" s="1">
        <f>'Paste cellinfo here'!$B$11</f>
        <v>0.51802400000000004</v>
      </c>
    </row>
    <row r="237" spans="1:26">
      <c r="A237" s="1">
        <v>236</v>
      </c>
      <c r="B237" s="2">
        <f>DATE(Sintesi!$C$4-1,12,31)+A237</f>
        <v>44432</v>
      </c>
      <c r="C237" s="1">
        <f>'Paste cell here'!B237</f>
        <v>1.9599999999999999E-2</v>
      </c>
      <c r="D237" s="1">
        <f>'Paste cell here'!I237</f>
        <v>0</v>
      </c>
      <c r="E237" s="1">
        <f>'Paste cell here'!J237</f>
        <v>1.9599999999999999E-2</v>
      </c>
      <c r="F237" s="1">
        <f>'Paste cell here'!K237</f>
        <v>1.9599999999999999E-2</v>
      </c>
      <c r="G237" s="1">
        <f>'Paste cell here'!L237</f>
        <v>1.9599999999999999E-2</v>
      </c>
      <c r="H237" s="1">
        <f>'Paste cell here'!M237</f>
        <v>0</v>
      </c>
      <c r="I237" s="1">
        <f>'Paste cell here'!N237</f>
        <v>0</v>
      </c>
      <c r="J237" s="1">
        <f>'Paste cell here'!O237</f>
        <v>1.9599999999999999E-2</v>
      </c>
      <c r="K237" s="1">
        <f>'Paste cell here'!Q237</f>
        <v>0.77342556299999998</v>
      </c>
      <c r="L237" s="1">
        <f>'Paste cell here'!S237</f>
        <v>0</v>
      </c>
      <c r="M237" s="1">
        <f>'Paste cell here'!T237</f>
        <v>9.2899999999999994E-12</v>
      </c>
      <c r="N237" s="1">
        <f>'Paste cell here'!W237</f>
        <v>0</v>
      </c>
      <c r="O237" s="1">
        <f>'Paste cell here'!U237</f>
        <v>5.5169269849999996</v>
      </c>
      <c r="P237" s="1">
        <f t="shared" si="18"/>
        <v>6.270762704</v>
      </c>
      <c r="Q237" s="1">
        <f>'Paste cell here'!V237</f>
        <v>0</v>
      </c>
      <c r="R237" s="1">
        <f t="shared" si="19"/>
        <v>1.0155990709748153E-5</v>
      </c>
      <c r="S237" s="7">
        <f>Sintesi!$C$30</f>
        <v>8.3099999999999993E-2</v>
      </c>
      <c r="T237" s="7">
        <f>Sintesi!$C$29</f>
        <v>0.229209</v>
      </c>
      <c r="U237" s="5">
        <f>O237/(Sintesi!$C$5*1000)</f>
        <v>5.5169269849999994E-2</v>
      </c>
      <c r="V237" s="1">
        <f t="shared" si="15"/>
        <v>0.14610899999999999</v>
      </c>
      <c r="W237" s="1">
        <v>0.62341423373353799</v>
      </c>
      <c r="X237" s="1">
        <f t="shared" si="16"/>
        <v>9.1086430276573496E-2</v>
      </c>
      <c r="Y237" s="1">
        <f t="shared" si="17"/>
        <v>0.13812256972342651</v>
      </c>
      <c r="Z237" s="1">
        <f>'Paste cellinfo here'!$B$11</f>
        <v>0.51802400000000004</v>
      </c>
    </row>
    <row r="238" spans="1:26">
      <c r="A238" s="1">
        <v>237</v>
      </c>
      <c r="B238" s="2">
        <f>DATE(Sintesi!$C$4-1,12,31)+A238</f>
        <v>44433</v>
      </c>
      <c r="C238" s="1">
        <f>'Paste cell here'!B238</f>
        <v>0</v>
      </c>
      <c r="D238" s="1">
        <f>'Paste cell here'!I238</f>
        <v>0</v>
      </c>
      <c r="E238" s="1">
        <f>'Paste cell here'!J238</f>
        <v>0</v>
      </c>
      <c r="F238" s="1">
        <f>'Paste cell here'!K238</f>
        <v>0</v>
      </c>
      <c r="G238" s="1">
        <f>'Paste cell here'!L238</f>
        <v>0</v>
      </c>
      <c r="H238" s="1">
        <f>'Paste cell here'!M238</f>
        <v>0</v>
      </c>
      <c r="I238" s="1">
        <f>'Paste cell here'!N238</f>
        <v>0</v>
      </c>
      <c r="J238" s="1">
        <f>'Paste cell here'!O238</f>
        <v>0</v>
      </c>
      <c r="K238" s="1">
        <f>'Paste cell here'!Q238</f>
        <v>0.50928993199999995</v>
      </c>
      <c r="L238" s="1">
        <f>'Paste cell here'!S238</f>
        <v>0</v>
      </c>
      <c r="M238" s="1">
        <f>'Paste cell here'!T238</f>
        <v>1.23E-14</v>
      </c>
      <c r="N238" s="1">
        <f>'Paste cell here'!W238</f>
        <v>0</v>
      </c>
      <c r="O238" s="1">
        <f>'Paste cell here'!U238</f>
        <v>5.0076370539999999</v>
      </c>
      <c r="P238" s="1">
        <f t="shared" si="18"/>
        <v>5.5169269849999996</v>
      </c>
      <c r="Q238" s="1">
        <f>'Paste cell here'!V238</f>
        <v>0</v>
      </c>
      <c r="R238" s="1">
        <f t="shared" si="19"/>
        <v>1.0000125172382468E-9</v>
      </c>
      <c r="S238" s="7">
        <f>Sintesi!$C$30</f>
        <v>8.3099999999999993E-2</v>
      </c>
      <c r="T238" s="7">
        <f>Sintesi!$C$29</f>
        <v>0.229209</v>
      </c>
      <c r="U238" s="5">
        <f>O238/(Sintesi!$C$5*1000)</f>
        <v>5.0076370539999998E-2</v>
      </c>
      <c r="V238" s="1">
        <f t="shared" si="15"/>
        <v>0.14610899999999999</v>
      </c>
      <c r="W238" s="1">
        <v>0.53167917624707495</v>
      </c>
      <c r="X238" s="1">
        <f t="shared" si="16"/>
        <v>7.7683112762283874E-2</v>
      </c>
      <c r="Y238" s="1">
        <f t="shared" si="17"/>
        <v>0.15152588723771612</v>
      </c>
      <c r="Z238" s="1">
        <f>'Paste cellinfo here'!$B$11</f>
        <v>0.51802400000000004</v>
      </c>
    </row>
    <row r="239" spans="1:26">
      <c r="A239" s="1">
        <v>238</v>
      </c>
      <c r="B239" s="2">
        <f>DATE(Sintesi!$C$4-1,12,31)+A239</f>
        <v>44434</v>
      </c>
      <c r="C239" s="1">
        <f>'Paste cell here'!B239</f>
        <v>0</v>
      </c>
      <c r="D239" s="1">
        <f>'Paste cell here'!I239</f>
        <v>0</v>
      </c>
      <c r="E239" s="1">
        <f>'Paste cell here'!J239</f>
        <v>0</v>
      </c>
      <c r="F239" s="1">
        <f>'Paste cell here'!K239</f>
        <v>0</v>
      </c>
      <c r="G239" s="1">
        <f>'Paste cell here'!L239</f>
        <v>0</v>
      </c>
      <c r="H239" s="1">
        <f>'Paste cell here'!M239</f>
        <v>0</v>
      </c>
      <c r="I239" s="1">
        <f>'Paste cell here'!N239</f>
        <v>0</v>
      </c>
      <c r="J239" s="1">
        <f>'Paste cell here'!O239</f>
        <v>0</v>
      </c>
      <c r="K239" s="1">
        <f>'Paste cell here'!Q239</f>
        <v>0.336217928</v>
      </c>
      <c r="L239" s="1">
        <f>'Paste cell here'!S239</f>
        <v>0</v>
      </c>
      <c r="M239" s="1">
        <f>'Paste cell here'!T239</f>
        <v>1.2500000000000001E-19</v>
      </c>
      <c r="N239" s="1">
        <f>'Paste cell here'!W239</f>
        <v>0</v>
      </c>
      <c r="O239" s="1">
        <f>'Paste cell here'!U239</f>
        <v>4.6714191249999999</v>
      </c>
      <c r="P239" s="1">
        <f t="shared" si="18"/>
        <v>5.0076370539999999</v>
      </c>
      <c r="Q239" s="1">
        <f>'Paste cell here'!V239</f>
        <v>0</v>
      </c>
      <c r="R239" s="1">
        <f t="shared" si="19"/>
        <v>1.000000082740371E-9</v>
      </c>
      <c r="S239" s="7">
        <f>Sintesi!$C$30</f>
        <v>8.3099999999999993E-2</v>
      </c>
      <c r="T239" s="7">
        <f>Sintesi!$C$29</f>
        <v>0.229209</v>
      </c>
      <c r="U239" s="5">
        <f>O239/(Sintesi!$C$5*1000)</f>
        <v>4.6714191250000002E-2</v>
      </c>
      <c r="V239" s="1">
        <f t="shared" si="15"/>
        <v>0.14610899999999999</v>
      </c>
      <c r="W239" s="1">
        <v>0.52911647254334004</v>
      </c>
      <c r="X239" s="1">
        <f t="shared" si="16"/>
        <v>7.7308678686834859E-2</v>
      </c>
      <c r="Y239" s="1">
        <f t="shared" si="17"/>
        <v>0.15190032131316514</v>
      </c>
      <c r="Z239" s="1">
        <f>'Paste cellinfo here'!$B$11</f>
        <v>0.51802400000000004</v>
      </c>
    </row>
    <row r="240" spans="1:26">
      <c r="A240" s="1">
        <v>239</v>
      </c>
      <c r="B240" s="2">
        <f>DATE(Sintesi!$C$4-1,12,31)+A240</f>
        <v>44435</v>
      </c>
      <c r="C240" s="1">
        <f>'Paste cell here'!B240</f>
        <v>0</v>
      </c>
      <c r="D240" s="1">
        <f>'Paste cell here'!I240</f>
        <v>0</v>
      </c>
      <c r="E240" s="1">
        <f>'Paste cell here'!J240</f>
        <v>0</v>
      </c>
      <c r="F240" s="1">
        <f>'Paste cell here'!K240</f>
        <v>0</v>
      </c>
      <c r="G240" s="1">
        <f>'Paste cell here'!L240</f>
        <v>0</v>
      </c>
      <c r="H240" s="1">
        <f>'Paste cell here'!M240</f>
        <v>0</v>
      </c>
      <c r="I240" s="1">
        <f>'Paste cell here'!N240</f>
        <v>0</v>
      </c>
      <c r="J240" s="1">
        <f>'Paste cell here'!O240</f>
        <v>0</v>
      </c>
      <c r="K240" s="1">
        <f>'Paste cell here'!Q240</f>
        <v>0.150097273</v>
      </c>
      <c r="L240" s="1">
        <f>'Paste cell here'!S240</f>
        <v>0</v>
      </c>
      <c r="M240" s="1">
        <f>'Paste cell here'!T240</f>
        <v>0</v>
      </c>
      <c r="N240" s="1">
        <f>'Paste cell here'!W240</f>
        <v>0</v>
      </c>
      <c r="O240" s="1">
        <f>'Paste cell here'!U240</f>
        <v>4.5213218519999998</v>
      </c>
      <c r="P240" s="1">
        <f t="shared" si="18"/>
        <v>4.6714191249999999</v>
      </c>
      <c r="Q240" s="1">
        <f>'Paste cell here'!V240</f>
        <v>0</v>
      </c>
      <c r="R240" s="1">
        <f t="shared" si="19"/>
        <v>0</v>
      </c>
      <c r="S240" s="7">
        <f>Sintesi!$C$30</f>
        <v>8.3099999999999993E-2</v>
      </c>
      <c r="T240" s="7">
        <f>Sintesi!$C$29</f>
        <v>0.229209</v>
      </c>
      <c r="U240" s="5">
        <f>O240/(Sintesi!$C$5*1000)</f>
        <v>4.5213218520000001E-2</v>
      </c>
      <c r="V240" s="1">
        <f t="shared" si="15"/>
        <v>0.14610899999999999</v>
      </c>
      <c r="W240" s="1">
        <v>0.51385417066422601</v>
      </c>
      <c r="X240" s="1">
        <f t="shared" si="16"/>
        <v>7.5078719021579393E-2</v>
      </c>
      <c r="Y240" s="1">
        <f t="shared" si="17"/>
        <v>0.1541302809784206</v>
      </c>
      <c r="Z240" s="1">
        <f>'Paste cellinfo here'!$B$11</f>
        <v>0.51802400000000004</v>
      </c>
    </row>
    <row r="241" spans="1:26">
      <c r="A241" s="1">
        <v>240</v>
      </c>
      <c r="B241" s="2">
        <f>DATE(Sintesi!$C$4-1,12,31)+A241</f>
        <v>44436</v>
      </c>
      <c r="C241" s="1">
        <f>'Paste cell here'!B241</f>
        <v>4.5408043569999998</v>
      </c>
      <c r="D241" s="1">
        <f>'Paste cell here'!I241</f>
        <v>0</v>
      </c>
      <c r="E241" s="1">
        <f>'Paste cell here'!J241</f>
        <v>4.5408043569999998</v>
      </c>
      <c r="F241" s="1">
        <f>'Paste cell here'!K241</f>
        <v>4.5408043569999998</v>
      </c>
      <c r="G241" s="1">
        <f>'Paste cell here'!L241</f>
        <v>4.5408043569999998</v>
      </c>
      <c r="H241" s="1">
        <f>'Paste cell here'!M241</f>
        <v>0</v>
      </c>
      <c r="I241" s="1">
        <f>'Paste cell here'!N241</f>
        <v>0</v>
      </c>
      <c r="J241" s="1">
        <f>'Paste cell here'!O241</f>
        <v>4.5408044930000004</v>
      </c>
      <c r="K241" s="1">
        <f>'Paste cell here'!Q241</f>
        <v>0.97894085099999995</v>
      </c>
      <c r="L241" s="1">
        <f>'Paste cell here'!S241</f>
        <v>0</v>
      </c>
      <c r="M241" s="1">
        <f>'Paste cell here'!T241</f>
        <v>2.28E-9</v>
      </c>
      <c r="N241" s="1">
        <f>'Paste cell here'!W241</f>
        <v>0</v>
      </c>
      <c r="O241" s="1">
        <f>'Paste cell here'!U241</f>
        <v>8.0831854920000001</v>
      </c>
      <c r="P241" s="1">
        <f t="shared" si="18"/>
        <v>4.5213218519999998</v>
      </c>
      <c r="Q241" s="1">
        <f>'Paste cell here'!V241</f>
        <v>0</v>
      </c>
      <c r="R241" s="1">
        <f t="shared" si="19"/>
        <v>1.3628000239407356E-7</v>
      </c>
      <c r="S241" s="7">
        <f>Sintesi!$C$30</f>
        <v>8.3099999999999993E-2</v>
      </c>
      <c r="T241" s="7">
        <f>Sintesi!$C$29</f>
        <v>0.229209</v>
      </c>
      <c r="U241" s="5">
        <f>O241/(Sintesi!$C$5*1000)</f>
        <v>8.0831854920000001E-2</v>
      </c>
      <c r="V241" s="1">
        <f t="shared" si="15"/>
        <v>0.14610899999999999</v>
      </c>
      <c r="W241" s="1">
        <v>0.51517753395444699</v>
      </c>
      <c r="X241" s="1">
        <f t="shared" si="16"/>
        <v>7.5272074308550291E-2</v>
      </c>
      <c r="Y241" s="1">
        <f t="shared" si="17"/>
        <v>0.15393692569144971</v>
      </c>
      <c r="Z241" s="1">
        <f>'Paste cellinfo here'!$B$11</f>
        <v>0.51802400000000004</v>
      </c>
    </row>
    <row r="242" spans="1:26">
      <c r="A242" s="1">
        <v>241</v>
      </c>
      <c r="B242" s="2">
        <f>DATE(Sintesi!$C$4-1,12,31)+A242</f>
        <v>44437</v>
      </c>
      <c r="C242" s="1">
        <f>'Paste cell here'!B242</f>
        <v>0</v>
      </c>
      <c r="D242" s="1">
        <f>'Paste cell here'!I242</f>
        <v>0</v>
      </c>
      <c r="E242" s="1">
        <f>'Paste cell here'!J242</f>
        <v>0</v>
      </c>
      <c r="F242" s="1">
        <f>'Paste cell here'!K242</f>
        <v>0</v>
      </c>
      <c r="G242" s="1">
        <f>'Paste cell here'!L242</f>
        <v>0</v>
      </c>
      <c r="H242" s="1">
        <f>'Paste cell here'!M242</f>
        <v>0</v>
      </c>
      <c r="I242" s="1">
        <f>'Paste cell here'!N242</f>
        <v>0</v>
      </c>
      <c r="J242" s="1">
        <f>'Paste cell here'!O242</f>
        <v>0</v>
      </c>
      <c r="K242" s="1">
        <f>'Paste cell here'!Q242</f>
        <v>1.436728937</v>
      </c>
      <c r="L242" s="1">
        <f>'Paste cell here'!S242</f>
        <v>0</v>
      </c>
      <c r="M242" s="1">
        <f>'Paste cell here'!T242</f>
        <v>1.4100000000000001E-8</v>
      </c>
      <c r="N242" s="1">
        <f>'Paste cell here'!W242</f>
        <v>0</v>
      </c>
      <c r="O242" s="1">
        <f>'Paste cell here'!U242</f>
        <v>6.6464565410000001</v>
      </c>
      <c r="P242" s="1">
        <f t="shared" si="18"/>
        <v>8.0831854920000001</v>
      </c>
      <c r="Q242" s="1">
        <f>'Paste cell here'!V242</f>
        <v>0</v>
      </c>
      <c r="R242" s="1">
        <f t="shared" si="19"/>
        <v>1.000000082740371E-10</v>
      </c>
      <c r="S242" s="7">
        <f>Sintesi!$C$30</f>
        <v>8.3099999999999993E-2</v>
      </c>
      <c r="T242" s="7">
        <f>Sintesi!$C$29</f>
        <v>0.229209</v>
      </c>
      <c r="U242" s="5">
        <f>O242/(Sintesi!$C$5*1000)</f>
        <v>6.6464565409999996E-2</v>
      </c>
      <c r="V242" s="1">
        <f t="shared" si="15"/>
        <v>0.14610899999999999</v>
      </c>
      <c r="W242" s="1">
        <v>0.531477092191871</v>
      </c>
      <c r="X242" s="1">
        <f t="shared" si="16"/>
        <v>7.7653586463062071E-2</v>
      </c>
      <c r="Y242" s="1">
        <f t="shared" si="17"/>
        <v>0.15155541353693791</v>
      </c>
      <c r="Z242" s="1">
        <f>'Paste cellinfo here'!$B$11</f>
        <v>0.51802400000000004</v>
      </c>
    </row>
    <row r="243" spans="1:26">
      <c r="A243" s="1">
        <v>242</v>
      </c>
      <c r="B243" s="2">
        <f>DATE(Sintesi!$C$4-1,12,31)+A243</f>
        <v>44438</v>
      </c>
      <c r="C243" s="1">
        <f>'Paste cell here'!B243</f>
        <v>0</v>
      </c>
      <c r="D243" s="1">
        <f>'Paste cell here'!I243</f>
        <v>0</v>
      </c>
      <c r="E243" s="1">
        <f>'Paste cell here'!J243</f>
        <v>0</v>
      </c>
      <c r="F243" s="1">
        <f>'Paste cell here'!K243</f>
        <v>0</v>
      </c>
      <c r="G243" s="1">
        <f>'Paste cell here'!L243</f>
        <v>0</v>
      </c>
      <c r="H243" s="1">
        <f>'Paste cell here'!M243</f>
        <v>0</v>
      </c>
      <c r="I243" s="1">
        <f>'Paste cell here'!N243</f>
        <v>0</v>
      </c>
      <c r="J243" s="1">
        <f>'Paste cell here'!O243</f>
        <v>0</v>
      </c>
      <c r="K243" s="1">
        <f>'Paste cell here'!Q243</f>
        <v>0.90326407900000005</v>
      </c>
      <c r="L243" s="1">
        <f>'Paste cell here'!S243</f>
        <v>0</v>
      </c>
      <c r="M243" s="1">
        <f>'Paste cell here'!T243</f>
        <v>7.3599999999999997E-11</v>
      </c>
      <c r="N243" s="1">
        <f>'Paste cell here'!W243</f>
        <v>0</v>
      </c>
      <c r="O243" s="1">
        <f>'Paste cell here'!U243</f>
        <v>5.7431924619999997</v>
      </c>
      <c r="P243" s="1">
        <f t="shared" si="18"/>
        <v>6.6464565410000001</v>
      </c>
      <c r="Q243" s="1">
        <f>'Paste cell here'!V243</f>
        <v>0</v>
      </c>
      <c r="R243" s="1">
        <f t="shared" si="19"/>
        <v>7.3599792926870578E-11</v>
      </c>
      <c r="S243" s="7">
        <f>Sintesi!$C$30</f>
        <v>8.3099999999999993E-2</v>
      </c>
      <c r="T243" s="7">
        <f>Sintesi!$C$29</f>
        <v>0.229209</v>
      </c>
      <c r="U243" s="5">
        <f>O243/(Sintesi!$C$5*1000)</f>
        <v>5.7431924619999998E-2</v>
      </c>
      <c r="V243" s="1">
        <f t="shared" si="15"/>
        <v>0.14610899999999999</v>
      </c>
      <c r="W243" s="1">
        <v>0.50404672929994099</v>
      </c>
      <c r="X243" s="1">
        <f t="shared" si="16"/>
        <v>7.3645763571285078E-2</v>
      </c>
      <c r="Y243" s="1">
        <f t="shared" si="17"/>
        <v>0.15556323642871492</v>
      </c>
      <c r="Z243" s="1">
        <f>'Paste cellinfo here'!$B$11</f>
        <v>0.51802400000000004</v>
      </c>
    </row>
    <row r="244" spans="1:26">
      <c r="A244" s="1">
        <v>243</v>
      </c>
      <c r="B244" s="2">
        <f>DATE(Sintesi!$C$4-1,12,31)+A244</f>
        <v>44439</v>
      </c>
      <c r="C244" s="1">
        <f>'Paste cell here'!B244</f>
        <v>0.36970363499999997</v>
      </c>
      <c r="D244" s="1">
        <f>'Paste cell here'!I244</f>
        <v>0</v>
      </c>
      <c r="E244" s="1">
        <f>'Paste cell here'!J244</f>
        <v>0.36970363499999997</v>
      </c>
      <c r="F244" s="1">
        <f>'Paste cell here'!K244</f>
        <v>0.36970363499999997</v>
      </c>
      <c r="G244" s="1">
        <f>'Paste cell here'!L244</f>
        <v>0.36970363499999997</v>
      </c>
      <c r="H244" s="1">
        <f>'Paste cell here'!M244</f>
        <v>0</v>
      </c>
      <c r="I244" s="1">
        <f>'Paste cell here'!N244</f>
        <v>0</v>
      </c>
      <c r="J244" s="1">
        <f>'Paste cell here'!O244</f>
        <v>0.369703646</v>
      </c>
      <c r="K244" s="1">
        <f>'Paste cell here'!Q244</f>
        <v>0.61613622599999995</v>
      </c>
      <c r="L244" s="1">
        <f>'Paste cell here'!S244</f>
        <v>0</v>
      </c>
      <c r="M244" s="1">
        <f>'Paste cell here'!T244</f>
        <v>3.2900000000000001E-13</v>
      </c>
      <c r="N244" s="1">
        <f>'Paste cell here'!W244</f>
        <v>0</v>
      </c>
      <c r="O244" s="1">
        <f>'Paste cell here'!U244</f>
        <v>5.4967598830000002</v>
      </c>
      <c r="P244" s="1">
        <f t="shared" si="18"/>
        <v>5.7431924619999997</v>
      </c>
      <c r="Q244" s="1">
        <f>'Paste cell here'!V244</f>
        <v>0</v>
      </c>
      <c r="R244" s="1">
        <f t="shared" si="19"/>
        <v>1.2000329618899741E-8</v>
      </c>
      <c r="S244" s="7">
        <f>Sintesi!$C$30</f>
        <v>8.3099999999999993E-2</v>
      </c>
      <c r="T244" s="7">
        <f>Sintesi!$C$29</f>
        <v>0.229209</v>
      </c>
      <c r="U244" s="5">
        <f>O244/(Sintesi!$C$5*1000)</f>
        <v>5.4967598829999999E-2</v>
      </c>
      <c r="V244" s="1">
        <f t="shared" si="15"/>
        <v>0.14610899999999999</v>
      </c>
      <c r="W244" s="1">
        <v>0.50978162821000605</v>
      </c>
      <c r="X244" s="1">
        <f t="shared" si="16"/>
        <v>7.4483683916135773E-2</v>
      </c>
      <c r="Y244" s="1">
        <f t="shared" si="17"/>
        <v>0.15472531608386422</v>
      </c>
      <c r="Z244" s="1">
        <f>'Paste cellinfo here'!$B$11</f>
        <v>0.51802400000000004</v>
      </c>
    </row>
    <row r="245" spans="1:26">
      <c r="A245" s="1">
        <v>244</v>
      </c>
      <c r="B245" s="2">
        <f>DATE(Sintesi!$C$4-1,12,31)+A245</f>
        <v>44440</v>
      </c>
      <c r="C245" s="1">
        <f>'Paste cell here'!B245</f>
        <v>1.9599999999999999E-2</v>
      </c>
      <c r="D245" s="1">
        <f>'Paste cell here'!I245</f>
        <v>0</v>
      </c>
      <c r="E245" s="1">
        <f>'Paste cell here'!J245</f>
        <v>1.9599999999999999E-2</v>
      </c>
      <c r="F245" s="1">
        <f>'Paste cell here'!K245</f>
        <v>1.9599999999999999E-2</v>
      </c>
      <c r="G245" s="1">
        <f>'Paste cell here'!L245</f>
        <v>1.9599999999999999E-2</v>
      </c>
      <c r="H245" s="1">
        <f>'Paste cell here'!M245</f>
        <v>0</v>
      </c>
      <c r="I245" s="1">
        <f>'Paste cell here'!N245</f>
        <v>0</v>
      </c>
      <c r="J245" s="1">
        <f>'Paste cell here'!O245</f>
        <v>1.9599999999999999E-2</v>
      </c>
      <c r="K245" s="1">
        <f>'Paste cell here'!Q245</f>
        <v>0.49539248800000002</v>
      </c>
      <c r="L245" s="1">
        <f>'Paste cell here'!S245</f>
        <v>0</v>
      </c>
      <c r="M245" s="1">
        <f>'Paste cell here'!T245</f>
        <v>1.0099999999999999E-14</v>
      </c>
      <c r="N245" s="1">
        <f>'Paste cell here'!W245</f>
        <v>0</v>
      </c>
      <c r="O245" s="1">
        <f>'Paste cell here'!U245</f>
        <v>5.0209572400000004</v>
      </c>
      <c r="P245" s="1">
        <f t="shared" si="18"/>
        <v>5.4967598830000002</v>
      </c>
      <c r="Q245" s="1">
        <f>'Paste cell here'!V245</f>
        <v>0</v>
      </c>
      <c r="R245" s="1">
        <f t="shared" si="19"/>
        <v>1.0154999989353541E-5</v>
      </c>
      <c r="S245" s="7">
        <f>Sintesi!$C$30</f>
        <v>8.3099999999999993E-2</v>
      </c>
      <c r="T245" s="7">
        <f>Sintesi!$C$29</f>
        <v>0.229209</v>
      </c>
      <c r="U245" s="5">
        <f>O245/(Sintesi!$C$5*1000)</f>
        <v>5.0209572400000006E-2</v>
      </c>
      <c r="V245" s="1">
        <f t="shared" si="15"/>
        <v>0.14610899999999999</v>
      </c>
      <c r="W245" s="1">
        <v>0.603998850668788</v>
      </c>
      <c r="X245" s="1">
        <f t="shared" si="16"/>
        <v>8.8249668072365936E-2</v>
      </c>
      <c r="Y245" s="1">
        <f t="shared" si="17"/>
        <v>0.14095933192763405</v>
      </c>
      <c r="Z245" s="1">
        <f>'Paste cellinfo here'!$B$11</f>
        <v>0.51802400000000004</v>
      </c>
    </row>
    <row r="246" spans="1:26">
      <c r="A246" s="1">
        <v>245</v>
      </c>
      <c r="B246" s="2">
        <f>DATE(Sintesi!$C$4-1,12,31)+A246</f>
        <v>44441</v>
      </c>
      <c r="C246" s="1">
        <f>'Paste cell here'!B246</f>
        <v>0</v>
      </c>
      <c r="D246" s="1">
        <f>'Paste cell here'!I246</f>
        <v>0</v>
      </c>
      <c r="E246" s="1">
        <f>'Paste cell here'!J246</f>
        <v>0</v>
      </c>
      <c r="F246" s="1">
        <f>'Paste cell here'!K246</f>
        <v>0</v>
      </c>
      <c r="G246" s="1">
        <f>'Paste cell here'!L246</f>
        <v>0</v>
      </c>
      <c r="H246" s="1">
        <f>'Paste cell here'!M246</f>
        <v>0</v>
      </c>
      <c r="I246" s="1">
        <f>'Paste cell here'!N246</f>
        <v>0</v>
      </c>
      <c r="J246" s="1">
        <f>'Paste cell here'!O246</f>
        <v>0</v>
      </c>
      <c r="K246" s="1">
        <f>'Paste cell here'!Q246</f>
        <v>0.33550313599999998</v>
      </c>
      <c r="L246" s="1">
        <f>'Paste cell here'!S246</f>
        <v>0</v>
      </c>
      <c r="M246" s="1">
        <f>'Paste cell here'!T246</f>
        <v>2.2800000000000001E-19</v>
      </c>
      <c r="N246" s="1">
        <f>'Paste cell here'!W246</f>
        <v>0</v>
      </c>
      <c r="O246" s="1">
        <f>'Paste cell here'!U246</f>
        <v>4.6854541039999997</v>
      </c>
      <c r="P246" s="1">
        <f t="shared" si="18"/>
        <v>5.0209572400000004</v>
      </c>
      <c r="Q246" s="1">
        <f>'Paste cell here'!V246</f>
        <v>0</v>
      </c>
      <c r="R246" s="1">
        <f t="shared" si="19"/>
        <v>8.8817841970012523E-16</v>
      </c>
      <c r="S246" s="7">
        <f>Sintesi!$C$30</f>
        <v>8.3099999999999993E-2</v>
      </c>
      <c r="T246" s="7">
        <f>Sintesi!$C$29</f>
        <v>0.229209</v>
      </c>
      <c r="U246" s="5">
        <f>O246/(Sintesi!$C$5*1000)</f>
        <v>4.6854541039999996E-2</v>
      </c>
      <c r="V246" s="1">
        <f t="shared" si="15"/>
        <v>0.14610899999999999</v>
      </c>
      <c r="W246" s="1">
        <v>0.51732653275103002</v>
      </c>
      <c r="X246" s="1">
        <f t="shared" si="16"/>
        <v>7.5586062373720245E-2</v>
      </c>
      <c r="Y246" s="1">
        <f t="shared" si="17"/>
        <v>0.15362293762627977</v>
      </c>
      <c r="Z246" s="1">
        <f>'Paste cellinfo here'!$B$11</f>
        <v>0.51802400000000004</v>
      </c>
    </row>
    <row r="247" spans="1:26">
      <c r="A247" s="1">
        <v>246</v>
      </c>
      <c r="B247" s="2">
        <f>DATE(Sintesi!$C$4-1,12,31)+A247</f>
        <v>44442</v>
      </c>
      <c r="C247" s="1">
        <f>'Paste cell here'!B247</f>
        <v>0</v>
      </c>
      <c r="D247" s="1">
        <f>'Paste cell here'!I247</f>
        <v>0</v>
      </c>
      <c r="E247" s="1">
        <f>'Paste cell here'!J247</f>
        <v>0</v>
      </c>
      <c r="F247" s="1">
        <f>'Paste cell here'!K247</f>
        <v>0</v>
      </c>
      <c r="G247" s="1">
        <f>'Paste cell here'!L247</f>
        <v>0</v>
      </c>
      <c r="H247" s="1">
        <f>'Paste cell here'!M247</f>
        <v>0</v>
      </c>
      <c r="I247" s="1">
        <f>'Paste cell here'!N247</f>
        <v>0</v>
      </c>
      <c r="J247" s="1">
        <f>'Paste cell here'!O247</f>
        <v>0</v>
      </c>
      <c r="K247" s="1">
        <f>'Paste cell here'!Q247</f>
        <v>0.187237608</v>
      </c>
      <c r="L247" s="1">
        <f>'Paste cell here'!S247</f>
        <v>0</v>
      </c>
      <c r="M247" s="1">
        <f>'Paste cell here'!T247</f>
        <v>0</v>
      </c>
      <c r="N247" s="1">
        <f>'Paste cell here'!W247</f>
        <v>0</v>
      </c>
      <c r="O247" s="1">
        <f>'Paste cell here'!U247</f>
        <v>4.4982164960000004</v>
      </c>
      <c r="P247" s="1">
        <f t="shared" si="18"/>
        <v>4.6854541039999997</v>
      </c>
      <c r="Q247" s="1">
        <f>'Paste cell here'!V247</f>
        <v>0</v>
      </c>
      <c r="R247" s="1">
        <f t="shared" si="19"/>
        <v>8.8817841970012523E-16</v>
      </c>
      <c r="S247" s="7">
        <f>Sintesi!$C$30</f>
        <v>8.3099999999999993E-2</v>
      </c>
      <c r="T247" s="7">
        <f>Sintesi!$C$29</f>
        <v>0.229209</v>
      </c>
      <c r="U247" s="5">
        <f>O247/(Sintesi!$C$5*1000)</f>
        <v>4.4982164960000001E-2</v>
      </c>
      <c r="V247" s="1">
        <f t="shared" si="15"/>
        <v>0.14610899999999999</v>
      </c>
      <c r="W247" s="1">
        <v>0.55644632564566598</v>
      </c>
      <c r="X247" s="1">
        <f t="shared" si="16"/>
        <v>8.1301816193762602E-2</v>
      </c>
      <c r="Y247" s="1">
        <f t="shared" si="17"/>
        <v>0.14790718380623741</v>
      </c>
      <c r="Z247" s="1">
        <f>'Paste cellinfo here'!$B$11</f>
        <v>0.51802400000000004</v>
      </c>
    </row>
    <row r="248" spans="1:26">
      <c r="A248" s="1">
        <v>247</v>
      </c>
      <c r="B248" s="2">
        <f>DATE(Sintesi!$C$4-1,12,31)+A248</f>
        <v>44443</v>
      </c>
      <c r="C248" s="1">
        <f>'Paste cell here'!B248</f>
        <v>0</v>
      </c>
      <c r="D248" s="1">
        <f>'Paste cell here'!I248</f>
        <v>0</v>
      </c>
      <c r="E248" s="1">
        <f>'Paste cell here'!J248</f>
        <v>0</v>
      </c>
      <c r="F248" s="1">
        <f>'Paste cell here'!K248</f>
        <v>0</v>
      </c>
      <c r="G248" s="1">
        <f>'Paste cell here'!L248</f>
        <v>0</v>
      </c>
      <c r="H248" s="1">
        <f>'Paste cell here'!M248</f>
        <v>0</v>
      </c>
      <c r="I248" s="1">
        <f>'Paste cell here'!N248</f>
        <v>0</v>
      </c>
      <c r="J248" s="1">
        <f>'Paste cell here'!O248</f>
        <v>0</v>
      </c>
      <c r="K248" s="1">
        <f>'Paste cell here'!Q248</f>
        <v>0.116572418</v>
      </c>
      <c r="L248" s="1">
        <f>'Paste cell here'!S248</f>
        <v>0</v>
      </c>
      <c r="M248" s="1">
        <f>'Paste cell here'!T248</f>
        <v>0</v>
      </c>
      <c r="N248" s="1">
        <f>'Paste cell here'!W248</f>
        <v>0</v>
      </c>
      <c r="O248" s="1">
        <f>'Paste cell here'!U248</f>
        <v>4.3816440779999999</v>
      </c>
      <c r="P248" s="1">
        <f t="shared" si="18"/>
        <v>4.4982164960000004</v>
      </c>
      <c r="Q248" s="1">
        <f>'Paste cell here'!V248</f>
        <v>0</v>
      </c>
      <c r="R248" s="1">
        <f t="shared" si="19"/>
        <v>8.8817841970012523E-16</v>
      </c>
      <c r="S248" s="7">
        <f>Sintesi!$C$30</f>
        <v>8.3099999999999993E-2</v>
      </c>
      <c r="T248" s="7">
        <f>Sintesi!$C$29</f>
        <v>0.229209</v>
      </c>
      <c r="U248" s="5">
        <f>O248/(Sintesi!$C$5*1000)</f>
        <v>4.381644078E-2</v>
      </c>
      <c r="V248" s="1">
        <f t="shared" si="15"/>
        <v>0.14610899999999999</v>
      </c>
      <c r="W248" s="1">
        <v>0.50379745903999495</v>
      </c>
      <c r="X248" s="1">
        <f t="shared" si="16"/>
        <v>7.360934294287462E-2</v>
      </c>
      <c r="Y248" s="1">
        <f t="shared" si="17"/>
        <v>0.15559965705712536</v>
      </c>
      <c r="Z248" s="1">
        <f>'Paste cellinfo here'!$B$11</f>
        <v>0.51802400000000004</v>
      </c>
    </row>
    <row r="249" spans="1:26">
      <c r="A249" s="1">
        <v>248</v>
      </c>
      <c r="B249" s="2">
        <f>DATE(Sintesi!$C$4-1,12,31)+A249</f>
        <v>44444</v>
      </c>
      <c r="C249" s="1">
        <f>'Paste cell here'!B249</f>
        <v>0</v>
      </c>
      <c r="D249" s="1">
        <f>'Paste cell here'!I249</f>
        <v>0</v>
      </c>
      <c r="E249" s="1">
        <f>'Paste cell here'!J249</f>
        <v>0</v>
      </c>
      <c r="F249" s="1">
        <f>'Paste cell here'!K249</f>
        <v>0</v>
      </c>
      <c r="G249" s="1">
        <f>'Paste cell here'!L249</f>
        <v>0</v>
      </c>
      <c r="H249" s="1">
        <f>'Paste cell here'!M249</f>
        <v>0</v>
      </c>
      <c r="I249" s="1">
        <f>'Paste cell here'!N249</f>
        <v>0</v>
      </c>
      <c r="J249" s="1">
        <f>'Paste cell here'!O249</f>
        <v>0</v>
      </c>
      <c r="K249" s="1">
        <f>'Paste cell here'!Q249</f>
        <v>7.9299999999999995E-2</v>
      </c>
      <c r="L249" s="1">
        <f>'Paste cell here'!S249</f>
        <v>0</v>
      </c>
      <c r="M249" s="1">
        <f>'Paste cell here'!T249</f>
        <v>0</v>
      </c>
      <c r="N249" s="1">
        <f>'Paste cell here'!W249</f>
        <v>0</v>
      </c>
      <c r="O249" s="1">
        <f>'Paste cell here'!U249</f>
        <v>4.3023270269999996</v>
      </c>
      <c r="P249" s="1">
        <f t="shared" si="18"/>
        <v>4.3816440779999999</v>
      </c>
      <c r="Q249" s="1">
        <f>'Paste cell here'!V249</f>
        <v>0</v>
      </c>
      <c r="R249" s="1">
        <f t="shared" si="19"/>
        <v>1.7051000000378735E-5</v>
      </c>
      <c r="S249" s="7">
        <f>Sintesi!$C$30</f>
        <v>8.3099999999999993E-2</v>
      </c>
      <c r="T249" s="7">
        <f>Sintesi!$C$29</f>
        <v>0.229209</v>
      </c>
      <c r="U249" s="5">
        <f>O249/(Sintesi!$C$5*1000)</f>
        <v>4.3023270269999997E-2</v>
      </c>
      <c r="V249" s="1">
        <f t="shared" si="15"/>
        <v>0.14610899999999999</v>
      </c>
      <c r="W249" s="1">
        <v>0.53796455837561696</v>
      </c>
      <c r="X249" s="1">
        <f t="shared" si="16"/>
        <v>7.8601463659703011E-2</v>
      </c>
      <c r="Y249" s="1">
        <f t="shared" si="17"/>
        <v>0.150607536340297</v>
      </c>
      <c r="Z249" s="1">
        <f>'Paste cellinfo here'!$B$11</f>
        <v>0.51802400000000004</v>
      </c>
    </row>
    <row r="250" spans="1:26">
      <c r="A250" s="1">
        <v>249</v>
      </c>
      <c r="B250" s="2">
        <f>DATE(Sintesi!$C$4-1,12,31)+A250</f>
        <v>44445</v>
      </c>
      <c r="C250" s="1">
        <f>'Paste cell here'!B250</f>
        <v>0</v>
      </c>
      <c r="D250" s="1">
        <f>'Paste cell here'!I250</f>
        <v>0</v>
      </c>
      <c r="E250" s="1">
        <f>'Paste cell here'!J250</f>
        <v>0</v>
      </c>
      <c r="F250" s="1">
        <f>'Paste cell here'!K250</f>
        <v>0</v>
      </c>
      <c r="G250" s="1">
        <f>'Paste cell here'!L250</f>
        <v>0</v>
      </c>
      <c r="H250" s="1">
        <f>'Paste cell here'!M250</f>
        <v>0</v>
      </c>
      <c r="I250" s="1">
        <f>'Paste cell here'!N250</f>
        <v>0</v>
      </c>
      <c r="J250" s="1">
        <f>'Paste cell here'!O250</f>
        <v>0</v>
      </c>
      <c r="K250" s="1">
        <f>'Paste cell here'!Q250</f>
        <v>5.2900000000000003E-2</v>
      </c>
      <c r="L250" s="1">
        <f>'Paste cell here'!S250</f>
        <v>0</v>
      </c>
      <c r="M250" s="1">
        <f>'Paste cell here'!T250</f>
        <v>0</v>
      </c>
      <c r="N250" s="1">
        <f>'Paste cell here'!W250</f>
        <v>0</v>
      </c>
      <c r="O250" s="1">
        <f>'Paste cell here'!U250</f>
        <v>4.2493839409999996</v>
      </c>
      <c r="P250" s="1">
        <f t="shared" si="18"/>
        <v>4.3023270269999996</v>
      </c>
      <c r="Q250" s="1">
        <f>'Paste cell here'!V250</f>
        <v>0</v>
      </c>
      <c r="R250" s="1">
        <f t="shared" si="19"/>
        <v>4.3085999999803448E-5</v>
      </c>
      <c r="S250" s="7">
        <f>Sintesi!$C$30</f>
        <v>8.3099999999999993E-2</v>
      </c>
      <c r="T250" s="7">
        <f>Sintesi!$C$29</f>
        <v>0.229209</v>
      </c>
      <c r="U250" s="5">
        <f>O250/(Sintesi!$C$5*1000)</f>
        <v>4.2493839409999998E-2</v>
      </c>
      <c r="V250" s="1">
        <f t="shared" si="15"/>
        <v>0.14610899999999999</v>
      </c>
      <c r="W250" s="1">
        <v>0.53438277290438596</v>
      </c>
      <c r="X250" s="1">
        <f t="shared" si="16"/>
        <v>7.8078132566286929E-2</v>
      </c>
      <c r="Y250" s="1">
        <f t="shared" si="17"/>
        <v>0.15113086743371307</v>
      </c>
      <c r="Z250" s="1">
        <f>'Paste cellinfo here'!$B$11</f>
        <v>0.51802400000000004</v>
      </c>
    </row>
    <row r="251" spans="1:26">
      <c r="A251" s="1">
        <v>250</v>
      </c>
      <c r="B251" s="2">
        <f>DATE(Sintesi!$C$4-1,12,31)+A251</f>
        <v>44446</v>
      </c>
      <c r="C251" s="1">
        <f>'Paste cell here'!B251</f>
        <v>0</v>
      </c>
      <c r="D251" s="1">
        <f>'Paste cell here'!I251</f>
        <v>0</v>
      </c>
      <c r="E251" s="1">
        <f>'Paste cell here'!J251</f>
        <v>0</v>
      </c>
      <c r="F251" s="1">
        <f>'Paste cell here'!K251</f>
        <v>0</v>
      </c>
      <c r="G251" s="1">
        <f>'Paste cell here'!L251</f>
        <v>0</v>
      </c>
      <c r="H251" s="1">
        <f>'Paste cell here'!M251</f>
        <v>0</v>
      </c>
      <c r="I251" s="1">
        <f>'Paste cell here'!N251</f>
        <v>0</v>
      </c>
      <c r="J251" s="1">
        <f>'Paste cell here'!O251</f>
        <v>0</v>
      </c>
      <c r="K251" s="1">
        <f>'Paste cell here'!Q251</f>
        <v>3.3000000000000002E-2</v>
      </c>
      <c r="L251" s="1">
        <f>'Paste cell here'!S251</f>
        <v>0</v>
      </c>
      <c r="M251" s="1">
        <f>'Paste cell here'!T251</f>
        <v>0</v>
      </c>
      <c r="N251" s="1">
        <f>'Paste cell here'!W251</f>
        <v>0</v>
      </c>
      <c r="O251" s="1">
        <f>'Paste cell here'!U251</f>
        <v>4.2164068940000003</v>
      </c>
      <c r="P251" s="1">
        <f t="shared" si="18"/>
        <v>4.2493839409999996</v>
      </c>
      <c r="Q251" s="1">
        <f>'Paste cell here'!V251</f>
        <v>0</v>
      </c>
      <c r="R251" s="1">
        <f t="shared" si="19"/>
        <v>2.2953000001102453E-5</v>
      </c>
      <c r="S251" s="7">
        <f>Sintesi!$C$30</f>
        <v>8.3099999999999993E-2</v>
      </c>
      <c r="T251" s="7">
        <f>Sintesi!$C$29</f>
        <v>0.229209</v>
      </c>
      <c r="U251" s="5">
        <f>O251/(Sintesi!$C$5*1000)</f>
        <v>4.216406894E-2</v>
      </c>
      <c r="V251" s="1">
        <f t="shared" si="15"/>
        <v>0.14610899999999999</v>
      </c>
      <c r="W251" s="1">
        <v>0.57912295636045796</v>
      </c>
      <c r="X251" s="1">
        <f t="shared" si="16"/>
        <v>8.4615076030870151E-2</v>
      </c>
      <c r="Y251" s="1">
        <f t="shared" si="17"/>
        <v>0.14459392396912985</v>
      </c>
      <c r="Z251" s="1">
        <f>'Paste cellinfo here'!$B$11</f>
        <v>0.51802400000000004</v>
      </c>
    </row>
    <row r="252" spans="1:26">
      <c r="A252" s="1">
        <v>251</v>
      </c>
      <c r="B252" s="2">
        <f>DATE(Sintesi!$C$4-1,12,31)+A252</f>
        <v>44447</v>
      </c>
      <c r="C252" s="1">
        <f>'Paste cell here'!B252</f>
        <v>0</v>
      </c>
      <c r="D252" s="1">
        <f>'Paste cell here'!I252</f>
        <v>0</v>
      </c>
      <c r="E252" s="1">
        <f>'Paste cell here'!J252</f>
        <v>0</v>
      </c>
      <c r="F252" s="1">
        <f>'Paste cell here'!K252</f>
        <v>0</v>
      </c>
      <c r="G252" s="1">
        <f>'Paste cell here'!L252</f>
        <v>0</v>
      </c>
      <c r="H252" s="1">
        <f>'Paste cell here'!M252</f>
        <v>0</v>
      </c>
      <c r="I252" s="1">
        <f>'Paste cell here'!N252</f>
        <v>0</v>
      </c>
      <c r="J252" s="1">
        <f>'Paste cell here'!O252</f>
        <v>0</v>
      </c>
      <c r="K252" s="1">
        <f>'Paste cell here'!Q252</f>
        <v>2.2100000000000002E-2</v>
      </c>
      <c r="L252" s="1">
        <f>'Paste cell here'!S252</f>
        <v>0</v>
      </c>
      <c r="M252" s="1">
        <f>'Paste cell here'!T252</f>
        <v>0</v>
      </c>
      <c r="N252" s="1">
        <f>'Paste cell here'!W252</f>
        <v>0</v>
      </c>
      <c r="O252" s="1">
        <f>'Paste cell here'!U252</f>
        <v>4.1943450860000002</v>
      </c>
      <c r="P252" s="1">
        <f t="shared" si="18"/>
        <v>4.2164068940000003</v>
      </c>
      <c r="Q252" s="1">
        <f>'Paste cell here'!V252</f>
        <v>0</v>
      </c>
      <c r="R252" s="1">
        <f t="shared" si="19"/>
        <v>3.8191999999881432E-5</v>
      </c>
      <c r="S252" s="7">
        <f>Sintesi!$C$30</f>
        <v>8.3099999999999993E-2</v>
      </c>
      <c r="T252" s="7">
        <f>Sintesi!$C$29</f>
        <v>0.229209</v>
      </c>
      <c r="U252" s="5">
        <f>O252/(Sintesi!$C$5*1000)</f>
        <v>4.1943450860000002E-2</v>
      </c>
      <c r="V252" s="1">
        <f t="shared" si="15"/>
        <v>0.14610899999999999</v>
      </c>
      <c r="W252" s="1">
        <v>0.56576453846738095</v>
      </c>
      <c r="X252" s="1">
        <f t="shared" si="16"/>
        <v>8.2663290950930557E-2</v>
      </c>
      <c r="Y252" s="1">
        <f t="shared" si="17"/>
        <v>0.14654570904906944</v>
      </c>
      <c r="Z252" s="1">
        <f>'Paste cellinfo here'!$B$11</f>
        <v>0.51802400000000004</v>
      </c>
    </row>
    <row r="253" spans="1:26">
      <c r="A253" s="1">
        <v>252</v>
      </c>
      <c r="B253" s="2">
        <f>DATE(Sintesi!$C$4-1,12,31)+A253</f>
        <v>44448</v>
      </c>
      <c r="C253" s="1">
        <f>'Paste cell here'!B253</f>
        <v>0</v>
      </c>
      <c r="D253" s="1">
        <f>'Paste cell here'!I253</f>
        <v>0</v>
      </c>
      <c r="E253" s="1">
        <f>'Paste cell here'!J253</f>
        <v>0</v>
      </c>
      <c r="F253" s="1">
        <f>'Paste cell here'!K253</f>
        <v>0</v>
      </c>
      <c r="G253" s="1">
        <f>'Paste cell here'!L253</f>
        <v>0</v>
      </c>
      <c r="H253" s="1">
        <f>'Paste cell here'!M253</f>
        <v>0</v>
      </c>
      <c r="I253" s="1">
        <f>'Paste cell here'!N253</f>
        <v>0</v>
      </c>
      <c r="J253" s="1">
        <f>'Paste cell here'!O253</f>
        <v>0</v>
      </c>
      <c r="K253" s="1">
        <f>'Paste cell here'!Q253</f>
        <v>1.29E-2</v>
      </c>
      <c r="L253" s="1">
        <f>'Paste cell here'!S253</f>
        <v>0</v>
      </c>
      <c r="M253" s="1">
        <f>'Paste cell here'!T253</f>
        <v>0</v>
      </c>
      <c r="N253" s="1">
        <f>'Paste cell here'!W253</f>
        <v>0</v>
      </c>
      <c r="O253" s="1">
        <f>'Paste cell here'!U253</f>
        <v>4.1814849150000004</v>
      </c>
      <c r="P253" s="1">
        <f t="shared" si="18"/>
        <v>4.1943450860000002</v>
      </c>
      <c r="Q253" s="1">
        <f>'Paste cell here'!V253</f>
        <v>0</v>
      </c>
      <c r="R253" s="1">
        <f t="shared" si="19"/>
        <v>3.9829000000324299E-5</v>
      </c>
      <c r="S253" s="7">
        <f>Sintesi!$C$30</f>
        <v>8.3099999999999993E-2</v>
      </c>
      <c r="T253" s="7">
        <f>Sintesi!$C$29</f>
        <v>0.229209</v>
      </c>
      <c r="U253" s="5">
        <f>O253/(Sintesi!$C$5*1000)</f>
        <v>4.1814849150000007E-2</v>
      </c>
      <c r="V253" s="1">
        <f t="shared" si="15"/>
        <v>0.14610899999999999</v>
      </c>
      <c r="W253" s="1">
        <v>0.66707911665863495</v>
      </c>
      <c r="X253" s="1">
        <f t="shared" si="16"/>
        <v>9.746626265587649E-2</v>
      </c>
      <c r="Y253" s="1">
        <f t="shared" si="17"/>
        <v>0.13174273734412351</v>
      </c>
      <c r="Z253" s="1">
        <f>'Paste cellinfo here'!$B$11</f>
        <v>0.51802400000000004</v>
      </c>
    </row>
    <row r="254" spans="1:26">
      <c r="A254" s="1">
        <v>253</v>
      </c>
      <c r="B254" s="2">
        <f>DATE(Sintesi!$C$4-1,12,31)+A254</f>
        <v>44449</v>
      </c>
      <c r="C254" s="1">
        <f>'Paste cell here'!B254</f>
        <v>0</v>
      </c>
      <c r="D254" s="1">
        <f>'Paste cell here'!I254</f>
        <v>0</v>
      </c>
      <c r="E254" s="1">
        <f>'Paste cell here'!J254</f>
        <v>0</v>
      </c>
      <c r="F254" s="1">
        <f>'Paste cell here'!K254</f>
        <v>0</v>
      </c>
      <c r="G254" s="1">
        <f>'Paste cell here'!L254</f>
        <v>0</v>
      </c>
      <c r="H254" s="1">
        <f>'Paste cell here'!M254</f>
        <v>0</v>
      </c>
      <c r="I254" s="1">
        <f>'Paste cell here'!N254</f>
        <v>0</v>
      </c>
      <c r="J254" s="1">
        <f>'Paste cell here'!O254</f>
        <v>0</v>
      </c>
      <c r="K254" s="1">
        <f>'Paste cell here'!Q254</f>
        <v>7.5900000000000004E-3</v>
      </c>
      <c r="L254" s="1">
        <f>'Paste cell here'!S254</f>
        <v>0</v>
      </c>
      <c r="M254" s="1">
        <f>'Paste cell here'!T254</f>
        <v>0</v>
      </c>
      <c r="N254" s="1">
        <f>'Paste cell here'!W254</f>
        <v>0</v>
      </c>
      <c r="O254" s="1">
        <f>'Paste cell here'!U254</f>
        <v>4.1738930200000004</v>
      </c>
      <c r="P254" s="1">
        <f t="shared" si="18"/>
        <v>4.1814849150000004</v>
      </c>
      <c r="Q254" s="1">
        <f>'Paste cell here'!V254</f>
        <v>0</v>
      </c>
      <c r="R254" s="1">
        <f t="shared" si="19"/>
        <v>1.8949999995854228E-6</v>
      </c>
      <c r="S254" s="7">
        <f>Sintesi!$C$30</f>
        <v>8.3099999999999993E-2</v>
      </c>
      <c r="T254" s="7">
        <f>Sintesi!$C$29</f>
        <v>0.229209</v>
      </c>
      <c r="U254" s="5">
        <f>O254/(Sintesi!$C$5*1000)</f>
        <v>4.1738930200000003E-2</v>
      </c>
      <c r="V254" s="1">
        <f t="shared" si="15"/>
        <v>0.14610899999999999</v>
      </c>
      <c r="W254" s="1">
        <v>0.55037764783467402</v>
      </c>
      <c r="X254" s="1">
        <f t="shared" si="16"/>
        <v>8.0415127747476375E-2</v>
      </c>
      <c r="Y254" s="1">
        <f t="shared" si="17"/>
        <v>0.14879387225252361</v>
      </c>
      <c r="Z254" s="1">
        <f>'Paste cellinfo here'!$B$11</f>
        <v>0.51802400000000004</v>
      </c>
    </row>
    <row r="255" spans="1:26">
      <c r="A255" s="1">
        <v>254</v>
      </c>
      <c r="B255" s="2">
        <f>DATE(Sintesi!$C$4-1,12,31)+A255</f>
        <v>44450</v>
      </c>
      <c r="C255" s="1">
        <f>'Paste cell here'!B255</f>
        <v>0</v>
      </c>
      <c r="D255" s="1">
        <f>'Paste cell here'!I255</f>
        <v>0</v>
      </c>
      <c r="E255" s="1">
        <f>'Paste cell here'!J255</f>
        <v>0</v>
      </c>
      <c r="F255" s="1">
        <f>'Paste cell here'!K255</f>
        <v>0</v>
      </c>
      <c r="G255" s="1">
        <f>'Paste cell here'!L255</f>
        <v>0</v>
      </c>
      <c r="H255" s="1">
        <f>'Paste cell here'!M255</f>
        <v>0</v>
      </c>
      <c r="I255" s="1">
        <f>'Paste cell here'!N255</f>
        <v>0</v>
      </c>
      <c r="J255" s="1">
        <f>'Paste cell here'!O255</f>
        <v>0</v>
      </c>
      <c r="K255" s="1">
        <f>'Paste cell here'!Q255</f>
        <v>5.9500000000000004E-3</v>
      </c>
      <c r="L255" s="1">
        <f>'Paste cell here'!S255</f>
        <v>0</v>
      </c>
      <c r="M255" s="1">
        <f>'Paste cell here'!T255</f>
        <v>0</v>
      </c>
      <c r="N255" s="1">
        <f>'Paste cell here'!W255</f>
        <v>0</v>
      </c>
      <c r="O255" s="1">
        <f>'Paste cell here'!U255</f>
        <v>4.1679472280000001</v>
      </c>
      <c r="P255" s="1">
        <f t="shared" si="18"/>
        <v>4.1738930200000004</v>
      </c>
      <c r="Q255" s="1">
        <f>'Paste cell here'!V255</f>
        <v>0</v>
      </c>
      <c r="R255" s="1">
        <f t="shared" si="19"/>
        <v>4.2080000000055406E-6</v>
      </c>
      <c r="S255" s="7">
        <f>Sintesi!$C$30</f>
        <v>8.3099999999999993E-2</v>
      </c>
      <c r="T255" s="7">
        <f>Sintesi!$C$29</f>
        <v>0.229209</v>
      </c>
      <c r="U255" s="5">
        <f>O255/(Sintesi!$C$5*1000)</f>
        <v>4.1679472279999998E-2</v>
      </c>
      <c r="V255" s="1">
        <f t="shared" si="15"/>
        <v>0.14610899999999999</v>
      </c>
      <c r="W255" s="1">
        <v>0.56274163163174395</v>
      </c>
      <c r="X255" s="1">
        <f t="shared" si="16"/>
        <v>8.2221617056082469E-2</v>
      </c>
      <c r="Y255" s="1">
        <f t="shared" si="17"/>
        <v>0.14698738294391753</v>
      </c>
      <c r="Z255" s="1">
        <f>'Paste cellinfo here'!$B$11</f>
        <v>0.51802400000000004</v>
      </c>
    </row>
    <row r="256" spans="1:26">
      <c r="A256" s="1">
        <v>255</v>
      </c>
      <c r="B256" s="2">
        <f>DATE(Sintesi!$C$4-1,12,31)+A256</f>
        <v>44451</v>
      </c>
      <c r="C256" s="1">
        <f>'Paste cell here'!B256</f>
        <v>0</v>
      </c>
      <c r="D256" s="1">
        <f>'Paste cell here'!I256</f>
        <v>0</v>
      </c>
      <c r="E256" s="1">
        <f>'Paste cell here'!J256</f>
        <v>0</v>
      </c>
      <c r="F256" s="1">
        <f>'Paste cell here'!K256</f>
        <v>0</v>
      </c>
      <c r="G256" s="1">
        <f>'Paste cell here'!L256</f>
        <v>0</v>
      </c>
      <c r="H256" s="1">
        <f>'Paste cell here'!M256</f>
        <v>0</v>
      </c>
      <c r="I256" s="1">
        <f>'Paste cell here'!N256</f>
        <v>0</v>
      </c>
      <c r="J256" s="1">
        <f>'Paste cell here'!O256</f>
        <v>0</v>
      </c>
      <c r="K256" s="1">
        <f>'Paste cell here'!Q256</f>
        <v>3.98E-3</v>
      </c>
      <c r="L256" s="1">
        <f>'Paste cell here'!S256</f>
        <v>0</v>
      </c>
      <c r="M256" s="1">
        <f>'Paste cell here'!T256</f>
        <v>0</v>
      </c>
      <c r="N256" s="1">
        <f>'Paste cell here'!W256</f>
        <v>0</v>
      </c>
      <c r="O256" s="1">
        <f>'Paste cell here'!U256</f>
        <v>4.1639660269999998</v>
      </c>
      <c r="P256" s="1">
        <f t="shared" si="18"/>
        <v>4.1679472280000001</v>
      </c>
      <c r="Q256" s="1">
        <f>'Paste cell here'!V256</f>
        <v>0</v>
      </c>
      <c r="R256" s="1">
        <f t="shared" si="19"/>
        <v>1.2009999998952026E-6</v>
      </c>
      <c r="S256" s="7">
        <f>Sintesi!$C$30</f>
        <v>8.3099999999999993E-2</v>
      </c>
      <c r="T256" s="7">
        <f>Sintesi!$C$29</f>
        <v>0.229209</v>
      </c>
      <c r="U256" s="5">
        <f>O256/(Sintesi!$C$5*1000)</f>
        <v>4.1639660269999997E-2</v>
      </c>
      <c r="V256" s="1">
        <f t="shared" si="15"/>
        <v>0.14610899999999999</v>
      </c>
      <c r="W256" s="1">
        <v>0.55551507319272797</v>
      </c>
      <c r="X256" s="1">
        <f t="shared" si="16"/>
        <v>8.1165751829116284E-2</v>
      </c>
      <c r="Y256" s="1">
        <f t="shared" si="17"/>
        <v>0.14804324817088371</v>
      </c>
      <c r="Z256" s="1">
        <f>'Paste cellinfo here'!$B$11</f>
        <v>0.51802400000000004</v>
      </c>
    </row>
    <row r="257" spans="1:26">
      <c r="A257" s="1">
        <v>256</v>
      </c>
      <c r="B257" s="2">
        <f>DATE(Sintesi!$C$4-1,12,31)+A257</f>
        <v>44452</v>
      </c>
      <c r="C257" s="1">
        <f>'Paste cell here'!B257</f>
        <v>0</v>
      </c>
      <c r="D257" s="1">
        <f>'Paste cell here'!I257</f>
        <v>0</v>
      </c>
      <c r="E257" s="1">
        <f>'Paste cell here'!J257</f>
        <v>0</v>
      </c>
      <c r="F257" s="1">
        <f>'Paste cell here'!K257</f>
        <v>0</v>
      </c>
      <c r="G257" s="1">
        <f>'Paste cell here'!L257</f>
        <v>0</v>
      </c>
      <c r="H257" s="1">
        <f>'Paste cell here'!M257</f>
        <v>0</v>
      </c>
      <c r="I257" s="1">
        <f>'Paste cell here'!N257</f>
        <v>0</v>
      </c>
      <c r="J257" s="1">
        <f>'Paste cell here'!O257</f>
        <v>0</v>
      </c>
      <c r="K257" s="1">
        <f>'Paste cell here'!Q257</f>
        <v>2.7100000000000002E-3</v>
      </c>
      <c r="L257" s="1">
        <f>'Paste cell here'!S257</f>
        <v>0</v>
      </c>
      <c r="M257" s="1">
        <f>'Paste cell here'!T257</f>
        <v>0</v>
      </c>
      <c r="N257" s="1">
        <f>'Paste cell here'!W257</f>
        <v>0</v>
      </c>
      <c r="O257" s="1">
        <f>'Paste cell here'!U257</f>
        <v>4.1612526589999996</v>
      </c>
      <c r="P257" s="1">
        <f t="shared" si="18"/>
        <v>4.1639660269999998</v>
      </c>
      <c r="Q257" s="1">
        <f>'Paste cell here'!V257</f>
        <v>0</v>
      </c>
      <c r="R257" s="1">
        <f t="shared" si="19"/>
        <v>3.3679999997815457E-6</v>
      </c>
      <c r="S257" s="7">
        <f>Sintesi!$C$30</f>
        <v>8.3099999999999993E-2</v>
      </c>
      <c r="T257" s="7">
        <f>Sintesi!$C$29</f>
        <v>0.229209</v>
      </c>
      <c r="U257" s="5">
        <f>O257/(Sintesi!$C$5*1000)</f>
        <v>4.1612526589999997E-2</v>
      </c>
      <c r="V257" s="1">
        <f t="shared" si="15"/>
        <v>0.14610899999999999</v>
      </c>
      <c r="W257" s="1">
        <v>0.551049676833679</v>
      </c>
      <c r="X257" s="1">
        <f t="shared" si="16"/>
        <v>8.0513317232491999E-2</v>
      </c>
      <c r="Y257" s="1">
        <f t="shared" si="17"/>
        <v>0.148695682767508</v>
      </c>
      <c r="Z257" s="1">
        <f>'Paste cellinfo here'!$B$11</f>
        <v>0.51802400000000004</v>
      </c>
    </row>
    <row r="258" spans="1:26">
      <c r="A258" s="1">
        <v>257</v>
      </c>
      <c r="B258" s="2">
        <f>DATE(Sintesi!$C$4-1,12,31)+A258</f>
        <v>44453</v>
      </c>
      <c r="C258" s="1">
        <f>'Paste cell here'!B258</f>
        <v>0</v>
      </c>
      <c r="D258" s="1">
        <f>'Paste cell here'!I258</f>
        <v>0</v>
      </c>
      <c r="E258" s="1">
        <f>'Paste cell here'!J258</f>
        <v>0</v>
      </c>
      <c r="F258" s="1">
        <f>'Paste cell here'!K258</f>
        <v>0</v>
      </c>
      <c r="G258" s="1">
        <f>'Paste cell here'!L258</f>
        <v>0</v>
      </c>
      <c r="H258" s="1">
        <f>'Paste cell here'!M258</f>
        <v>0</v>
      </c>
      <c r="I258" s="1">
        <f>'Paste cell here'!N258</f>
        <v>0</v>
      </c>
      <c r="J258" s="1">
        <f>'Paste cell here'!O258</f>
        <v>0</v>
      </c>
      <c r="K258" s="1">
        <f>'Paste cell here'!Q258</f>
        <v>1.42E-3</v>
      </c>
      <c r="L258" s="1">
        <f>'Paste cell here'!S258</f>
        <v>0</v>
      </c>
      <c r="M258" s="1">
        <f>'Paste cell here'!T258</f>
        <v>0</v>
      </c>
      <c r="N258" s="1">
        <f>'Paste cell here'!W258</f>
        <v>0</v>
      </c>
      <c r="O258" s="1">
        <f>'Paste cell here'!U258</f>
        <v>4.159833796</v>
      </c>
      <c r="P258" s="1">
        <f t="shared" si="18"/>
        <v>4.1612526589999996</v>
      </c>
      <c r="Q258" s="1">
        <f>'Paste cell here'!V258</f>
        <v>0</v>
      </c>
      <c r="R258" s="1">
        <f t="shared" si="19"/>
        <v>1.1370000008170678E-6</v>
      </c>
      <c r="S258" s="7">
        <f>Sintesi!$C$30</f>
        <v>8.3099999999999993E-2</v>
      </c>
      <c r="T258" s="7">
        <f>Sintesi!$C$29</f>
        <v>0.229209</v>
      </c>
      <c r="U258" s="5">
        <f>O258/(Sintesi!$C$5*1000)</f>
        <v>4.1598337960000002E-2</v>
      </c>
      <c r="V258" s="1">
        <f t="shared" si="15"/>
        <v>0.14610899999999999</v>
      </c>
      <c r="W258" s="1">
        <v>0.54259740441127402</v>
      </c>
      <c r="X258" s="1">
        <f t="shared" si="16"/>
        <v>7.9278364161126824E-2</v>
      </c>
      <c r="Y258" s="1">
        <f t="shared" si="17"/>
        <v>0.14993063583887317</v>
      </c>
      <c r="Z258" s="1">
        <f>'Paste cellinfo here'!$B$11</f>
        <v>0.51802400000000004</v>
      </c>
    </row>
    <row r="259" spans="1:26">
      <c r="A259" s="1">
        <v>258</v>
      </c>
      <c r="B259" s="2">
        <f>DATE(Sintesi!$C$4-1,12,31)+A259</f>
        <v>44454</v>
      </c>
      <c r="C259" s="1">
        <f>'Paste cell here'!B259</f>
        <v>0</v>
      </c>
      <c r="D259" s="1">
        <f>'Paste cell here'!I259</f>
        <v>0</v>
      </c>
      <c r="E259" s="1">
        <f>'Paste cell here'!J259</f>
        <v>0</v>
      </c>
      <c r="F259" s="1">
        <f>'Paste cell here'!K259</f>
        <v>0</v>
      </c>
      <c r="G259" s="1">
        <f>'Paste cell here'!L259</f>
        <v>0</v>
      </c>
      <c r="H259" s="1">
        <f>'Paste cell here'!M259</f>
        <v>0</v>
      </c>
      <c r="I259" s="1">
        <f>'Paste cell here'!N259</f>
        <v>0</v>
      </c>
      <c r="J259" s="1">
        <f>'Paste cell here'!O259</f>
        <v>0</v>
      </c>
      <c r="K259" s="1">
        <f>'Paste cell here'!Q259</f>
        <v>9.7900000000000005E-4</v>
      </c>
      <c r="L259" s="1">
        <f>'Paste cell here'!S259</f>
        <v>0</v>
      </c>
      <c r="M259" s="1">
        <f>'Paste cell here'!T259</f>
        <v>0</v>
      </c>
      <c r="N259" s="1">
        <f>'Paste cell here'!W259</f>
        <v>0</v>
      </c>
      <c r="O259" s="1">
        <f>'Paste cell here'!U259</f>
        <v>4.1588551259999997</v>
      </c>
      <c r="P259" s="1">
        <f t="shared" si="18"/>
        <v>4.159833796</v>
      </c>
      <c r="Q259" s="1">
        <f>'Paste cell here'!V259</f>
        <v>0</v>
      </c>
      <c r="R259" s="1">
        <f t="shared" si="19"/>
        <v>3.2999999977079142E-7</v>
      </c>
      <c r="S259" s="7">
        <f>Sintesi!$C$30</f>
        <v>8.3099999999999993E-2</v>
      </c>
      <c r="T259" s="7">
        <f>Sintesi!$C$29</f>
        <v>0.229209</v>
      </c>
      <c r="U259" s="5">
        <f>O259/(Sintesi!$C$5*1000)</f>
        <v>4.1588551259999995E-2</v>
      </c>
      <c r="V259" s="1">
        <f t="shared" ref="V259:V322" si="20">T259-S259</f>
        <v>0.14610899999999999</v>
      </c>
      <c r="W259" s="1">
        <v>0.54904740486210302</v>
      </c>
      <c r="X259" s="1">
        <f t="shared" ref="X259:X322" si="21">W259*V259</f>
        <v>8.0220767276997007E-2</v>
      </c>
      <c r="Y259" s="1">
        <f t="shared" ref="Y259:Y322" si="22">T259-X259</f>
        <v>0.14898823272300299</v>
      </c>
      <c r="Z259" s="1">
        <f>'Paste cellinfo here'!$B$11</f>
        <v>0.51802400000000004</v>
      </c>
    </row>
    <row r="260" spans="1:26">
      <c r="A260" s="1">
        <v>259</v>
      </c>
      <c r="B260" s="2">
        <f>DATE(Sintesi!$C$4-1,12,31)+A260</f>
        <v>44455</v>
      </c>
      <c r="C260" s="1">
        <f>'Paste cell here'!B260</f>
        <v>21.829790289999998</v>
      </c>
      <c r="D260" s="1">
        <f>'Paste cell here'!I260</f>
        <v>0</v>
      </c>
      <c r="E260" s="1">
        <f>'Paste cell here'!J260</f>
        <v>21.829790289999998</v>
      </c>
      <c r="F260" s="1">
        <f>'Paste cell here'!K260</f>
        <v>21.829790289999998</v>
      </c>
      <c r="G260" s="1">
        <f>'Paste cell here'!L260</f>
        <v>21.829790289999998</v>
      </c>
      <c r="H260" s="1">
        <f>'Paste cell here'!M260</f>
        <v>0</v>
      </c>
      <c r="I260" s="1">
        <f>'Paste cell here'!N260</f>
        <v>0</v>
      </c>
      <c r="J260" s="1">
        <f>'Paste cell here'!O260</f>
        <v>21.829790939999999</v>
      </c>
      <c r="K260" s="1">
        <f>'Paste cell here'!Q260</f>
        <v>2.5114357589999998</v>
      </c>
      <c r="L260" s="1">
        <f>'Paste cell here'!S260</f>
        <v>0</v>
      </c>
      <c r="M260" s="1">
        <f>'Paste cell here'!T260</f>
        <v>2.1999999999999999E-2</v>
      </c>
      <c r="N260" s="1">
        <f>'Paste cell here'!W260</f>
        <v>0</v>
      </c>
      <c r="O260" s="1">
        <f>'Paste cell here'!U260</f>
        <v>23.455246580000001</v>
      </c>
      <c r="P260" s="1">
        <f t="shared" ref="P260:P323" si="23">O259</f>
        <v>4.1588551259999997</v>
      </c>
      <c r="Q260" s="1">
        <f>'Paste cell here'!V260</f>
        <v>0</v>
      </c>
      <c r="R260" s="1">
        <f t="shared" ref="R260:R323" si="24">ABS(O259+C260+D260+N260+Q259-H260-I260-K260-L260-M260-O260-Q260)</f>
        <v>3.6923000003241668E-5</v>
      </c>
      <c r="S260" s="7">
        <f>Sintesi!$C$30</f>
        <v>8.3099999999999993E-2</v>
      </c>
      <c r="T260" s="7">
        <f>Sintesi!$C$29</f>
        <v>0.229209</v>
      </c>
      <c r="U260" s="5">
        <f>O260/(Sintesi!$C$5*1000)</f>
        <v>0.2345524658</v>
      </c>
      <c r="V260" s="1">
        <f t="shared" si="20"/>
        <v>0.14610899999999999</v>
      </c>
      <c r="W260" s="1">
        <v>0.56351167686995096</v>
      </c>
      <c r="X260" s="1">
        <f t="shared" si="21"/>
        <v>8.2334127595791659E-2</v>
      </c>
      <c r="Y260" s="1">
        <f t="shared" si="22"/>
        <v>0.14687487240420832</v>
      </c>
      <c r="Z260" s="1">
        <f>'Paste cellinfo here'!$B$11</f>
        <v>0.51802400000000004</v>
      </c>
    </row>
    <row r="261" spans="1:26">
      <c r="A261" s="1">
        <v>260</v>
      </c>
      <c r="B261" s="2">
        <f>DATE(Sintesi!$C$4-1,12,31)+A261</f>
        <v>44456</v>
      </c>
      <c r="C261" s="1">
        <f>'Paste cell here'!B261</f>
        <v>0.10812306200000001</v>
      </c>
      <c r="D261" s="1">
        <f>'Paste cell here'!I261</f>
        <v>0</v>
      </c>
      <c r="E261" s="1">
        <f>'Paste cell here'!J261</f>
        <v>0.10812306200000001</v>
      </c>
      <c r="F261" s="1">
        <f>'Paste cell here'!K261</f>
        <v>0.10812306200000001</v>
      </c>
      <c r="G261" s="1">
        <f>'Paste cell here'!L261</f>
        <v>0.10812306200000001</v>
      </c>
      <c r="H261" s="1">
        <f>'Paste cell here'!M261</f>
        <v>0</v>
      </c>
      <c r="I261" s="1">
        <f>'Paste cell here'!N261</f>
        <v>0</v>
      </c>
      <c r="J261" s="1">
        <f>'Paste cell here'!O261</f>
        <v>0.108123065</v>
      </c>
      <c r="K261" s="1">
        <f>'Paste cell here'!Q261</f>
        <v>3.6830555779999998</v>
      </c>
      <c r="L261" s="1">
        <f>'Paste cell here'!S261</f>
        <v>0</v>
      </c>
      <c r="M261" s="1">
        <f>'Paste cell here'!T261</f>
        <v>0.13474074699999999</v>
      </c>
      <c r="N261" s="1">
        <f>'Paste cell here'!W261</f>
        <v>0</v>
      </c>
      <c r="O261" s="1">
        <f>'Paste cell here'!U261</f>
        <v>19.745573319999998</v>
      </c>
      <c r="P261" s="1">
        <f t="shared" si="23"/>
        <v>23.455246580000001</v>
      </c>
      <c r="Q261" s="1">
        <f>'Paste cell here'!V261</f>
        <v>0</v>
      </c>
      <c r="R261" s="1">
        <f t="shared" si="24"/>
        <v>2.9999966955074342E-9</v>
      </c>
      <c r="S261" s="7">
        <f>Sintesi!$C$30</f>
        <v>8.3099999999999993E-2</v>
      </c>
      <c r="T261" s="7">
        <f>Sintesi!$C$29</f>
        <v>0.229209</v>
      </c>
      <c r="U261" s="5">
        <f>O261/(Sintesi!$C$5*1000)</f>
        <v>0.19745573319999998</v>
      </c>
      <c r="V261" s="1">
        <f t="shared" si="20"/>
        <v>0.14610899999999999</v>
      </c>
      <c r="W261" s="1">
        <v>0.55413337156108</v>
      </c>
      <c r="X261" s="1">
        <f t="shared" si="21"/>
        <v>8.0963872785417834E-2</v>
      </c>
      <c r="Y261" s="1">
        <f t="shared" si="22"/>
        <v>0.14824512721458216</v>
      </c>
      <c r="Z261" s="1">
        <f>'Paste cellinfo here'!$B$11</f>
        <v>0.51802400000000004</v>
      </c>
    </row>
    <row r="262" spans="1:26">
      <c r="A262" s="1">
        <v>261</v>
      </c>
      <c r="B262" s="2">
        <f>DATE(Sintesi!$C$4-1,12,31)+A262</f>
        <v>44457</v>
      </c>
      <c r="C262" s="1">
        <f>'Paste cell here'!B262</f>
        <v>0.35519644299999997</v>
      </c>
      <c r="D262" s="1">
        <f>'Paste cell here'!I262</f>
        <v>0</v>
      </c>
      <c r="E262" s="1">
        <f>'Paste cell here'!J262</f>
        <v>0.35519644299999997</v>
      </c>
      <c r="F262" s="1">
        <f>'Paste cell here'!K262</f>
        <v>0.35519644299999997</v>
      </c>
      <c r="G262" s="1">
        <f>'Paste cell here'!L262</f>
        <v>0.35519644299999997</v>
      </c>
      <c r="H262" s="1">
        <f>'Paste cell here'!M262</f>
        <v>0</v>
      </c>
      <c r="I262" s="1">
        <f>'Paste cell here'!N262</f>
        <v>0</v>
      </c>
      <c r="J262" s="1">
        <f>'Paste cell here'!O262</f>
        <v>0.35519645300000002</v>
      </c>
      <c r="K262" s="1">
        <f>'Paste cell here'!Q262</f>
        <v>3.3820409740000001</v>
      </c>
      <c r="L262" s="1">
        <f>'Paste cell here'!S262</f>
        <v>0</v>
      </c>
      <c r="M262" s="1">
        <f>'Paste cell here'!T262</f>
        <v>1.8800000000000001E-2</v>
      </c>
      <c r="N262" s="1">
        <f>'Paste cell here'!W262</f>
        <v>0</v>
      </c>
      <c r="O262" s="1">
        <f>'Paste cell here'!U262</f>
        <v>16.69992469</v>
      </c>
      <c r="P262" s="1">
        <f t="shared" si="23"/>
        <v>19.745573319999998</v>
      </c>
      <c r="Q262" s="1">
        <f>'Paste cell here'!V262</f>
        <v>0</v>
      </c>
      <c r="R262" s="1">
        <f t="shared" si="24"/>
        <v>4.0990000016449812E-6</v>
      </c>
      <c r="S262" s="7">
        <f>Sintesi!$C$30</f>
        <v>8.3099999999999993E-2</v>
      </c>
      <c r="T262" s="7">
        <f>Sintesi!$C$29</f>
        <v>0.229209</v>
      </c>
      <c r="U262" s="5">
        <f>O262/(Sintesi!$C$5*1000)</f>
        <v>0.16699924690000001</v>
      </c>
      <c r="V262" s="1">
        <f t="shared" si="20"/>
        <v>0.14610899999999999</v>
      </c>
      <c r="W262" s="1">
        <v>0.55009054030992299</v>
      </c>
      <c r="X262" s="1">
        <f t="shared" si="21"/>
        <v>8.037317875414253E-2</v>
      </c>
      <c r="Y262" s="1">
        <f t="shared" si="22"/>
        <v>0.14883582124585748</v>
      </c>
      <c r="Z262" s="1">
        <f>'Paste cellinfo here'!$B$11</f>
        <v>0.51802400000000004</v>
      </c>
    </row>
    <row r="263" spans="1:26">
      <c r="A263" s="1">
        <v>262</v>
      </c>
      <c r="B263" s="2">
        <f>DATE(Sintesi!$C$4-1,12,31)+A263</f>
        <v>44458</v>
      </c>
      <c r="C263" s="1">
        <f>'Paste cell here'!B263</f>
        <v>3.0259732709999998</v>
      </c>
      <c r="D263" s="1">
        <f>'Paste cell here'!I263</f>
        <v>0</v>
      </c>
      <c r="E263" s="1">
        <f>'Paste cell here'!J263</f>
        <v>3.0259732709999998</v>
      </c>
      <c r="F263" s="1">
        <f>'Paste cell here'!K263</f>
        <v>3.0259732709999998</v>
      </c>
      <c r="G263" s="1">
        <f>'Paste cell here'!L263</f>
        <v>3.0259732709999998</v>
      </c>
      <c r="H263" s="1">
        <f>'Paste cell here'!M263</f>
        <v>0</v>
      </c>
      <c r="I263" s="1">
        <f>'Paste cell here'!N263</f>
        <v>0</v>
      </c>
      <c r="J263" s="1">
        <f>'Paste cell here'!O263</f>
        <v>3.0259733610000001</v>
      </c>
      <c r="K263" s="1">
        <f>'Paste cell here'!Q263</f>
        <v>3.2780777219999999</v>
      </c>
      <c r="L263" s="1">
        <f>'Paste cell here'!S263</f>
        <v>0</v>
      </c>
      <c r="M263" s="1">
        <f>'Paste cell here'!T263</f>
        <v>4.4799999999999996E-3</v>
      </c>
      <c r="N263" s="1">
        <f>'Paste cell here'!W263</f>
        <v>0</v>
      </c>
      <c r="O263" s="1">
        <f>'Paste cell here'!U263</f>
        <v>16.443336739999999</v>
      </c>
      <c r="P263" s="1">
        <f t="shared" si="23"/>
        <v>16.69992469</v>
      </c>
      <c r="Q263" s="1">
        <f>'Paste cell here'!V263</f>
        <v>0</v>
      </c>
      <c r="R263" s="1">
        <f t="shared" si="24"/>
        <v>3.4990000017387501E-6</v>
      </c>
      <c r="S263" s="7">
        <f>Sintesi!$C$30</f>
        <v>8.3099999999999993E-2</v>
      </c>
      <c r="T263" s="7">
        <f>Sintesi!$C$29</f>
        <v>0.229209</v>
      </c>
      <c r="U263" s="5">
        <f>O263/(Sintesi!$C$5*1000)</f>
        <v>0.1644333674</v>
      </c>
      <c r="V263" s="1">
        <f t="shared" si="20"/>
        <v>0.14610899999999999</v>
      </c>
      <c r="W263" s="1">
        <v>0.64190166004143501</v>
      </c>
      <c r="X263" s="1">
        <f t="shared" si="21"/>
        <v>9.3787609646994022E-2</v>
      </c>
      <c r="Y263" s="1">
        <f t="shared" si="22"/>
        <v>0.13542139035300599</v>
      </c>
      <c r="Z263" s="1">
        <f>'Paste cellinfo here'!$B$11</f>
        <v>0.51802400000000004</v>
      </c>
    </row>
    <row r="264" spans="1:26">
      <c r="A264" s="1">
        <v>263</v>
      </c>
      <c r="B264" s="2">
        <f>DATE(Sintesi!$C$4-1,12,31)+A264</f>
        <v>44459</v>
      </c>
      <c r="C264" s="1">
        <f>'Paste cell here'!B264</f>
        <v>13.693706949999999</v>
      </c>
      <c r="D264" s="1">
        <f>'Paste cell here'!I264</f>
        <v>0</v>
      </c>
      <c r="E264" s="1">
        <f>'Paste cell here'!J264</f>
        <v>13.693706949999999</v>
      </c>
      <c r="F264" s="1">
        <f>'Paste cell here'!K264</f>
        <v>13.693706949999999</v>
      </c>
      <c r="G264" s="1">
        <f>'Paste cell here'!L264</f>
        <v>13.68841853</v>
      </c>
      <c r="H264" s="1">
        <f>'Paste cell here'!M264</f>
        <v>0</v>
      </c>
      <c r="I264" s="1">
        <f>'Paste cell here'!N264</f>
        <v>5.2900000000000004E-3</v>
      </c>
      <c r="J264" s="1">
        <f>'Paste cell here'!O264</f>
        <v>13.68841894</v>
      </c>
      <c r="K264" s="1">
        <f>'Paste cell here'!Q264</f>
        <v>3.5740142810000002</v>
      </c>
      <c r="L264" s="1">
        <f>'Paste cell here'!S264</f>
        <v>0</v>
      </c>
      <c r="M264" s="1">
        <f>'Paste cell here'!T264</f>
        <v>0.18271288499999999</v>
      </c>
      <c r="N264" s="1">
        <f>'Paste cell here'!W264</f>
        <v>0</v>
      </c>
      <c r="O264" s="1">
        <f>'Paste cell here'!U264</f>
        <v>26.375028520000001</v>
      </c>
      <c r="P264" s="1">
        <f t="shared" si="23"/>
        <v>16.443336739999999</v>
      </c>
      <c r="Q264" s="1">
        <f>'Paste cell here'!V264</f>
        <v>0</v>
      </c>
      <c r="R264" s="1">
        <f t="shared" si="24"/>
        <v>1.9960000017249513E-6</v>
      </c>
      <c r="S264" s="7">
        <f>Sintesi!$C$30</f>
        <v>8.3099999999999993E-2</v>
      </c>
      <c r="T264" s="7">
        <f>Sintesi!$C$29</f>
        <v>0.229209</v>
      </c>
      <c r="U264" s="5">
        <f>O264/(Sintesi!$C$5*1000)</f>
        <v>0.26375028519999999</v>
      </c>
      <c r="V264" s="1">
        <f t="shared" si="20"/>
        <v>0.14610899999999999</v>
      </c>
      <c r="W264" s="1">
        <v>0.57013023812944197</v>
      </c>
      <c r="X264" s="1">
        <f t="shared" si="21"/>
        <v>8.330115896285463E-2</v>
      </c>
      <c r="Y264" s="1">
        <f t="shared" si="22"/>
        <v>0.14590784103714538</v>
      </c>
      <c r="Z264" s="1">
        <f>'Paste cellinfo here'!$B$11</f>
        <v>0.51802400000000004</v>
      </c>
    </row>
    <row r="265" spans="1:26">
      <c r="A265" s="1">
        <v>264</v>
      </c>
      <c r="B265" s="2">
        <f>DATE(Sintesi!$C$4-1,12,31)+A265</f>
        <v>44460</v>
      </c>
      <c r="C265" s="1">
        <f>'Paste cell here'!B265</f>
        <v>0.11374693</v>
      </c>
      <c r="D265" s="1">
        <f>'Paste cell here'!I265</f>
        <v>0</v>
      </c>
      <c r="E265" s="1">
        <f>'Paste cell here'!J265</f>
        <v>0.11374693</v>
      </c>
      <c r="F265" s="1">
        <f>'Paste cell here'!K265</f>
        <v>0.11374693</v>
      </c>
      <c r="G265" s="1">
        <f>'Paste cell here'!L265</f>
        <v>0.11374693</v>
      </c>
      <c r="H265" s="1">
        <f>'Paste cell here'!M265</f>
        <v>0</v>
      </c>
      <c r="I265" s="1">
        <f>'Paste cell here'!N265</f>
        <v>0</v>
      </c>
      <c r="J265" s="1">
        <f>'Paste cell here'!O265</f>
        <v>0.11374693299999999</v>
      </c>
      <c r="K265" s="1">
        <f>'Paste cell here'!Q265</f>
        <v>3.36030746</v>
      </c>
      <c r="L265" s="1">
        <f>'Paste cell here'!S265</f>
        <v>0</v>
      </c>
      <c r="M265" s="1">
        <f>'Paste cell here'!T265</f>
        <v>0.50966671600000002</v>
      </c>
      <c r="N265" s="1">
        <f>'Paste cell here'!W265</f>
        <v>0</v>
      </c>
      <c r="O265" s="1">
        <f>'Paste cell here'!U265</f>
        <v>22.618801269999999</v>
      </c>
      <c r="P265" s="1">
        <f t="shared" si="23"/>
        <v>26.375028520000001</v>
      </c>
      <c r="Q265" s="1">
        <f>'Paste cell here'!V265</f>
        <v>0</v>
      </c>
      <c r="R265" s="1">
        <f t="shared" si="24"/>
        <v>4.000000330961484E-9</v>
      </c>
      <c r="S265" s="7">
        <f>Sintesi!$C$30</f>
        <v>8.3099999999999993E-2</v>
      </c>
      <c r="T265" s="7">
        <f>Sintesi!$C$29</f>
        <v>0.229209</v>
      </c>
      <c r="U265" s="5">
        <f>O265/(Sintesi!$C$5*1000)</f>
        <v>0.2261880127</v>
      </c>
      <c r="V265" s="1">
        <f t="shared" si="20"/>
        <v>0.14610899999999999</v>
      </c>
      <c r="W265" s="1">
        <v>0.57297393817833098</v>
      </c>
      <c r="X265" s="1">
        <f t="shared" si="21"/>
        <v>8.3716649133297752E-2</v>
      </c>
      <c r="Y265" s="1">
        <f t="shared" si="22"/>
        <v>0.14549235086670226</v>
      </c>
      <c r="Z265" s="1">
        <f>'Paste cellinfo here'!$B$11</f>
        <v>0.51802400000000004</v>
      </c>
    </row>
    <row r="266" spans="1:26">
      <c r="A266" s="1">
        <v>265</v>
      </c>
      <c r="B266" s="2">
        <f>DATE(Sintesi!$C$4-1,12,31)+A266</f>
        <v>44461</v>
      </c>
      <c r="C266" s="1">
        <f>'Paste cell here'!B266</f>
        <v>0</v>
      </c>
      <c r="D266" s="1">
        <f>'Paste cell here'!I266</f>
        <v>0</v>
      </c>
      <c r="E266" s="1">
        <f>'Paste cell here'!J266</f>
        <v>0</v>
      </c>
      <c r="F266" s="1">
        <f>'Paste cell here'!K266</f>
        <v>0</v>
      </c>
      <c r="G266" s="1">
        <f>'Paste cell here'!L266</f>
        <v>0</v>
      </c>
      <c r="H266" s="1">
        <f>'Paste cell here'!M266</f>
        <v>0</v>
      </c>
      <c r="I266" s="1">
        <f>'Paste cell here'!N266</f>
        <v>0</v>
      </c>
      <c r="J266" s="1">
        <f>'Paste cell here'!O266</f>
        <v>0</v>
      </c>
      <c r="K266" s="1">
        <f>'Paste cell here'!Q266</f>
        <v>3.3477659059999998</v>
      </c>
      <c r="L266" s="1">
        <f>'Paste cell here'!S266</f>
        <v>0</v>
      </c>
      <c r="M266" s="1">
        <f>'Paste cell here'!T266</f>
        <v>9.0300000000000005E-2</v>
      </c>
      <c r="N266" s="1">
        <f>'Paste cell here'!W266</f>
        <v>0</v>
      </c>
      <c r="O266" s="1">
        <f>'Paste cell here'!U266</f>
        <v>19.180749469999999</v>
      </c>
      <c r="P266" s="1">
        <f t="shared" si="23"/>
        <v>22.618801269999999</v>
      </c>
      <c r="Q266" s="1">
        <f>'Paste cell here'!V266</f>
        <v>0</v>
      </c>
      <c r="R266" s="1">
        <f t="shared" si="24"/>
        <v>1.4105999998292873E-5</v>
      </c>
      <c r="S266" s="7">
        <f>Sintesi!$C$30</f>
        <v>8.3099999999999993E-2</v>
      </c>
      <c r="T266" s="7">
        <f>Sintesi!$C$29</f>
        <v>0.229209</v>
      </c>
      <c r="U266" s="5">
        <f>O266/(Sintesi!$C$5*1000)</f>
        <v>0.1918074947</v>
      </c>
      <c r="V266" s="1">
        <f t="shared" si="20"/>
        <v>0.14610899999999999</v>
      </c>
      <c r="W266" s="1">
        <v>0.57939614949742502</v>
      </c>
      <c r="X266" s="1">
        <f t="shared" si="21"/>
        <v>8.4654992006919269E-2</v>
      </c>
      <c r="Y266" s="1">
        <f t="shared" si="22"/>
        <v>0.14455400799308071</v>
      </c>
      <c r="Z266" s="1">
        <f>'Paste cellinfo here'!$B$11</f>
        <v>0.51802400000000004</v>
      </c>
    </row>
    <row r="267" spans="1:26">
      <c r="A267" s="1">
        <v>266</v>
      </c>
      <c r="B267" s="2">
        <f>DATE(Sintesi!$C$4-1,12,31)+A267</f>
        <v>44462</v>
      </c>
      <c r="C267" s="1">
        <f>'Paste cell here'!B267</f>
        <v>0</v>
      </c>
      <c r="D267" s="1">
        <f>'Paste cell here'!I267</f>
        <v>0</v>
      </c>
      <c r="E267" s="1">
        <f>'Paste cell here'!J267</f>
        <v>0</v>
      </c>
      <c r="F267" s="1">
        <f>'Paste cell here'!K267</f>
        <v>0</v>
      </c>
      <c r="G267" s="1">
        <f>'Paste cell here'!L267</f>
        <v>0</v>
      </c>
      <c r="H267" s="1">
        <f>'Paste cell here'!M267</f>
        <v>0</v>
      </c>
      <c r="I267" s="1">
        <f>'Paste cell here'!N267</f>
        <v>0</v>
      </c>
      <c r="J267" s="1">
        <f>'Paste cell here'!O267</f>
        <v>0</v>
      </c>
      <c r="K267" s="1">
        <f>'Paste cell here'!Q267</f>
        <v>3.2520210089999999</v>
      </c>
      <c r="L267" s="1">
        <f>'Paste cell here'!S267</f>
        <v>0</v>
      </c>
      <c r="M267" s="1">
        <f>'Paste cell here'!T267</f>
        <v>1.2500000000000001E-2</v>
      </c>
      <c r="N267" s="1">
        <f>'Paste cell here'!W267</f>
        <v>0</v>
      </c>
      <c r="O267" s="1">
        <f>'Paste cell here'!U267</f>
        <v>15.916277579999999</v>
      </c>
      <c r="P267" s="1">
        <f t="shared" si="23"/>
        <v>19.180749469999999</v>
      </c>
      <c r="Q267" s="1">
        <f>'Paste cell here'!V267</f>
        <v>0</v>
      </c>
      <c r="R267" s="1">
        <f t="shared" si="24"/>
        <v>4.9118999999819835E-5</v>
      </c>
      <c r="S267" s="7">
        <f>Sintesi!$C$30</f>
        <v>8.3099999999999993E-2</v>
      </c>
      <c r="T267" s="7">
        <f>Sintesi!$C$29</f>
        <v>0.229209</v>
      </c>
      <c r="U267" s="5">
        <f>O267/(Sintesi!$C$5*1000)</f>
        <v>0.15916277579999999</v>
      </c>
      <c r="V267" s="1">
        <f t="shared" si="20"/>
        <v>0.14610899999999999</v>
      </c>
      <c r="W267" s="1">
        <v>0.64531645178753005</v>
      </c>
      <c r="X267" s="1">
        <f t="shared" si="21"/>
        <v>9.4286541454224215E-2</v>
      </c>
      <c r="Y267" s="1">
        <f t="shared" si="22"/>
        <v>0.13492245854577578</v>
      </c>
      <c r="Z267" s="1">
        <f>'Paste cellinfo here'!$B$11</f>
        <v>0.51802400000000004</v>
      </c>
    </row>
    <row r="268" spans="1:26">
      <c r="A268" s="1">
        <v>267</v>
      </c>
      <c r="B268" s="2">
        <f>DATE(Sintesi!$C$4-1,12,31)+A268</f>
        <v>44463</v>
      </c>
      <c r="C268" s="1">
        <f>'Paste cell here'!B268</f>
        <v>0</v>
      </c>
      <c r="D268" s="1">
        <f>'Paste cell here'!I268</f>
        <v>0</v>
      </c>
      <c r="E268" s="1">
        <f>'Paste cell here'!J268</f>
        <v>0</v>
      </c>
      <c r="F268" s="1">
        <f>'Paste cell here'!K268</f>
        <v>0</v>
      </c>
      <c r="G268" s="1">
        <f>'Paste cell here'!L268</f>
        <v>0</v>
      </c>
      <c r="H268" s="1">
        <f>'Paste cell here'!M268</f>
        <v>0</v>
      </c>
      <c r="I268" s="1">
        <f>'Paste cell here'!N268</f>
        <v>0</v>
      </c>
      <c r="J268" s="1">
        <f>'Paste cell here'!O268</f>
        <v>0</v>
      </c>
      <c r="K268" s="1">
        <f>'Paste cell here'!Q268</f>
        <v>3.062571723</v>
      </c>
      <c r="L268" s="1">
        <f>'Paste cell here'!S268</f>
        <v>0</v>
      </c>
      <c r="M268" s="1">
        <f>'Paste cell here'!T268</f>
        <v>1.1000000000000001E-3</v>
      </c>
      <c r="N268" s="1">
        <f>'Paste cell here'!W268</f>
        <v>0</v>
      </c>
      <c r="O268" s="1">
        <f>'Paste cell here'!U268</f>
        <v>12.85260903</v>
      </c>
      <c r="P268" s="1">
        <f t="shared" si="23"/>
        <v>15.916277579999999</v>
      </c>
      <c r="Q268" s="1">
        <f>'Paste cell here'!V268</f>
        <v>0</v>
      </c>
      <c r="R268" s="1">
        <f t="shared" si="24"/>
        <v>3.1729999996343849E-6</v>
      </c>
      <c r="S268" s="7">
        <f>Sintesi!$C$30</f>
        <v>8.3099999999999993E-2</v>
      </c>
      <c r="T268" s="7">
        <f>Sintesi!$C$29</f>
        <v>0.229209</v>
      </c>
      <c r="U268" s="5">
        <f>O268/(Sintesi!$C$5*1000)</f>
        <v>0.12852609030000001</v>
      </c>
      <c r="V268" s="1">
        <f t="shared" si="20"/>
        <v>0.14610899999999999</v>
      </c>
      <c r="W268" s="1">
        <v>0.65211190114083095</v>
      </c>
      <c r="X268" s="1">
        <f t="shared" si="21"/>
        <v>9.5279417763785665E-2</v>
      </c>
      <c r="Y268" s="1">
        <f t="shared" si="22"/>
        <v>0.13392958223621432</v>
      </c>
      <c r="Z268" s="1">
        <f>'Paste cellinfo here'!$B$11</f>
        <v>0.51802400000000004</v>
      </c>
    </row>
    <row r="269" spans="1:26">
      <c r="A269" s="1">
        <v>268</v>
      </c>
      <c r="B269" s="2">
        <f>DATE(Sintesi!$C$4-1,12,31)+A269</f>
        <v>44464</v>
      </c>
      <c r="C269" s="1">
        <f>'Paste cell here'!B269</f>
        <v>0</v>
      </c>
      <c r="D269" s="1">
        <f>'Paste cell here'!I269</f>
        <v>0</v>
      </c>
      <c r="E269" s="1">
        <f>'Paste cell here'!J269</f>
        <v>0</v>
      </c>
      <c r="F269" s="1">
        <f>'Paste cell here'!K269</f>
        <v>0</v>
      </c>
      <c r="G269" s="1">
        <f>'Paste cell here'!L269</f>
        <v>0</v>
      </c>
      <c r="H269" s="1">
        <f>'Paste cell here'!M269</f>
        <v>0</v>
      </c>
      <c r="I269" s="1">
        <f>'Paste cell here'!N269</f>
        <v>0</v>
      </c>
      <c r="J269" s="1">
        <f>'Paste cell here'!O269</f>
        <v>0</v>
      </c>
      <c r="K269" s="1">
        <f>'Paste cell here'!Q269</f>
        <v>1.7314404729999999</v>
      </c>
      <c r="L269" s="1">
        <f>'Paste cell here'!S269</f>
        <v>0</v>
      </c>
      <c r="M269" s="1">
        <f>'Paste cell here'!T269</f>
        <v>6.4200000000000002E-5</v>
      </c>
      <c r="N269" s="1">
        <f>'Paste cell here'!W269</f>
        <v>0</v>
      </c>
      <c r="O269" s="1">
        <f>'Paste cell here'!U269</f>
        <v>11.12110436</v>
      </c>
      <c r="P269" s="1">
        <f t="shared" si="23"/>
        <v>12.85260903</v>
      </c>
      <c r="Q269" s="1">
        <f>'Paste cell here'!V269</f>
        <v>0</v>
      </c>
      <c r="R269" s="1">
        <f t="shared" si="24"/>
        <v>3.000000248221113E-9</v>
      </c>
      <c r="S269" s="7">
        <f>Sintesi!$C$30</f>
        <v>8.3099999999999993E-2</v>
      </c>
      <c r="T269" s="7">
        <f>Sintesi!$C$29</f>
        <v>0.229209</v>
      </c>
      <c r="U269" s="5">
        <f>O269/(Sintesi!$C$5*1000)</f>
        <v>0.1112110436</v>
      </c>
      <c r="V269" s="1">
        <f t="shared" si="20"/>
        <v>0.14610899999999999</v>
      </c>
      <c r="W269" s="1">
        <v>0.596358739855951</v>
      </c>
      <c r="X269" s="1">
        <f t="shared" si="21"/>
        <v>8.7133379121613133E-2</v>
      </c>
      <c r="Y269" s="1">
        <f t="shared" si="22"/>
        <v>0.14207562087838688</v>
      </c>
      <c r="Z269" s="1">
        <f>'Paste cellinfo here'!$B$11</f>
        <v>0.51802400000000004</v>
      </c>
    </row>
    <row r="270" spans="1:26">
      <c r="A270" s="1">
        <v>269</v>
      </c>
      <c r="B270" s="2">
        <f>DATE(Sintesi!$C$4-1,12,31)+A270</f>
        <v>44465</v>
      </c>
      <c r="C270" s="1">
        <f>'Paste cell here'!B270</f>
        <v>24.20254817</v>
      </c>
      <c r="D270" s="1">
        <f>'Paste cell here'!I270</f>
        <v>0</v>
      </c>
      <c r="E270" s="1">
        <f>'Paste cell here'!J270</f>
        <v>24.20254817</v>
      </c>
      <c r="F270" s="1">
        <f>'Paste cell here'!K270</f>
        <v>24.20254817</v>
      </c>
      <c r="G270" s="1">
        <f>'Paste cell here'!L270</f>
        <v>23.729834029999999</v>
      </c>
      <c r="H270" s="1">
        <f>'Paste cell here'!M270</f>
        <v>0</v>
      </c>
      <c r="I270" s="1">
        <f>'Paste cell here'!N270</f>
        <v>0.472714146</v>
      </c>
      <c r="J270" s="1">
        <f>'Paste cell here'!O270</f>
        <v>23.72983473</v>
      </c>
      <c r="K270" s="1">
        <f>'Paste cell here'!Q270</f>
        <v>1.10358767</v>
      </c>
      <c r="L270" s="1">
        <f>'Paste cell here'!S270</f>
        <v>0</v>
      </c>
      <c r="M270" s="1">
        <f>'Paste cell here'!T270</f>
        <v>1.3465761869999999</v>
      </c>
      <c r="N270" s="1">
        <f>'Paste cell here'!W270</f>
        <v>0</v>
      </c>
      <c r="O270" s="1">
        <f>'Paste cell here'!U270</f>
        <v>32.400775240000002</v>
      </c>
      <c r="P270" s="1">
        <f t="shared" si="23"/>
        <v>11.12110436</v>
      </c>
      <c r="Q270" s="1">
        <f>'Paste cell here'!V270</f>
        <v>0</v>
      </c>
      <c r="R270" s="1">
        <f t="shared" si="24"/>
        <v>7.1299999859775198E-7</v>
      </c>
      <c r="S270" s="7">
        <f>Sintesi!$C$30</f>
        <v>8.3099999999999993E-2</v>
      </c>
      <c r="T270" s="7">
        <f>Sintesi!$C$29</f>
        <v>0.229209</v>
      </c>
      <c r="U270" s="5">
        <f>O270/(Sintesi!$C$5*1000)</f>
        <v>0.32400775240000002</v>
      </c>
      <c r="V270" s="1">
        <f t="shared" si="20"/>
        <v>0.14610899999999999</v>
      </c>
      <c r="W270" s="1">
        <v>0.62865118820506805</v>
      </c>
      <c r="X270" s="1">
        <f t="shared" si="21"/>
        <v>9.1851596457454276E-2</v>
      </c>
      <c r="Y270" s="1">
        <f t="shared" si="22"/>
        <v>0.13735740354254572</v>
      </c>
      <c r="Z270" s="1">
        <f>'Paste cellinfo here'!$B$11</f>
        <v>0.51802400000000004</v>
      </c>
    </row>
    <row r="271" spans="1:26">
      <c r="A271" s="1">
        <v>270</v>
      </c>
      <c r="B271" s="2">
        <f>DATE(Sintesi!$C$4-1,12,31)+A271</f>
        <v>44466</v>
      </c>
      <c r="C271" s="1">
        <f>'Paste cell here'!B271</f>
        <v>5.3100000000000001E-2</v>
      </c>
      <c r="D271" s="1">
        <f>'Paste cell here'!I271</f>
        <v>0</v>
      </c>
      <c r="E271" s="1">
        <f>'Paste cell here'!J271</f>
        <v>5.3100000000000001E-2</v>
      </c>
      <c r="F271" s="1">
        <f>'Paste cell here'!K271</f>
        <v>5.3100000000000001E-2</v>
      </c>
      <c r="G271" s="1">
        <f>'Paste cell here'!L271</f>
        <v>5.3100000000000001E-2</v>
      </c>
      <c r="H271" s="1">
        <f>'Paste cell here'!M271</f>
        <v>0</v>
      </c>
      <c r="I271" s="1">
        <f>'Paste cell here'!N271</f>
        <v>0</v>
      </c>
      <c r="J271" s="1">
        <f>'Paste cell here'!O271</f>
        <v>5.3100000000000001E-2</v>
      </c>
      <c r="K271" s="1">
        <f>'Paste cell here'!Q271</f>
        <v>2.2787694049999998</v>
      </c>
      <c r="L271" s="1">
        <f>'Paste cell here'!S271</f>
        <v>0</v>
      </c>
      <c r="M271" s="1">
        <f>'Paste cell here'!T271</f>
        <v>3.3750338150000001</v>
      </c>
      <c r="N271" s="1">
        <f>'Paste cell here'!W271</f>
        <v>0</v>
      </c>
      <c r="O271" s="1">
        <f>'Paste cell here'!U271</f>
        <v>26.800109150000001</v>
      </c>
      <c r="P271" s="1">
        <f t="shared" si="23"/>
        <v>32.400775240000002</v>
      </c>
      <c r="Q271" s="1">
        <f>'Paste cell here'!V271</f>
        <v>0</v>
      </c>
      <c r="R271" s="1">
        <f t="shared" si="24"/>
        <v>3.7129999999052643E-5</v>
      </c>
      <c r="S271" s="7">
        <f>Sintesi!$C$30</f>
        <v>8.3099999999999993E-2</v>
      </c>
      <c r="T271" s="7">
        <f>Sintesi!$C$29</f>
        <v>0.229209</v>
      </c>
      <c r="U271" s="5">
        <f>O271/(Sintesi!$C$5*1000)</f>
        <v>0.26800109150000001</v>
      </c>
      <c r="V271" s="1">
        <f t="shared" si="20"/>
        <v>0.14610899999999999</v>
      </c>
      <c r="W271" s="1">
        <v>0.60019667387752995</v>
      </c>
      <c r="X271" s="1">
        <f t="shared" si="21"/>
        <v>8.7694135823572023E-2</v>
      </c>
      <c r="Y271" s="1">
        <f t="shared" si="22"/>
        <v>0.14151486417642797</v>
      </c>
      <c r="Z271" s="1">
        <f>'Paste cellinfo here'!$B$11</f>
        <v>0.51802400000000004</v>
      </c>
    </row>
    <row r="272" spans="1:26">
      <c r="A272" s="1">
        <v>271</v>
      </c>
      <c r="B272" s="2">
        <f>DATE(Sintesi!$C$4-1,12,31)+A272</f>
        <v>44467</v>
      </c>
      <c r="C272" s="1">
        <f>'Paste cell here'!B272</f>
        <v>3.0300000000000001E-2</v>
      </c>
      <c r="D272" s="1">
        <f>'Paste cell here'!I272</f>
        <v>0</v>
      </c>
      <c r="E272" s="1">
        <f>'Paste cell here'!J272</f>
        <v>3.0300000000000001E-2</v>
      </c>
      <c r="F272" s="1">
        <f>'Paste cell here'!K272</f>
        <v>3.0300000000000001E-2</v>
      </c>
      <c r="G272" s="1">
        <f>'Paste cell here'!L272</f>
        <v>3.0300000000000001E-2</v>
      </c>
      <c r="H272" s="1">
        <f>'Paste cell here'!M272</f>
        <v>0</v>
      </c>
      <c r="I272" s="1">
        <f>'Paste cell here'!N272</f>
        <v>0</v>
      </c>
      <c r="J272" s="1">
        <f>'Paste cell here'!O272</f>
        <v>3.0300000000000001E-2</v>
      </c>
      <c r="K272" s="1">
        <f>'Paste cell here'!Q272</f>
        <v>3.0119557050000001</v>
      </c>
      <c r="L272" s="1">
        <f>'Paste cell here'!S272</f>
        <v>0</v>
      </c>
      <c r="M272" s="1">
        <f>'Paste cell here'!T272</f>
        <v>0.61746364799999998</v>
      </c>
      <c r="N272" s="1">
        <f>'Paste cell here'!W272</f>
        <v>0</v>
      </c>
      <c r="O272" s="1">
        <f>'Paste cell here'!U272</f>
        <v>23.200994699999999</v>
      </c>
      <c r="P272" s="1">
        <f t="shared" si="23"/>
        <v>26.800109150000001</v>
      </c>
      <c r="Q272" s="1">
        <f>'Paste cell here'!V272</f>
        <v>0</v>
      </c>
      <c r="R272" s="1">
        <f t="shared" si="24"/>
        <v>4.9029999971139659E-6</v>
      </c>
      <c r="S272" s="7">
        <f>Sintesi!$C$30</f>
        <v>8.3099999999999993E-2</v>
      </c>
      <c r="T272" s="7">
        <f>Sintesi!$C$29</f>
        <v>0.229209</v>
      </c>
      <c r="U272" s="5">
        <f>O272/(Sintesi!$C$5*1000)</f>
        <v>0.23200994699999999</v>
      </c>
      <c r="V272" s="1">
        <f t="shared" si="20"/>
        <v>0.14610899999999999</v>
      </c>
      <c r="W272" s="1">
        <v>0.62269335698132999</v>
      </c>
      <c r="X272" s="1">
        <f t="shared" si="21"/>
        <v>9.0981103695185139E-2</v>
      </c>
      <c r="Y272" s="1">
        <f t="shared" si="22"/>
        <v>0.13822789630481486</v>
      </c>
      <c r="Z272" s="1">
        <f>'Paste cellinfo here'!$B$11</f>
        <v>0.51802400000000004</v>
      </c>
    </row>
    <row r="273" spans="1:26">
      <c r="A273" s="1">
        <v>272</v>
      </c>
      <c r="B273" s="2">
        <f>DATE(Sintesi!$C$4-1,12,31)+A273</f>
        <v>44468</v>
      </c>
      <c r="C273" s="1">
        <f>'Paste cell here'!B273</f>
        <v>3.9199999999999999E-2</v>
      </c>
      <c r="D273" s="1">
        <f>'Paste cell here'!I273</f>
        <v>0</v>
      </c>
      <c r="E273" s="1">
        <f>'Paste cell here'!J273</f>
        <v>3.9199999999999999E-2</v>
      </c>
      <c r="F273" s="1">
        <f>'Paste cell here'!K273</f>
        <v>3.9199999999999999E-2</v>
      </c>
      <c r="G273" s="1">
        <f>'Paste cell here'!L273</f>
        <v>3.9199999999999999E-2</v>
      </c>
      <c r="H273" s="1">
        <f>'Paste cell here'!M273</f>
        <v>0</v>
      </c>
      <c r="I273" s="1">
        <f>'Paste cell here'!N273</f>
        <v>0</v>
      </c>
      <c r="J273" s="1">
        <f>'Paste cell here'!O273</f>
        <v>3.9199999999999999E-2</v>
      </c>
      <c r="K273" s="1">
        <f>'Paste cell here'!Q273</f>
        <v>3.5026812600000001</v>
      </c>
      <c r="L273" s="1">
        <f>'Paste cell here'!S273</f>
        <v>0</v>
      </c>
      <c r="M273" s="1">
        <f>'Paste cell here'!T273</f>
        <v>0.12031745000000001</v>
      </c>
      <c r="N273" s="1">
        <f>'Paste cell here'!W273</f>
        <v>0</v>
      </c>
      <c r="O273" s="1">
        <f>'Paste cell here'!U273</f>
        <v>19.617175679999999</v>
      </c>
      <c r="P273" s="1">
        <f t="shared" si="23"/>
        <v>23.200994699999999</v>
      </c>
      <c r="Q273" s="1">
        <f>'Paste cell here'!V273</f>
        <v>0</v>
      </c>
      <c r="R273" s="1">
        <f t="shared" si="24"/>
        <v>2.0310000000023365E-5</v>
      </c>
      <c r="S273" s="7">
        <f>Sintesi!$C$30</f>
        <v>8.3099999999999993E-2</v>
      </c>
      <c r="T273" s="7">
        <f>Sintesi!$C$29</f>
        <v>0.229209</v>
      </c>
      <c r="U273" s="5">
        <f>O273/(Sintesi!$C$5*1000)</f>
        <v>0.19617175679999999</v>
      </c>
      <c r="V273" s="1">
        <f t="shared" si="20"/>
        <v>0.14610899999999999</v>
      </c>
      <c r="W273" s="1">
        <v>0.60452048073617604</v>
      </c>
      <c r="X273" s="1">
        <f t="shared" si="21"/>
        <v>8.8325882919881943E-2</v>
      </c>
      <c r="Y273" s="1">
        <f t="shared" si="22"/>
        <v>0.14088311708011805</v>
      </c>
      <c r="Z273" s="1">
        <f>'Paste cellinfo here'!$B$11</f>
        <v>0.51802400000000004</v>
      </c>
    </row>
    <row r="274" spans="1:26">
      <c r="A274" s="1">
        <v>273</v>
      </c>
      <c r="B274" s="2">
        <f>DATE(Sintesi!$C$4-1,12,31)+A274</f>
        <v>44469</v>
      </c>
      <c r="C274" s="1">
        <f>'Paste cell here'!B274</f>
        <v>0</v>
      </c>
      <c r="D274" s="1">
        <f>'Paste cell here'!I274</f>
        <v>0</v>
      </c>
      <c r="E274" s="1">
        <f>'Paste cell here'!J274</f>
        <v>0</v>
      </c>
      <c r="F274" s="1">
        <f>'Paste cell here'!K274</f>
        <v>0</v>
      </c>
      <c r="G274" s="1">
        <f>'Paste cell here'!L274</f>
        <v>0</v>
      </c>
      <c r="H274" s="1">
        <f>'Paste cell here'!M274</f>
        <v>0</v>
      </c>
      <c r="I274" s="1">
        <f>'Paste cell here'!N274</f>
        <v>0</v>
      </c>
      <c r="J274" s="1">
        <f>'Paste cell here'!O274</f>
        <v>0</v>
      </c>
      <c r="K274" s="1">
        <f>'Paste cell here'!Q274</f>
        <v>3.169172246</v>
      </c>
      <c r="L274" s="1">
        <f>'Paste cell here'!S274</f>
        <v>0</v>
      </c>
      <c r="M274" s="1">
        <f>'Paste cell here'!T274</f>
        <v>1.67E-2</v>
      </c>
      <c r="N274" s="1">
        <f>'Paste cell here'!W274</f>
        <v>0</v>
      </c>
      <c r="O274" s="1">
        <f>'Paste cell here'!U274</f>
        <v>16.431304000000001</v>
      </c>
      <c r="P274" s="1">
        <f t="shared" si="23"/>
        <v>19.617175679999999</v>
      </c>
      <c r="Q274" s="1">
        <f>'Paste cell here'!V274</f>
        <v>0</v>
      </c>
      <c r="R274" s="1">
        <f t="shared" si="24"/>
        <v>5.6600000064577216E-7</v>
      </c>
      <c r="S274" s="7">
        <f>Sintesi!$C$30</f>
        <v>8.3099999999999993E-2</v>
      </c>
      <c r="T274" s="7">
        <f>Sintesi!$C$29</f>
        <v>0.229209</v>
      </c>
      <c r="U274" s="5">
        <f>O274/(Sintesi!$C$5*1000)</f>
        <v>0.16431304000000002</v>
      </c>
      <c r="V274" s="1">
        <f t="shared" si="20"/>
        <v>0.14610899999999999</v>
      </c>
      <c r="W274" s="1">
        <v>0.60001982369973195</v>
      </c>
      <c r="X274" s="1">
        <f t="shared" si="21"/>
        <v>8.7668296420944133E-2</v>
      </c>
      <c r="Y274" s="1">
        <f t="shared" si="22"/>
        <v>0.14154070357905585</v>
      </c>
      <c r="Z274" s="1">
        <f>'Paste cellinfo here'!$B$11</f>
        <v>0.51802400000000004</v>
      </c>
    </row>
    <row r="275" spans="1:26">
      <c r="A275" s="1">
        <v>274</v>
      </c>
      <c r="B275" s="2">
        <f>DATE(Sintesi!$C$4-1,12,31)+A275</f>
        <v>44470</v>
      </c>
      <c r="C275" s="1">
        <f>'Paste cell here'!B275</f>
        <v>0</v>
      </c>
      <c r="D275" s="1">
        <f>'Paste cell here'!I275</f>
        <v>0</v>
      </c>
      <c r="E275" s="1">
        <f>'Paste cell here'!J275</f>
        <v>0</v>
      </c>
      <c r="F275" s="1">
        <f>'Paste cell here'!K275</f>
        <v>0</v>
      </c>
      <c r="G275" s="1">
        <f>'Paste cell here'!L275</f>
        <v>0</v>
      </c>
      <c r="H275" s="1">
        <f>'Paste cell here'!M275</f>
        <v>0</v>
      </c>
      <c r="I275" s="1">
        <f>'Paste cell here'!N275</f>
        <v>0</v>
      </c>
      <c r="J275" s="1">
        <f>'Paste cell here'!O275</f>
        <v>0</v>
      </c>
      <c r="K275" s="1">
        <f>'Paste cell here'!Q275</f>
        <v>2.9993721789999999</v>
      </c>
      <c r="L275" s="1">
        <f>'Paste cell here'!S275</f>
        <v>0</v>
      </c>
      <c r="M275" s="1">
        <f>'Paste cell here'!T275</f>
        <v>1.7099999999999999E-3</v>
      </c>
      <c r="N275" s="1">
        <f>'Paste cell here'!W275</f>
        <v>0</v>
      </c>
      <c r="O275" s="1">
        <f>'Paste cell here'!U275</f>
        <v>13.430217989999999</v>
      </c>
      <c r="P275" s="1">
        <f t="shared" si="23"/>
        <v>16.431304000000001</v>
      </c>
      <c r="Q275" s="1">
        <f>'Paste cell here'!V275</f>
        <v>0</v>
      </c>
      <c r="R275" s="1">
        <f t="shared" si="24"/>
        <v>3.8310000025632007E-6</v>
      </c>
      <c r="S275" s="7">
        <f>Sintesi!$C$30</f>
        <v>8.3099999999999993E-2</v>
      </c>
      <c r="T275" s="7">
        <f>Sintesi!$C$29</f>
        <v>0.229209</v>
      </c>
      <c r="U275" s="5">
        <f>O275/(Sintesi!$C$5*1000)</f>
        <v>0.13430217989999998</v>
      </c>
      <c r="V275" s="1">
        <f t="shared" si="20"/>
        <v>0.14610899999999999</v>
      </c>
      <c r="W275" s="1">
        <v>0.58537986902837702</v>
      </c>
      <c r="X275" s="1">
        <f t="shared" si="21"/>
        <v>8.552926728386713E-2</v>
      </c>
      <c r="Y275" s="1">
        <f t="shared" si="22"/>
        <v>0.14367973271613288</v>
      </c>
      <c r="Z275" s="1">
        <f>'Paste cellinfo here'!$B$11</f>
        <v>0.51802400000000004</v>
      </c>
    </row>
    <row r="276" spans="1:26">
      <c r="A276" s="1">
        <v>275</v>
      </c>
      <c r="B276" s="2">
        <f>DATE(Sintesi!$C$4-1,12,31)+A276</f>
        <v>44471</v>
      </c>
      <c r="C276" s="1">
        <f>'Paste cell here'!B276</f>
        <v>0</v>
      </c>
      <c r="D276" s="1">
        <f>'Paste cell here'!I276</f>
        <v>0</v>
      </c>
      <c r="E276" s="1">
        <f>'Paste cell here'!J276</f>
        <v>0</v>
      </c>
      <c r="F276" s="1">
        <f>'Paste cell here'!K276</f>
        <v>0</v>
      </c>
      <c r="G276" s="1">
        <f>'Paste cell here'!L276</f>
        <v>0</v>
      </c>
      <c r="H276" s="1">
        <f>'Paste cell here'!M276</f>
        <v>0</v>
      </c>
      <c r="I276" s="1">
        <f>'Paste cell here'!N276</f>
        <v>0</v>
      </c>
      <c r="J276" s="1">
        <f>'Paste cell here'!O276</f>
        <v>0</v>
      </c>
      <c r="K276" s="1">
        <f>'Paste cell here'!Q276</f>
        <v>2.187417591</v>
      </c>
      <c r="L276" s="1">
        <f>'Paste cell here'!S276</f>
        <v>0</v>
      </c>
      <c r="M276" s="1">
        <f>'Paste cell here'!T276</f>
        <v>1.13E-4</v>
      </c>
      <c r="N276" s="1">
        <f>'Paste cell here'!W276</f>
        <v>0</v>
      </c>
      <c r="O276" s="1">
        <f>'Paste cell here'!U276</f>
        <v>11.242687289999999</v>
      </c>
      <c r="P276" s="1">
        <f t="shared" si="23"/>
        <v>13.430217989999999</v>
      </c>
      <c r="Q276" s="1">
        <f>'Paste cell here'!V276</f>
        <v>0</v>
      </c>
      <c r="R276" s="1">
        <f t="shared" si="24"/>
        <v>1.0900000013691624E-7</v>
      </c>
      <c r="S276" s="7">
        <f>Sintesi!$C$30</f>
        <v>8.3099999999999993E-2</v>
      </c>
      <c r="T276" s="7">
        <f>Sintesi!$C$29</f>
        <v>0.229209</v>
      </c>
      <c r="U276" s="5">
        <f>O276/(Sintesi!$C$5*1000)</f>
        <v>0.11242687289999999</v>
      </c>
      <c r="V276" s="1">
        <f t="shared" si="20"/>
        <v>0.14610899999999999</v>
      </c>
      <c r="W276" s="1">
        <v>0.62159899124741902</v>
      </c>
      <c r="X276" s="1">
        <f t="shared" si="21"/>
        <v>9.0821207012169142E-2</v>
      </c>
      <c r="Y276" s="1">
        <f t="shared" si="22"/>
        <v>0.13838779298783085</v>
      </c>
      <c r="Z276" s="1">
        <f>'Paste cellinfo here'!$B$11</f>
        <v>0.51802400000000004</v>
      </c>
    </row>
    <row r="277" spans="1:26">
      <c r="A277" s="1">
        <v>276</v>
      </c>
      <c r="B277" s="2">
        <f>DATE(Sintesi!$C$4-1,12,31)+A277</f>
        <v>44472</v>
      </c>
      <c r="C277" s="1">
        <f>'Paste cell here'!B277</f>
        <v>3.2251105880000002</v>
      </c>
      <c r="D277" s="1">
        <f>'Paste cell here'!I277</f>
        <v>0</v>
      </c>
      <c r="E277" s="1">
        <f>'Paste cell here'!J277</f>
        <v>3.2251105880000002</v>
      </c>
      <c r="F277" s="1">
        <f>'Paste cell here'!K277</f>
        <v>3.2251105880000002</v>
      </c>
      <c r="G277" s="1">
        <f>'Paste cell here'!L277</f>
        <v>3.2251105880000002</v>
      </c>
      <c r="H277" s="1">
        <f>'Paste cell here'!M277</f>
        <v>0</v>
      </c>
      <c r="I277" s="1">
        <f>'Paste cell here'!N277</f>
        <v>0</v>
      </c>
      <c r="J277" s="1">
        <f>'Paste cell here'!O277</f>
        <v>3.2251106840000001</v>
      </c>
      <c r="K277" s="1">
        <f>'Paste cell here'!Q277</f>
        <v>1.0339630280000001</v>
      </c>
      <c r="L277" s="1">
        <f>'Paste cell here'!S277</f>
        <v>0</v>
      </c>
      <c r="M277" s="1">
        <f>'Paste cell here'!T277</f>
        <v>8.0400000000000003E-5</v>
      </c>
      <c r="N277" s="1">
        <f>'Paste cell here'!W277</f>
        <v>0</v>
      </c>
      <c r="O277" s="1">
        <f>'Paste cell here'!U277</f>
        <v>13.433754589999999</v>
      </c>
      <c r="P277" s="1">
        <f t="shared" si="23"/>
        <v>11.242687289999999</v>
      </c>
      <c r="Q277" s="1">
        <f>'Paste cell here'!V277</f>
        <v>0</v>
      </c>
      <c r="R277" s="1">
        <f t="shared" si="24"/>
        <v>1.400000009255109E-7</v>
      </c>
      <c r="S277" s="7">
        <f>Sintesi!$C$30</f>
        <v>8.3099999999999993E-2</v>
      </c>
      <c r="T277" s="7">
        <f>Sintesi!$C$29</f>
        <v>0.229209</v>
      </c>
      <c r="U277" s="5">
        <f>O277/(Sintesi!$C$5*1000)</f>
        <v>0.13433754589999999</v>
      </c>
      <c r="V277" s="1">
        <f t="shared" si="20"/>
        <v>0.14610899999999999</v>
      </c>
      <c r="W277" s="1">
        <v>0.628265081412404</v>
      </c>
      <c r="X277" s="1">
        <f t="shared" si="21"/>
        <v>9.179518278008493E-2</v>
      </c>
      <c r="Y277" s="1">
        <f t="shared" si="22"/>
        <v>0.13741381721991508</v>
      </c>
      <c r="Z277" s="1">
        <f>'Paste cellinfo here'!$B$11</f>
        <v>0.51802400000000004</v>
      </c>
    </row>
    <row r="278" spans="1:26">
      <c r="A278" s="1">
        <v>277</v>
      </c>
      <c r="B278" s="2">
        <f>DATE(Sintesi!$C$4-1,12,31)+A278</f>
        <v>44473</v>
      </c>
      <c r="C278" s="1">
        <f>'Paste cell here'!B278</f>
        <v>51.380185070000003</v>
      </c>
      <c r="D278" s="1">
        <f>'Paste cell here'!I278</f>
        <v>0</v>
      </c>
      <c r="E278" s="1">
        <f>'Paste cell here'!J278</f>
        <v>51.380185070000003</v>
      </c>
      <c r="F278" s="1">
        <f>'Paste cell here'!K278</f>
        <v>51.380185070000003</v>
      </c>
      <c r="G278" s="1">
        <f>'Paste cell here'!L278</f>
        <v>38.140688830000002</v>
      </c>
      <c r="H278" s="1">
        <f>'Paste cell here'!M278</f>
        <v>0</v>
      </c>
      <c r="I278" s="1">
        <f>'Paste cell here'!N278</f>
        <v>13.23949625</v>
      </c>
      <c r="J278" s="1">
        <f>'Paste cell here'!O278</f>
        <v>38.140689960000003</v>
      </c>
      <c r="K278" s="1">
        <f>'Paste cell here'!Q278</f>
        <v>1.46284444</v>
      </c>
      <c r="L278" s="1">
        <f>'Paste cell here'!S278</f>
        <v>0</v>
      </c>
      <c r="M278" s="1">
        <f>'Paste cell here'!T278</f>
        <v>13.07853725</v>
      </c>
      <c r="N278" s="1">
        <f>'Paste cell here'!W278</f>
        <v>0</v>
      </c>
      <c r="O278" s="1">
        <f>'Paste cell here'!U278</f>
        <v>37.033062860000001</v>
      </c>
      <c r="P278" s="1">
        <f t="shared" si="23"/>
        <v>13.433754589999999</v>
      </c>
      <c r="Q278" s="1">
        <f>'Paste cell here'!V278</f>
        <v>0</v>
      </c>
      <c r="R278" s="1">
        <f t="shared" si="24"/>
        <v>1.1399999948480399E-6</v>
      </c>
      <c r="S278" s="7">
        <f>Sintesi!$C$30</f>
        <v>8.3099999999999993E-2</v>
      </c>
      <c r="T278" s="7">
        <f>Sintesi!$C$29</f>
        <v>0.229209</v>
      </c>
      <c r="U278" s="5">
        <f>O278/(Sintesi!$C$5*1000)</f>
        <v>0.37033062859999999</v>
      </c>
      <c r="V278" s="1">
        <f t="shared" si="20"/>
        <v>0.14610899999999999</v>
      </c>
      <c r="W278" s="1">
        <v>0.60729526392600497</v>
      </c>
      <c r="X278" s="1">
        <f t="shared" si="21"/>
        <v>8.8731303716964652E-2</v>
      </c>
      <c r="Y278" s="1">
        <f t="shared" si="22"/>
        <v>0.14047769628303536</v>
      </c>
      <c r="Z278" s="1">
        <f>'Paste cellinfo here'!$B$11</f>
        <v>0.51802400000000004</v>
      </c>
    </row>
    <row r="279" spans="1:26">
      <c r="A279" s="1">
        <v>278</v>
      </c>
      <c r="B279" s="2">
        <f>DATE(Sintesi!$C$4-1,12,31)+A279</f>
        <v>44474</v>
      </c>
      <c r="C279" s="1">
        <f>'Paste cell here'!B279</f>
        <v>2.6524002979999999</v>
      </c>
      <c r="D279" s="1">
        <f>'Paste cell here'!I279</f>
        <v>0</v>
      </c>
      <c r="E279" s="1">
        <f>'Paste cell here'!J279</f>
        <v>2.6524002979999999</v>
      </c>
      <c r="F279" s="1">
        <f>'Paste cell here'!K279</f>
        <v>2.6524002979999999</v>
      </c>
      <c r="G279" s="1">
        <f>'Paste cell here'!L279</f>
        <v>2.6524002979999999</v>
      </c>
      <c r="H279" s="1">
        <f>'Paste cell here'!M279</f>
        <v>0</v>
      </c>
      <c r="I279" s="1">
        <f>'Paste cell here'!N279</f>
        <v>0</v>
      </c>
      <c r="J279" s="1">
        <f>'Paste cell here'!O279</f>
        <v>2.6524003770000002</v>
      </c>
      <c r="K279" s="1">
        <f>'Paste cell here'!Q279</f>
        <v>2.0828724470000002</v>
      </c>
      <c r="L279" s="1">
        <f>'Paste cell here'!S279</f>
        <v>0</v>
      </c>
      <c r="M279" s="1">
        <f>'Paste cell here'!T279</f>
        <v>8.3721908220000003</v>
      </c>
      <c r="N279" s="1">
        <f>'Paste cell here'!W279</f>
        <v>0</v>
      </c>
      <c r="O279" s="1">
        <f>'Paste cell here'!U279</f>
        <v>29.230399970000001</v>
      </c>
      <c r="P279" s="1">
        <f t="shared" si="23"/>
        <v>37.033062860000001</v>
      </c>
      <c r="Q279" s="1">
        <f>'Paste cell here'!V279</f>
        <v>0</v>
      </c>
      <c r="R279" s="1">
        <f t="shared" si="24"/>
        <v>8.0999996043829015E-8</v>
      </c>
      <c r="S279" s="7">
        <f>Sintesi!$C$30</f>
        <v>8.3099999999999993E-2</v>
      </c>
      <c r="T279" s="7">
        <f>Sintesi!$C$29</f>
        <v>0.229209</v>
      </c>
      <c r="U279" s="5">
        <f>O279/(Sintesi!$C$5*1000)</f>
        <v>0.29230399969999998</v>
      </c>
      <c r="V279" s="1">
        <f t="shared" si="20"/>
        <v>0.14610899999999999</v>
      </c>
      <c r="W279" s="1">
        <v>0.62499218256881495</v>
      </c>
      <c r="X279" s="1">
        <f t="shared" si="21"/>
        <v>9.1316982802946978E-2</v>
      </c>
      <c r="Y279" s="1">
        <f t="shared" si="22"/>
        <v>0.13789201719705302</v>
      </c>
      <c r="Z279" s="1">
        <f>'Paste cellinfo here'!$B$11</f>
        <v>0.51802400000000004</v>
      </c>
    </row>
    <row r="280" spans="1:26">
      <c r="A280" s="1">
        <v>279</v>
      </c>
      <c r="B280" s="2">
        <f>DATE(Sintesi!$C$4-1,12,31)+A280</f>
        <v>44475</v>
      </c>
      <c r="C280" s="1">
        <f>'Paste cell here'!B280</f>
        <v>10.68860048</v>
      </c>
      <c r="D280" s="1">
        <f>'Paste cell here'!I280</f>
        <v>0</v>
      </c>
      <c r="E280" s="1">
        <f>'Paste cell here'!J280</f>
        <v>10.68860048</v>
      </c>
      <c r="F280" s="1">
        <f>'Paste cell here'!K280</f>
        <v>10.68860048</v>
      </c>
      <c r="G280" s="1">
        <f>'Paste cell here'!L280</f>
        <v>9.1943988690000005</v>
      </c>
      <c r="H280" s="1">
        <f>'Paste cell here'!M280</f>
        <v>0</v>
      </c>
      <c r="I280" s="1">
        <f>'Paste cell here'!N280</f>
        <v>1.49420161</v>
      </c>
      <c r="J280" s="1">
        <f>'Paste cell here'!O280</f>
        <v>9.1943991430000001</v>
      </c>
      <c r="K280" s="1">
        <f>'Paste cell here'!Q280</f>
        <v>1.4206826690000001</v>
      </c>
      <c r="L280" s="1">
        <f>'Paste cell here'!S280</f>
        <v>0</v>
      </c>
      <c r="M280" s="1">
        <f>'Paste cell here'!T280</f>
        <v>5.2864638770000001</v>
      </c>
      <c r="N280" s="1">
        <f>'Paste cell here'!W280</f>
        <v>0</v>
      </c>
      <c r="O280" s="1">
        <f>'Paste cell here'!U280</f>
        <v>31.717652560000001</v>
      </c>
      <c r="P280" s="1">
        <f t="shared" si="23"/>
        <v>29.230399970000001</v>
      </c>
      <c r="Q280" s="1">
        <f>'Paste cell here'!V280</f>
        <v>0</v>
      </c>
      <c r="R280" s="1">
        <f t="shared" si="24"/>
        <v>2.6600000069265661E-7</v>
      </c>
      <c r="S280" s="7">
        <f>Sintesi!$C$30</f>
        <v>8.3099999999999993E-2</v>
      </c>
      <c r="T280" s="7">
        <f>Sintesi!$C$29</f>
        <v>0.229209</v>
      </c>
      <c r="U280" s="5">
        <f>O280/(Sintesi!$C$5*1000)</f>
        <v>0.31717652560000004</v>
      </c>
      <c r="V280" s="1">
        <f t="shared" si="20"/>
        <v>0.14610899999999999</v>
      </c>
      <c r="W280" s="1">
        <v>0.61350670937117802</v>
      </c>
      <c r="X280" s="1">
        <f t="shared" si="21"/>
        <v>8.9638851799513447E-2</v>
      </c>
      <c r="Y280" s="1">
        <f t="shared" si="22"/>
        <v>0.13957014820048655</v>
      </c>
      <c r="Z280" s="1">
        <f>'Paste cellinfo here'!$B$11</f>
        <v>0.51802400000000004</v>
      </c>
    </row>
    <row r="281" spans="1:26">
      <c r="A281" s="1">
        <v>280</v>
      </c>
      <c r="B281" s="2">
        <f>DATE(Sintesi!$C$4-1,12,31)+A281</f>
        <v>44476</v>
      </c>
      <c r="C281" s="1">
        <f>'Paste cell here'!B281</f>
        <v>0</v>
      </c>
      <c r="D281" s="1">
        <f>'Paste cell here'!I281</f>
        <v>0</v>
      </c>
      <c r="E281" s="1">
        <f>'Paste cell here'!J281</f>
        <v>0</v>
      </c>
      <c r="F281" s="1">
        <f>'Paste cell here'!K281</f>
        <v>0</v>
      </c>
      <c r="G281" s="1">
        <f>'Paste cell here'!L281</f>
        <v>0</v>
      </c>
      <c r="H281" s="1">
        <f>'Paste cell here'!M281</f>
        <v>0</v>
      </c>
      <c r="I281" s="1">
        <f>'Paste cell here'!N281</f>
        <v>0</v>
      </c>
      <c r="J281" s="1">
        <f>'Paste cell here'!O281</f>
        <v>0</v>
      </c>
      <c r="K281" s="1">
        <f>'Paste cell here'!Q281</f>
        <v>1.9358326290000001</v>
      </c>
      <c r="L281" s="1">
        <f>'Paste cell here'!S281</f>
        <v>0</v>
      </c>
      <c r="M281" s="1">
        <f>'Paste cell here'!T281</f>
        <v>2.9824810789999998</v>
      </c>
      <c r="N281" s="1">
        <f>'Paste cell here'!W281</f>
        <v>0</v>
      </c>
      <c r="O281" s="1">
        <f>'Paste cell here'!U281</f>
        <v>26.799338859999999</v>
      </c>
      <c r="P281" s="1">
        <f t="shared" si="23"/>
        <v>31.717652560000001</v>
      </c>
      <c r="Q281" s="1">
        <f>'Paste cell here'!V281</f>
        <v>0</v>
      </c>
      <c r="R281" s="1">
        <f t="shared" si="24"/>
        <v>7.9999971092092892E-9</v>
      </c>
      <c r="S281" s="7">
        <f>Sintesi!$C$30</f>
        <v>8.3099999999999993E-2</v>
      </c>
      <c r="T281" s="7">
        <f>Sintesi!$C$29</f>
        <v>0.229209</v>
      </c>
      <c r="U281" s="5">
        <f>O281/(Sintesi!$C$5*1000)</f>
        <v>0.26799338859999999</v>
      </c>
      <c r="V281" s="1">
        <f t="shared" si="20"/>
        <v>0.14610899999999999</v>
      </c>
      <c r="W281" s="1">
        <v>0.61889481074950903</v>
      </c>
      <c r="X281" s="1">
        <f t="shared" si="21"/>
        <v>9.0426101903800002E-2</v>
      </c>
      <c r="Y281" s="1">
        <f t="shared" si="22"/>
        <v>0.13878289809619998</v>
      </c>
      <c r="Z281" s="1">
        <f>'Paste cellinfo here'!$B$11</f>
        <v>0.51802400000000004</v>
      </c>
    </row>
    <row r="282" spans="1:26">
      <c r="A282" s="1">
        <v>281</v>
      </c>
      <c r="B282" s="2">
        <f>DATE(Sintesi!$C$4-1,12,31)+A282</f>
        <v>44477</v>
      </c>
      <c r="C282" s="1">
        <f>'Paste cell here'!B282</f>
        <v>2.52E-2</v>
      </c>
      <c r="D282" s="1">
        <f>'Paste cell here'!I282</f>
        <v>0</v>
      </c>
      <c r="E282" s="1">
        <f>'Paste cell here'!J282</f>
        <v>2.52E-2</v>
      </c>
      <c r="F282" s="1">
        <f>'Paste cell here'!K282</f>
        <v>2.52E-2</v>
      </c>
      <c r="G282" s="1">
        <f>'Paste cell here'!L282</f>
        <v>2.52E-2</v>
      </c>
      <c r="H282" s="1">
        <f>'Paste cell here'!M282</f>
        <v>0</v>
      </c>
      <c r="I282" s="1">
        <f>'Paste cell here'!N282</f>
        <v>0</v>
      </c>
      <c r="J282" s="1">
        <f>'Paste cell here'!O282</f>
        <v>2.52E-2</v>
      </c>
      <c r="K282" s="1">
        <f>'Paste cell here'!Q282</f>
        <v>2.0751353880000001</v>
      </c>
      <c r="L282" s="1">
        <f>'Paste cell here'!S282</f>
        <v>0</v>
      </c>
      <c r="M282" s="1">
        <f>'Paste cell here'!T282</f>
        <v>0.69093480200000001</v>
      </c>
      <c r="N282" s="1">
        <f>'Paste cell here'!W282</f>
        <v>0</v>
      </c>
      <c r="O282" s="1">
        <f>'Paste cell here'!U282</f>
        <v>24.058482380000001</v>
      </c>
      <c r="P282" s="1">
        <f t="shared" si="23"/>
        <v>26.799338859999999</v>
      </c>
      <c r="Q282" s="1">
        <f>'Paste cell here'!V282</f>
        <v>0</v>
      </c>
      <c r="R282" s="1">
        <f t="shared" si="24"/>
        <v>1.3710000001054823E-5</v>
      </c>
      <c r="S282" s="7">
        <f>Sintesi!$C$30</f>
        <v>8.3099999999999993E-2</v>
      </c>
      <c r="T282" s="7">
        <f>Sintesi!$C$29</f>
        <v>0.229209</v>
      </c>
      <c r="U282" s="5">
        <f>O282/(Sintesi!$C$5*1000)</f>
        <v>0.24058482380000001</v>
      </c>
      <c r="V282" s="1">
        <f t="shared" si="20"/>
        <v>0.14610899999999999</v>
      </c>
      <c r="W282" s="1">
        <v>0.61088486274455001</v>
      </c>
      <c r="X282" s="1">
        <f t="shared" si="21"/>
        <v>8.9255776410743448E-2</v>
      </c>
      <c r="Y282" s="1">
        <f t="shared" si="22"/>
        <v>0.13995322358925655</v>
      </c>
      <c r="Z282" s="1">
        <f>'Paste cellinfo here'!$B$11</f>
        <v>0.51802400000000004</v>
      </c>
    </row>
    <row r="283" spans="1:26">
      <c r="A283" s="1">
        <v>282</v>
      </c>
      <c r="B283" s="2">
        <f>DATE(Sintesi!$C$4-1,12,31)+A283</f>
        <v>44478</v>
      </c>
      <c r="C283" s="1">
        <f>'Paste cell here'!B283</f>
        <v>0</v>
      </c>
      <c r="D283" s="1">
        <f>'Paste cell here'!I283</f>
        <v>0</v>
      </c>
      <c r="E283" s="1">
        <f>'Paste cell here'!J283</f>
        <v>0</v>
      </c>
      <c r="F283" s="1">
        <f>'Paste cell here'!K283</f>
        <v>0</v>
      </c>
      <c r="G283" s="1">
        <f>'Paste cell here'!L283</f>
        <v>0</v>
      </c>
      <c r="H283" s="1">
        <f>'Paste cell here'!M283</f>
        <v>0</v>
      </c>
      <c r="I283" s="1">
        <f>'Paste cell here'!N283</f>
        <v>0</v>
      </c>
      <c r="J283" s="1">
        <f>'Paste cell here'!O283</f>
        <v>0</v>
      </c>
      <c r="K283" s="1">
        <f>'Paste cell here'!Q283</f>
        <v>2.2291095150000002</v>
      </c>
      <c r="L283" s="1">
        <f>'Paste cell here'!S283</f>
        <v>0</v>
      </c>
      <c r="M283" s="1">
        <f>'Paste cell here'!T283</f>
        <v>0.21320444499999999</v>
      </c>
      <c r="N283" s="1">
        <f>'Paste cell here'!W283</f>
        <v>0</v>
      </c>
      <c r="O283" s="1">
        <f>'Paste cell here'!U283</f>
        <v>21.616168420000001</v>
      </c>
      <c r="P283" s="1">
        <f t="shared" si="23"/>
        <v>24.058482380000001</v>
      </c>
      <c r="Q283" s="1">
        <f>'Paste cell here'!V283</f>
        <v>0</v>
      </c>
      <c r="R283" s="1">
        <f t="shared" si="24"/>
        <v>0</v>
      </c>
      <c r="S283" s="7">
        <f>Sintesi!$C$30</f>
        <v>8.3099999999999993E-2</v>
      </c>
      <c r="T283" s="7">
        <f>Sintesi!$C$29</f>
        <v>0.229209</v>
      </c>
      <c r="U283" s="5">
        <f>O283/(Sintesi!$C$5*1000)</f>
        <v>0.21616168420000001</v>
      </c>
      <c r="V283" s="1">
        <f t="shared" si="20"/>
        <v>0.14610899999999999</v>
      </c>
      <c r="W283" s="1">
        <v>0.62250683875578094</v>
      </c>
      <c r="X283" s="1">
        <f t="shared" si="21"/>
        <v>9.0953851703768393E-2</v>
      </c>
      <c r="Y283" s="1">
        <f t="shared" si="22"/>
        <v>0.13825514829623159</v>
      </c>
      <c r="Z283" s="1">
        <f>'Paste cellinfo here'!$B$11</f>
        <v>0.51802400000000004</v>
      </c>
    </row>
    <row r="284" spans="1:26">
      <c r="A284" s="1">
        <v>283</v>
      </c>
      <c r="B284" s="2">
        <f>DATE(Sintesi!$C$4-1,12,31)+A284</f>
        <v>44479</v>
      </c>
      <c r="C284" s="1">
        <f>'Paste cell here'!B284</f>
        <v>0</v>
      </c>
      <c r="D284" s="1">
        <f>'Paste cell here'!I284</f>
        <v>0</v>
      </c>
      <c r="E284" s="1">
        <f>'Paste cell here'!J284</f>
        <v>0</v>
      </c>
      <c r="F284" s="1">
        <f>'Paste cell here'!K284</f>
        <v>0</v>
      </c>
      <c r="G284" s="1">
        <f>'Paste cell here'!L284</f>
        <v>0</v>
      </c>
      <c r="H284" s="1">
        <f>'Paste cell here'!M284</f>
        <v>0</v>
      </c>
      <c r="I284" s="1">
        <f>'Paste cell here'!N284</f>
        <v>0</v>
      </c>
      <c r="J284" s="1">
        <f>'Paste cell here'!O284</f>
        <v>0</v>
      </c>
      <c r="K284" s="1">
        <f>'Paste cell here'!Q284</f>
        <v>2.0904277850000001</v>
      </c>
      <c r="L284" s="1">
        <f>'Paste cell here'!S284</f>
        <v>0</v>
      </c>
      <c r="M284" s="1">
        <f>'Paste cell here'!T284</f>
        <v>6.3100000000000003E-2</v>
      </c>
      <c r="N284" s="1">
        <f>'Paste cell here'!W284</f>
        <v>0</v>
      </c>
      <c r="O284" s="1">
        <f>'Paste cell here'!U284</f>
        <v>19.462609279999999</v>
      </c>
      <c r="P284" s="1">
        <f t="shared" si="23"/>
        <v>21.616168420000001</v>
      </c>
      <c r="Q284" s="1">
        <f>'Paste cell here'!V284</f>
        <v>0</v>
      </c>
      <c r="R284" s="1">
        <f t="shared" si="24"/>
        <v>3.1355000004396061E-5</v>
      </c>
      <c r="S284" s="7">
        <f>Sintesi!$C$30</f>
        <v>8.3099999999999993E-2</v>
      </c>
      <c r="T284" s="7">
        <f>Sintesi!$C$29</f>
        <v>0.229209</v>
      </c>
      <c r="U284" s="5">
        <f>O284/(Sintesi!$C$5*1000)</f>
        <v>0.19462609279999998</v>
      </c>
      <c r="V284" s="1">
        <f t="shared" si="20"/>
        <v>0.14610899999999999</v>
      </c>
      <c r="W284" s="1">
        <v>0.650841618899893</v>
      </c>
      <c r="X284" s="1">
        <f t="shared" si="21"/>
        <v>9.5093818095844454E-2</v>
      </c>
      <c r="Y284" s="1">
        <f t="shared" si="22"/>
        <v>0.13411518190415556</v>
      </c>
      <c r="Z284" s="1">
        <f>'Paste cellinfo here'!$B$11</f>
        <v>0.51802400000000004</v>
      </c>
    </row>
    <row r="285" spans="1:26">
      <c r="A285" s="1">
        <v>284</v>
      </c>
      <c r="B285" s="2">
        <f>DATE(Sintesi!$C$4-1,12,31)+A285</f>
        <v>44480</v>
      </c>
      <c r="C285" s="1">
        <f>'Paste cell here'!B285</f>
        <v>0</v>
      </c>
      <c r="D285" s="1">
        <f>'Paste cell here'!I285</f>
        <v>0</v>
      </c>
      <c r="E285" s="1">
        <f>'Paste cell here'!J285</f>
        <v>0</v>
      </c>
      <c r="F285" s="1">
        <f>'Paste cell here'!K285</f>
        <v>0</v>
      </c>
      <c r="G285" s="1">
        <f>'Paste cell here'!L285</f>
        <v>0</v>
      </c>
      <c r="H285" s="1">
        <f>'Paste cell here'!M285</f>
        <v>0</v>
      </c>
      <c r="I285" s="1">
        <f>'Paste cell here'!N285</f>
        <v>0</v>
      </c>
      <c r="J285" s="1">
        <f>'Paste cell here'!O285</f>
        <v>0</v>
      </c>
      <c r="K285" s="1">
        <f>'Paste cell here'!Q285</f>
        <v>2.1427882820000002</v>
      </c>
      <c r="L285" s="1">
        <f>'Paste cell here'!S285</f>
        <v>0</v>
      </c>
      <c r="M285" s="1">
        <f>'Paste cell here'!T285</f>
        <v>1.7500000000000002E-2</v>
      </c>
      <c r="N285" s="1">
        <f>'Paste cell here'!W285</f>
        <v>0</v>
      </c>
      <c r="O285" s="1">
        <f>'Paste cell here'!U285</f>
        <v>17.302285569999999</v>
      </c>
      <c r="P285" s="1">
        <f t="shared" si="23"/>
        <v>19.462609279999999</v>
      </c>
      <c r="Q285" s="1">
        <f>'Paste cell here'!V285</f>
        <v>0</v>
      </c>
      <c r="R285" s="1">
        <f t="shared" si="24"/>
        <v>3.5428000000337079E-5</v>
      </c>
      <c r="S285" s="7">
        <f>Sintesi!$C$30</f>
        <v>8.3099999999999993E-2</v>
      </c>
      <c r="T285" s="7">
        <f>Sintesi!$C$29</f>
        <v>0.229209</v>
      </c>
      <c r="U285" s="5">
        <f>O285/(Sintesi!$C$5*1000)</f>
        <v>0.17302285569999998</v>
      </c>
      <c r="V285" s="1">
        <f t="shared" si="20"/>
        <v>0.14610899999999999</v>
      </c>
      <c r="W285" s="1">
        <v>0.63615942475502796</v>
      </c>
      <c r="X285" s="1">
        <f t="shared" si="21"/>
        <v>9.2948617391532373E-2</v>
      </c>
      <c r="Y285" s="1">
        <f t="shared" si="22"/>
        <v>0.13626038260846762</v>
      </c>
      <c r="Z285" s="1">
        <f>'Paste cellinfo here'!$B$11</f>
        <v>0.51802400000000004</v>
      </c>
    </row>
    <row r="286" spans="1:26">
      <c r="A286" s="1">
        <v>285</v>
      </c>
      <c r="B286" s="2">
        <f>DATE(Sintesi!$C$4-1,12,31)+A286</f>
        <v>44481</v>
      </c>
      <c r="C286" s="1">
        <f>'Paste cell here'!B286</f>
        <v>0</v>
      </c>
      <c r="D286" s="1">
        <f>'Paste cell here'!I286</f>
        <v>0</v>
      </c>
      <c r="E286" s="1">
        <f>'Paste cell here'!J286</f>
        <v>0</v>
      </c>
      <c r="F286" s="1">
        <f>'Paste cell here'!K286</f>
        <v>0</v>
      </c>
      <c r="G286" s="1">
        <f>'Paste cell here'!L286</f>
        <v>0</v>
      </c>
      <c r="H286" s="1">
        <f>'Paste cell here'!M286</f>
        <v>0</v>
      </c>
      <c r="I286" s="1">
        <f>'Paste cell here'!N286</f>
        <v>0</v>
      </c>
      <c r="J286" s="1">
        <f>'Paste cell here'!O286</f>
        <v>0</v>
      </c>
      <c r="K286" s="1">
        <f>'Paste cell here'!Q286</f>
        <v>2.046414113</v>
      </c>
      <c r="L286" s="1">
        <f>'Paste cell here'!S286</f>
        <v>0</v>
      </c>
      <c r="M286" s="1">
        <f>'Paste cell here'!T286</f>
        <v>3.9699999999999996E-3</v>
      </c>
      <c r="N286" s="1">
        <f>'Paste cell here'!W286</f>
        <v>0</v>
      </c>
      <c r="O286" s="1">
        <f>'Paste cell here'!U286</f>
        <v>15.25189709</v>
      </c>
      <c r="P286" s="1">
        <f t="shared" si="23"/>
        <v>17.302285569999999</v>
      </c>
      <c r="Q286" s="1">
        <f>'Paste cell here'!V286</f>
        <v>0</v>
      </c>
      <c r="R286" s="1">
        <f t="shared" si="24"/>
        <v>4.3669999971740481E-6</v>
      </c>
      <c r="S286" s="7">
        <f>Sintesi!$C$30</f>
        <v>8.3099999999999993E-2</v>
      </c>
      <c r="T286" s="7">
        <f>Sintesi!$C$29</f>
        <v>0.229209</v>
      </c>
      <c r="U286" s="5">
        <f>O286/(Sintesi!$C$5*1000)</f>
        <v>0.15251897089999999</v>
      </c>
      <c r="V286" s="1">
        <f t="shared" si="20"/>
        <v>0.14610899999999999</v>
      </c>
      <c r="W286" s="1">
        <v>0.62770974111422395</v>
      </c>
      <c r="X286" s="1">
        <f t="shared" si="21"/>
        <v>9.1714042564458143E-2</v>
      </c>
      <c r="Y286" s="1">
        <f t="shared" si="22"/>
        <v>0.13749495743554185</v>
      </c>
      <c r="Z286" s="1">
        <f>'Paste cellinfo here'!$B$11</f>
        <v>0.51802400000000004</v>
      </c>
    </row>
    <row r="287" spans="1:26">
      <c r="A287" s="1">
        <v>286</v>
      </c>
      <c r="B287" s="2">
        <f>DATE(Sintesi!$C$4-1,12,31)+A287</f>
        <v>44482</v>
      </c>
      <c r="C287" s="1">
        <f>'Paste cell here'!B287</f>
        <v>1.9599999999999999E-2</v>
      </c>
      <c r="D287" s="1">
        <f>'Paste cell here'!I287</f>
        <v>0</v>
      </c>
      <c r="E287" s="1">
        <f>'Paste cell here'!J287</f>
        <v>1.9599999999999999E-2</v>
      </c>
      <c r="F287" s="1">
        <f>'Paste cell here'!K287</f>
        <v>1.9599999999999999E-2</v>
      </c>
      <c r="G287" s="1">
        <f>'Paste cell here'!L287</f>
        <v>1.9599999999999999E-2</v>
      </c>
      <c r="H287" s="1">
        <f>'Paste cell here'!M287</f>
        <v>0</v>
      </c>
      <c r="I287" s="1">
        <f>'Paste cell here'!N287</f>
        <v>0</v>
      </c>
      <c r="J287" s="1">
        <f>'Paste cell here'!O287</f>
        <v>1.9599999999999999E-2</v>
      </c>
      <c r="K287" s="1">
        <f>'Paste cell here'!Q287</f>
        <v>1.914652485</v>
      </c>
      <c r="L287" s="1">
        <f>'Paste cell here'!S287</f>
        <v>0</v>
      </c>
      <c r="M287" s="1">
        <f>'Paste cell here'!T287</f>
        <v>7.3899999999999997E-4</v>
      </c>
      <c r="N287" s="1">
        <f>'Paste cell here'!W287</f>
        <v>0</v>
      </c>
      <c r="O287" s="1">
        <f>'Paste cell here'!U287</f>
        <v>13.356095590000001</v>
      </c>
      <c r="P287" s="1">
        <f t="shared" si="23"/>
        <v>15.25189709</v>
      </c>
      <c r="Q287" s="1">
        <f>'Paste cell here'!V287</f>
        <v>0</v>
      </c>
      <c r="R287" s="1">
        <f t="shared" si="24"/>
        <v>1.0015000000862528E-5</v>
      </c>
      <c r="S287" s="7">
        <f>Sintesi!$C$30</f>
        <v>8.3099999999999993E-2</v>
      </c>
      <c r="T287" s="7">
        <f>Sintesi!$C$29</f>
        <v>0.229209</v>
      </c>
      <c r="U287" s="5">
        <f>O287/(Sintesi!$C$5*1000)</f>
        <v>0.1335609559</v>
      </c>
      <c r="V287" s="1">
        <f t="shared" si="20"/>
        <v>0.14610899999999999</v>
      </c>
      <c r="W287" s="1">
        <v>0.63091663500274198</v>
      </c>
      <c r="X287" s="1">
        <f t="shared" si="21"/>
        <v>9.2182598623615622E-2</v>
      </c>
      <c r="Y287" s="1">
        <f t="shared" si="22"/>
        <v>0.13702640137638439</v>
      </c>
      <c r="Z287" s="1">
        <f>'Paste cellinfo here'!$B$11</f>
        <v>0.51802400000000004</v>
      </c>
    </row>
    <row r="288" spans="1:26">
      <c r="A288" s="1">
        <v>287</v>
      </c>
      <c r="B288" s="2">
        <f>DATE(Sintesi!$C$4-1,12,31)+A288</f>
        <v>44483</v>
      </c>
      <c r="C288" s="1">
        <f>'Paste cell here'!B288</f>
        <v>0</v>
      </c>
      <c r="D288" s="1">
        <f>'Paste cell here'!I288</f>
        <v>0</v>
      </c>
      <c r="E288" s="1">
        <f>'Paste cell here'!J288</f>
        <v>0</v>
      </c>
      <c r="F288" s="1">
        <f>'Paste cell here'!K288</f>
        <v>0</v>
      </c>
      <c r="G288" s="1">
        <f>'Paste cell here'!L288</f>
        <v>0</v>
      </c>
      <c r="H288" s="1">
        <f>'Paste cell here'!M288</f>
        <v>0</v>
      </c>
      <c r="I288" s="1">
        <f>'Paste cell here'!N288</f>
        <v>0</v>
      </c>
      <c r="J288" s="1">
        <f>'Paste cell here'!O288</f>
        <v>0</v>
      </c>
      <c r="K288" s="1">
        <f>'Paste cell here'!Q288</f>
        <v>1.5554104049999999</v>
      </c>
      <c r="L288" s="1">
        <f>'Paste cell here'!S288</f>
        <v>0</v>
      </c>
      <c r="M288" s="1">
        <f>'Paste cell here'!T288</f>
        <v>1.2E-4</v>
      </c>
      <c r="N288" s="1">
        <f>'Paste cell here'!W288</f>
        <v>0</v>
      </c>
      <c r="O288" s="1">
        <f>'Paste cell here'!U288</f>
        <v>11.80056536</v>
      </c>
      <c r="P288" s="1">
        <f t="shared" si="23"/>
        <v>13.356095590000001</v>
      </c>
      <c r="Q288" s="1">
        <f>'Paste cell here'!V288</f>
        <v>0</v>
      </c>
      <c r="R288" s="1">
        <f t="shared" si="24"/>
        <v>1.7500000026871021E-7</v>
      </c>
      <c r="S288" s="7">
        <f>Sintesi!$C$30</f>
        <v>8.3099999999999993E-2</v>
      </c>
      <c r="T288" s="7">
        <f>Sintesi!$C$29</f>
        <v>0.229209</v>
      </c>
      <c r="U288" s="5">
        <f>O288/(Sintesi!$C$5*1000)</f>
        <v>0.1180056536</v>
      </c>
      <c r="V288" s="1">
        <f t="shared" si="20"/>
        <v>0.14610899999999999</v>
      </c>
      <c r="W288" s="1">
        <v>0.63273225261608901</v>
      </c>
      <c r="X288" s="1">
        <f t="shared" si="21"/>
        <v>9.2447876697484138E-2</v>
      </c>
      <c r="Y288" s="1">
        <f t="shared" si="22"/>
        <v>0.13676112330251586</v>
      </c>
      <c r="Z288" s="1">
        <f>'Paste cellinfo here'!$B$11</f>
        <v>0.51802400000000004</v>
      </c>
    </row>
    <row r="289" spans="1:26">
      <c r="A289" s="1">
        <v>288</v>
      </c>
      <c r="B289" s="2">
        <f>DATE(Sintesi!$C$4-1,12,31)+A289</f>
        <v>44484</v>
      </c>
      <c r="C289" s="1">
        <f>'Paste cell here'!B289</f>
        <v>0</v>
      </c>
      <c r="D289" s="1">
        <f>'Paste cell here'!I289</f>
        <v>0</v>
      </c>
      <c r="E289" s="1">
        <f>'Paste cell here'!J289</f>
        <v>0</v>
      </c>
      <c r="F289" s="1">
        <f>'Paste cell here'!K289</f>
        <v>0</v>
      </c>
      <c r="G289" s="1">
        <f>'Paste cell here'!L289</f>
        <v>0</v>
      </c>
      <c r="H289" s="1">
        <f>'Paste cell here'!M289</f>
        <v>0</v>
      </c>
      <c r="I289" s="1">
        <f>'Paste cell here'!N289</f>
        <v>0</v>
      </c>
      <c r="J289" s="1">
        <f>'Paste cell here'!O289</f>
        <v>0</v>
      </c>
      <c r="K289" s="1">
        <f>'Paste cell here'!Q289</f>
        <v>1.1742945149999999</v>
      </c>
      <c r="L289" s="1">
        <f>'Paste cell here'!S289</f>
        <v>0</v>
      </c>
      <c r="M289" s="1">
        <f>'Paste cell here'!T289</f>
        <v>2.0000000000000002E-5</v>
      </c>
      <c r="N289" s="1">
        <f>'Paste cell here'!W289</f>
        <v>0</v>
      </c>
      <c r="O289" s="1">
        <f>'Paste cell here'!U289</f>
        <v>10.62625083</v>
      </c>
      <c r="P289" s="1">
        <f t="shared" si="23"/>
        <v>11.80056536</v>
      </c>
      <c r="Q289" s="1">
        <f>'Paste cell here'!V289</f>
        <v>0</v>
      </c>
      <c r="R289" s="1">
        <f t="shared" si="24"/>
        <v>1.5000001241105565E-8</v>
      </c>
      <c r="S289" s="7">
        <f>Sintesi!$C$30</f>
        <v>8.3099999999999993E-2</v>
      </c>
      <c r="T289" s="7">
        <f>Sintesi!$C$29</f>
        <v>0.229209</v>
      </c>
      <c r="U289" s="5">
        <f>O289/(Sintesi!$C$5*1000)</f>
        <v>0.1062625083</v>
      </c>
      <c r="V289" s="1">
        <f t="shared" si="20"/>
        <v>0.14610899999999999</v>
      </c>
      <c r="W289" s="1">
        <v>0.63307370436102195</v>
      </c>
      <c r="X289" s="1">
        <f t="shared" si="21"/>
        <v>9.2497765870484555E-2</v>
      </c>
      <c r="Y289" s="1">
        <f t="shared" si="22"/>
        <v>0.13671123412951544</v>
      </c>
      <c r="Z289" s="1">
        <f>'Paste cellinfo here'!$B$11</f>
        <v>0.51802400000000004</v>
      </c>
    </row>
    <row r="290" spans="1:26">
      <c r="A290" s="1">
        <v>289</v>
      </c>
      <c r="B290" s="2">
        <f>DATE(Sintesi!$C$4-1,12,31)+A290</f>
        <v>44485</v>
      </c>
      <c r="C290" s="1">
        <f>'Paste cell here'!B290</f>
        <v>0</v>
      </c>
      <c r="D290" s="1">
        <f>'Paste cell here'!I290</f>
        <v>0</v>
      </c>
      <c r="E290" s="1">
        <f>'Paste cell here'!J290</f>
        <v>0</v>
      </c>
      <c r="F290" s="1">
        <f>'Paste cell here'!K290</f>
        <v>0</v>
      </c>
      <c r="G290" s="1">
        <f>'Paste cell here'!L290</f>
        <v>0</v>
      </c>
      <c r="H290" s="1">
        <f>'Paste cell here'!M290</f>
        <v>0</v>
      </c>
      <c r="I290" s="1">
        <f>'Paste cell here'!N290</f>
        <v>0</v>
      </c>
      <c r="J290" s="1">
        <f>'Paste cell here'!O290</f>
        <v>0</v>
      </c>
      <c r="K290" s="1">
        <f>'Paste cell here'!Q290</f>
        <v>1.005043525</v>
      </c>
      <c r="L290" s="1">
        <f>'Paste cell here'!S290</f>
        <v>0</v>
      </c>
      <c r="M290" s="1">
        <f>'Paste cell here'!T290</f>
        <v>3.7400000000000002E-6</v>
      </c>
      <c r="N290" s="1">
        <f>'Paste cell here'!W290</f>
        <v>0</v>
      </c>
      <c r="O290" s="1">
        <f>'Paste cell here'!U290</f>
        <v>9.6212035670000002</v>
      </c>
      <c r="P290" s="1">
        <f t="shared" si="23"/>
        <v>10.62625083</v>
      </c>
      <c r="Q290" s="1">
        <f>'Paste cell here'!V290</f>
        <v>0</v>
      </c>
      <c r="R290" s="1">
        <f t="shared" si="24"/>
        <v>2.000000165480742E-9</v>
      </c>
      <c r="S290" s="7">
        <f>Sintesi!$C$30</f>
        <v>8.3099999999999993E-2</v>
      </c>
      <c r="T290" s="7">
        <f>Sintesi!$C$29</f>
        <v>0.229209</v>
      </c>
      <c r="U290" s="5">
        <f>O290/(Sintesi!$C$5*1000)</f>
        <v>9.6212035670000001E-2</v>
      </c>
      <c r="V290" s="1">
        <f t="shared" si="20"/>
        <v>0.14610899999999999</v>
      </c>
      <c r="W290" s="1">
        <v>0.63901578100658696</v>
      </c>
      <c r="X290" s="1">
        <f t="shared" si="21"/>
        <v>9.3365956747091403E-2</v>
      </c>
      <c r="Y290" s="1">
        <f t="shared" si="22"/>
        <v>0.13584304325290858</v>
      </c>
      <c r="Z290" s="1">
        <f>'Paste cellinfo here'!$B$11</f>
        <v>0.51802400000000004</v>
      </c>
    </row>
    <row r="291" spans="1:26">
      <c r="A291" s="1">
        <v>290</v>
      </c>
      <c r="B291" s="2">
        <f>DATE(Sintesi!$C$4-1,12,31)+A291</f>
        <v>44486</v>
      </c>
      <c r="C291" s="1">
        <f>'Paste cell here'!B291</f>
        <v>0</v>
      </c>
      <c r="D291" s="1">
        <f>'Paste cell here'!I291</f>
        <v>0</v>
      </c>
      <c r="E291" s="1">
        <f>'Paste cell here'!J291</f>
        <v>0</v>
      </c>
      <c r="F291" s="1">
        <f>'Paste cell here'!K291</f>
        <v>0</v>
      </c>
      <c r="G291" s="1">
        <f>'Paste cell here'!L291</f>
        <v>0</v>
      </c>
      <c r="H291" s="1">
        <f>'Paste cell here'!M291</f>
        <v>0</v>
      </c>
      <c r="I291" s="1">
        <f>'Paste cell here'!N291</f>
        <v>0</v>
      </c>
      <c r="J291" s="1">
        <f>'Paste cell here'!O291</f>
        <v>0</v>
      </c>
      <c r="K291" s="1">
        <f>'Paste cell here'!Q291</f>
        <v>0.82241238500000002</v>
      </c>
      <c r="L291" s="1">
        <f>'Paste cell here'!S291</f>
        <v>0</v>
      </c>
      <c r="M291" s="1">
        <f>'Paste cell here'!T291</f>
        <v>6.7400000000000003E-7</v>
      </c>
      <c r="N291" s="1">
        <f>'Paste cell here'!W291</f>
        <v>0</v>
      </c>
      <c r="O291" s="1">
        <f>'Paste cell here'!U291</f>
        <v>8.7987905079999997</v>
      </c>
      <c r="P291" s="1">
        <f t="shared" si="23"/>
        <v>9.6212035670000002</v>
      </c>
      <c r="Q291" s="1">
        <f>'Paste cell here'!V291</f>
        <v>0</v>
      </c>
      <c r="R291" s="1">
        <f t="shared" si="24"/>
        <v>0</v>
      </c>
      <c r="S291" s="7">
        <f>Sintesi!$C$30</f>
        <v>8.3099999999999993E-2</v>
      </c>
      <c r="T291" s="7">
        <f>Sintesi!$C$29</f>
        <v>0.229209</v>
      </c>
      <c r="U291" s="5">
        <f>O291/(Sintesi!$C$5*1000)</f>
        <v>8.7987905079999998E-2</v>
      </c>
      <c r="V291" s="1">
        <f t="shared" si="20"/>
        <v>0.14610899999999999</v>
      </c>
      <c r="W291" s="1">
        <v>0.63113043652299206</v>
      </c>
      <c r="X291" s="1">
        <f t="shared" si="21"/>
        <v>9.2213836949937844E-2</v>
      </c>
      <c r="Y291" s="1">
        <f t="shared" si="22"/>
        <v>0.13699516305006215</v>
      </c>
      <c r="Z291" s="1">
        <f>'Paste cellinfo here'!$B$11</f>
        <v>0.51802400000000004</v>
      </c>
    </row>
    <row r="292" spans="1:26">
      <c r="A292" s="1">
        <v>291</v>
      </c>
      <c r="B292" s="2">
        <f>DATE(Sintesi!$C$4-1,12,31)+A292</f>
        <v>44487</v>
      </c>
      <c r="C292" s="1">
        <f>'Paste cell here'!B292</f>
        <v>0</v>
      </c>
      <c r="D292" s="1">
        <f>'Paste cell here'!I292</f>
        <v>0</v>
      </c>
      <c r="E292" s="1">
        <f>'Paste cell here'!J292</f>
        <v>0</v>
      </c>
      <c r="F292" s="1">
        <f>'Paste cell here'!K292</f>
        <v>0</v>
      </c>
      <c r="G292" s="1">
        <f>'Paste cell here'!L292</f>
        <v>0</v>
      </c>
      <c r="H292" s="1">
        <f>'Paste cell here'!M292</f>
        <v>0</v>
      </c>
      <c r="I292" s="1">
        <f>'Paste cell here'!N292</f>
        <v>0</v>
      </c>
      <c r="J292" s="1">
        <f>'Paste cell here'!O292</f>
        <v>0</v>
      </c>
      <c r="K292" s="1">
        <f>'Paste cell here'!Q292</f>
        <v>0.67890158</v>
      </c>
      <c r="L292" s="1">
        <f>'Paste cell here'!S292</f>
        <v>0</v>
      </c>
      <c r="M292" s="1">
        <f>'Paste cell here'!T292</f>
        <v>1.24E-7</v>
      </c>
      <c r="N292" s="1">
        <f>'Paste cell here'!W292</f>
        <v>0</v>
      </c>
      <c r="O292" s="1">
        <f>'Paste cell here'!U292</f>
        <v>8.1198888050000004</v>
      </c>
      <c r="P292" s="1">
        <f t="shared" si="23"/>
        <v>8.7987905079999997</v>
      </c>
      <c r="Q292" s="1">
        <f>'Paste cell here'!V292</f>
        <v>0</v>
      </c>
      <c r="R292" s="1">
        <f t="shared" si="24"/>
        <v>1.000000082740371E-9</v>
      </c>
      <c r="S292" s="7">
        <f>Sintesi!$C$30</f>
        <v>8.3099999999999993E-2</v>
      </c>
      <c r="T292" s="7">
        <f>Sintesi!$C$29</f>
        <v>0.229209</v>
      </c>
      <c r="U292" s="5">
        <f>O292/(Sintesi!$C$5*1000)</f>
        <v>8.1198888050000001E-2</v>
      </c>
      <c r="V292" s="1">
        <f t="shared" si="20"/>
        <v>0.14610899999999999</v>
      </c>
      <c r="W292" s="1">
        <v>0.628366489124635</v>
      </c>
      <c r="X292" s="1">
        <f t="shared" si="21"/>
        <v>9.1809999359511285E-2</v>
      </c>
      <c r="Y292" s="1">
        <f t="shared" si="22"/>
        <v>0.13739900064048871</v>
      </c>
      <c r="Z292" s="1">
        <f>'Paste cellinfo here'!$B$11</f>
        <v>0.51802400000000004</v>
      </c>
    </row>
    <row r="293" spans="1:26">
      <c r="A293" s="1">
        <v>292</v>
      </c>
      <c r="B293" s="2">
        <f>DATE(Sintesi!$C$4-1,12,31)+A293</f>
        <v>44488</v>
      </c>
      <c r="C293" s="1">
        <f>'Paste cell here'!B293</f>
        <v>0</v>
      </c>
      <c r="D293" s="1">
        <f>'Paste cell here'!I293</f>
        <v>0</v>
      </c>
      <c r="E293" s="1">
        <f>'Paste cell here'!J293</f>
        <v>0</v>
      </c>
      <c r="F293" s="1">
        <f>'Paste cell here'!K293</f>
        <v>0</v>
      </c>
      <c r="G293" s="1">
        <f>'Paste cell here'!L293</f>
        <v>0</v>
      </c>
      <c r="H293" s="1">
        <f>'Paste cell here'!M293</f>
        <v>0</v>
      </c>
      <c r="I293" s="1">
        <f>'Paste cell here'!N293</f>
        <v>0</v>
      </c>
      <c r="J293" s="1">
        <f>'Paste cell here'!O293</f>
        <v>0</v>
      </c>
      <c r="K293" s="1">
        <f>'Paste cell here'!Q293</f>
        <v>0.50862688300000003</v>
      </c>
      <c r="L293" s="1">
        <f>'Paste cell here'!S293</f>
        <v>0</v>
      </c>
      <c r="M293" s="1">
        <f>'Paste cell here'!T293</f>
        <v>2.37E-8</v>
      </c>
      <c r="N293" s="1">
        <f>'Paste cell here'!W293</f>
        <v>0</v>
      </c>
      <c r="O293" s="1">
        <f>'Paste cell here'!U293</f>
        <v>7.6112618980000004</v>
      </c>
      <c r="P293" s="1">
        <f t="shared" si="23"/>
        <v>8.1198888050000004</v>
      </c>
      <c r="Q293" s="1">
        <f>'Paste cell here'!V293</f>
        <v>0</v>
      </c>
      <c r="R293" s="1">
        <f t="shared" si="24"/>
        <v>3.000000248221113E-10</v>
      </c>
      <c r="S293" s="7">
        <f>Sintesi!$C$30</f>
        <v>8.3099999999999993E-2</v>
      </c>
      <c r="T293" s="7">
        <f>Sintesi!$C$29</f>
        <v>0.229209</v>
      </c>
      <c r="U293" s="5">
        <f>O293/(Sintesi!$C$5*1000)</f>
        <v>7.6112618980000005E-2</v>
      </c>
      <c r="V293" s="1">
        <f t="shared" si="20"/>
        <v>0.14610899999999999</v>
      </c>
      <c r="W293" s="1">
        <v>0.64289050275009396</v>
      </c>
      <c r="X293" s="1">
        <f t="shared" si="21"/>
        <v>9.3932088466313471E-2</v>
      </c>
      <c r="Y293" s="1">
        <f t="shared" si="22"/>
        <v>0.13527691153368654</v>
      </c>
      <c r="Z293" s="1">
        <f>'Paste cellinfo here'!$B$11</f>
        <v>0.51802400000000004</v>
      </c>
    </row>
    <row r="294" spans="1:26">
      <c r="A294" s="1">
        <v>293</v>
      </c>
      <c r="B294" s="2">
        <f>DATE(Sintesi!$C$4-1,12,31)+A294</f>
        <v>44489</v>
      </c>
      <c r="C294" s="1">
        <f>'Paste cell here'!B294</f>
        <v>1.9599999999999999E-2</v>
      </c>
      <c r="D294" s="1">
        <f>'Paste cell here'!I294</f>
        <v>0</v>
      </c>
      <c r="E294" s="1">
        <f>'Paste cell here'!J294</f>
        <v>1.9599999999999999E-2</v>
      </c>
      <c r="F294" s="1">
        <f>'Paste cell here'!K294</f>
        <v>1.9599999999999999E-2</v>
      </c>
      <c r="G294" s="1">
        <f>'Paste cell here'!L294</f>
        <v>1.9599999999999999E-2</v>
      </c>
      <c r="H294" s="1">
        <f>'Paste cell here'!M294</f>
        <v>0</v>
      </c>
      <c r="I294" s="1">
        <f>'Paste cell here'!N294</f>
        <v>0</v>
      </c>
      <c r="J294" s="1">
        <f>'Paste cell here'!O294</f>
        <v>1.9599999999999999E-2</v>
      </c>
      <c r="K294" s="1">
        <f>'Paste cell here'!Q294</f>
        <v>0.36683929199999998</v>
      </c>
      <c r="L294" s="1">
        <f>'Paste cell here'!S294</f>
        <v>0</v>
      </c>
      <c r="M294" s="1">
        <f>'Paste cell here'!T294</f>
        <v>5.7100000000000003E-9</v>
      </c>
      <c r="N294" s="1">
        <f>'Paste cell here'!W294</f>
        <v>0</v>
      </c>
      <c r="O294" s="1">
        <f>'Paste cell here'!U294</f>
        <v>7.2640124449999997</v>
      </c>
      <c r="P294" s="1">
        <f t="shared" si="23"/>
        <v>7.6112618980000004</v>
      </c>
      <c r="Q294" s="1">
        <f>'Paste cell here'!V294</f>
        <v>0</v>
      </c>
      <c r="R294" s="1">
        <f t="shared" si="24"/>
        <v>1.0155290000923856E-5</v>
      </c>
      <c r="S294" s="7">
        <f>Sintesi!$C$30</f>
        <v>8.3099999999999993E-2</v>
      </c>
      <c r="T294" s="7">
        <f>Sintesi!$C$29</f>
        <v>0.229209</v>
      </c>
      <c r="U294" s="5">
        <f>O294/(Sintesi!$C$5*1000)</f>
        <v>7.2640124449999996E-2</v>
      </c>
      <c r="V294" s="1">
        <f t="shared" si="20"/>
        <v>0.14610899999999999</v>
      </c>
      <c r="W294" s="1">
        <v>0.64190045978212096</v>
      </c>
      <c r="X294" s="1">
        <f t="shared" si="21"/>
        <v>9.3787434278305909E-2</v>
      </c>
      <c r="Y294" s="1">
        <f t="shared" si="22"/>
        <v>0.13542156572169409</v>
      </c>
      <c r="Z294" s="1">
        <f>'Paste cellinfo here'!$B$11</f>
        <v>0.51802400000000004</v>
      </c>
    </row>
    <row r="295" spans="1:26">
      <c r="A295" s="1">
        <v>294</v>
      </c>
      <c r="B295" s="2">
        <f>DATE(Sintesi!$C$4-1,12,31)+A295</f>
        <v>44490</v>
      </c>
      <c r="C295" s="1">
        <f>'Paste cell here'!B295</f>
        <v>2.2224008849999999</v>
      </c>
      <c r="D295" s="1">
        <f>'Paste cell here'!I295</f>
        <v>0</v>
      </c>
      <c r="E295" s="1">
        <f>'Paste cell here'!J295</f>
        <v>2.2224008849999999</v>
      </c>
      <c r="F295" s="1">
        <f>'Paste cell here'!K295</f>
        <v>2.2224008849999999</v>
      </c>
      <c r="G295" s="1">
        <f>'Paste cell here'!L295</f>
        <v>2.2224008849999999</v>
      </c>
      <c r="H295" s="1">
        <f>'Paste cell here'!M295</f>
        <v>0</v>
      </c>
      <c r="I295" s="1">
        <f>'Paste cell here'!N295</f>
        <v>0</v>
      </c>
      <c r="J295" s="1">
        <f>'Paste cell here'!O295</f>
        <v>2.222400951</v>
      </c>
      <c r="K295" s="1">
        <f>'Paste cell here'!Q295</f>
        <v>0.266963793</v>
      </c>
      <c r="L295" s="1">
        <f>'Paste cell here'!S295</f>
        <v>0</v>
      </c>
      <c r="M295" s="1">
        <f>'Paste cell here'!T295</f>
        <v>1.09E-7</v>
      </c>
      <c r="N295" s="1">
        <f>'Paste cell here'!W295</f>
        <v>0</v>
      </c>
      <c r="O295" s="1">
        <f>'Paste cell here'!U295</f>
        <v>9.2194494939999991</v>
      </c>
      <c r="P295" s="1">
        <f t="shared" si="23"/>
        <v>7.2640124449999997</v>
      </c>
      <c r="Q295" s="1">
        <f>'Paste cell here'!V295</f>
        <v>0</v>
      </c>
      <c r="R295" s="1">
        <f t="shared" si="24"/>
        <v>6.6000000131793968E-8</v>
      </c>
      <c r="S295" s="7">
        <f>Sintesi!$C$30</f>
        <v>8.3099999999999993E-2</v>
      </c>
      <c r="T295" s="7">
        <f>Sintesi!$C$29</f>
        <v>0.229209</v>
      </c>
      <c r="U295" s="5">
        <f>O295/(Sintesi!$C$5*1000)</f>
        <v>9.2194494939999996E-2</v>
      </c>
      <c r="V295" s="1">
        <f t="shared" si="20"/>
        <v>0.14610899999999999</v>
      </c>
      <c r="W295" s="1">
        <v>0.62462724068280695</v>
      </c>
      <c r="X295" s="1">
        <f t="shared" si="21"/>
        <v>9.1263661508924232E-2</v>
      </c>
      <c r="Y295" s="1">
        <f t="shared" si="22"/>
        <v>0.13794533849107576</v>
      </c>
      <c r="Z295" s="1">
        <f>'Paste cellinfo here'!$B$11</f>
        <v>0.51802400000000004</v>
      </c>
    </row>
    <row r="296" spans="1:26">
      <c r="A296" s="1">
        <v>295</v>
      </c>
      <c r="B296" s="2">
        <f>DATE(Sintesi!$C$4-1,12,31)+A296</f>
        <v>44491</v>
      </c>
      <c r="C296" s="1">
        <f>'Paste cell here'!B296</f>
        <v>4.7500000000000001E-2</v>
      </c>
      <c r="D296" s="1">
        <f>'Paste cell here'!I296</f>
        <v>0</v>
      </c>
      <c r="E296" s="1">
        <f>'Paste cell here'!J296</f>
        <v>4.7500000000000001E-2</v>
      </c>
      <c r="F296" s="1">
        <f>'Paste cell here'!K296</f>
        <v>4.7500000000000001E-2</v>
      </c>
      <c r="G296" s="1">
        <f>'Paste cell here'!L296</f>
        <v>4.7500000000000001E-2</v>
      </c>
      <c r="H296" s="1">
        <f>'Paste cell here'!M296</f>
        <v>0</v>
      </c>
      <c r="I296" s="1">
        <f>'Paste cell here'!N296</f>
        <v>0</v>
      </c>
      <c r="J296" s="1">
        <f>'Paste cell here'!O296</f>
        <v>4.7500000000000001E-2</v>
      </c>
      <c r="K296" s="1">
        <f>'Paste cell here'!Q296</f>
        <v>0.61371200000000004</v>
      </c>
      <c r="L296" s="1">
        <f>'Paste cell here'!S296</f>
        <v>0</v>
      </c>
      <c r="M296" s="1">
        <f>'Paste cell here'!T296</f>
        <v>3.4299999999999999E-7</v>
      </c>
      <c r="N296" s="1">
        <f>'Paste cell here'!W296</f>
        <v>0</v>
      </c>
      <c r="O296" s="1">
        <f>'Paste cell here'!U296</f>
        <v>8.6532504120000002</v>
      </c>
      <c r="P296" s="1">
        <f t="shared" si="23"/>
        <v>9.2194494939999991</v>
      </c>
      <c r="Q296" s="1">
        <f>'Paste cell here'!V296</f>
        <v>0</v>
      </c>
      <c r="R296" s="1">
        <f t="shared" si="24"/>
        <v>1.326100000120789E-5</v>
      </c>
      <c r="S296" s="7">
        <f>Sintesi!$C$30</f>
        <v>8.3099999999999993E-2</v>
      </c>
      <c r="T296" s="7">
        <f>Sintesi!$C$29</f>
        <v>0.229209</v>
      </c>
      <c r="U296" s="5">
        <f>O296/(Sintesi!$C$5*1000)</f>
        <v>8.6532504120000006E-2</v>
      </c>
      <c r="V296" s="1">
        <f t="shared" si="20"/>
        <v>0.14610899999999999</v>
      </c>
      <c r="W296" s="1">
        <v>0.61811433192206899</v>
      </c>
      <c r="X296" s="1">
        <f t="shared" si="21"/>
        <v>9.0312066922801568E-2</v>
      </c>
      <c r="Y296" s="1">
        <f t="shared" si="22"/>
        <v>0.13889693307719841</v>
      </c>
      <c r="Z296" s="1">
        <f>'Paste cellinfo here'!$B$11</f>
        <v>0.51802400000000004</v>
      </c>
    </row>
    <row r="297" spans="1:26">
      <c r="A297" s="1">
        <v>296</v>
      </c>
      <c r="B297" s="2">
        <f>DATE(Sintesi!$C$4-1,12,31)+A297</f>
        <v>44492</v>
      </c>
      <c r="C297" s="1">
        <f>'Paste cell here'!B297</f>
        <v>0</v>
      </c>
      <c r="D297" s="1">
        <f>'Paste cell here'!I297</f>
        <v>0</v>
      </c>
      <c r="E297" s="1">
        <f>'Paste cell here'!J297</f>
        <v>0</v>
      </c>
      <c r="F297" s="1">
        <f>'Paste cell here'!K297</f>
        <v>0</v>
      </c>
      <c r="G297" s="1">
        <f>'Paste cell here'!L297</f>
        <v>0</v>
      </c>
      <c r="H297" s="1">
        <f>'Paste cell here'!M297</f>
        <v>0</v>
      </c>
      <c r="I297" s="1">
        <f>'Paste cell here'!N297</f>
        <v>0</v>
      </c>
      <c r="J297" s="1">
        <f>'Paste cell here'!O297</f>
        <v>0</v>
      </c>
      <c r="K297" s="1">
        <f>'Paste cell here'!Q297</f>
        <v>0.488386237</v>
      </c>
      <c r="L297" s="1">
        <f>'Paste cell here'!S297</f>
        <v>0</v>
      </c>
      <c r="M297" s="1">
        <f>'Paste cell here'!T297</f>
        <v>9.8500000000000002E-8</v>
      </c>
      <c r="N297" s="1">
        <f>'Paste cell here'!W297</f>
        <v>0</v>
      </c>
      <c r="O297" s="1">
        <f>'Paste cell here'!U297</f>
        <v>8.1648640770000007</v>
      </c>
      <c r="P297" s="1">
        <f t="shared" si="23"/>
        <v>8.6532504120000002</v>
      </c>
      <c r="Q297" s="1">
        <f>'Paste cell here'!V297</f>
        <v>0</v>
      </c>
      <c r="R297" s="1">
        <f t="shared" si="24"/>
        <v>5.000000413701855E-10</v>
      </c>
      <c r="S297" s="7">
        <f>Sintesi!$C$30</f>
        <v>8.3099999999999993E-2</v>
      </c>
      <c r="T297" s="7">
        <f>Sintesi!$C$29</f>
        <v>0.229209</v>
      </c>
      <c r="U297" s="5">
        <f>O297/(Sintesi!$C$5*1000)</f>
        <v>8.1648640770000003E-2</v>
      </c>
      <c r="V297" s="1">
        <f t="shared" si="20"/>
        <v>0.14610899999999999</v>
      </c>
      <c r="W297" s="1">
        <v>0.64352310364367404</v>
      </c>
      <c r="X297" s="1">
        <f t="shared" si="21"/>
        <v>9.4024517150273559E-2</v>
      </c>
      <c r="Y297" s="1">
        <f t="shared" si="22"/>
        <v>0.13518448284972645</v>
      </c>
      <c r="Z297" s="1">
        <f>'Paste cellinfo here'!$B$11</f>
        <v>0.51802400000000004</v>
      </c>
    </row>
    <row r="298" spans="1:26">
      <c r="A298" s="1">
        <v>297</v>
      </c>
      <c r="B298" s="2">
        <f>DATE(Sintesi!$C$4-1,12,31)+A298</f>
        <v>44493</v>
      </c>
      <c r="C298" s="1">
        <f>'Paste cell here'!B298</f>
        <v>2.52E-2</v>
      </c>
      <c r="D298" s="1">
        <f>'Paste cell here'!I298</f>
        <v>0</v>
      </c>
      <c r="E298" s="1">
        <f>'Paste cell here'!J298</f>
        <v>2.52E-2</v>
      </c>
      <c r="F298" s="1">
        <f>'Paste cell here'!K298</f>
        <v>2.52E-2</v>
      </c>
      <c r="G298" s="1">
        <f>'Paste cell here'!L298</f>
        <v>2.52E-2</v>
      </c>
      <c r="H298" s="1">
        <f>'Paste cell here'!M298</f>
        <v>0</v>
      </c>
      <c r="I298" s="1">
        <f>'Paste cell here'!N298</f>
        <v>0</v>
      </c>
      <c r="J298" s="1">
        <f>'Paste cell here'!O298</f>
        <v>2.52E-2</v>
      </c>
      <c r="K298" s="1">
        <f>'Paste cell here'!Q298</f>
        <v>0.50554125100000002</v>
      </c>
      <c r="L298" s="1">
        <f>'Paste cell here'!S298</f>
        <v>0</v>
      </c>
      <c r="M298" s="1">
        <f>'Paste cell here'!T298</f>
        <v>2.77E-8</v>
      </c>
      <c r="N298" s="1">
        <f>'Paste cell here'!W298</f>
        <v>0</v>
      </c>
      <c r="O298" s="1">
        <f>'Paste cell here'!U298</f>
        <v>7.6845365110000001</v>
      </c>
      <c r="P298" s="1">
        <f t="shared" si="23"/>
        <v>8.1648640770000007</v>
      </c>
      <c r="Q298" s="1">
        <f>'Paste cell here'!V298</f>
        <v>0</v>
      </c>
      <c r="R298" s="1">
        <f t="shared" si="24"/>
        <v>1.3712699999501865E-5</v>
      </c>
      <c r="S298" s="7">
        <f>Sintesi!$C$30</f>
        <v>8.3099999999999993E-2</v>
      </c>
      <c r="T298" s="7">
        <f>Sintesi!$C$29</f>
        <v>0.229209</v>
      </c>
      <c r="U298" s="5">
        <f>O298/(Sintesi!$C$5*1000)</f>
        <v>7.6845365110000008E-2</v>
      </c>
      <c r="V298" s="1">
        <f t="shared" si="20"/>
        <v>0.14610899999999999</v>
      </c>
      <c r="W298" s="1">
        <v>0.63947523673653905</v>
      </c>
      <c r="X298" s="1">
        <f t="shared" si="21"/>
        <v>9.3433087364338974E-2</v>
      </c>
      <c r="Y298" s="1">
        <f t="shared" si="22"/>
        <v>0.13577591263566102</v>
      </c>
      <c r="Z298" s="1">
        <f>'Paste cellinfo here'!$B$11</f>
        <v>0.51802400000000004</v>
      </c>
    </row>
    <row r="299" spans="1:26">
      <c r="A299" s="1">
        <v>298</v>
      </c>
      <c r="B299" s="2">
        <f>DATE(Sintesi!$C$4-1,12,31)+A299</f>
        <v>44494</v>
      </c>
      <c r="C299" s="1">
        <f>'Paste cell here'!B299</f>
        <v>0</v>
      </c>
      <c r="D299" s="1">
        <f>'Paste cell here'!I299</f>
        <v>0</v>
      </c>
      <c r="E299" s="1">
        <f>'Paste cell here'!J299</f>
        <v>0</v>
      </c>
      <c r="F299" s="1">
        <f>'Paste cell here'!K299</f>
        <v>0</v>
      </c>
      <c r="G299" s="1">
        <f>'Paste cell here'!L299</f>
        <v>0</v>
      </c>
      <c r="H299" s="1">
        <f>'Paste cell here'!M299</f>
        <v>0</v>
      </c>
      <c r="I299" s="1">
        <f>'Paste cell here'!N299</f>
        <v>0</v>
      </c>
      <c r="J299" s="1">
        <f>'Paste cell here'!O299</f>
        <v>0</v>
      </c>
      <c r="K299" s="1">
        <f>'Paste cell here'!Q299</f>
        <v>0.37788682600000001</v>
      </c>
      <c r="L299" s="1">
        <f>'Paste cell here'!S299</f>
        <v>0</v>
      </c>
      <c r="M299" s="1">
        <f>'Paste cell here'!T299</f>
        <v>7.0299999999999999E-9</v>
      </c>
      <c r="N299" s="1">
        <f>'Paste cell here'!W299</f>
        <v>0</v>
      </c>
      <c r="O299" s="1">
        <f>'Paste cell here'!U299</f>
        <v>7.3066496780000003</v>
      </c>
      <c r="P299" s="1">
        <f t="shared" si="23"/>
        <v>7.6845365110000001</v>
      </c>
      <c r="Q299" s="1">
        <f>'Paste cell here'!V299</f>
        <v>0</v>
      </c>
      <c r="R299" s="1">
        <f t="shared" si="24"/>
        <v>3.000000248221113E-11</v>
      </c>
      <c r="S299" s="7">
        <f>Sintesi!$C$30</f>
        <v>8.3099999999999993E-2</v>
      </c>
      <c r="T299" s="7">
        <f>Sintesi!$C$29</f>
        <v>0.229209</v>
      </c>
      <c r="U299" s="5">
        <f>O299/(Sintesi!$C$5*1000)</f>
        <v>7.3066496780000004E-2</v>
      </c>
      <c r="V299" s="1">
        <f t="shared" si="20"/>
        <v>0.14610899999999999</v>
      </c>
      <c r="W299" s="1">
        <v>0.66146036409954601</v>
      </c>
      <c r="X299" s="1">
        <f t="shared" si="21"/>
        <v>9.664531233822056E-2</v>
      </c>
      <c r="Y299" s="1">
        <f t="shared" si="22"/>
        <v>0.13256368766177945</v>
      </c>
      <c r="Z299" s="1">
        <f>'Paste cellinfo here'!$B$11</f>
        <v>0.51802400000000004</v>
      </c>
    </row>
    <row r="300" spans="1:26">
      <c r="A300" s="1">
        <v>299</v>
      </c>
      <c r="B300" s="2">
        <f>DATE(Sintesi!$C$4-1,12,31)+A300</f>
        <v>44495</v>
      </c>
      <c r="C300" s="1">
        <f>'Paste cell here'!B300</f>
        <v>0</v>
      </c>
      <c r="D300" s="1">
        <f>'Paste cell here'!I300</f>
        <v>0</v>
      </c>
      <c r="E300" s="1">
        <f>'Paste cell here'!J300</f>
        <v>0</v>
      </c>
      <c r="F300" s="1">
        <f>'Paste cell here'!K300</f>
        <v>0</v>
      </c>
      <c r="G300" s="1">
        <f>'Paste cell here'!L300</f>
        <v>0</v>
      </c>
      <c r="H300" s="1">
        <f>'Paste cell here'!M300</f>
        <v>0</v>
      </c>
      <c r="I300" s="1">
        <f>'Paste cell here'!N300</f>
        <v>0</v>
      </c>
      <c r="J300" s="1">
        <f>'Paste cell here'!O300</f>
        <v>0</v>
      </c>
      <c r="K300" s="1">
        <f>'Paste cell here'!Q300</f>
        <v>0.37223973399999999</v>
      </c>
      <c r="L300" s="1">
        <f>'Paste cell here'!S300</f>
        <v>0</v>
      </c>
      <c r="M300" s="1">
        <f>'Paste cell here'!T300</f>
        <v>1.87E-9</v>
      </c>
      <c r="N300" s="1">
        <f>'Paste cell here'!W300</f>
        <v>0</v>
      </c>
      <c r="O300" s="1">
        <f>'Paste cell here'!U300</f>
        <v>6.9344099430000004</v>
      </c>
      <c r="P300" s="1">
        <f t="shared" si="23"/>
        <v>7.3066496780000003</v>
      </c>
      <c r="Q300" s="1">
        <f>'Paste cell here'!V300</f>
        <v>0</v>
      </c>
      <c r="R300" s="1">
        <f t="shared" si="24"/>
        <v>8.7000007198412277E-10</v>
      </c>
      <c r="S300" s="7">
        <f>Sintesi!$C$30</f>
        <v>8.3099999999999993E-2</v>
      </c>
      <c r="T300" s="7">
        <f>Sintesi!$C$29</f>
        <v>0.229209</v>
      </c>
      <c r="U300" s="5">
        <f>O300/(Sintesi!$C$5*1000)</f>
        <v>6.934409943E-2</v>
      </c>
      <c r="V300" s="1">
        <f t="shared" si="20"/>
        <v>0.14610899999999999</v>
      </c>
      <c r="W300" s="1">
        <v>0.64631567745844198</v>
      </c>
      <c r="X300" s="1">
        <f t="shared" si="21"/>
        <v>9.4432537317775497E-2</v>
      </c>
      <c r="Y300" s="1">
        <f t="shared" si="22"/>
        <v>0.13477646268222448</v>
      </c>
      <c r="Z300" s="1">
        <f>'Paste cellinfo here'!$B$11</f>
        <v>0.51802400000000004</v>
      </c>
    </row>
    <row r="301" spans="1:26">
      <c r="A301" s="1">
        <v>300</v>
      </c>
      <c r="B301" s="2">
        <f>DATE(Sintesi!$C$4-1,12,31)+A301</f>
        <v>44496</v>
      </c>
      <c r="C301" s="1">
        <f>'Paste cell here'!B301</f>
        <v>0.30256455399999999</v>
      </c>
      <c r="D301" s="1">
        <f>'Paste cell here'!I301</f>
        <v>0</v>
      </c>
      <c r="E301" s="1">
        <f>'Paste cell here'!J301</f>
        <v>0.30256455399999999</v>
      </c>
      <c r="F301" s="1">
        <f>'Paste cell here'!K301</f>
        <v>0.30256455399999999</v>
      </c>
      <c r="G301" s="1">
        <f>'Paste cell here'!L301</f>
        <v>0.30256455399999999</v>
      </c>
      <c r="H301" s="1">
        <f>'Paste cell here'!M301</f>
        <v>0</v>
      </c>
      <c r="I301" s="1">
        <f>'Paste cell here'!N301</f>
        <v>0</v>
      </c>
      <c r="J301" s="1">
        <f>'Paste cell here'!O301</f>
        <v>0.30256456300000001</v>
      </c>
      <c r="K301" s="1">
        <f>'Paste cell here'!Q301</f>
        <v>0.37772187200000001</v>
      </c>
      <c r="L301" s="1">
        <f>'Paste cell here'!S301</f>
        <v>0</v>
      </c>
      <c r="M301" s="1">
        <f>'Paste cell here'!T301</f>
        <v>6.6399999999999998E-10</v>
      </c>
      <c r="N301" s="1">
        <f>'Paste cell here'!W301</f>
        <v>0</v>
      </c>
      <c r="O301" s="1">
        <f>'Paste cell here'!U301</f>
        <v>6.8592526329999997</v>
      </c>
      <c r="P301" s="1">
        <f t="shared" si="23"/>
        <v>6.9344099430000004</v>
      </c>
      <c r="Q301" s="1">
        <f>'Paste cell here'!V301</f>
        <v>0</v>
      </c>
      <c r="R301" s="1">
        <f t="shared" si="24"/>
        <v>8.6640001839555225E-9</v>
      </c>
      <c r="S301" s="7">
        <f>Sintesi!$C$30</f>
        <v>8.3099999999999993E-2</v>
      </c>
      <c r="T301" s="7">
        <f>Sintesi!$C$29</f>
        <v>0.229209</v>
      </c>
      <c r="U301" s="5">
        <f>O301/(Sintesi!$C$5*1000)</f>
        <v>6.859252633E-2</v>
      </c>
      <c r="V301" s="1">
        <f t="shared" si="20"/>
        <v>0.14610899999999999</v>
      </c>
      <c r="W301" s="1">
        <v>0.64208491711821802</v>
      </c>
      <c r="X301" s="1">
        <f t="shared" si="21"/>
        <v>9.3814385155225707E-2</v>
      </c>
      <c r="Y301" s="1">
        <f t="shared" si="22"/>
        <v>0.13539461484477427</v>
      </c>
      <c r="Z301" s="1">
        <f>'Paste cellinfo here'!$B$11</f>
        <v>0.51802400000000004</v>
      </c>
    </row>
    <row r="302" spans="1:26">
      <c r="A302" s="1">
        <v>301</v>
      </c>
      <c r="B302" s="2">
        <f>DATE(Sintesi!$C$4-1,12,31)+A302</f>
        <v>44497</v>
      </c>
      <c r="C302" s="1">
        <f>'Paste cell here'!B302</f>
        <v>0</v>
      </c>
      <c r="D302" s="1">
        <f>'Paste cell here'!I302</f>
        <v>0</v>
      </c>
      <c r="E302" s="1">
        <f>'Paste cell here'!J302</f>
        <v>0</v>
      </c>
      <c r="F302" s="1">
        <f>'Paste cell here'!K302</f>
        <v>0</v>
      </c>
      <c r="G302" s="1">
        <f>'Paste cell here'!L302</f>
        <v>0</v>
      </c>
      <c r="H302" s="1">
        <f>'Paste cell here'!M302</f>
        <v>0</v>
      </c>
      <c r="I302" s="1">
        <f>'Paste cell here'!N302</f>
        <v>0</v>
      </c>
      <c r="J302" s="1">
        <f>'Paste cell here'!O302</f>
        <v>0</v>
      </c>
      <c r="K302" s="1">
        <f>'Paste cell here'!Q302</f>
        <v>0.30651831200000001</v>
      </c>
      <c r="L302" s="1">
        <f>'Paste cell here'!S302</f>
        <v>0</v>
      </c>
      <c r="M302" s="1">
        <f>'Paste cell here'!T302</f>
        <v>3.14E-10</v>
      </c>
      <c r="N302" s="1">
        <f>'Paste cell here'!W302</f>
        <v>0</v>
      </c>
      <c r="O302" s="1">
        <f>'Paste cell here'!U302</f>
        <v>6.5527343199999999</v>
      </c>
      <c r="P302" s="1">
        <f t="shared" si="23"/>
        <v>6.8592526329999997</v>
      </c>
      <c r="Q302" s="1">
        <f>'Paste cell here'!V302</f>
        <v>0</v>
      </c>
      <c r="R302" s="1">
        <f t="shared" si="24"/>
        <v>6.8599970148852663E-10</v>
      </c>
      <c r="S302" s="7">
        <f>Sintesi!$C$30</f>
        <v>8.3099999999999993E-2</v>
      </c>
      <c r="T302" s="7">
        <f>Sintesi!$C$29</f>
        <v>0.229209</v>
      </c>
      <c r="U302" s="5">
        <f>O302/(Sintesi!$C$5*1000)</f>
        <v>6.5527343200000004E-2</v>
      </c>
      <c r="V302" s="1">
        <f t="shared" si="20"/>
        <v>0.14610899999999999</v>
      </c>
      <c r="W302" s="1">
        <v>0.64284007758085304</v>
      </c>
      <c r="X302" s="1">
        <f t="shared" si="21"/>
        <v>9.3924720895260855E-2</v>
      </c>
      <c r="Y302" s="1">
        <f t="shared" si="22"/>
        <v>0.13528427910473914</v>
      </c>
      <c r="Z302" s="1">
        <f>'Paste cellinfo here'!$B$11</f>
        <v>0.51802400000000004</v>
      </c>
    </row>
    <row r="303" spans="1:26">
      <c r="A303" s="1">
        <v>302</v>
      </c>
      <c r="B303" s="2">
        <f>DATE(Sintesi!$C$4-1,12,31)+A303</f>
        <v>44498</v>
      </c>
      <c r="C303" s="1">
        <f>'Paste cell here'!B303</f>
        <v>0</v>
      </c>
      <c r="D303" s="1">
        <f>'Paste cell here'!I303</f>
        <v>0</v>
      </c>
      <c r="E303" s="1">
        <f>'Paste cell here'!J303</f>
        <v>0</v>
      </c>
      <c r="F303" s="1">
        <f>'Paste cell here'!K303</f>
        <v>0</v>
      </c>
      <c r="G303" s="1">
        <f>'Paste cell here'!L303</f>
        <v>0</v>
      </c>
      <c r="H303" s="1">
        <f>'Paste cell here'!M303</f>
        <v>0</v>
      </c>
      <c r="I303" s="1">
        <f>'Paste cell here'!N303</f>
        <v>0</v>
      </c>
      <c r="J303" s="1">
        <f>'Paste cell here'!O303</f>
        <v>0</v>
      </c>
      <c r="K303" s="1">
        <f>'Paste cell here'!Q303</f>
        <v>0.258209578</v>
      </c>
      <c r="L303" s="1">
        <f>'Paste cell here'!S303</f>
        <v>0</v>
      </c>
      <c r="M303" s="1">
        <f>'Paste cell here'!T303</f>
        <v>7.2799999999999997E-11</v>
      </c>
      <c r="N303" s="1">
        <f>'Paste cell here'!W303</f>
        <v>0</v>
      </c>
      <c r="O303" s="1">
        <f>'Paste cell here'!U303</f>
        <v>6.2945247430000002</v>
      </c>
      <c r="P303" s="1">
        <f t="shared" si="23"/>
        <v>6.5527343199999999</v>
      </c>
      <c r="Q303" s="1">
        <f>'Paste cell here'!V303</f>
        <v>0</v>
      </c>
      <c r="R303" s="1">
        <f t="shared" si="24"/>
        <v>1.0728005150895115E-9</v>
      </c>
      <c r="S303" s="7">
        <f>Sintesi!$C$30</f>
        <v>8.3099999999999993E-2</v>
      </c>
      <c r="T303" s="7">
        <f>Sintesi!$C$29</f>
        <v>0.229209</v>
      </c>
      <c r="U303" s="5">
        <f>O303/(Sintesi!$C$5*1000)</f>
        <v>6.2945247430000004E-2</v>
      </c>
      <c r="V303" s="1">
        <f t="shared" si="20"/>
        <v>0.14610899999999999</v>
      </c>
      <c r="W303" s="1">
        <v>0.66702810426666403</v>
      </c>
      <c r="X303" s="1">
        <f t="shared" si="21"/>
        <v>9.7458809286298007E-2</v>
      </c>
      <c r="Y303" s="1">
        <f t="shared" si="22"/>
        <v>0.13175019071370198</v>
      </c>
      <c r="Z303" s="1">
        <f>'Paste cellinfo here'!$B$11</f>
        <v>0.51802400000000004</v>
      </c>
    </row>
    <row r="304" spans="1:26">
      <c r="A304" s="1">
        <v>303</v>
      </c>
      <c r="B304" s="2">
        <f>DATE(Sintesi!$C$4-1,12,31)+A304</f>
        <v>44499</v>
      </c>
      <c r="C304" s="1">
        <f>'Paste cell here'!B304</f>
        <v>1.455518614</v>
      </c>
      <c r="D304" s="1">
        <f>'Paste cell here'!I304</f>
        <v>0</v>
      </c>
      <c r="E304" s="1">
        <f>'Paste cell here'!J304</f>
        <v>1.455518614</v>
      </c>
      <c r="F304" s="1">
        <f>'Paste cell here'!K304</f>
        <v>1.455518614</v>
      </c>
      <c r="G304" s="1">
        <f>'Paste cell here'!L304</f>
        <v>1.455518614</v>
      </c>
      <c r="H304" s="1">
        <f>'Paste cell here'!M304</f>
        <v>0</v>
      </c>
      <c r="I304" s="1">
        <f>'Paste cell here'!N304</f>
        <v>0</v>
      </c>
      <c r="J304" s="1">
        <f>'Paste cell here'!O304</f>
        <v>1.455518657</v>
      </c>
      <c r="K304" s="1">
        <f>'Paste cell here'!Q304</f>
        <v>0.20550494899999999</v>
      </c>
      <c r="L304" s="1">
        <f>'Paste cell here'!S304</f>
        <v>0</v>
      </c>
      <c r="M304" s="1">
        <f>'Paste cell here'!T304</f>
        <v>1.37E-9</v>
      </c>
      <c r="N304" s="1">
        <f>'Paste cell here'!W304</f>
        <v>0</v>
      </c>
      <c r="O304" s="1">
        <f>'Paste cell here'!U304</f>
        <v>7.544538449</v>
      </c>
      <c r="P304" s="1">
        <f t="shared" si="23"/>
        <v>6.2945247430000002</v>
      </c>
      <c r="Q304" s="1">
        <f>'Paste cell here'!V304</f>
        <v>0</v>
      </c>
      <c r="R304" s="1">
        <f t="shared" si="24"/>
        <v>4.236999995299584E-8</v>
      </c>
      <c r="S304" s="7">
        <f>Sintesi!$C$30</f>
        <v>8.3099999999999993E-2</v>
      </c>
      <c r="T304" s="7">
        <f>Sintesi!$C$29</f>
        <v>0.229209</v>
      </c>
      <c r="U304" s="5">
        <f>O304/(Sintesi!$C$5*1000)</f>
        <v>7.5445384490000003E-2</v>
      </c>
      <c r="V304" s="1">
        <f t="shared" si="20"/>
        <v>0.14610899999999999</v>
      </c>
      <c r="W304" s="1">
        <v>0.67295640095716902</v>
      </c>
      <c r="X304" s="1">
        <f t="shared" si="21"/>
        <v>9.8324986787450996E-2</v>
      </c>
      <c r="Y304" s="1">
        <f t="shared" si="22"/>
        <v>0.130884013212549</v>
      </c>
      <c r="Z304" s="1">
        <f>'Paste cellinfo here'!$B$11</f>
        <v>0.51802400000000004</v>
      </c>
    </row>
    <row r="305" spans="1:26">
      <c r="A305" s="1">
        <v>304</v>
      </c>
      <c r="B305" s="2">
        <f>DATE(Sintesi!$C$4-1,12,31)+A305</f>
        <v>44500</v>
      </c>
      <c r="C305" s="1">
        <f>'Paste cell here'!B305</f>
        <v>4.7500000000000001E-2</v>
      </c>
      <c r="D305" s="1">
        <f>'Paste cell here'!I305</f>
        <v>0</v>
      </c>
      <c r="E305" s="1">
        <f>'Paste cell here'!J305</f>
        <v>4.7500000000000001E-2</v>
      </c>
      <c r="F305" s="1">
        <f>'Paste cell here'!K305</f>
        <v>4.7500000000000001E-2</v>
      </c>
      <c r="G305" s="1">
        <f>'Paste cell here'!L305</f>
        <v>4.7500000000000001E-2</v>
      </c>
      <c r="H305" s="1">
        <f>'Paste cell here'!M305</f>
        <v>0</v>
      </c>
      <c r="I305" s="1">
        <f>'Paste cell here'!N305</f>
        <v>0</v>
      </c>
      <c r="J305" s="1">
        <f>'Paste cell here'!O305</f>
        <v>4.7500000000000001E-2</v>
      </c>
      <c r="K305" s="1">
        <f>'Paste cell here'!Q305</f>
        <v>0.2151023</v>
      </c>
      <c r="L305" s="1">
        <f>'Paste cell here'!S305</f>
        <v>0</v>
      </c>
      <c r="M305" s="1">
        <f>'Paste cell here'!T305</f>
        <v>5.6500000000000001E-9</v>
      </c>
      <c r="N305" s="1">
        <f>'Paste cell here'!W305</f>
        <v>0</v>
      </c>
      <c r="O305" s="1">
        <f>'Paste cell here'!U305</f>
        <v>7.3769494040000003</v>
      </c>
      <c r="P305" s="1">
        <f t="shared" si="23"/>
        <v>7.544538449</v>
      </c>
      <c r="Q305" s="1">
        <f>'Paste cell here'!V305</f>
        <v>0</v>
      </c>
      <c r="R305" s="1">
        <f t="shared" si="24"/>
        <v>1.3260649999402574E-5</v>
      </c>
      <c r="S305" s="7">
        <f>Sintesi!$C$30</f>
        <v>8.3099999999999993E-2</v>
      </c>
      <c r="T305" s="7">
        <f>Sintesi!$C$29</f>
        <v>0.229209</v>
      </c>
      <c r="U305" s="5">
        <f>O305/(Sintesi!$C$5*1000)</f>
        <v>7.3769494040000008E-2</v>
      </c>
      <c r="V305" s="1">
        <f t="shared" si="20"/>
        <v>0.14610899999999999</v>
      </c>
      <c r="W305" s="1">
        <v>0.65628031321041802</v>
      </c>
      <c r="X305" s="1">
        <f t="shared" si="21"/>
        <v>9.5888460282860966E-2</v>
      </c>
      <c r="Y305" s="1">
        <f t="shared" si="22"/>
        <v>0.13332053971713903</v>
      </c>
      <c r="Z305" s="1">
        <f>'Paste cellinfo here'!$B$11</f>
        <v>0.51802400000000004</v>
      </c>
    </row>
    <row r="306" spans="1:26">
      <c r="A306" s="1">
        <v>305</v>
      </c>
      <c r="B306" s="2">
        <f>DATE(Sintesi!$C$4-1,12,31)+A306</f>
        <v>44501</v>
      </c>
      <c r="C306" s="1">
        <f>'Paste cell here'!B306</f>
        <v>39.750710359999999</v>
      </c>
      <c r="D306" s="1">
        <f>'Paste cell here'!I306</f>
        <v>0</v>
      </c>
      <c r="E306" s="1">
        <f>'Paste cell here'!J306</f>
        <v>39.750710359999999</v>
      </c>
      <c r="F306" s="1">
        <f>'Paste cell here'!K306</f>
        <v>39.750710359999999</v>
      </c>
      <c r="G306" s="1">
        <f>'Paste cell here'!L306</f>
        <v>36.409853720000001</v>
      </c>
      <c r="H306" s="1">
        <f>'Paste cell here'!M306</f>
        <v>0</v>
      </c>
      <c r="I306" s="1">
        <f>'Paste cell here'!N306</f>
        <v>3.3408566400000002</v>
      </c>
      <c r="J306" s="1">
        <f>'Paste cell here'!O306</f>
        <v>36.409854799999998</v>
      </c>
      <c r="K306" s="1">
        <f>'Paste cell here'!Q306</f>
        <v>0.53397742999999998</v>
      </c>
      <c r="L306" s="1">
        <f>'Paste cell here'!S306</f>
        <v>0</v>
      </c>
      <c r="M306" s="1">
        <f>'Paste cell here'!T306</f>
        <v>6.7677870159999998</v>
      </c>
      <c r="N306" s="1">
        <f>'Paste cell here'!W306</f>
        <v>0</v>
      </c>
      <c r="O306" s="1">
        <f>'Paste cell here'!U306</f>
        <v>36.485039759999999</v>
      </c>
      <c r="P306" s="1">
        <f t="shared" si="23"/>
        <v>7.3769494040000003</v>
      </c>
      <c r="Q306" s="1">
        <f>'Paste cell here'!V306</f>
        <v>0</v>
      </c>
      <c r="R306" s="1">
        <f t="shared" si="24"/>
        <v>1.0819999971545258E-6</v>
      </c>
      <c r="S306" s="7">
        <f>Sintesi!$C$30</f>
        <v>8.3099999999999993E-2</v>
      </c>
      <c r="T306" s="7">
        <f>Sintesi!$C$29</f>
        <v>0.229209</v>
      </c>
      <c r="U306" s="5">
        <f>O306/(Sintesi!$C$5*1000)</f>
        <v>0.36485039759999999</v>
      </c>
      <c r="V306" s="1">
        <f t="shared" si="20"/>
        <v>0.14610899999999999</v>
      </c>
      <c r="W306" s="1">
        <v>0.65743297539938805</v>
      </c>
      <c r="X306" s="1">
        <f t="shared" si="21"/>
        <v>9.6056874602629183E-2</v>
      </c>
      <c r="Y306" s="1">
        <f t="shared" si="22"/>
        <v>0.13315212539737081</v>
      </c>
      <c r="Z306" s="1">
        <f>'Paste cellinfo here'!$B$11</f>
        <v>0.51802400000000004</v>
      </c>
    </row>
    <row r="307" spans="1:26">
      <c r="A307" s="1">
        <v>306</v>
      </c>
      <c r="B307" s="2">
        <f>DATE(Sintesi!$C$4-1,12,31)+A307</f>
        <v>44502</v>
      </c>
      <c r="C307" s="1">
        <f>'Paste cell here'!B307</f>
        <v>2.9754613760000002</v>
      </c>
      <c r="D307" s="1">
        <f>'Paste cell here'!I307</f>
        <v>0</v>
      </c>
      <c r="E307" s="1">
        <f>'Paste cell here'!J307</f>
        <v>2.9754613760000002</v>
      </c>
      <c r="F307" s="1">
        <f>'Paste cell here'!K307</f>
        <v>2.9754613760000002</v>
      </c>
      <c r="G307" s="1">
        <f>'Paste cell here'!L307</f>
        <v>2.9754613760000002</v>
      </c>
      <c r="H307" s="1">
        <f>'Paste cell here'!M307</f>
        <v>0</v>
      </c>
      <c r="I307" s="1">
        <f>'Paste cell here'!N307</f>
        <v>0</v>
      </c>
      <c r="J307" s="1">
        <f>'Paste cell here'!O307</f>
        <v>2.975461465</v>
      </c>
      <c r="K307" s="1">
        <f>'Paste cell here'!Q307</f>
        <v>0.70157355600000004</v>
      </c>
      <c r="L307" s="1">
        <f>'Paste cell here'!S307</f>
        <v>0</v>
      </c>
      <c r="M307" s="1">
        <f>'Paste cell here'!T307</f>
        <v>8.7317205999999992</v>
      </c>
      <c r="N307" s="1">
        <f>'Paste cell here'!W307</f>
        <v>0</v>
      </c>
      <c r="O307" s="1">
        <f>'Paste cell here'!U307</f>
        <v>30.027207069999999</v>
      </c>
      <c r="P307" s="1">
        <f t="shared" si="23"/>
        <v>36.485039759999999</v>
      </c>
      <c r="Q307" s="1">
        <f>'Paste cell here'!V307</f>
        <v>0</v>
      </c>
      <c r="R307" s="1">
        <f t="shared" si="24"/>
        <v>9.0000000341206032E-8</v>
      </c>
      <c r="S307" s="7">
        <f>Sintesi!$C$30</f>
        <v>8.3099999999999993E-2</v>
      </c>
      <c r="T307" s="7">
        <f>Sintesi!$C$29</f>
        <v>0.229209</v>
      </c>
      <c r="U307" s="5">
        <f>O307/(Sintesi!$C$5*1000)</f>
        <v>0.3002720707</v>
      </c>
      <c r="V307" s="1">
        <f t="shared" si="20"/>
        <v>0.14610899999999999</v>
      </c>
      <c r="W307" s="1">
        <v>0.66359517522382305</v>
      </c>
      <c r="X307" s="1">
        <f t="shared" si="21"/>
        <v>9.6957227456777553E-2</v>
      </c>
      <c r="Y307" s="1">
        <f t="shared" si="22"/>
        <v>0.13225177254322246</v>
      </c>
      <c r="Z307" s="1">
        <f>'Paste cellinfo here'!$B$11</f>
        <v>0.51802400000000004</v>
      </c>
    </row>
    <row r="308" spans="1:26">
      <c r="A308" s="1">
        <v>307</v>
      </c>
      <c r="B308" s="2">
        <f>DATE(Sintesi!$C$4-1,12,31)+A308</f>
        <v>44503</v>
      </c>
      <c r="C308" s="1">
        <f>'Paste cell here'!B308</f>
        <v>23.646188420000001</v>
      </c>
      <c r="D308" s="1">
        <f>'Paste cell here'!I308</f>
        <v>0</v>
      </c>
      <c r="E308" s="1">
        <f>'Paste cell here'!J308</f>
        <v>23.646188420000001</v>
      </c>
      <c r="F308" s="1">
        <f>'Paste cell here'!K308</f>
        <v>23.646188420000001</v>
      </c>
      <c r="G308" s="1">
        <f>'Paste cell here'!L308</f>
        <v>14.41321759</v>
      </c>
      <c r="H308" s="1">
        <f>'Paste cell here'!M308</f>
        <v>0</v>
      </c>
      <c r="I308" s="1">
        <f>'Paste cell here'!N308</f>
        <v>9.2329708349999997</v>
      </c>
      <c r="J308" s="1">
        <f>'Paste cell here'!O308</f>
        <v>14.41321802</v>
      </c>
      <c r="K308" s="1">
        <f>'Paste cell here'!Q308</f>
        <v>0.54586942000000005</v>
      </c>
      <c r="L308" s="1">
        <f>'Paste cell here'!S308</f>
        <v>0</v>
      </c>
      <c r="M308" s="1">
        <f>'Paste cell here'!T308</f>
        <v>10.213248180000001</v>
      </c>
      <c r="N308" s="1">
        <f>'Paste cell here'!W308</f>
        <v>0</v>
      </c>
      <c r="O308" s="1">
        <f>'Paste cell here'!U308</f>
        <v>33.681307480000001</v>
      </c>
      <c r="P308" s="1">
        <f t="shared" si="23"/>
        <v>30.027207069999999</v>
      </c>
      <c r="Q308" s="1">
        <f>'Paste cell here'!V308</f>
        <v>0</v>
      </c>
      <c r="R308" s="1">
        <f t="shared" si="24"/>
        <v>4.2500000319023457E-7</v>
      </c>
      <c r="S308" s="7">
        <f>Sintesi!$C$30</f>
        <v>8.3099999999999993E-2</v>
      </c>
      <c r="T308" s="7">
        <f>Sintesi!$C$29</f>
        <v>0.229209</v>
      </c>
      <c r="U308" s="5">
        <f>O308/(Sintesi!$C$5*1000)</f>
        <v>0.3368130748</v>
      </c>
      <c r="V308" s="1">
        <f t="shared" si="20"/>
        <v>0.14610899999999999</v>
      </c>
      <c r="W308" s="1">
        <v>0.67437945469625604</v>
      </c>
      <c r="X308" s="1">
        <f t="shared" si="21"/>
        <v>9.8532907746215273E-2</v>
      </c>
      <c r="Y308" s="1">
        <f t="shared" si="22"/>
        <v>0.13067609225378474</v>
      </c>
      <c r="Z308" s="1">
        <f>'Paste cellinfo here'!$B$11</f>
        <v>0.51802400000000004</v>
      </c>
    </row>
    <row r="309" spans="1:26">
      <c r="A309" s="1">
        <v>308</v>
      </c>
      <c r="B309" s="2">
        <f>DATE(Sintesi!$C$4-1,12,31)+A309</f>
        <v>44504</v>
      </c>
      <c r="C309" s="1">
        <f>'Paste cell here'!B309</f>
        <v>0</v>
      </c>
      <c r="D309" s="1">
        <f>'Paste cell here'!I309</f>
        <v>0</v>
      </c>
      <c r="E309" s="1">
        <f>'Paste cell here'!J309</f>
        <v>0</v>
      </c>
      <c r="F309" s="1">
        <f>'Paste cell here'!K309</f>
        <v>0</v>
      </c>
      <c r="G309" s="1">
        <f>'Paste cell here'!L309</f>
        <v>0</v>
      </c>
      <c r="H309" s="1">
        <f>'Paste cell here'!M309</f>
        <v>0</v>
      </c>
      <c r="I309" s="1">
        <f>'Paste cell here'!N309</f>
        <v>0</v>
      </c>
      <c r="J309" s="1">
        <f>'Paste cell here'!O309</f>
        <v>0</v>
      </c>
      <c r="K309" s="1">
        <f>'Paste cell here'!Q309</f>
        <v>0</v>
      </c>
      <c r="L309" s="1">
        <f>'Paste cell here'!S309</f>
        <v>0</v>
      </c>
      <c r="M309" s="1">
        <f>'Paste cell here'!T309</f>
        <v>0</v>
      </c>
      <c r="N309" s="1">
        <f>'Paste cell here'!W309</f>
        <v>0</v>
      </c>
      <c r="O309" s="1">
        <f>'Paste cell here'!U309</f>
        <v>0</v>
      </c>
      <c r="P309" s="1">
        <f t="shared" si="23"/>
        <v>33.681307480000001</v>
      </c>
      <c r="Q309" s="1">
        <f>'Paste cell here'!V309</f>
        <v>0</v>
      </c>
      <c r="R309" s="1">
        <f t="shared" si="24"/>
        <v>33.681307480000001</v>
      </c>
      <c r="S309" s="7">
        <f>Sintesi!$C$30</f>
        <v>8.3099999999999993E-2</v>
      </c>
      <c r="T309" s="7">
        <f>Sintesi!$C$29</f>
        <v>0.229209</v>
      </c>
      <c r="U309" s="5">
        <f>O309/(Sintesi!$C$5*1000)</f>
        <v>0</v>
      </c>
      <c r="V309" s="1">
        <f t="shared" si="20"/>
        <v>0.14610899999999999</v>
      </c>
      <c r="W309" s="1">
        <v>0.67386348618894298</v>
      </c>
      <c r="X309" s="1">
        <f t="shared" si="21"/>
        <v>9.8457520103580262E-2</v>
      </c>
      <c r="Y309" s="1">
        <f t="shared" si="22"/>
        <v>0.13075147989641972</v>
      </c>
      <c r="Z309" s="1">
        <f>'Paste cellinfo here'!$B$11</f>
        <v>0.51802400000000004</v>
      </c>
    </row>
    <row r="310" spans="1:26">
      <c r="A310" s="1">
        <v>309</v>
      </c>
      <c r="B310" s="2">
        <f>DATE(Sintesi!$C$4-1,12,31)+A310</f>
        <v>44505</v>
      </c>
      <c r="C310" s="1">
        <f>'Paste cell here'!B310</f>
        <v>0</v>
      </c>
      <c r="D310" s="1">
        <f>'Paste cell here'!I310</f>
        <v>0</v>
      </c>
      <c r="E310" s="1">
        <f>'Paste cell here'!J310</f>
        <v>0</v>
      </c>
      <c r="F310" s="1">
        <f>'Paste cell here'!K310</f>
        <v>0</v>
      </c>
      <c r="G310" s="1">
        <f>'Paste cell here'!L310</f>
        <v>0</v>
      </c>
      <c r="H310" s="1">
        <f>'Paste cell here'!M310</f>
        <v>0</v>
      </c>
      <c r="I310" s="1">
        <f>'Paste cell here'!N310</f>
        <v>0</v>
      </c>
      <c r="J310" s="1">
        <f>'Paste cell here'!O310</f>
        <v>0</v>
      </c>
      <c r="K310" s="1">
        <f>'Paste cell here'!Q310</f>
        <v>0</v>
      </c>
      <c r="L310" s="1">
        <f>'Paste cell here'!S310</f>
        <v>0</v>
      </c>
      <c r="M310" s="1">
        <f>'Paste cell here'!T310</f>
        <v>0</v>
      </c>
      <c r="N310" s="1">
        <f>'Paste cell here'!W310</f>
        <v>0</v>
      </c>
      <c r="O310" s="1">
        <f>'Paste cell here'!U310</f>
        <v>0</v>
      </c>
      <c r="P310" s="1">
        <f t="shared" si="23"/>
        <v>0</v>
      </c>
      <c r="Q310" s="1">
        <f>'Paste cell here'!V310</f>
        <v>0</v>
      </c>
      <c r="R310" s="1">
        <f t="shared" si="24"/>
        <v>0</v>
      </c>
      <c r="S310" s="7">
        <f>Sintesi!$C$30</f>
        <v>8.3099999999999993E-2</v>
      </c>
      <c r="T310" s="7">
        <f>Sintesi!$C$29</f>
        <v>0.229209</v>
      </c>
      <c r="U310" s="5">
        <f>O310/(Sintesi!$C$5*1000)</f>
        <v>0</v>
      </c>
      <c r="V310" s="1">
        <f t="shared" si="20"/>
        <v>0.14610899999999999</v>
      </c>
      <c r="W310" s="1">
        <v>0.649333885859122</v>
      </c>
      <c r="X310" s="1">
        <f t="shared" si="21"/>
        <v>9.4873524728990452E-2</v>
      </c>
      <c r="Y310" s="1">
        <f t="shared" si="22"/>
        <v>0.13433547527100953</v>
      </c>
      <c r="Z310" s="1">
        <f>'Paste cellinfo here'!$B$11</f>
        <v>0.51802400000000004</v>
      </c>
    </row>
    <row r="311" spans="1:26">
      <c r="A311" s="1">
        <v>310</v>
      </c>
      <c r="B311" s="2">
        <f>DATE(Sintesi!$C$4-1,12,31)+A311</f>
        <v>44506</v>
      </c>
      <c r="C311" s="1">
        <f>'Paste cell here'!B311</f>
        <v>0</v>
      </c>
      <c r="D311" s="1">
        <f>'Paste cell here'!I311</f>
        <v>0</v>
      </c>
      <c r="E311" s="1">
        <f>'Paste cell here'!J311</f>
        <v>0</v>
      </c>
      <c r="F311" s="1">
        <f>'Paste cell here'!K311</f>
        <v>0</v>
      </c>
      <c r="G311" s="1">
        <f>'Paste cell here'!L311</f>
        <v>0</v>
      </c>
      <c r="H311" s="1">
        <f>'Paste cell here'!M311</f>
        <v>0</v>
      </c>
      <c r="I311" s="1">
        <f>'Paste cell here'!N311</f>
        <v>0</v>
      </c>
      <c r="J311" s="1">
        <f>'Paste cell here'!O311</f>
        <v>0</v>
      </c>
      <c r="K311" s="1">
        <f>'Paste cell here'!Q311</f>
        <v>0</v>
      </c>
      <c r="L311" s="1">
        <f>'Paste cell here'!S311</f>
        <v>0</v>
      </c>
      <c r="M311" s="1">
        <f>'Paste cell here'!T311</f>
        <v>0</v>
      </c>
      <c r="N311" s="1">
        <f>'Paste cell here'!W311</f>
        <v>0</v>
      </c>
      <c r="O311" s="1">
        <f>'Paste cell here'!U311</f>
        <v>0</v>
      </c>
      <c r="P311" s="1">
        <f t="shared" si="23"/>
        <v>0</v>
      </c>
      <c r="Q311" s="1">
        <f>'Paste cell here'!V311</f>
        <v>0</v>
      </c>
      <c r="R311" s="1">
        <f t="shared" si="24"/>
        <v>0</v>
      </c>
      <c r="S311" s="7">
        <f>Sintesi!$C$30</f>
        <v>8.3099999999999993E-2</v>
      </c>
      <c r="T311" s="7">
        <f>Sintesi!$C$29</f>
        <v>0.229209</v>
      </c>
      <c r="U311" s="5">
        <f>O311/(Sintesi!$C$5*1000)</f>
        <v>0</v>
      </c>
      <c r="V311" s="1">
        <f t="shared" si="20"/>
        <v>0.14610899999999999</v>
      </c>
      <c r="W311" s="1">
        <v>0.66461917728992204</v>
      </c>
      <c r="X311" s="1">
        <f t="shared" si="21"/>
        <v>9.7106843374653209E-2</v>
      </c>
      <c r="Y311" s="1">
        <f t="shared" si="22"/>
        <v>0.1321021566253468</v>
      </c>
      <c r="Z311" s="1">
        <f>'Paste cellinfo here'!$B$11</f>
        <v>0.51802400000000004</v>
      </c>
    </row>
    <row r="312" spans="1:26">
      <c r="A312" s="1">
        <v>311</v>
      </c>
      <c r="B312" s="2">
        <f>DATE(Sintesi!$C$4-1,12,31)+A312</f>
        <v>44507</v>
      </c>
      <c r="C312" s="1">
        <f>'Paste cell here'!B312</f>
        <v>0</v>
      </c>
      <c r="D312" s="1">
        <f>'Paste cell here'!I312</f>
        <v>0</v>
      </c>
      <c r="E312" s="1">
        <f>'Paste cell here'!J312</f>
        <v>0</v>
      </c>
      <c r="F312" s="1">
        <f>'Paste cell here'!K312</f>
        <v>0</v>
      </c>
      <c r="G312" s="1">
        <f>'Paste cell here'!L312</f>
        <v>0</v>
      </c>
      <c r="H312" s="1">
        <f>'Paste cell here'!M312</f>
        <v>0</v>
      </c>
      <c r="I312" s="1">
        <f>'Paste cell here'!N312</f>
        <v>0</v>
      </c>
      <c r="J312" s="1">
        <f>'Paste cell here'!O312</f>
        <v>0</v>
      </c>
      <c r="K312" s="1">
        <f>'Paste cell here'!Q312</f>
        <v>0</v>
      </c>
      <c r="L312" s="1">
        <f>'Paste cell here'!S312</f>
        <v>0</v>
      </c>
      <c r="M312" s="1">
        <f>'Paste cell here'!T312</f>
        <v>0</v>
      </c>
      <c r="N312" s="1">
        <f>'Paste cell here'!W312</f>
        <v>0</v>
      </c>
      <c r="O312" s="1">
        <f>'Paste cell here'!U312</f>
        <v>0</v>
      </c>
      <c r="P312" s="1">
        <f t="shared" si="23"/>
        <v>0</v>
      </c>
      <c r="Q312" s="1">
        <f>'Paste cell here'!V312</f>
        <v>0</v>
      </c>
      <c r="R312" s="1">
        <f t="shared" si="24"/>
        <v>0</v>
      </c>
      <c r="S312" s="7">
        <f>Sintesi!$C$30</f>
        <v>8.3099999999999993E-2</v>
      </c>
      <c r="T312" s="7">
        <f>Sintesi!$C$29</f>
        <v>0.229209</v>
      </c>
      <c r="U312" s="5">
        <f>O312/(Sintesi!$C$5*1000)</f>
        <v>0</v>
      </c>
      <c r="V312" s="1">
        <f t="shared" si="20"/>
        <v>0.14610899999999999</v>
      </c>
      <c r="W312" s="1">
        <v>0.673349572678138</v>
      </c>
      <c r="X312" s="1">
        <f t="shared" si="21"/>
        <v>9.8382432714430063E-2</v>
      </c>
      <c r="Y312" s="1">
        <f t="shared" si="22"/>
        <v>0.13082656728556993</v>
      </c>
      <c r="Z312" s="1">
        <f>'Paste cellinfo here'!$B$11</f>
        <v>0.51802400000000004</v>
      </c>
    </row>
    <row r="313" spans="1:26">
      <c r="A313" s="1">
        <v>312</v>
      </c>
      <c r="B313" s="2">
        <f>DATE(Sintesi!$C$4-1,12,31)+A313</f>
        <v>44508</v>
      </c>
      <c r="C313" s="1">
        <f>'Paste cell here'!B313</f>
        <v>0</v>
      </c>
      <c r="D313" s="1">
        <f>'Paste cell here'!I313</f>
        <v>0</v>
      </c>
      <c r="E313" s="1">
        <f>'Paste cell here'!J313</f>
        <v>0</v>
      </c>
      <c r="F313" s="1">
        <f>'Paste cell here'!K313</f>
        <v>0</v>
      </c>
      <c r="G313" s="1">
        <f>'Paste cell here'!L313</f>
        <v>0</v>
      </c>
      <c r="H313" s="1">
        <f>'Paste cell here'!M313</f>
        <v>0</v>
      </c>
      <c r="I313" s="1">
        <f>'Paste cell here'!N313</f>
        <v>0</v>
      </c>
      <c r="J313" s="1">
        <f>'Paste cell here'!O313</f>
        <v>0</v>
      </c>
      <c r="K313" s="1">
        <f>'Paste cell here'!Q313</f>
        <v>0</v>
      </c>
      <c r="L313" s="1">
        <f>'Paste cell here'!S313</f>
        <v>0</v>
      </c>
      <c r="M313" s="1">
        <f>'Paste cell here'!T313</f>
        <v>0</v>
      </c>
      <c r="N313" s="1">
        <f>'Paste cell here'!W313</f>
        <v>0</v>
      </c>
      <c r="O313" s="1">
        <f>'Paste cell here'!U313</f>
        <v>0</v>
      </c>
      <c r="P313" s="1">
        <f t="shared" si="23"/>
        <v>0</v>
      </c>
      <c r="Q313" s="1">
        <f>'Paste cell here'!V313</f>
        <v>0</v>
      </c>
      <c r="R313" s="1">
        <f t="shared" si="24"/>
        <v>0</v>
      </c>
      <c r="S313" s="7">
        <f>Sintesi!$C$30</f>
        <v>8.3099999999999993E-2</v>
      </c>
      <c r="T313" s="7">
        <f>Sintesi!$C$29</f>
        <v>0.229209</v>
      </c>
      <c r="U313" s="5">
        <f>O313/(Sintesi!$C$5*1000)</f>
        <v>0</v>
      </c>
      <c r="V313" s="1">
        <f t="shared" si="20"/>
        <v>0.14610899999999999</v>
      </c>
      <c r="W313" s="1">
        <v>0.66689154436625298</v>
      </c>
      <c r="X313" s="1">
        <f t="shared" si="21"/>
        <v>9.7438856655808842E-2</v>
      </c>
      <c r="Y313" s="1">
        <f t="shared" si="22"/>
        <v>0.13177014334419115</v>
      </c>
      <c r="Z313" s="1">
        <f>'Paste cellinfo here'!$B$11</f>
        <v>0.51802400000000004</v>
      </c>
    </row>
    <row r="314" spans="1:26">
      <c r="A314" s="1">
        <v>313</v>
      </c>
      <c r="B314" s="2">
        <f>DATE(Sintesi!$C$4-1,12,31)+A314</f>
        <v>44509</v>
      </c>
      <c r="C314" s="1">
        <f>'Paste cell here'!B314</f>
        <v>0</v>
      </c>
      <c r="D314" s="1">
        <f>'Paste cell here'!I314</f>
        <v>0</v>
      </c>
      <c r="E314" s="1">
        <f>'Paste cell here'!J314</f>
        <v>0</v>
      </c>
      <c r="F314" s="1">
        <f>'Paste cell here'!K314</f>
        <v>0</v>
      </c>
      <c r="G314" s="1">
        <f>'Paste cell here'!L314</f>
        <v>0</v>
      </c>
      <c r="H314" s="1">
        <f>'Paste cell here'!M314</f>
        <v>0</v>
      </c>
      <c r="I314" s="1">
        <f>'Paste cell here'!N314</f>
        <v>0</v>
      </c>
      <c r="J314" s="1">
        <f>'Paste cell here'!O314</f>
        <v>0</v>
      </c>
      <c r="K314" s="1">
        <f>'Paste cell here'!Q314</f>
        <v>0</v>
      </c>
      <c r="L314" s="1">
        <f>'Paste cell here'!S314</f>
        <v>0</v>
      </c>
      <c r="M314" s="1">
        <f>'Paste cell here'!T314</f>
        <v>0</v>
      </c>
      <c r="N314" s="1">
        <f>'Paste cell here'!W314</f>
        <v>0</v>
      </c>
      <c r="O314" s="1">
        <f>'Paste cell here'!U314</f>
        <v>0</v>
      </c>
      <c r="P314" s="1">
        <f t="shared" si="23"/>
        <v>0</v>
      </c>
      <c r="Q314" s="1">
        <f>'Paste cell here'!V314</f>
        <v>0</v>
      </c>
      <c r="R314" s="1">
        <f t="shared" si="24"/>
        <v>0</v>
      </c>
      <c r="S314" s="7">
        <f>Sintesi!$C$30</f>
        <v>8.3099999999999993E-2</v>
      </c>
      <c r="T314" s="7">
        <f>Sintesi!$C$29</f>
        <v>0.229209</v>
      </c>
      <c r="U314" s="5">
        <f>O314/(Sintesi!$C$5*1000)</f>
        <v>0</v>
      </c>
      <c r="V314" s="1">
        <f t="shared" si="20"/>
        <v>0.14610899999999999</v>
      </c>
      <c r="W314" s="1">
        <v>0.66760972918224504</v>
      </c>
      <c r="X314" s="1">
        <f t="shared" si="21"/>
        <v>9.7543789921088628E-2</v>
      </c>
      <c r="Y314" s="1">
        <f t="shared" si="22"/>
        <v>0.13166521007891135</v>
      </c>
      <c r="Z314" s="1">
        <f>'Paste cellinfo here'!$B$11</f>
        <v>0.51802400000000004</v>
      </c>
    </row>
    <row r="315" spans="1:26">
      <c r="A315" s="1">
        <v>314</v>
      </c>
      <c r="B315" s="2">
        <f>DATE(Sintesi!$C$4-1,12,31)+A315</f>
        <v>44510</v>
      </c>
      <c r="C315" s="1">
        <f>'Paste cell here'!B315</f>
        <v>0</v>
      </c>
      <c r="D315" s="1">
        <f>'Paste cell here'!I315</f>
        <v>0</v>
      </c>
      <c r="E315" s="1">
        <f>'Paste cell here'!J315</f>
        <v>0</v>
      </c>
      <c r="F315" s="1">
        <f>'Paste cell here'!K315</f>
        <v>0</v>
      </c>
      <c r="G315" s="1">
        <f>'Paste cell here'!L315</f>
        <v>0</v>
      </c>
      <c r="H315" s="1">
        <f>'Paste cell here'!M315</f>
        <v>0</v>
      </c>
      <c r="I315" s="1">
        <f>'Paste cell here'!N315</f>
        <v>0</v>
      </c>
      <c r="J315" s="1">
        <f>'Paste cell here'!O315</f>
        <v>0</v>
      </c>
      <c r="K315" s="1">
        <f>'Paste cell here'!Q315</f>
        <v>0</v>
      </c>
      <c r="L315" s="1">
        <f>'Paste cell here'!S315</f>
        <v>0</v>
      </c>
      <c r="M315" s="1">
        <f>'Paste cell here'!T315</f>
        <v>0</v>
      </c>
      <c r="N315" s="1">
        <f>'Paste cell here'!W315</f>
        <v>0</v>
      </c>
      <c r="O315" s="1">
        <f>'Paste cell here'!U315</f>
        <v>0</v>
      </c>
      <c r="P315" s="1">
        <f t="shared" si="23"/>
        <v>0</v>
      </c>
      <c r="Q315" s="1">
        <f>'Paste cell here'!V315</f>
        <v>0</v>
      </c>
      <c r="R315" s="1">
        <f t="shared" si="24"/>
        <v>0</v>
      </c>
      <c r="S315" s="7">
        <f>Sintesi!$C$30</f>
        <v>8.3099999999999993E-2</v>
      </c>
      <c r="T315" s="7">
        <f>Sintesi!$C$29</f>
        <v>0.229209</v>
      </c>
      <c r="U315" s="5">
        <f>O315/(Sintesi!$C$5*1000)</f>
        <v>0</v>
      </c>
      <c r="V315" s="1">
        <f t="shared" si="20"/>
        <v>0.14610899999999999</v>
      </c>
      <c r="W315" s="1">
        <v>0.66533421071792198</v>
      </c>
      <c r="X315" s="1">
        <f t="shared" si="21"/>
        <v>9.7211316193784855E-2</v>
      </c>
      <c r="Y315" s="1">
        <f t="shared" si="22"/>
        <v>0.13199768380621513</v>
      </c>
      <c r="Z315" s="1">
        <f>'Paste cellinfo here'!$B$11</f>
        <v>0.51802400000000004</v>
      </c>
    </row>
    <row r="316" spans="1:26">
      <c r="A316" s="1">
        <v>315</v>
      </c>
      <c r="B316" s="2">
        <f>DATE(Sintesi!$C$4-1,12,31)+A316</f>
        <v>44511</v>
      </c>
      <c r="C316" s="1">
        <f>'Paste cell here'!B316</f>
        <v>0</v>
      </c>
      <c r="D316" s="1">
        <f>'Paste cell here'!I316</f>
        <v>0</v>
      </c>
      <c r="E316" s="1">
        <f>'Paste cell here'!J316</f>
        <v>0</v>
      </c>
      <c r="F316" s="1">
        <f>'Paste cell here'!K316</f>
        <v>0</v>
      </c>
      <c r="G316" s="1">
        <f>'Paste cell here'!L316</f>
        <v>0</v>
      </c>
      <c r="H316" s="1">
        <f>'Paste cell here'!M316</f>
        <v>0</v>
      </c>
      <c r="I316" s="1">
        <f>'Paste cell here'!N316</f>
        <v>0</v>
      </c>
      <c r="J316" s="1">
        <f>'Paste cell here'!O316</f>
        <v>0</v>
      </c>
      <c r="K316" s="1">
        <f>'Paste cell here'!Q316</f>
        <v>0</v>
      </c>
      <c r="L316" s="1">
        <f>'Paste cell here'!S316</f>
        <v>0</v>
      </c>
      <c r="M316" s="1">
        <f>'Paste cell here'!T316</f>
        <v>0</v>
      </c>
      <c r="N316" s="1">
        <f>'Paste cell here'!W316</f>
        <v>0</v>
      </c>
      <c r="O316" s="1">
        <f>'Paste cell here'!U316</f>
        <v>0</v>
      </c>
      <c r="P316" s="1">
        <f t="shared" si="23"/>
        <v>0</v>
      </c>
      <c r="Q316" s="1">
        <f>'Paste cell here'!V316</f>
        <v>0</v>
      </c>
      <c r="R316" s="1">
        <f t="shared" si="24"/>
        <v>0</v>
      </c>
      <c r="S316" s="7">
        <f>Sintesi!$C$30</f>
        <v>8.3099999999999993E-2</v>
      </c>
      <c r="T316" s="7">
        <f>Sintesi!$C$29</f>
        <v>0.229209</v>
      </c>
      <c r="U316" s="5">
        <f>O316/(Sintesi!$C$5*1000)</f>
        <v>0</v>
      </c>
      <c r="V316" s="1">
        <f t="shared" si="20"/>
        <v>0.14610899999999999</v>
      </c>
      <c r="W316" s="1">
        <v>0.67022755725238603</v>
      </c>
      <c r="X316" s="1">
        <f t="shared" si="21"/>
        <v>9.7926278162588865E-2</v>
      </c>
      <c r="Y316" s="1">
        <f t="shared" si="22"/>
        <v>0.13128272183741113</v>
      </c>
      <c r="Z316" s="1">
        <f>'Paste cellinfo here'!$B$11</f>
        <v>0.51802400000000004</v>
      </c>
    </row>
    <row r="317" spans="1:26">
      <c r="A317" s="1">
        <v>316</v>
      </c>
      <c r="B317" s="2">
        <f>DATE(Sintesi!$C$4-1,12,31)+A317</f>
        <v>44512</v>
      </c>
      <c r="C317" s="1">
        <f>'Paste cell here'!B317</f>
        <v>0</v>
      </c>
      <c r="D317" s="1">
        <f>'Paste cell here'!I317</f>
        <v>0</v>
      </c>
      <c r="E317" s="1">
        <f>'Paste cell here'!J317</f>
        <v>0</v>
      </c>
      <c r="F317" s="1">
        <f>'Paste cell here'!K317</f>
        <v>0</v>
      </c>
      <c r="G317" s="1">
        <f>'Paste cell here'!L317</f>
        <v>0</v>
      </c>
      <c r="H317" s="1">
        <f>'Paste cell here'!M317</f>
        <v>0</v>
      </c>
      <c r="I317" s="1">
        <f>'Paste cell here'!N317</f>
        <v>0</v>
      </c>
      <c r="J317" s="1">
        <f>'Paste cell here'!O317</f>
        <v>0</v>
      </c>
      <c r="K317" s="1">
        <f>'Paste cell here'!Q317</f>
        <v>0</v>
      </c>
      <c r="L317" s="1">
        <f>'Paste cell here'!S317</f>
        <v>0</v>
      </c>
      <c r="M317" s="1">
        <f>'Paste cell here'!T317</f>
        <v>0</v>
      </c>
      <c r="N317" s="1">
        <f>'Paste cell here'!W317</f>
        <v>0</v>
      </c>
      <c r="O317" s="1">
        <f>'Paste cell here'!U317</f>
        <v>0</v>
      </c>
      <c r="P317" s="1">
        <f t="shared" si="23"/>
        <v>0</v>
      </c>
      <c r="Q317" s="1">
        <f>'Paste cell here'!V317</f>
        <v>0</v>
      </c>
      <c r="R317" s="1">
        <f t="shared" si="24"/>
        <v>0</v>
      </c>
      <c r="S317" s="7">
        <f>Sintesi!$C$30</f>
        <v>8.3099999999999993E-2</v>
      </c>
      <c r="T317" s="7">
        <f>Sintesi!$C$29</f>
        <v>0.229209</v>
      </c>
      <c r="U317" s="5">
        <f>O317/(Sintesi!$C$5*1000)</f>
        <v>0</v>
      </c>
      <c r="V317" s="1">
        <f t="shared" si="20"/>
        <v>0.14610899999999999</v>
      </c>
      <c r="W317" s="1">
        <v>0.66733067029514204</v>
      </c>
      <c r="X317" s="1">
        <f t="shared" si="21"/>
        <v>9.7503016906152901E-2</v>
      </c>
      <c r="Y317" s="1">
        <f t="shared" si="22"/>
        <v>0.1317059830938471</v>
      </c>
      <c r="Z317" s="1">
        <f>'Paste cellinfo here'!$B$11</f>
        <v>0.51802400000000004</v>
      </c>
    </row>
    <row r="318" spans="1:26">
      <c r="A318" s="1">
        <v>317</v>
      </c>
      <c r="B318" s="2">
        <f>DATE(Sintesi!$C$4-1,12,31)+A318</f>
        <v>44513</v>
      </c>
      <c r="C318" s="1">
        <f>'Paste cell here'!B318</f>
        <v>0</v>
      </c>
      <c r="D318" s="1">
        <f>'Paste cell here'!I318</f>
        <v>0</v>
      </c>
      <c r="E318" s="1">
        <f>'Paste cell here'!J318</f>
        <v>0</v>
      </c>
      <c r="F318" s="1">
        <f>'Paste cell here'!K318</f>
        <v>0</v>
      </c>
      <c r="G318" s="1">
        <f>'Paste cell here'!L318</f>
        <v>0</v>
      </c>
      <c r="H318" s="1">
        <f>'Paste cell here'!M318</f>
        <v>0</v>
      </c>
      <c r="I318" s="1">
        <f>'Paste cell here'!N318</f>
        <v>0</v>
      </c>
      <c r="J318" s="1">
        <f>'Paste cell here'!O318</f>
        <v>0</v>
      </c>
      <c r="K318" s="1">
        <f>'Paste cell here'!Q318</f>
        <v>0</v>
      </c>
      <c r="L318" s="1">
        <f>'Paste cell here'!S318</f>
        <v>0</v>
      </c>
      <c r="M318" s="1">
        <f>'Paste cell here'!T318</f>
        <v>0</v>
      </c>
      <c r="N318" s="1">
        <f>'Paste cell here'!W318</f>
        <v>0</v>
      </c>
      <c r="O318" s="1">
        <f>'Paste cell here'!U318</f>
        <v>0</v>
      </c>
      <c r="P318" s="1">
        <f t="shared" si="23"/>
        <v>0</v>
      </c>
      <c r="Q318" s="1">
        <f>'Paste cell here'!V318</f>
        <v>0</v>
      </c>
      <c r="R318" s="1">
        <f t="shared" si="24"/>
        <v>0</v>
      </c>
      <c r="S318" s="7">
        <f>Sintesi!$C$30</f>
        <v>8.3099999999999993E-2</v>
      </c>
      <c r="T318" s="7">
        <f>Sintesi!$C$29</f>
        <v>0.229209</v>
      </c>
      <c r="U318" s="5">
        <f>O318/(Sintesi!$C$5*1000)</f>
        <v>0</v>
      </c>
      <c r="V318" s="1">
        <f t="shared" si="20"/>
        <v>0.14610899999999999</v>
      </c>
      <c r="W318" s="1">
        <v>0.67610339632322303</v>
      </c>
      <c r="X318" s="1">
        <f t="shared" si="21"/>
        <v>9.8784791133389782E-2</v>
      </c>
      <c r="Y318" s="1">
        <f t="shared" si="22"/>
        <v>0.13042420886661021</v>
      </c>
      <c r="Z318" s="1">
        <f>'Paste cellinfo here'!$B$11</f>
        <v>0.51802400000000004</v>
      </c>
    </row>
    <row r="319" spans="1:26">
      <c r="A319" s="1">
        <v>318</v>
      </c>
      <c r="B319" s="2">
        <f>DATE(Sintesi!$C$4-1,12,31)+A319</f>
        <v>44514</v>
      </c>
      <c r="C319" s="1">
        <f>'Paste cell here'!B319</f>
        <v>0</v>
      </c>
      <c r="D319" s="1">
        <f>'Paste cell here'!I319</f>
        <v>0</v>
      </c>
      <c r="E319" s="1">
        <f>'Paste cell here'!J319</f>
        <v>0</v>
      </c>
      <c r="F319" s="1">
        <f>'Paste cell here'!K319</f>
        <v>0</v>
      </c>
      <c r="G319" s="1">
        <f>'Paste cell here'!L319</f>
        <v>0</v>
      </c>
      <c r="H319" s="1">
        <f>'Paste cell here'!M319</f>
        <v>0</v>
      </c>
      <c r="I319" s="1">
        <f>'Paste cell here'!N319</f>
        <v>0</v>
      </c>
      <c r="J319" s="1">
        <f>'Paste cell here'!O319</f>
        <v>0</v>
      </c>
      <c r="K319" s="1">
        <f>'Paste cell here'!Q319</f>
        <v>0</v>
      </c>
      <c r="L319" s="1">
        <f>'Paste cell here'!S319</f>
        <v>0</v>
      </c>
      <c r="M319" s="1">
        <f>'Paste cell here'!T319</f>
        <v>0</v>
      </c>
      <c r="N319" s="1">
        <f>'Paste cell here'!W319</f>
        <v>0</v>
      </c>
      <c r="O319" s="1">
        <f>'Paste cell here'!U319</f>
        <v>0</v>
      </c>
      <c r="P319" s="1">
        <f t="shared" si="23"/>
        <v>0</v>
      </c>
      <c r="Q319" s="1">
        <f>'Paste cell here'!V319</f>
        <v>0</v>
      </c>
      <c r="R319" s="1">
        <f t="shared" si="24"/>
        <v>0</v>
      </c>
      <c r="S319" s="7">
        <f>Sintesi!$C$30</f>
        <v>8.3099999999999993E-2</v>
      </c>
      <c r="T319" s="7">
        <f>Sintesi!$C$29</f>
        <v>0.229209</v>
      </c>
      <c r="U319" s="5">
        <f>O319/(Sintesi!$C$5*1000)</f>
        <v>0</v>
      </c>
      <c r="V319" s="1">
        <f t="shared" si="20"/>
        <v>0.14610899999999999</v>
      </c>
      <c r="W319" s="1">
        <v>0.664889469575906</v>
      </c>
      <c r="X319" s="1">
        <f t="shared" si="21"/>
        <v>9.7146335510266038E-2</v>
      </c>
      <c r="Y319" s="1">
        <f t="shared" si="22"/>
        <v>0.13206266448973397</v>
      </c>
      <c r="Z319" s="1">
        <f>'Paste cellinfo here'!$B$11</f>
        <v>0.51802400000000004</v>
      </c>
    </row>
    <row r="320" spans="1:26">
      <c r="A320" s="1">
        <v>319</v>
      </c>
      <c r="B320" s="2">
        <f>DATE(Sintesi!$C$4-1,12,31)+A320</f>
        <v>44515</v>
      </c>
      <c r="C320" s="1">
        <f>'Paste cell here'!B320</f>
        <v>0</v>
      </c>
      <c r="D320" s="1">
        <f>'Paste cell here'!I320</f>
        <v>0</v>
      </c>
      <c r="E320" s="1">
        <f>'Paste cell here'!J320</f>
        <v>0</v>
      </c>
      <c r="F320" s="1">
        <f>'Paste cell here'!K320</f>
        <v>0</v>
      </c>
      <c r="G320" s="1">
        <f>'Paste cell here'!L320</f>
        <v>0</v>
      </c>
      <c r="H320" s="1">
        <f>'Paste cell here'!M320</f>
        <v>0</v>
      </c>
      <c r="I320" s="1">
        <f>'Paste cell here'!N320</f>
        <v>0</v>
      </c>
      <c r="J320" s="1">
        <f>'Paste cell here'!O320</f>
        <v>0</v>
      </c>
      <c r="K320" s="1">
        <f>'Paste cell here'!Q320</f>
        <v>0</v>
      </c>
      <c r="L320" s="1">
        <f>'Paste cell here'!S320</f>
        <v>0</v>
      </c>
      <c r="M320" s="1">
        <f>'Paste cell here'!T320</f>
        <v>0</v>
      </c>
      <c r="N320" s="1">
        <f>'Paste cell here'!W320</f>
        <v>0</v>
      </c>
      <c r="O320" s="1">
        <f>'Paste cell here'!U320</f>
        <v>0</v>
      </c>
      <c r="P320" s="1">
        <f t="shared" si="23"/>
        <v>0</v>
      </c>
      <c r="Q320" s="1">
        <f>'Paste cell here'!V320</f>
        <v>0</v>
      </c>
      <c r="R320" s="1">
        <f t="shared" si="24"/>
        <v>0</v>
      </c>
      <c r="S320" s="7">
        <f>Sintesi!$C$30</f>
        <v>8.3099999999999993E-2</v>
      </c>
      <c r="T320" s="7">
        <f>Sintesi!$C$29</f>
        <v>0.229209</v>
      </c>
      <c r="U320" s="5">
        <f>O320/(Sintesi!$C$5*1000)</f>
        <v>0</v>
      </c>
      <c r="V320" s="1">
        <f t="shared" si="20"/>
        <v>0.14610899999999999</v>
      </c>
      <c r="W320" s="1">
        <v>0.64169548452283898</v>
      </c>
      <c r="X320" s="1">
        <f t="shared" si="21"/>
        <v>9.3757485548147473E-2</v>
      </c>
      <c r="Y320" s="1">
        <f t="shared" si="22"/>
        <v>0.13545151445185252</v>
      </c>
      <c r="Z320" s="1">
        <f>'Paste cellinfo here'!$B$11</f>
        <v>0.51802400000000004</v>
      </c>
    </row>
    <row r="321" spans="1:26">
      <c r="A321" s="1">
        <v>320</v>
      </c>
      <c r="B321" s="2">
        <f>DATE(Sintesi!$C$4-1,12,31)+A321</f>
        <v>44516</v>
      </c>
      <c r="C321" s="1">
        <f>'Paste cell here'!B321</f>
        <v>0</v>
      </c>
      <c r="D321" s="1">
        <f>'Paste cell here'!I321</f>
        <v>0</v>
      </c>
      <c r="E321" s="1">
        <f>'Paste cell here'!J321</f>
        <v>0</v>
      </c>
      <c r="F321" s="1">
        <f>'Paste cell here'!K321</f>
        <v>0</v>
      </c>
      <c r="G321" s="1">
        <f>'Paste cell here'!L321</f>
        <v>0</v>
      </c>
      <c r="H321" s="1">
        <f>'Paste cell here'!M321</f>
        <v>0</v>
      </c>
      <c r="I321" s="1">
        <f>'Paste cell here'!N321</f>
        <v>0</v>
      </c>
      <c r="J321" s="1">
        <f>'Paste cell here'!O321</f>
        <v>0</v>
      </c>
      <c r="K321" s="1">
        <f>'Paste cell here'!Q321</f>
        <v>0</v>
      </c>
      <c r="L321" s="1">
        <f>'Paste cell here'!S321</f>
        <v>0</v>
      </c>
      <c r="M321" s="1">
        <f>'Paste cell here'!T321</f>
        <v>0</v>
      </c>
      <c r="N321" s="1">
        <f>'Paste cell here'!W321</f>
        <v>0</v>
      </c>
      <c r="O321" s="1">
        <f>'Paste cell here'!U321</f>
        <v>0</v>
      </c>
      <c r="P321" s="1">
        <f t="shared" si="23"/>
        <v>0</v>
      </c>
      <c r="Q321" s="1">
        <f>'Paste cell here'!V321</f>
        <v>0</v>
      </c>
      <c r="R321" s="1">
        <f t="shared" si="24"/>
        <v>0</v>
      </c>
      <c r="S321" s="7">
        <f>Sintesi!$C$30</f>
        <v>8.3099999999999993E-2</v>
      </c>
      <c r="T321" s="7">
        <f>Sintesi!$C$29</f>
        <v>0.229209</v>
      </c>
      <c r="U321" s="5">
        <f>O321/(Sintesi!$C$5*1000)</f>
        <v>0</v>
      </c>
      <c r="V321" s="1">
        <f t="shared" si="20"/>
        <v>0.14610899999999999</v>
      </c>
      <c r="W321" s="1">
        <v>0.67123581948719002</v>
      </c>
      <c r="X321" s="1">
        <f t="shared" si="21"/>
        <v>9.8073594349453841E-2</v>
      </c>
      <c r="Y321" s="1">
        <f t="shared" si="22"/>
        <v>0.13113540565054616</v>
      </c>
      <c r="Z321" s="1">
        <f>'Paste cellinfo here'!$B$11</f>
        <v>0.51802400000000004</v>
      </c>
    </row>
    <row r="322" spans="1:26">
      <c r="A322" s="1">
        <v>321</v>
      </c>
      <c r="B322" s="2">
        <f>DATE(Sintesi!$C$4-1,12,31)+A322</f>
        <v>44517</v>
      </c>
      <c r="C322" s="1">
        <f>'Paste cell here'!B322</f>
        <v>0</v>
      </c>
      <c r="D322" s="1">
        <f>'Paste cell here'!I322</f>
        <v>0</v>
      </c>
      <c r="E322" s="1">
        <f>'Paste cell here'!J322</f>
        <v>0</v>
      </c>
      <c r="F322" s="1">
        <f>'Paste cell here'!K322</f>
        <v>0</v>
      </c>
      <c r="G322" s="1">
        <f>'Paste cell here'!L322</f>
        <v>0</v>
      </c>
      <c r="H322" s="1">
        <f>'Paste cell here'!M322</f>
        <v>0</v>
      </c>
      <c r="I322" s="1">
        <f>'Paste cell here'!N322</f>
        <v>0</v>
      </c>
      <c r="J322" s="1">
        <f>'Paste cell here'!O322</f>
        <v>0</v>
      </c>
      <c r="K322" s="1">
        <f>'Paste cell here'!Q322</f>
        <v>0</v>
      </c>
      <c r="L322" s="1">
        <f>'Paste cell here'!S322</f>
        <v>0</v>
      </c>
      <c r="M322" s="1">
        <f>'Paste cell here'!T322</f>
        <v>0</v>
      </c>
      <c r="N322" s="1">
        <f>'Paste cell here'!W322</f>
        <v>0</v>
      </c>
      <c r="O322" s="1">
        <f>'Paste cell here'!U322</f>
        <v>0</v>
      </c>
      <c r="P322" s="1">
        <f t="shared" si="23"/>
        <v>0</v>
      </c>
      <c r="Q322" s="1">
        <f>'Paste cell here'!V322</f>
        <v>0</v>
      </c>
      <c r="R322" s="1">
        <f t="shared" si="24"/>
        <v>0</v>
      </c>
      <c r="S322" s="7">
        <f>Sintesi!$C$30</f>
        <v>8.3099999999999993E-2</v>
      </c>
      <c r="T322" s="7">
        <f>Sintesi!$C$29</f>
        <v>0.229209</v>
      </c>
      <c r="U322" s="5">
        <f>O322/(Sintesi!$C$5*1000)</f>
        <v>0</v>
      </c>
      <c r="V322" s="1">
        <f t="shared" si="20"/>
        <v>0.14610899999999999</v>
      </c>
      <c r="W322" s="1">
        <v>0.669237351614134</v>
      </c>
      <c r="X322" s="1">
        <f t="shared" si="21"/>
        <v>9.7781600206989491E-2</v>
      </c>
      <c r="Y322" s="1">
        <f t="shared" si="22"/>
        <v>0.13142739979301049</v>
      </c>
      <c r="Z322" s="1">
        <f>'Paste cellinfo here'!$B$11</f>
        <v>0.51802400000000004</v>
      </c>
    </row>
    <row r="323" spans="1:26">
      <c r="A323" s="1">
        <v>322</v>
      </c>
      <c r="B323" s="2">
        <f>DATE(Sintesi!$C$4-1,12,31)+A323</f>
        <v>44518</v>
      </c>
      <c r="C323" s="1">
        <f>'Paste cell here'!B323</f>
        <v>0</v>
      </c>
      <c r="D323" s="1">
        <f>'Paste cell here'!I323</f>
        <v>0</v>
      </c>
      <c r="E323" s="1">
        <f>'Paste cell here'!J323</f>
        <v>0</v>
      </c>
      <c r="F323" s="1">
        <f>'Paste cell here'!K323</f>
        <v>0</v>
      </c>
      <c r="G323" s="1">
        <f>'Paste cell here'!L323</f>
        <v>0</v>
      </c>
      <c r="H323" s="1">
        <f>'Paste cell here'!M323</f>
        <v>0</v>
      </c>
      <c r="I323" s="1">
        <f>'Paste cell here'!N323</f>
        <v>0</v>
      </c>
      <c r="J323" s="1">
        <f>'Paste cell here'!O323</f>
        <v>0</v>
      </c>
      <c r="K323" s="1">
        <f>'Paste cell here'!Q323</f>
        <v>0</v>
      </c>
      <c r="L323" s="1">
        <f>'Paste cell here'!S323</f>
        <v>0</v>
      </c>
      <c r="M323" s="1">
        <f>'Paste cell here'!T323</f>
        <v>0</v>
      </c>
      <c r="N323" s="1">
        <f>'Paste cell here'!W323</f>
        <v>0</v>
      </c>
      <c r="O323" s="1">
        <f>'Paste cell here'!U323</f>
        <v>0</v>
      </c>
      <c r="P323" s="1">
        <f t="shared" si="23"/>
        <v>0</v>
      </c>
      <c r="Q323" s="1">
        <f>'Paste cell here'!V323</f>
        <v>0</v>
      </c>
      <c r="R323" s="1">
        <f t="shared" si="24"/>
        <v>0</v>
      </c>
      <c r="S323" s="7">
        <f>Sintesi!$C$30</f>
        <v>8.3099999999999993E-2</v>
      </c>
      <c r="T323" s="7">
        <f>Sintesi!$C$29</f>
        <v>0.229209</v>
      </c>
      <c r="U323" s="5">
        <f>O323/(Sintesi!$C$5*1000)</f>
        <v>0</v>
      </c>
      <c r="V323" s="1">
        <f t="shared" ref="V323:V366" si="25">T323-S323</f>
        <v>0.14610899999999999</v>
      </c>
      <c r="W323" s="1">
        <v>0.67650510539031805</v>
      </c>
      <c r="X323" s="1">
        <f t="shared" ref="X323:X366" si="26">W323*V323</f>
        <v>9.8843484443473975E-2</v>
      </c>
      <c r="Y323" s="1">
        <f t="shared" ref="Y323:Y366" si="27">T323-X323</f>
        <v>0.13036551555652603</v>
      </c>
      <c r="Z323" s="1">
        <f>'Paste cellinfo here'!$B$11</f>
        <v>0.51802400000000004</v>
      </c>
    </row>
    <row r="324" spans="1:26">
      <c r="A324" s="1">
        <v>323</v>
      </c>
      <c r="B324" s="2">
        <f>DATE(Sintesi!$C$4-1,12,31)+A324</f>
        <v>44519</v>
      </c>
      <c r="C324" s="1">
        <f>'Paste cell here'!B324</f>
        <v>0</v>
      </c>
      <c r="D324" s="1">
        <f>'Paste cell here'!I324</f>
        <v>0</v>
      </c>
      <c r="E324" s="1">
        <f>'Paste cell here'!J324</f>
        <v>0</v>
      </c>
      <c r="F324" s="1">
        <f>'Paste cell here'!K324</f>
        <v>0</v>
      </c>
      <c r="G324" s="1">
        <f>'Paste cell here'!L324</f>
        <v>0</v>
      </c>
      <c r="H324" s="1">
        <f>'Paste cell here'!M324</f>
        <v>0</v>
      </c>
      <c r="I324" s="1">
        <f>'Paste cell here'!N324</f>
        <v>0</v>
      </c>
      <c r="J324" s="1">
        <f>'Paste cell here'!O324</f>
        <v>0</v>
      </c>
      <c r="K324" s="1">
        <f>'Paste cell here'!Q324</f>
        <v>0</v>
      </c>
      <c r="L324" s="1">
        <f>'Paste cell here'!S324</f>
        <v>0</v>
      </c>
      <c r="M324" s="1">
        <f>'Paste cell here'!T324</f>
        <v>0</v>
      </c>
      <c r="N324" s="1">
        <f>'Paste cell here'!W324</f>
        <v>0</v>
      </c>
      <c r="O324" s="1">
        <f>'Paste cell here'!U324</f>
        <v>0</v>
      </c>
      <c r="P324" s="1">
        <f t="shared" ref="P324:P366" si="28">O323</f>
        <v>0</v>
      </c>
      <c r="Q324" s="1">
        <f>'Paste cell here'!V324</f>
        <v>0</v>
      </c>
      <c r="R324" s="1">
        <f t="shared" ref="R324:R366" si="29">ABS(O323+C324+D324+N324+Q323-H324-I324-K324-L324-M324-O324-Q324)</f>
        <v>0</v>
      </c>
      <c r="S324" s="7">
        <f>Sintesi!$C$30</f>
        <v>8.3099999999999993E-2</v>
      </c>
      <c r="T324" s="7">
        <f>Sintesi!$C$29</f>
        <v>0.229209</v>
      </c>
      <c r="U324" s="5">
        <f>O324/(Sintesi!$C$5*1000)</f>
        <v>0</v>
      </c>
      <c r="V324" s="1">
        <f t="shared" si="25"/>
        <v>0.14610899999999999</v>
      </c>
      <c r="W324" s="1">
        <v>0.67308729616057905</v>
      </c>
      <c r="X324" s="1">
        <f t="shared" si="26"/>
        <v>9.8344111754726043E-2</v>
      </c>
      <c r="Y324" s="1">
        <f t="shared" si="27"/>
        <v>0.13086488824527395</v>
      </c>
      <c r="Z324" s="1">
        <f>'Paste cellinfo here'!$B$11</f>
        <v>0.51802400000000004</v>
      </c>
    </row>
    <row r="325" spans="1:26">
      <c r="A325" s="1">
        <v>324</v>
      </c>
      <c r="B325" s="2">
        <f>DATE(Sintesi!$C$4-1,12,31)+A325</f>
        <v>44520</v>
      </c>
      <c r="C325" s="1">
        <f>'Paste cell here'!B325</f>
        <v>0</v>
      </c>
      <c r="D325" s="1">
        <f>'Paste cell here'!I325</f>
        <v>0</v>
      </c>
      <c r="E325" s="1">
        <f>'Paste cell here'!J325</f>
        <v>0</v>
      </c>
      <c r="F325" s="1">
        <f>'Paste cell here'!K325</f>
        <v>0</v>
      </c>
      <c r="G325" s="1">
        <f>'Paste cell here'!L325</f>
        <v>0</v>
      </c>
      <c r="H325" s="1">
        <f>'Paste cell here'!M325</f>
        <v>0</v>
      </c>
      <c r="I325" s="1">
        <f>'Paste cell here'!N325</f>
        <v>0</v>
      </c>
      <c r="J325" s="1">
        <f>'Paste cell here'!O325</f>
        <v>0</v>
      </c>
      <c r="K325" s="1">
        <f>'Paste cell here'!Q325</f>
        <v>0</v>
      </c>
      <c r="L325" s="1">
        <f>'Paste cell here'!S325</f>
        <v>0</v>
      </c>
      <c r="M325" s="1">
        <f>'Paste cell here'!T325</f>
        <v>0</v>
      </c>
      <c r="N325" s="1">
        <f>'Paste cell here'!W325</f>
        <v>0</v>
      </c>
      <c r="O325" s="1">
        <f>'Paste cell here'!U325</f>
        <v>0</v>
      </c>
      <c r="P325" s="1">
        <f t="shared" si="28"/>
        <v>0</v>
      </c>
      <c r="Q325" s="1">
        <f>'Paste cell here'!V325</f>
        <v>0</v>
      </c>
      <c r="R325" s="1">
        <f t="shared" si="29"/>
        <v>0</v>
      </c>
      <c r="S325" s="7">
        <f>Sintesi!$C$30</f>
        <v>8.3099999999999993E-2</v>
      </c>
      <c r="T325" s="7">
        <f>Sintesi!$C$29</f>
        <v>0.229209</v>
      </c>
      <c r="U325" s="5">
        <f>O325/(Sintesi!$C$5*1000)</f>
        <v>0</v>
      </c>
      <c r="V325" s="1">
        <f t="shared" si="25"/>
        <v>0.14610899999999999</v>
      </c>
      <c r="W325" s="1">
        <v>0.66479356031877102</v>
      </c>
      <c r="X325" s="1">
        <f t="shared" si="26"/>
        <v>9.7132322304615312E-2</v>
      </c>
      <c r="Y325" s="1">
        <f t="shared" si="27"/>
        <v>0.13207667769538467</v>
      </c>
      <c r="Z325" s="1">
        <f>'Paste cellinfo here'!$B$11</f>
        <v>0.51802400000000004</v>
      </c>
    </row>
    <row r="326" spans="1:26">
      <c r="A326" s="1">
        <v>325</v>
      </c>
      <c r="B326" s="2">
        <f>DATE(Sintesi!$C$4-1,12,31)+A326</f>
        <v>44521</v>
      </c>
      <c r="C326" s="1">
        <f>'Paste cell here'!B326</f>
        <v>0</v>
      </c>
      <c r="D326" s="1">
        <f>'Paste cell here'!I326</f>
        <v>0</v>
      </c>
      <c r="E326" s="1">
        <f>'Paste cell here'!J326</f>
        <v>0</v>
      </c>
      <c r="F326" s="1">
        <f>'Paste cell here'!K326</f>
        <v>0</v>
      </c>
      <c r="G326" s="1">
        <f>'Paste cell here'!L326</f>
        <v>0</v>
      </c>
      <c r="H326" s="1">
        <f>'Paste cell here'!M326</f>
        <v>0</v>
      </c>
      <c r="I326" s="1">
        <f>'Paste cell here'!N326</f>
        <v>0</v>
      </c>
      <c r="J326" s="1">
        <f>'Paste cell here'!O326</f>
        <v>0</v>
      </c>
      <c r="K326" s="1">
        <f>'Paste cell here'!Q326</f>
        <v>0</v>
      </c>
      <c r="L326" s="1">
        <f>'Paste cell here'!S326</f>
        <v>0</v>
      </c>
      <c r="M326" s="1">
        <f>'Paste cell here'!T326</f>
        <v>0</v>
      </c>
      <c r="N326" s="1">
        <f>'Paste cell here'!W326</f>
        <v>0</v>
      </c>
      <c r="O326" s="1">
        <f>'Paste cell here'!U326</f>
        <v>0</v>
      </c>
      <c r="P326" s="1">
        <f t="shared" si="28"/>
        <v>0</v>
      </c>
      <c r="Q326" s="1">
        <f>'Paste cell here'!V326</f>
        <v>0</v>
      </c>
      <c r="R326" s="1">
        <f t="shared" si="29"/>
        <v>0</v>
      </c>
      <c r="S326" s="7">
        <f>Sintesi!$C$30</f>
        <v>8.3099999999999993E-2</v>
      </c>
      <c r="T326" s="7">
        <f>Sintesi!$C$29</f>
        <v>0.229209</v>
      </c>
      <c r="U326" s="5">
        <f>O326/(Sintesi!$C$5*1000)</f>
        <v>0</v>
      </c>
      <c r="V326" s="1">
        <f t="shared" si="25"/>
        <v>0.14610899999999999</v>
      </c>
      <c r="W326" s="1">
        <v>0.67657049382566903</v>
      </c>
      <c r="X326" s="1">
        <f t="shared" si="26"/>
        <v>9.8853038282374669E-2</v>
      </c>
      <c r="Y326" s="1">
        <f t="shared" si="27"/>
        <v>0.13035596171762531</v>
      </c>
      <c r="Z326" s="1">
        <f>'Paste cellinfo here'!$B$11</f>
        <v>0.51802400000000004</v>
      </c>
    </row>
    <row r="327" spans="1:26">
      <c r="A327" s="1">
        <v>326</v>
      </c>
      <c r="B327" s="2">
        <f>DATE(Sintesi!$C$4-1,12,31)+A327</f>
        <v>44522</v>
      </c>
      <c r="C327" s="1">
        <f>'Paste cell here'!B327</f>
        <v>0</v>
      </c>
      <c r="D327" s="1">
        <f>'Paste cell here'!I327</f>
        <v>0</v>
      </c>
      <c r="E327" s="1">
        <f>'Paste cell here'!J327</f>
        <v>0</v>
      </c>
      <c r="F327" s="1">
        <f>'Paste cell here'!K327</f>
        <v>0</v>
      </c>
      <c r="G327" s="1">
        <f>'Paste cell here'!L327</f>
        <v>0</v>
      </c>
      <c r="H327" s="1">
        <f>'Paste cell here'!M327</f>
        <v>0</v>
      </c>
      <c r="I327" s="1">
        <f>'Paste cell here'!N327</f>
        <v>0</v>
      </c>
      <c r="J327" s="1">
        <f>'Paste cell here'!O327</f>
        <v>0</v>
      </c>
      <c r="K327" s="1">
        <f>'Paste cell here'!Q327</f>
        <v>0</v>
      </c>
      <c r="L327" s="1">
        <f>'Paste cell here'!S327</f>
        <v>0</v>
      </c>
      <c r="M327" s="1">
        <f>'Paste cell here'!T327</f>
        <v>0</v>
      </c>
      <c r="N327" s="1">
        <f>'Paste cell here'!W327</f>
        <v>0</v>
      </c>
      <c r="O327" s="1">
        <f>'Paste cell here'!U327</f>
        <v>0</v>
      </c>
      <c r="P327" s="1">
        <f t="shared" si="28"/>
        <v>0</v>
      </c>
      <c r="Q327" s="1">
        <f>'Paste cell here'!V327</f>
        <v>0</v>
      </c>
      <c r="R327" s="1">
        <f t="shared" si="29"/>
        <v>0</v>
      </c>
      <c r="S327" s="7">
        <f>Sintesi!$C$30</f>
        <v>8.3099999999999993E-2</v>
      </c>
      <c r="T327" s="7">
        <f>Sintesi!$C$29</f>
        <v>0.229209</v>
      </c>
      <c r="U327" s="5">
        <f>O327/(Sintesi!$C$5*1000)</f>
        <v>0</v>
      </c>
      <c r="V327" s="1">
        <f t="shared" si="25"/>
        <v>0.14610899999999999</v>
      </c>
      <c r="W327" s="1">
        <v>0.68149323470959799</v>
      </c>
      <c r="X327" s="1">
        <f t="shared" si="26"/>
        <v>9.9572295030184652E-2</v>
      </c>
      <c r="Y327" s="1">
        <f t="shared" si="27"/>
        <v>0.12963670496981533</v>
      </c>
      <c r="Z327" s="1">
        <f>'Paste cellinfo here'!$B$11</f>
        <v>0.51802400000000004</v>
      </c>
    </row>
    <row r="328" spans="1:26">
      <c r="A328" s="1">
        <v>327</v>
      </c>
      <c r="B328" s="2">
        <f>DATE(Sintesi!$C$4-1,12,31)+A328</f>
        <v>44523</v>
      </c>
      <c r="C328" s="1">
        <f>'Paste cell here'!B328</f>
        <v>0</v>
      </c>
      <c r="D328" s="1">
        <f>'Paste cell here'!I328</f>
        <v>0</v>
      </c>
      <c r="E328" s="1">
        <f>'Paste cell here'!J328</f>
        <v>0</v>
      </c>
      <c r="F328" s="1">
        <f>'Paste cell here'!K328</f>
        <v>0</v>
      </c>
      <c r="G328" s="1">
        <f>'Paste cell here'!L328</f>
        <v>0</v>
      </c>
      <c r="H328" s="1">
        <f>'Paste cell here'!M328</f>
        <v>0</v>
      </c>
      <c r="I328" s="1">
        <f>'Paste cell here'!N328</f>
        <v>0</v>
      </c>
      <c r="J328" s="1">
        <f>'Paste cell here'!O328</f>
        <v>0</v>
      </c>
      <c r="K328" s="1">
        <f>'Paste cell here'!Q328</f>
        <v>0</v>
      </c>
      <c r="L328" s="1">
        <f>'Paste cell here'!S328</f>
        <v>0</v>
      </c>
      <c r="M328" s="1">
        <f>'Paste cell here'!T328</f>
        <v>0</v>
      </c>
      <c r="N328" s="1">
        <f>'Paste cell here'!W328</f>
        <v>0</v>
      </c>
      <c r="O328" s="1">
        <f>'Paste cell here'!U328</f>
        <v>0</v>
      </c>
      <c r="P328" s="1">
        <f t="shared" si="28"/>
        <v>0</v>
      </c>
      <c r="Q328" s="1">
        <f>'Paste cell here'!V328</f>
        <v>0</v>
      </c>
      <c r="R328" s="1">
        <f t="shared" si="29"/>
        <v>0</v>
      </c>
      <c r="S328" s="7">
        <f>Sintesi!$C$30</f>
        <v>8.3099999999999993E-2</v>
      </c>
      <c r="T328" s="7">
        <f>Sintesi!$C$29</f>
        <v>0.229209</v>
      </c>
      <c r="U328" s="5">
        <f>O328/(Sintesi!$C$5*1000)</f>
        <v>0</v>
      </c>
      <c r="V328" s="1">
        <f t="shared" si="25"/>
        <v>0.14610899999999999</v>
      </c>
      <c r="W328" s="1">
        <v>0.664889109699764</v>
      </c>
      <c r="X328" s="1">
        <f t="shared" si="26"/>
        <v>9.7146282929122807E-2</v>
      </c>
      <c r="Y328" s="1">
        <f t="shared" si="27"/>
        <v>0.13206271707087719</v>
      </c>
      <c r="Z328" s="1">
        <f>'Paste cellinfo here'!$B$11</f>
        <v>0.51802400000000004</v>
      </c>
    </row>
    <row r="329" spans="1:26">
      <c r="A329" s="1">
        <v>328</v>
      </c>
      <c r="B329" s="2">
        <f>DATE(Sintesi!$C$4-1,12,31)+A329</f>
        <v>44524</v>
      </c>
      <c r="C329" s="1">
        <f>'Paste cell here'!B329</f>
        <v>0</v>
      </c>
      <c r="D329" s="1">
        <f>'Paste cell here'!I329</f>
        <v>0</v>
      </c>
      <c r="E329" s="1">
        <f>'Paste cell here'!J329</f>
        <v>0</v>
      </c>
      <c r="F329" s="1">
        <f>'Paste cell here'!K329</f>
        <v>0</v>
      </c>
      <c r="G329" s="1">
        <f>'Paste cell here'!L329</f>
        <v>0</v>
      </c>
      <c r="H329" s="1">
        <f>'Paste cell here'!M329</f>
        <v>0</v>
      </c>
      <c r="I329" s="1">
        <f>'Paste cell here'!N329</f>
        <v>0</v>
      </c>
      <c r="J329" s="1">
        <f>'Paste cell here'!O329</f>
        <v>0</v>
      </c>
      <c r="K329" s="1">
        <f>'Paste cell here'!Q329</f>
        <v>0</v>
      </c>
      <c r="L329" s="1">
        <f>'Paste cell here'!S329</f>
        <v>0</v>
      </c>
      <c r="M329" s="1">
        <f>'Paste cell here'!T329</f>
        <v>0</v>
      </c>
      <c r="N329" s="1">
        <f>'Paste cell here'!W329</f>
        <v>0</v>
      </c>
      <c r="O329" s="1">
        <f>'Paste cell here'!U329</f>
        <v>0</v>
      </c>
      <c r="P329" s="1">
        <f t="shared" si="28"/>
        <v>0</v>
      </c>
      <c r="Q329" s="1">
        <f>'Paste cell here'!V329</f>
        <v>0</v>
      </c>
      <c r="R329" s="1">
        <f t="shared" si="29"/>
        <v>0</v>
      </c>
      <c r="S329" s="7">
        <f>Sintesi!$C$30</f>
        <v>8.3099999999999993E-2</v>
      </c>
      <c r="T329" s="7">
        <f>Sintesi!$C$29</f>
        <v>0.229209</v>
      </c>
      <c r="U329" s="5">
        <f>O329/(Sintesi!$C$5*1000)</f>
        <v>0</v>
      </c>
      <c r="V329" s="1">
        <f t="shared" si="25"/>
        <v>0.14610899999999999</v>
      </c>
      <c r="W329" s="1">
        <v>0.65368348668654797</v>
      </c>
      <c r="X329" s="1">
        <f t="shared" si="26"/>
        <v>9.5509040556284827E-2</v>
      </c>
      <c r="Y329" s="1">
        <f t="shared" si="27"/>
        <v>0.13369995944371516</v>
      </c>
      <c r="Z329" s="1">
        <f>'Paste cellinfo here'!$B$11</f>
        <v>0.51802400000000004</v>
      </c>
    </row>
    <row r="330" spans="1:26">
      <c r="A330" s="1">
        <v>329</v>
      </c>
      <c r="B330" s="2">
        <f>DATE(Sintesi!$C$4-1,12,31)+A330</f>
        <v>44525</v>
      </c>
      <c r="C330" s="1">
        <f>'Paste cell here'!B330</f>
        <v>0</v>
      </c>
      <c r="D330" s="1">
        <f>'Paste cell here'!I330</f>
        <v>0</v>
      </c>
      <c r="E330" s="1">
        <f>'Paste cell here'!J330</f>
        <v>0</v>
      </c>
      <c r="F330" s="1">
        <f>'Paste cell here'!K330</f>
        <v>0</v>
      </c>
      <c r="G330" s="1">
        <f>'Paste cell here'!L330</f>
        <v>0</v>
      </c>
      <c r="H330" s="1">
        <f>'Paste cell here'!M330</f>
        <v>0</v>
      </c>
      <c r="I330" s="1">
        <f>'Paste cell here'!N330</f>
        <v>0</v>
      </c>
      <c r="J330" s="1">
        <f>'Paste cell here'!O330</f>
        <v>0</v>
      </c>
      <c r="K330" s="1">
        <f>'Paste cell here'!Q330</f>
        <v>0</v>
      </c>
      <c r="L330" s="1">
        <f>'Paste cell here'!S330</f>
        <v>0</v>
      </c>
      <c r="M330" s="1">
        <f>'Paste cell here'!T330</f>
        <v>0</v>
      </c>
      <c r="N330" s="1">
        <f>'Paste cell here'!W330</f>
        <v>0</v>
      </c>
      <c r="O330" s="1">
        <f>'Paste cell here'!U330</f>
        <v>0</v>
      </c>
      <c r="P330" s="1">
        <f t="shared" si="28"/>
        <v>0</v>
      </c>
      <c r="Q330" s="1">
        <f>'Paste cell here'!V330</f>
        <v>0</v>
      </c>
      <c r="R330" s="1">
        <f t="shared" si="29"/>
        <v>0</v>
      </c>
      <c r="S330" s="7">
        <f>Sintesi!$C$30</f>
        <v>8.3099999999999993E-2</v>
      </c>
      <c r="T330" s="7">
        <f>Sintesi!$C$29</f>
        <v>0.229209</v>
      </c>
      <c r="U330" s="5">
        <f>O330/(Sintesi!$C$5*1000)</f>
        <v>0</v>
      </c>
      <c r="V330" s="1">
        <f t="shared" si="25"/>
        <v>0.14610899999999999</v>
      </c>
      <c r="W330" s="1">
        <v>0.65375708009544997</v>
      </c>
      <c r="X330" s="1">
        <f t="shared" si="26"/>
        <v>9.5519793215666088E-2</v>
      </c>
      <c r="Y330" s="1">
        <f t="shared" si="27"/>
        <v>0.13368920678433391</v>
      </c>
      <c r="Z330" s="1">
        <f>'Paste cellinfo here'!$B$11</f>
        <v>0.51802400000000004</v>
      </c>
    </row>
    <row r="331" spans="1:26">
      <c r="A331" s="1">
        <v>330</v>
      </c>
      <c r="B331" s="2">
        <f>DATE(Sintesi!$C$4-1,12,31)+A331</f>
        <v>44526</v>
      </c>
      <c r="C331" s="1">
        <f>'Paste cell here'!B331</f>
        <v>0</v>
      </c>
      <c r="D331" s="1">
        <f>'Paste cell here'!I331</f>
        <v>0</v>
      </c>
      <c r="E331" s="1">
        <f>'Paste cell here'!J331</f>
        <v>0</v>
      </c>
      <c r="F331" s="1">
        <f>'Paste cell here'!K331</f>
        <v>0</v>
      </c>
      <c r="G331" s="1">
        <f>'Paste cell here'!L331</f>
        <v>0</v>
      </c>
      <c r="H331" s="1">
        <f>'Paste cell here'!M331</f>
        <v>0</v>
      </c>
      <c r="I331" s="1">
        <f>'Paste cell here'!N331</f>
        <v>0</v>
      </c>
      <c r="J331" s="1">
        <f>'Paste cell here'!O331</f>
        <v>0</v>
      </c>
      <c r="K331" s="1">
        <f>'Paste cell here'!Q331</f>
        <v>0</v>
      </c>
      <c r="L331" s="1">
        <f>'Paste cell here'!S331</f>
        <v>0</v>
      </c>
      <c r="M331" s="1">
        <f>'Paste cell here'!T331</f>
        <v>0</v>
      </c>
      <c r="N331" s="1">
        <f>'Paste cell here'!W331</f>
        <v>0</v>
      </c>
      <c r="O331" s="1">
        <f>'Paste cell here'!U331</f>
        <v>0</v>
      </c>
      <c r="P331" s="1">
        <f t="shared" si="28"/>
        <v>0</v>
      </c>
      <c r="Q331" s="1">
        <f>'Paste cell here'!V331</f>
        <v>0</v>
      </c>
      <c r="R331" s="1">
        <f t="shared" si="29"/>
        <v>0</v>
      </c>
      <c r="S331" s="7">
        <f>Sintesi!$C$30</f>
        <v>8.3099999999999993E-2</v>
      </c>
      <c r="T331" s="7">
        <f>Sintesi!$C$29</f>
        <v>0.229209</v>
      </c>
      <c r="U331" s="5">
        <f>O331/(Sintesi!$C$5*1000)</f>
        <v>0</v>
      </c>
      <c r="V331" s="1">
        <f t="shared" si="25"/>
        <v>0.14610899999999999</v>
      </c>
      <c r="W331" s="1">
        <v>0.66641001493900698</v>
      </c>
      <c r="X331" s="1">
        <f t="shared" si="26"/>
        <v>9.7368500872723363E-2</v>
      </c>
      <c r="Y331" s="1">
        <f t="shared" si="27"/>
        <v>0.13184049912727663</v>
      </c>
      <c r="Z331" s="1">
        <f>'Paste cellinfo here'!$B$11</f>
        <v>0.51802400000000004</v>
      </c>
    </row>
    <row r="332" spans="1:26">
      <c r="A332" s="1">
        <v>331</v>
      </c>
      <c r="B332" s="2">
        <f>DATE(Sintesi!$C$4-1,12,31)+A332</f>
        <v>44527</v>
      </c>
      <c r="C332" s="1">
        <f>'Paste cell here'!B332</f>
        <v>0</v>
      </c>
      <c r="D332" s="1">
        <f>'Paste cell here'!I332</f>
        <v>0</v>
      </c>
      <c r="E332" s="1">
        <f>'Paste cell here'!J332</f>
        <v>0</v>
      </c>
      <c r="F332" s="1">
        <f>'Paste cell here'!K332</f>
        <v>0</v>
      </c>
      <c r="G332" s="1">
        <f>'Paste cell here'!L332</f>
        <v>0</v>
      </c>
      <c r="H332" s="1">
        <f>'Paste cell here'!M332</f>
        <v>0</v>
      </c>
      <c r="I332" s="1">
        <f>'Paste cell here'!N332</f>
        <v>0</v>
      </c>
      <c r="J332" s="1">
        <f>'Paste cell here'!O332</f>
        <v>0</v>
      </c>
      <c r="K332" s="1">
        <f>'Paste cell here'!Q332</f>
        <v>0</v>
      </c>
      <c r="L332" s="1">
        <f>'Paste cell here'!S332</f>
        <v>0</v>
      </c>
      <c r="M332" s="1">
        <f>'Paste cell here'!T332</f>
        <v>0</v>
      </c>
      <c r="N332" s="1">
        <f>'Paste cell here'!W332</f>
        <v>0</v>
      </c>
      <c r="O332" s="1">
        <f>'Paste cell here'!U332</f>
        <v>0</v>
      </c>
      <c r="P332" s="1">
        <f t="shared" si="28"/>
        <v>0</v>
      </c>
      <c r="Q332" s="1">
        <f>'Paste cell here'!V332</f>
        <v>0</v>
      </c>
      <c r="R332" s="1">
        <f t="shared" si="29"/>
        <v>0</v>
      </c>
      <c r="S332" s="7">
        <f>Sintesi!$C$30</f>
        <v>8.3099999999999993E-2</v>
      </c>
      <c r="T332" s="7">
        <f>Sintesi!$C$29</f>
        <v>0.229209</v>
      </c>
      <c r="U332" s="5">
        <f>O332/(Sintesi!$C$5*1000)</f>
        <v>0</v>
      </c>
      <c r="V332" s="1">
        <f t="shared" si="25"/>
        <v>0.14610899999999999</v>
      </c>
      <c r="W332" s="1">
        <v>0.67716488419963305</v>
      </c>
      <c r="X332" s="1">
        <f t="shared" si="26"/>
        <v>9.8939884065524175E-2</v>
      </c>
      <c r="Y332" s="1">
        <f t="shared" si="27"/>
        <v>0.13026911593447582</v>
      </c>
      <c r="Z332" s="1">
        <f>'Paste cellinfo here'!$B$11</f>
        <v>0.51802400000000004</v>
      </c>
    </row>
    <row r="333" spans="1:26">
      <c r="A333" s="1">
        <v>332</v>
      </c>
      <c r="B333" s="2">
        <f>DATE(Sintesi!$C$4-1,12,31)+A333</f>
        <v>44528</v>
      </c>
      <c r="C333" s="1">
        <f>'Paste cell here'!B333</f>
        <v>0</v>
      </c>
      <c r="D333" s="1">
        <f>'Paste cell here'!I333</f>
        <v>0</v>
      </c>
      <c r="E333" s="1">
        <f>'Paste cell here'!J333</f>
        <v>0</v>
      </c>
      <c r="F333" s="1">
        <f>'Paste cell here'!K333</f>
        <v>0</v>
      </c>
      <c r="G333" s="1">
        <f>'Paste cell here'!L333</f>
        <v>0</v>
      </c>
      <c r="H333" s="1">
        <f>'Paste cell here'!M333</f>
        <v>0</v>
      </c>
      <c r="I333" s="1">
        <f>'Paste cell here'!N333</f>
        <v>0</v>
      </c>
      <c r="J333" s="1">
        <f>'Paste cell here'!O333</f>
        <v>0</v>
      </c>
      <c r="K333" s="1">
        <f>'Paste cell here'!Q333</f>
        <v>0</v>
      </c>
      <c r="L333" s="1">
        <f>'Paste cell here'!S333</f>
        <v>0</v>
      </c>
      <c r="M333" s="1">
        <f>'Paste cell here'!T333</f>
        <v>0</v>
      </c>
      <c r="N333" s="1">
        <f>'Paste cell here'!W333</f>
        <v>0</v>
      </c>
      <c r="O333" s="1">
        <f>'Paste cell here'!U333</f>
        <v>0</v>
      </c>
      <c r="P333" s="1">
        <f t="shared" si="28"/>
        <v>0</v>
      </c>
      <c r="Q333" s="1">
        <f>'Paste cell here'!V333</f>
        <v>0</v>
      </c>
      <c r="R333" s="1">
        <f t="shared" si="29"/>
        <v>0</v>
      </c>
      <c r="S333" s="7">
        <f>Sintesi!$C$30</f>
        <v>8.3099999999999993E-2</v>
      </c>
      <c r="T333" s="7">
        <f>Sintesi!$C$29</f>
        <v>0.229209</v>
      </c>
      <c r="U333" s="5">
        <f>O333/(Sintesi!$C$5*1000)</f>
        <v>0</v>
      </c>
      <c r="V333" s="1">
        <f t="shared" si="25"/>
        <v>0.14610899999999999</v>
      </c>
      <c r="W333" s="1">
        <v>0.67562023337087895</v>
      </c>
      <c r="X333" s="1">
        <f t="shared" si="26"/>
        <v>9.8714196677585742E-2</v>
      </c>
      <c r="Y333" s="1">
        <f t="shared" si="27"/>
        <v>0.13049480332241425</v>
      </c>
      <c r="Z333" s="1">
        <f>'Paste cellinfo here'!$B$11</f>
        <v>0.51802400000000004</v>
      </c>
    </row>
    <row r="334" spans="1:26">
      <c r="A334" s="1">
        <v>333</v>
      </c>
      <c r="B334" s="2">
        <f>DATE(Sintesi!$C$4-1,12,31)+A334</f>
        <v>44529</v>
      </c>
      <c r="C334" s="1">
        <f>'Paste cell here'!B334</f>
        <v>0</v>
      </c>
      <c r="D334" s="1">
        <f>'Paste cell here'!I334</f>
        <v>0</v>
      </c>
      <c r="E334" s="1">
        <f>'Paste cell here'!J334</f>
        <v>0</v>
      </c>
      <c r="F334" s="1">
        <f>'Paste cell here'!K334</f>
        <v>0</v>
      </c>
      <c r="G334" s="1">
        <f>'Paste cell here'!L334</f>
        <v>0</v>
      </c>
      <c r="H334" s="1">
        <f>'Paste cell here'!M334</f>
        <v>0</v>
      </c>
      <c r="I334" s="1">
        <f>'Paste cell here'!N334</f>
        <v>0</v>
      </c>
      <c r="J334" s="1">
        <f>'Paste cell here'!O334</f>
        <v>0</v>
      </c>
      <c r="K334" s="1">
        <f>'Paste cell here'!Q334</f>
        <v>0</v>
      </c>
      <c r="L334" s="1">
        <f>'Paste cell here'!S334</f>
        <v>0</v>
      </c>
      <c r="M334" s="1">
        <f>'Paste cell here'!T334</f>
        <v>0</v>
      </c>
      <c r="N334" s="1">
        <f>'Paste cell here'!W334</f>
        <v>0</v>
      </c>
      <c r="O334" s="1">
        <f>'Paste cell here'!U334</f>
        <v>0</v>
      </c>
      <c r="P334" s="1">
        <f t="shared" si="28"/>
        <v>0</v>
      </c>
      <c r="Q334" s="1">
        <f>'Paste cell here'!V334</f>
        <v>0</v>
      </c>
      <c r="R334" s="1">
        <f t="shared" si="29"/>
        <v>0</v>
      </c>
      <c r="S334" s="7">
        <f>Sintesi!$C$30</f>
        <v>8.3099999999999993E-2</v>
      </c>
      <c r="T334" s="7">
        <f>Sintesi!$C$29</f>
        <v>0.229209</v>
      </c>
      <c r="U334" s="5">
        <f>O334/(Sintesi!$C$5*1000)</f>
        <v>0</v>
      </c>
      <c r="V334" s="1">
        <f t="shared" si="25"/>
        <v>0.14610899999999999</v>
      </c>
      <c r="W334" s="1">
        <v>0.67988279166766297</v>
      </c>
      <c r="X334" s="1">
        <f t="shared" si="26"/>
        <v>9.9336994807770557E-2</v>
      </c>
      <c r="Y334" s="1">
        <f t="shared" si="27"/>
        <v>0.12987200519222944</v>
      </c>
      <c r="Z334" s="1">
        <f>'Paste cellinfo here'!$B$11</f>
        <v>0.51802400000000004</v>
      </c>
    </row>
    <row r="335" spans="1:26">
      <c r="A335" s="1">
        <v>334</v>
      </c>
      <c r="B335" s="2">
        <f>DATE(Sintesi!$C$4-1,12,31)+A335</f>
        <v>44530</v>
      </c>
      <c r="C335" s="1">
        <f>'Paste cell here'!B335</f>
        <v>0</v>
      </c>
      <c r="D335" s="1">
        <f>'Paste cell here'!I335</f>
        <v>0</v>
      </c>
      <c r="E335" s="1">
        <f>'Paste cell here'!J335</f>
        <v>0</v>
      </c>
      <c r="F335" s="1">
        <f>'Paste cell here'!K335</f>
        <v>0</v>
      </c>
      <c r="G335" s="1">
        <f>'Paste cell here'!L335</f>
        <v>0</v>
      </c>
      <c r="H335" s="1">
        <f>'Paste cell here'!M335</f>
        <v>0</v>
      </c>
      <c r="I335" s="1">
        <f>'Paste cell here'!N335</f>
        <v>0</v>
      </c>
      <c r="J335" s="1">
        <f>'Paste cell here'!O335</f>
        <v>0</v>
      </c>
      <c r="K335" s="1">
        <f>'Paste cell here'!Q335</f>
        <v>0</v>
      </c>
      <c r="L335" s="1">
        <f>'Paste cell here'!S335</f>
        <v>0</v>
      </c>
      <c r="M335" s="1">
        <f>'Paste cell here'!T335</f>
        <v>0</v>
      </c>
      <c r="N335" s="1">
        <f>'Paste cell here'!W335</f>
        <v>0</v>
      </c>
      <c r="O335" s="1">
        <f>'Paste cell here'!U335</f>
        <v>0</v>
      </c>
      <c r="P335" s="1">
        <f t="shared" si="28"/>
        <v>0</v>
      </c>
      <c r="Q335" s="1">
        <f>'Paste cell here'!V335</f>
        <v>0</v>
      </c>
      <c r="R335" s="1">
        <f t="shared" si="29"/>
        <v>0</v>
      </c>
      <c r="S335" s="7">
        <f>Sintesi!$C$30</f>
        <v>8.3099999999999993E-2</v>
      </c>
      <c r="T335" s="7">
        <f>Sintesi!$C$29</f>
        <v>0.229209</v>
      </c>
      <c r="U335" s="5">
        <f>O335/(Sintesi!$C$5*1000)</f>
        <v>0</v>
      </c>
      <c r="V335" s="1">
        <f t="shared" si="25"/>
        <v>0.14610899999999999</v>
      </c>
      <c r="W335" s="1">
        <v>0.68460747721901505</v>
      </c>
      <c r="X335" s="1">
        <f t="shared" si="26"/>
        <v>0.10002731388899307</v>
      </c>
      <c r="Y335" s="1">
        <f t="shared" si="27"/>
        <v>0.12918168611100694</v>
      </c>
      <c r="Z335" s="1">
        <f>'Paste cellinfo here'!$B$11</f>
        <v>0.51802400000000004</v>
      </c>
    </row>
    <row r="336" spans="1:26">
      <c r="A336" s="1">
        <v>335</v>
      </c>
      <c r="B336" s="2">
        <f>DATE(Sintesi!$C$4-1,12,31)+A336</f>
        <v>44531</v>
      </c>
      <c r="C336" s="1">
        <f>'Paste cell here'!B336</f>
        <v>0</v>
      </c>
      <c r="D336" s="1">
        <f>'Paste cell here'!I336</f>
        <v>0</v>
      </c>
      <c r="E336" s="1">
        <f>'Paste cell here'!J336</f>
        <v>0</v>
      </c>
      <c r="F336" s="1">
        <f>'Paste cell here'!K336</f>
        <v>0</v>
      </c>
      <c r="G336" s="1">
        <f>'Paste cell here'!L336</f>
        <v>0</v>
      </c>
      <c r="H336" s="1">
        <f>'Paste cell here'!M336</f>
        <v>0</v>
      </c>
      <c r="I336" s="1">
        <f>'Paste cell here'!N336</f>
        <v>0</v>
      </c>
      <c r="J336" s="1">
        <f>'Paste cell here'!O336</f>
        <v>0</v>
      </c>
      <c r="K336" s="1">
        <f>'Paste cell here'!Q336</f>
        <v>0</v>
      </c>
      <c r="L336" s="1">
        <f>'Paste cell here'!S336</f>
        <v>0</v>
      </c>
      <c r="M336" s="1">
        <f>'Paste cell here'!T336</f>
        <v>0</v>
      </c>
      <c r="N336" s="1">
        <f>'Paste cell here'!W336</f>
        <v>0</v>
      </c>
      <c r="O336" s="1">
        <f>'Paste cell here'!U336</f>
        <v>0</v>
      </c>
      <c r="P336" s="1">
        <f t="shared" si="28"/>
        <v>0</v>
      </c>
      <c r="Q336" s="1">
        <f>'Paste cell here'!V336</f>
        <v>0</v>
      </c>
      <c r="R336" s="1">
        <f t="shared" si="29"/>
        <v>0</v>
      </c>
      <c r="S336" s="7">
        <f>Sintesi!$C$30</f>
        <v>8.3099999999999993E-2</v>
      </c>
      <c r="T336" s="7">
        <f>Sintesi!$C$29</f>
        <v>0.229209</v>
      </c>
      <c r="U336" s="5">
        <f>O336/(Sintesi!$C$5*1000)</f>
        <v>0</v>
      </c>
      <c r="V336" s="1">
        <f t="shared" si="25"/>
        <v>0.14610899999999999</v>
      </c>
      <c r="W336" s="1">
        <v>0.67718653282308705</v>
      </c>
      <c r="X336" s="1">
        <f t="shared" si="26"/>
        <v>9.8943047124248423E-2</v>
      </c>
      <c r="Y336" s="1">
        <f t="shared" si="27"/>
        <v>0.13026595287575157</v>
      </c>
      <c r="Z336" s="1">
        <f>'Paste cellinfo here'!$B$11</f>
        <v>0.51802400000000004</v>
      </c>
    </row>
    <row r="337" spans="1:26">
      <c r="A337" s="1">
        <v>336</v>
      </c>
      <c r="B337" s="2">
        <f>DATE(Sintesi!$C$4-1,12,31)+A337</f>
        <v>44532</v>
      </c>
      <c r="C337" s="1">
        <f>'Paste cell here'!B337</f>
        <v>0</v>
      </c>
      <c r="D337" s="1">
        <f>'Paste cell here'!I337</f>
        <v>0</v>
      </c>
      <c r="E337" s="1">
        <f>'Paste cell here'!J337</f>
        <v>0</v>
      </c>
      <c r="F337" s="1">
        <f>'Paste cell here'!K337</f>
        <v>0</v>
      </c>
      <c r="G337" s="1">
        <f>'Paste cell here'!L337</f>
        <v>0</v>
      </c>
      <c r="H337" s="1">
        <f>'Paste cell here'!M337</f>
        <v>0</v>
      </c>
      <c r="I337" s="1">
        <f>'Paste cell here'!N337</f>
        <v>0</v>
      </c>
      <c r="J337" s="1">
        <f>'Paste cell here'!O337</f>
        <v>0</v>
      </c>
      <c r="K337" s="1">
        <f>'Paste cell here'!Q337</f>
        <v>0</v>
      </c>
      <c r="L337" s="1">
        <f>'Paste cell here'!S337</f>
        <v>0</v>
      </c>
      <c r="M337" s="1">
        <f>'Paste cell here'!T337</f>
        <v>0</v>
      </c>
      <c r="N337" s="1">
        <f>'Paste cell here'!W337</f>
        <v>0</v>
      </c>
      <c r="O337" s="1">
        <f>'Paste cell here'!U337</f>
        <v>0</v>
      </c>
      <c r="P337" s="1">
        <f t="shared" si="28"/>
        <v>0</v>
      </c>
      <c r="Q337" s="1">
        <f>'Paste cell here'!V337</f>
        <v>0</v>
      </c>
      <c r="R337" s="1">
        <f t="shared" si="29"/>
        <v>0</v>
      </c>
      <c r="S337" s="7">
        <f>Sintesi!$C$30</f>
        <v>8.3099999999999993E-2</v>
      </c>
      <c r="T337" s="7">
        <f>Sintesi!$C$29</f>
        <v>0.229209</v>
      </c>
      <c r="U337" s="5">
        <f>O337/(Sintesi!$C$5*1000)</f>
        <v>0</v>
      </c>
      <c r="V337" s="1">
        <f t="shared" si="25"/>
        <v>0.14610899999999999</v>
      </c>
      <c r="W337" s="1">
        <v>0.66148457119354498</v>
      </c>
      <c r="X337" s="1">
        <f t="shared" si="26"/>
        <v>9.6648849212517651E-2</v>
      </c>
      <c r="Y337" s="1">
        <f t="shared" si="27"/>
        <v>0.13256015078748234</v>
      </c>
      <c r="Z337" s="1">
        <f>'Paste cellinfo here'!$B$11</f>
        <v>0.51802400000000004</v>
      </c>
    </row>
    <row r="338" spans="1:26">
      <c r="A338" s="1">
        <v>337</v>
      </c>
      <c r="B338" s="2">
        <f>DATE(Sintesi!$C$4-1,12,31)+A338</f>
        <v>44533</v>
      </c>
      <c r="C338" s="1">
        <f>'Paste cell here'!B338</f>
        <v>0</v>
      </c>
      <c r="D338" s="1">
        <f>'Paste cell here'!I338</f>
        <v>0</v>
      </c>
      <c r="E338" s="1">
        <f>'Paste cell here'!J338</f>
        <v>0</v>
      </c>
      <c r="F338" s="1">
        <f>'Paste cell here'!K338</f>
        <v>0</v>
      </c>
      <c r="G338" s="1">
        <f>'Paste cell here'!L338</f>
        <v>0</v>
      </c>
      <c r="H338" s="1">
        <f>'Paste cell here'!M338</f>
        <v>0</v>
      </c>
      <c r="I338" s="1">
        <f>'Paste cell here'!N338</f>
        <v>0</v>
      </c>
      <c r="J338" s="1">
        <f>'Paste cell here'!O338</f>
        <v>0</v>
      </c>
      <c r="K338" s="1">
        <f>'Paste cell here'!Q338</f>
        <v>0</v>
      </c>
      <c r="L338" s="1">
        <f>'Paste cell here'!S338</f>
        <v>0</v>
      </c>
      <c r="M338" s="1">
        <f>'Paste cell here'!T338</f>
        <v>0</v>
      </c>
      <c r="N338" s="1">
        <f>'Paste cell here'!W338</f>
        <v>0</v>
      </c>
      <c r="O338" s="1">
        <f>'Paste cell here'!U338</f>
        <v>0</v>
      </c>
      <c r="P338" s="1">
        <f t="shared" si="28"/>
        <v>0</v>
      </c>
      <c r="Q338" s="1">
        <f>'Paste cell here'!V338</f>
        <v>0</v>
      </c>
      <c r="R338" s="1">
        <f t="shared" si="29"/>
        <v>0</v>
      </c>
      <c r="S338" s="7">
        <f>Sintesi!$C$30</f>
        <v>8.3099999999999993E-2</v>
      </c>
      <c r="T338" s="7">
        <f>Sintesi!$C$29</f>
        <v>0.229209</v>
      </c>
      <c r="U338" s="5">
        <f>O338/(Sintesi!$C$5*1000)</f>
        <v>0</v>
      </c>
      <c r="V338" s="1">
        <f t="shared" si="25"/>
        <v>0.14610899999999999</v>
      </c>
      <c r="W338" s="1">
        <v>0.68217655767683705</v>
      </c>
      <c r="X338" s="1">
        <f t="shared" si="26"/>
        <v>9.9672134665604983E-2</v>
      </c>
      <c r="Y338" s="1">
        <f t="shared" si="27"/>
        <v>0.12953686533439501</v>
      </c>
      <c r="Z338" s="1">
        <f>'Paste cellinfo here'!$B$11</f>
        <v>0.51802400000000004</v>
      </c>
    </row>
    <row r="339" spans="1:26">
      <c r="A339" s="1">
        <v>338</v>
      </c>
      <c r="B339" s="2">
        <f>DATE(Sintesi!$C$4-1,12,31)+A339</f>
        <v>44534</v>
      </c>
      <c r="C339" s="1">
        <f>'Paste cell here'!B339</f>
        <v>0</v>
      </c>
      <c r="D339" s="1">
        <f>'Paste cell here'!I339</f>
        <v>0</v>
      </c>
      <c r="E339" s="1">
        <f>'Paste cell here'!J339</f>
        <v>0</v>
      </c>
      <c r="F339" s="1">
        <f>'Paste cell here'!K339</f>
        <v>0</v>
      </c>
      <c r="G339" s="1">
        <f>'Paste cell here'!L339</f>
        <v>0</v>
      </c>
      <c r="H339" s="1">
        <f>'Paste cell here'!M339</f>
        <v>0</v>
      </c>
      <c r="I339" s="1">
        <f>'Paste cell here'!N339</f>
        <v>0</v>
      </c>
      <c r="J339" s="1">
        <f>'Paste cell here'!O339</f>
        <v>0</v>
      </c>
      <c r="K339" s="1">
        <f>'Paste cell here'!Q339</f>
        <v>0</v>
      </c>
      <c r="L339" s="1">
        <f>'Paste cell here'!S339</f>
        <v>0</v>
      </c>
      <c r="M339" s="1">
        <f>'Paste cell here'!T339</f>
        <v>0</v>
      </c>
      <c r="N339" s="1">
        <f>'Paste cell here'!W339</f>
        <v>0</v>
      </c>
      <c r="O339" s="1">
        <f>'Paste cell here'!U339</f>
        <v>0</v>
      </c>
      <c r="P339" s="1">
        <f t="shared" si="28"/>
        <v>0</v>
      </c>
      <c r="Q339" s="1">
        <f>'Paste cell here'!V339</f>
        <v>0</v>
      </c>
      <c r="R339" s="1">
        <f t="shared" si="29"/>
        <v>0</v>
      </c>
      <c r="S339" s="7">
        <f>Sintesi!$C$30</f>
        <v>8.3099999999999993E-2</v>
      </c>
      <c r="T339" s="7">
        <f>Sintesi!$C$29</f>
        <v>0.229209</v>
      </c>
      <c r="U339" s="5">
        <f>O339/(Sintesi!$C$5*1000)</f>
        <v>0</v>
      </c>
      <c r="V339" s="1">
        <f t="shared" si="25"/>
        <v>0.14610899999999999</v>
      </c>
      <c r="W339" s="1">
        <v>0.67109048690834205</v>
      </c>
      <c r="X339" s="1">
        <f t="shared" si="26"/>
        <v>9.805235995169094E-2</v>
      </c>
      <c r="Y339" s="1">
        <f t="shared" si="27"/>
        <v>0.13115664004830907</v>
      </c>
      <c r="Z339" s="1">
        <f>'Paste cellinfo here'!$B$11</f>
        <v>0.51802400000000004</v>
      </c>
    </row>
    <row r="340" spans="1:26">
      <c r="A340" s="1">
        <v>339</v>
      </c>
      <c r="B340" s="2">
        <f>DATE(Sintesi!$C$4-1,12,31)+A340</f>
        <v>44535</v>
      </c>
      <c r="C340" s="1">
        <f>'Paste cell here'!B340</f>
        <v>0</v>
      </c>
      <c r="D340" s="1">
        <f>'Paste cell here'!I340</f>
        <v>0</v>
      </c>
      <c r="E340" s="1">
        <f>'Paste cell here'!J340</f>
        <v>0</v>
      </c>
      <c r="F340" s="1">
        <f>'Paste cell here'!K340</f>
        <v>0</v>
      </c>
      <c r="G340" s="1">
        <f>'Paste cell here'!L340</f>
        <v>0</v>
      </c>
      <c r="H340" s="1">
        <f>'Paste cell here'!M340</f>
        <v>0</v>
      </c>
      <c r="I340" s="1">
        <f>'Paste cell here'!N340</f>
        <v>0</v>
      </c>
      <c r="J340" s="1">
        <f>'Paste cell here'!O340</f>
        <v>0</v>
      </c>
      <c r="K340" s="1">
        <f>'Paste cell here'!Q340</f>
        <v>0</v>
      </c>
      <c r="L340" s="1">
        <f>'Paste cell here'!S340</f>
        <v>0</v>
      </c>
      <c r="M340" s="1">
        <f>'Paste cell here'!T340</f>
        <v>0</v>
      </c>
      <c r="N340" s="1">
        <f>'Paste cell here'!W340</f>
        <v>0</v>
      </c>
      <c r="O340" s="1">
        <f>'Paste cell here'!U340</f>
        <v>0</v>
      </c>
      <c r="P340" s="1">
        <f t="shared" si="28"/>
        <v>0</v>
      </c>
      <c r="Q340" s="1">
        <f>'Paste cell here'!V340</f>
        <v>0</v>
      </c>
      <c r="R340" s="1">
        <f t="shared" si="29"/>
        <v>0</v>
      </c>
      <c r="S340" s="7">
        <f>Sintesi!$C$30</f>
        <v>8.3099999999999993E-2</v>
      </c>
      <c r="T340" s="7">
        <f>Sintesi!$C$29</f>
        <v>0.229209</v>
      </c>
      <c r="U340" s="5">
        <f>O340/(Sintesi!$C$5*1000)</f>
        <v>0</v>
      </c>
      <c r="V340" s="1">
        <f t="shared" si="25"/>
        <v>0.14610899999999999</v>
      </c>
      <c r="W340" s="1">
        <v>0.68357748176862099</v>
      </c>
      <c r="X340" s="1">
        <f t="shared" si="26"/>
        <v>9.9876822283731431E-2</v>
      </c>
      <c r="Y340" s="1">
        <f t="shared" si="27"/>
        <v>0.12933217771626856</v>
      </c>
      <c r="Z340" s="1">
        <f>'Paste cellinfo here'!$B$11</f>
        <v>0.51802400000000004</v>
      </c>
    </row>
    <row r="341" spans="1:26">
      <c r="A341" s="1">
        <v>340</v>
      </c>
      <c r="B341" s="2">
        <f>DATE(Sintesi!$C$4-1,12,31)+A341</f>
        <v>44536</v>
      </c>
      <c r="C341" s="1">
        <f>'Paste cell here'!B341</f>
        <v>0</v>
      </c>
      <c r="D341" s="1">
        <f>'Paste cell here'!I341</f>
        <v>0</v>
      </c>
      <c r="E341" s="1">
        <f>'Paste cell here'!J341</f>
        <v>0</v>
      </c>
      <c r="F341" s="1">
        <f>'Paste cell here'!K341</f>
        <v>0</v>
      </c>
      <c r="G341" s="1">
        <f>'Paste cell here'!L341</f>
        <v>0</v>
      </c>
      <c r="H341" s="1">
        <f>'Paste cell here'!M341</f>
        <v>0</v>
      </c>
      <c r="I341" s="1">
        <f>'Paste cell here'!N341</f>
        <v>0</v>
      </c>
      <c r="J341" s="1">
        <f>'Paste cell here'!O341</f>
        <v>0</v>
      </c>
      <c r="K341" s="1">
        <f>'Paste cell here'!Q341</f>
        <v>0</v>
      </c>
      <c r="L341" s="1">
        <f>'Paste cell here'!S341</f>
        <v>0</v>
      </c>
      <c r="M341" s="1">
        <f>'Paste cell here'!T341</f>
        <v>0</v>
      </c>
      <c r="N341" s="1">
        <f>'Paste cell here'!W341</f>
        <v>0</v>
      </c>
      <c r="O341" s="1">
        <f>'Paste cell here'!U341</f>
        <v>0</v>
      </c>
      <c r="P341" s="1">
        <f t="shared" si="28"/>
        <v>0</v>
      </c>
      <c r="Q341" s="1">
        <f>'Paste cell here'!V341</f>
        <v>0</v>
      </c>
      <c r="R341" s="1">
        <f t="shared" si="29"/>
        <v>0</v>
      </c>
      <c r="S341" s="7">
        <f>Sintesi!$C$30</f>
        <v>8.3099999999999993E-2</v>
      </c>
      <c r="T341" s="7">
        <f>Sintesi!$C$29</f>
        <v>0.229209</v>
      </c>
      <c r="U341" s="5">
        <f>O341/(Sintesi!$C$5*1000)</f>
        <v>0</v>
      </c>
      <c r="V341" s="1">
        <f t="shared" si="25"/>
        <v>0.14610899999999999</v>
      </c>
      <c r="W341" s="1">
        <v>0.68763567383634505</v>
      </c>
      <c r="X341" s="1">
        <f t="shared" si="26"/>
        <v>0.10046976066855454</v>
      </c>
      <c r="Y341" s="1">
        <f t="shared" si="27"/>
        <v>0.12873923933144546</v>
      </c>
      <c r="Z341" s="1">
        <f>'Paste cellinfo here'!$B$11</f>
        <v>0.51802400000000004</v>
      </c>
    </row>
    <row r="342" spans="1:26">
      <c r="A342" s="1">
        <v>341</v>
      </c>
      <c r="B342" s="2">
        <f>DATE(Sintesi!$C$4-1,12,31)+A342</f>
        <v>44537</v>
      </c>
      <c r="C342" s="1">
        <f>'Paste cell here'!B342</f>
        <v>0</v>
      </c>
      <c r="D342" s="1">
        <f>'Paste cell here'!I342</f>
        <v>0</v>
      </c>
      <c r="E342" s="1">
        <f>'Paste cell here'!J342</f>
        <v>0</v>
      </c>
      <c r="F342" s="1">
        <f>'Paste cell here'!K342</f>
        <v>0</v>
      </c>
      <c r="G342" s="1">
        <f>'Paste cell here'!L342</f>
        <v>0</v>
      </c>
      <c r="H342" s="1">
        <f>'Paste cell here'!M342</f>
        <v>0</v>
      </c>
      <c r="I342" s="1">
        <f>'Paste cell here'!N342</f>
        <v>0</v>
      </c>
      <c r="J342" s="1">
        <f>'Paste cell here'!O342</f>
        <v>0</v>
      </c>
      <c r="K342" s="1">
        <f>'Paste cell here'!Q342</f>
        <v>0</v>
      </c>
      <c r="L342" s="1">
        <f>'Paste cell here'!S342</f>
        <v>0</v>
      </c>
      <c r="M342" s="1">
        <f>'Paste cell here'!T342</f>
        <v>0</v>
      </c>
      <c r="N342" s="1">
        <f>'Paste cell here'!W342</f>
        <v>0</v>
      </c>
      <c r="O342" s="1">
        <f>'Paste cell here'!U342</f>
        <v>0</v>
      </c>
      <c r="P342" s="1">
        <f t="shared" si="28"/>
        <v>0</v>
      </c>
      <c r="Q342" s="1">
        <f>'Paste cell here'!V342</f>
        <v>0</v>
      </c>
      <c r="R342" s="1">
        <f t="shared" si="29"/>
        <v>0</v>
      </c>
      <c r="S342" s="7">
        <f>Sintesi!$C$30</f>
        <v>8.3099999999999993E-2</v>
      </c>
      <c r="T342" s="7">
        <f>Sintesi!$C$29</f>
        <v>0.229209</v>
      </c>
      <c r="U342" s="5">
        <f>O342/(Sintesi!$C$5*1000)</f>
        <v>0</v>
      </c>
      <c r="V342" s="1">
        <f t="shared" si="25"/>
        <v>0.14610899999999999</v>
      </c>
      <c r="W342" s="1">
        <v>0.68744898214141703</v>
      </c>
      <c r="X342" s="1">
        <f t="shared" si="26"/>
        <v>0.10044248333170029</v>
      </c>
      <c r="Y342" s="1">
        <f t="shared" si="27"/>
        <v>0.12876651666829969</v>
      </c>
      <c r="Z342" s="1">
        <f>'Paste cellinfo here'!$B$11</f>
        <v>0.51802400000000004</v>
      </c>
    </row>
    <row r="343" spans="1:26">
      <c r="A343" s="1">
        <v>342</v>
      </c>
      <c r="B343" s="2">
        <f>DATE(Sintesi!$C$4-1,12,31)+A343</f>
        <v>44538</v>
      </c>
      <c r="C343" s="1">
        <f>'Paste cell here'!B343</f>
        <v>0</v>
      </c>
      <c r="D343" s="1">
        <f>'Paste cell here'!I343</f>
        <v>0</v>
      </c>
      <c r="E343" s="1">
        <f>'Paste cell here'!J343</f>
        <v>0</v>
      </c>
      <c r="F343" s="1">
        <f>'Paste cell here'!K343</f>
        <v>0</v>
      </c>
      <c r="G343" s="1">
        <f>'Paste cell here'!L343</f>
        <v>0</v>
      </c>
      <c r="H343" s="1">
        <f>'Paste cell here'!M343</f>
        <v>0</v>
      </c>
      <c r="I343" s="1">
        <f>'Paste cell here'!N343</f>
        <v>0</v>
      </c>
      <c r="J343" s="1">
        <f>'Paste cell here'!O343</f>
        <v>0</v>
      </c>
      <c r="K343" s="1">
        <f>'Paste cell here'!Q343</f>
        <v>0</v>
      </c>
      <c r="L343" s="1">
        <f>'Paste cell here'!S343</f>
        <v>0</v>
      </c>
      <c r="M343" s="1">
        <f>'Paste cell here'!T343</f>
        <v>0</v>
      </c>
      <c r="N343" s="1">
        <f>'Paste cell here'!W343</f>
        <v>0</v>
      </c>
      <c r="O343" s="1">
        <f>'Paste cell here'!U343</f>
        <v>0</v>
      </c>
      <c r="P343" s="1">
        <f t="shared" si="28"/>
        <v>0</v>
      </c>
      <c r="Q343" s="1">
        <f>'Paste cell here'!V343</f>
        <v>0</v>
      </c>
      <c r="R343" s="1">
        <f t="shared" si="29"/>
        <v>0</v>
      </c>
      <c r="S343" s="7">
        <f>Sintesi!$C$30</f>
        <v>8.3099999999999993E-2</v>
      </c>
      <c r="T343" s="7">
        <f>Sintesi!$C$29</f>
        <v>0.229209</v>
      </c>
      <c r="U343" s="5">
        <f>O343/(Sintesi!$C$5*1000)</f>
        <v>0</v>
      </c>
      <c r="V343" s="1">
        <f t="shared" si="25"/>
        <v>0.14610899999999999</v>
      </c>
      <c r="W343" s="1">
        <v>0.68580075904577797</v>
      </c>
      <c r="X343" s="1">
        <f t="shared" si="26"/>
        <v>0.10020166310341956</v>
      </c>
      <c r="Y343" s="1">
        <f t="shared" si="27"/>
        <v>0.12900733689658045</v>
      </c>
      <c r="Z343" s="1">
        <f>'Paste cellinfo here'!$B$11</f>
        <v>0.51802400000000004</v>
      </c>
    </row>
    <row r="344" spans="1:26">
      <c r="A344" s="1">
        <v>343</v>
      </c>
      <c r="B344" s="2">
        <f>DATE(Sintesi!$C$4-1,12,31)+A344</f>
        <v>44539</v>
      </c>
      <c r="C344" s="1">
        <f>'Paste cell here'!B344</f>
        <v>0</v>
      </c>
      <c r="D344" s="1">
        <f>'Paste cell here'!I344</f>
        <v>0</v>
      </c>
      <c r="E344" s="1">
        <f>'Paste cell here'!J344</f>
        <v>0</v>
      </c>
      <c r="F344" s="1">
        <f>'Paste cell here'!K344</f>
        <v>0</v>
      </c>
      <c r="G344" s="1">
        <f>'Paste cell here'!L344</f>
        <v>0</v>
      </c>
      <c r="H344" s="1">
        <f>'Paste cell here'!M344</f>
        <v>0</v>
      </c>
      <c r="I344" s="1">
        <f>'Paste cell here'!N344</f>
        <v>0</v>
      </c>
      <c r="J344" s="1">
        <f>'Paste cell here'!O344</f>
        <v>0</v>
      </c>
      <c r="K344" s="1">
        <f>'Paste cell here'!Q344</f>
        <v>0</v>
      </c>
      <c r="L344" s="1">
        <f>'Paste cell here'!S344</f>
        <v>0</v>
      </c>
      <c r="M344" s="1">
        <f>'Paste cell here'!T344</f>
        <v>0</v>
      </c>
      <c r="N344" s="1">
        <f>'Paste cell here'!W344</f>
        <v>0</v>
      </c>
      <c r="O344" s="1">
        <f>'Paste cell here'!U344</f>
        <v>0</v>
      </c>
      <c r="P344" s="1">
        <f t="shared" si="28"/>
        <v>0</v>
      </c>
      <c r="Q344" s="1">
        <f>'Paste cell here'!V344</f>
        <v>0</v>
      </c>
      <c r="R344" s="1">
        <f t="shared" si="29"/>
        <v>0</v>
      </c>
      <c r="S344" s="7">
        <f>Sintesi!$C$30</f>
        <v>8.3099999999999993E-2</v>
      </c>
      <c r="T344" s="7">
        <f>Sintesi!$C$29</f>
        <v>0.229209</v>
      </c>
      <c r="U344" s="5">
        <f>O344/(Sintesi!$C$5*1000)</f>
        <v>0</v>
      </c>
      <c r="V344" s="1">
        <f t="shared" si="25"/>
        <v>0.14610899999999999</v>
      </c>
      <c r="W344" s="1">
        <v>0.68844684693351299</v>
      </c>
      <c r="X344" s="1">
        <f t="shared" si="26"/>
        <v>0.10058828035860864</v>
      </c>
      <c r="Y344" s="1">
        <f t="shared" si="27"/>
        <v>0.12862071964139135</v>
      </c>
      <c r="Z344" s="1">
        <f>'Paste cellinfo here'!$B$11</f>
        <v>0.51802400000000004</v>
      </c>
    </row>
    <row r="345" spans="1:26">
      <c r="A345" s="1">
        <v>344</v>
      </c>
      <c r="B345" s="2">
        <f>DATE(Sintesi!$C$4-1,12,31)+A345</f>
        <v>44540</v>
      </c>
      <c r="C345" s="1">
        <f>'Paste cell here'!B345</f>
        <v>0</v>
      </c>
      <c r="D345" s="1">
        <f>'Paste cell here'!I345</f>
        <v>0</v>
      </c>
      <c r="E345" s="1">
        <f>'Paste cell here'!J345</f>
        <v>0</v>
      </c>
      <c r="F345" s="1">
        <f>'Paste cell here'!K345</f>
        <v>0</v>
      </c>
      <c r="G345" s="1">
        <f>'Paste cell here'!L345</f>
        <v>0</v>
      </c>
      <c r="H345" s="1">
        <f>'Paste cell here'!M345</f>
        <v>0</v>
      </c>
      <c r="I345" s="1">
        <f>'Paste cell here'!N345</f>
        <v>0</v>
      </c>
      <c r="J345" s="1">
        <f>'Paste cell here'!O345</f>
        <v>0</v>
      </c>
      <c r="K345" s="1">
        <f>'Paste cell here'!Q345</f>
        <v>0</v>
      </c>
      <c r="L345" s="1">
        <f>'Paste cell here'!S345</f>
        <v>0</v>
      </c>
      <c r="M345" s="1">
        <f>'Paste cell here'!T345</f>
        <v>0</v>
      </c>
      <c r="N345" s="1">
        <f>'Paste cell here'!W345</f>
        <v>0</v>
      </c>
      <c r="O345" s="1">
        <f>'Paste cell here'!U345</f>
        <v>0</v>
      </c>
      <c r="P345" s="1">
        <f t="shared" si="28"/>
        <v>0</v>
      </c>
      <c r="Q345" s="1">
        <f>'Paste cell here'!V345</f>
        <v>0</v>
      </c>
      <c r="R345" s="1">
        <f t="shared" si="29"/>
        <v>0</v>
      </c>
      <c r="S345" s="7">
        <f>Sintesi!$C$30</f>
        <v>8.3099999999999993E-2</v>
      </c>
      <c r="T345" s="7">
        <f>Sintesi!$C$29</f>
        <v>0.229209</v>
      </c>
      <c r="U345" s="5">
        <f>O345/(Sintesi!$C$5*1000)</f>
        <v>0</v>
      </c>
      <c r="V345" s="1">
        <f t="shared" si="25"/>
        <v>0.14610899999999999</v>
      </c>
      <c r="W345" s="1">
        <v>0.68525702249656795</v>
      </c>
      <c r="X345" s="1">
        <f t="shared" si="26"/>
        <v>0.10012221829995104</v>
      </c>
      <c r="Y345" s="1">
        <f t="shared" si="27"/>
        <v>0.12908678170004895</v>
      </c>
      <c r="Z345" s="1">
        <f>'Paste cellinfo here'!$B$11</f>
        <v>0.51802400000000004</v>
      </c>
    </row>
    <row r="346" spans="1:26">
      <c r="A346" s="1">
        <v>345</v>
      </c>
      <c r="B346" s="2">
        <f>DATE(Sintesi!$C$4-1,12,31)+A346</f>
        <v>44541</v>
      </c>
      <c r="C346" s="1">
        <f>'Paste cell here'!B346</f>
        <v>0</v>
      </c>
      <c r="D346" s="1">
        <f>'Paste cell here'!I346</f>
        <v>0</v>
      </c>
      <c r="E346" s="1">
        <f>'Paste cell here'!J346</f>
        <v>0</v>
      </c>
      <c r="F346" s="1">
        <f>'Paste cell here'!K346</f>
        <v>0</v>
      </c>
      <c r="G346" s="1">
        <f>'Paste cell here'!L346</f>
        <v>0</v>
      </c>
      <c r="H346" s="1">
        <f>'Paste cell here'!M346</f>
        <v>0</v>
      </c>
      <c r="I346" s="1">
        <f>'Paste cell here'!N346</f>
        <v>0</v>
      </c>
      <c r="J346" s="1">
        <f>'Paste cell here'!O346</f>
        <v>0</v>
      </c>
      <c r="K346" s="1">
        <f>'Paste cell here'!Q346</f>
        <v>0</v>
      </c>
      <c r="L346" s="1">
        <f>'Paste cell here'!S346</f>
        <v>0</v>
      </c>
      <c r="M346" s="1">
        <f>'Paste cell here'!T346</f>
        <v>0</v>
      </c>
      <c r="N346" s="1">
        <f>'Paste cell here'!W346</f>
        <v>0</v>
      </c>
      <c r="O346" s="1">
        <f>'Paste cell here'!U346</f>
        <v>0</v>
      </c>
      <c r="P346" s="1">
        <f t="shared" si="28"/>
        <v>0</v>
      </c>
      <c r="Q346" s="1">
        <f>'Paste cell here'!V346</f>
        <v>0</v>
      </c>
      <c r="R346" s="1">
        <f t="shared" si="29"/>
        <v>0</v>
      </c>
      <c r="S346" s="7">
        <f>Sintesi!$C$30</f>
        <v>8.3099999999999993E-2</v>
      </c>
      <c r="T346" s="7">
        <f>Sintesi!$C$29</f>
        <v>0.229209</v>
      </c>
      <c r="U346" s="5">
        <f>O346/(Sintesi!$C$5*1000)</f>
        <v>0</v>
      </c>
      <c r="V346" s="1">
        <f t="shared" si="25"/>
        <v>0.14610899999999999</v>
      </c>
      <c r="W346" s="1">
        <v>0.67924400463115897</v>
      </c>
      <c r="X346" s="1">
        <f t="shared" si="26"/>
        <v>9.9243662272653993E-2</v>
      </c>
      <c r="Y346" s="1">
        <f t="shared" si="27"/>
        <v>0.129965337727346</v>
      </c>
      <c r="Z346" s="1">
        <f>'Paste cellinfo here'!$B$11</f>
        <v>0.51802400000000004</v>
      </c>
    </row>
    <row r="347" spans="1:26">
      <c r="A347" s="1">
        <v>346</v>
      </c>
      <c r="B347" s="2">
        <f>DATE(Sintesi!$C$4-1,12,31)+A347</f>
        <v>44542</v>
      </c>
      <c r="C347" s="1">
        <f>'Paste cell here'!B347</f>
        <v>0</v>
      </c>
      <c r="D347" s="1">
        <f>'Paste cell here'!I347</f>
        <v>0</v>
      </c>
      <c r="E347" s="1">
        <f>'Paste cell here'!J347</f>
        <v>0</v>
      </c>
      <c r="F347" s="1">
        <f>'Paste cell here'!K347</f>
        <v>0</v>
      </c>
      <c r="G347" s="1">
        <f>'Paste cell here'!L347</f>
        <v>0</v>
      </c>
      <c r="H347" s="1">
        <f>'Paste cell here'!M347</f>
        <v>0</v>
      </c>
      <c r="I347" s="1">
        <f>'Paste cell here'!N347</f>
        <v>0</v>
      </c>
      <c r="J347" s="1">
        <f>'Paste cell here'!O347</f>
        <v>0</v>
      </c>
      <c r="K347" s="1">
        <f>'Paste cell here'!Q347</f>
        <v>0</v>
      </c>
      <c r="L347" s="1">
        <f>'Paste cell here'!S347</f>
        <v>0</v>
      </c>
      <c r="M347" s="1">
        <f>'Paste cell here'!T347</f>
        <v>0</v>
      </c>
      <c r="N347" s="1">
        <f>'Paste cell here'!W347</f>
        <v>0</v>
      </c>
      <c r="O347" s="1">
        <f>'Paste cell here'!U347</f>
        <v>0</v>
      </c>
      <c r="P347" s="1">
        <f t="shared" si="28"/>
        <v>0</v>
      </c>
      <c r="Q347" s="1">
        <f>'Paste cell here'!V347</f>
        <v>0</v>
      </c>
      <c r="R347" s="1">
        <f t="shared" si="29"/>
        <v>0</v>
      </c>
      <c r="S347" s="7">
        <f>Sintesi!$C$30</f>
        <v>8.3099999999999993E-2</v>
      </c>
      <c r="T347" s="7">
        <f>Sintesi!$C$29</f>
        <v>0.229209</v>
      </c>
      <c r="U347" s="5">
        <f>O347/(Sintesi!$C$5*1000)</f>
        <v>0</v>
      </c>
      <c r="V347" s="1">
        <f t="shared" si="25"/>
        <v>0.14610899999999999</v>
      </c>
      <c r="W347" s="1">
        <v>0.68921252424151402</v>
      </c>
      <c r="X347" s="1">
        <f t="shared" si="26"/>
        <v>0.10070015270440337</v>
      </c>
      <c r="Y347" s="1">
        <f t="shared" si="27"/>
        <v>0.12850884729559664</v>
      </c>
      <c r="Z347" s="1">
        <f>'Paste cellinfo here'!$B$11</f>
        <v>0.51802400000000004</v>
      </c>
    </row>
    <row r="348" spans="1:26">
      <c r="A348" s="1">
        <v>347</v>
      </c>
      <c r="B348" s="2">
        <f>DATE(Sintesi!$C$4-1,12,31)+A348</f>
        <v>44543</v>
      </c>
      <c r="C348" s="1">
        <f>'Paste cell here'!B348</f>
        <v>0</v>
      </c>
      <c r="D348" s="1">
        <f>'Paste cell here'!I348</f>
        <v>0</v>
      </c>
      <c r="E348" s="1">
        <f>'Paste cell here'!J348</f>
        <v>0</v>
      </c>
      <c r="F348" s="1">
        <f>'Paste cell here'!K348</f>
        <v>0</v>
      </c>
      <c r="G348" s="1">
        <f>'Paste cell here'!L348</f>
        <v>0</v>
      </c>
      <c r="H348" s="1">
        <f>'Paste cell here'!M348</f>
        <v>0</v>
      </c>
      <c r="I348" s="1">
        <f>'Paste cell here'!N348</f>
        <v>0</v>
      </c>
      <c r="J348" s="1">
        <f>'Paste cell here'!O348</f>
        <v>0</v>
      </c>
      <c r="K348" s="1">
        <f>'Paste cell here'!Q348</f>
        <v>0</v>
      </c>
      <c r="L348" s="1">
        <f>'Paste cell here'!S348</f>
        <v>0</v>
      </c>
      <c r="M348" s="1">
        <f>'Paste cell here'!T348</f>
        <v>0</v>
      </c>
      <c r="N348" s="1">
        <f>'Paste cell here'!W348</f>
        <v>0</v>
      </c>
      <c r="O348" s="1">
        <f>'Paste cell here'!U348</f>
        <v>0</v>
      </c>
      <c r="P348" s="1">
        <f t="shared" si="28"/>
        <v>0</v>
      </c>
      <c r="Q348" s="1">
        <f>'Paste cell here'!V348</f>
        <v>0</v>
      </c>
      <c r="R348" s="1">
        <f t="shared" si="29"/>
        <v>0</v>
      </c>
      <c r="S348" s="7">
        <f>Sintesi!$C$30</f>
        <v>8.3099999999999993E-2</v>
      </c>
      <c r="T348" s="7">
        <f>Sintesi!$C$29</f>
        <v>0.229209</v>
      </c>
      <c r="U348" s="5">
        <f>O348/(Sintesi!$C$5*1000)</f>
        <v>0</v>
      </c>
      <c r="V348" s="1">
        <f t="shared" si="25"/>
        <v>0.14610899999999999</v>
      </c>
      <c r="W348" s="1">
        <v>0.68321687821962296</v>
      </c>
      <c r="X348" s="1">
        <f t="shared" si="26"/>
        <v>9.9824134859790886E-2</v>
      </c>
      <c r="Y348" s="1">
        <f t="shared" si="27"/>
        <v>0.12938486514020911</v>
      </c>
      <c r="Z348" s="1">
        <f>'Paste cellinfo here'!$B$11</f>
        <v>0.51802400000000004</v>
      </c>
    </row>
    <row r="349" spans="1:26">
      <c r="A349" s="1">
        <v>348</v>
      </c>
      <c r="B349" s="2">
        <f>DATE(Sintesi!$C$4-1,12,31)+A349</f>
        <v>44544</v>
      </c>
      <c r="C349" s="1">
        <f>'Paste cell here'!B349</f>
        <v>0</v>
      </c>
      <c r="D349" s="1">
        <f>'Paste cell here'!I349</f>
        <v>0</v>
      </c>
      <c r="E349" s="1">
        <f>'Paste cell here'!J349</f>
        <v>0</v>
      </c>
      <c r="F349" s="1">
        <f>'Paste cell here'!K349</f>
        <v>0</v>
      </c>
      <c r="G349" s="1">
        <f>'Paste cell here'!L349</f>
        <v>0</v>
      </c>
      <c r="H349" s="1">
        <f>'Paste cell here'!M349</f>
        <v>0</v>
      </c>
      <c r="I349" s="1">
        <f>'Paste cell here'!N349</f>
        <v>0</v>
      </c>
      <c r="J349" s="1">
        <f>'Paste cell here'!O349</f>
        <v>0</v>
      </c>
      <c r="K349" s="1">
        <f>'Paste cell here'!Q349</f>
        <v>0</v>
      </c>
      <c r="L349" s="1">
        <f>'Paste cell here'!S349</f>
        <v>0</v>
      </c>
      <c r="M349" s="1">
        <f>'Paste cell here'!T349</f>
        <v>0</v>
      </c>
      <c r="N349" s="1">
        <f>'Paste cell here'!W349</f>
        <v>0</v>
      </c>
      <c r="O349" s="1">
        <f>'Paste cell here'!U349</f>
        <v>0</v>
      </c>
      <c r="P349" s="1">
        <f t="shared" si="28"/>
        <v>0</v>
      </c>
      <c r="Q349" s="1">
        <f>'Paste cell here'!V349</f>
        <v>0</v>
      </c>
      <c r="R349" s="1">
        <f t="shared" si="29"/>
        <v>0</v>
      </c>
      <c r="S349" s="7">
        <f>Sintesi!$C$30</f>
        <v>8.3099999999999993E-2</v>
      </c>
      <c r="T349" s="7">
        <f>Sintesi!$C$29</f>
        <v>0.229209</v>
      </c>
      <c r="U349" s="5">
        <f>O349/(Sintesi!$C$5*1000)</f>
        <v>0</v>
      </c>
      <c r="V349" s="1">
        <f t="shared" si="25"/>
        <v>0.14610899999999999</v>
      </c>
      <c r="W349" s="1">
        <v>0.68529354813517196</v>
      </c>
      <c r="X349" s="1">
        <f t="shared" si="26"/>
        <v>0.10012755502448183</v>
      </c>
      <c r="Y349" s="1">
        <f t="shared" si="27"/>
        <v>0.12908144497551816</v>
      </c>
      <c r="Z349" s="1">
        <f>'Paste cellinfo here'!$B$11</f>
        <v>0.51802400000000004</v>
      </c>
    </row>
    <row r="350" spans="1:26">
      <c r="A350" s="1">
        <v>349</v>
      </c>
      <c r="B350" s="2">
        <f>DATE(Sintesi!$C$4-1,12,31)+A350</f>
        <v>44545</v>
      </c>
      <c r="C350" s="1">
        <f>'Paste cell here'!B350</f>
        <v>0</v>
      </c>
      <c r="D350" s="1">
        <f>'Paste cell here'!I350</f>
        <v>0</v>
      </c>
      <c r="E350" s="1">
        <f>'Paste cell here'!J350</f>
        <v>0</v>
      </c>
      <c r="F350" s="1">
        <f>'Paste cell here'!K350</f>
        <v>0</v>
      </c>
      <c r="G350" s="1">
        <f>'Paste cell here'!L350</f>
        <v>0</v>
      </c>
      <c r="H350" s="1">
        <f>'Paste cell here'!M350</f>
        <v>0</v>
      </c>
      <c r="I350" s="1">
        <f>'Paste cell here'!N350</f>
        <v>0</v>
      </c>
      <c r="J350" s="1">
        <f>'Paste cell here'!O350</f>
        <v>0</v>
      </c>
      <c r="K350" s="1">
        <f>'Paste cell here'!Q350</f>
        <v>0</v>
      </c>
      <c r="L350" s="1">
        <f>'Paste cell here'!S350</f>
        <v>0</v>
      </c>
      <c r="M350" s="1">
        <f>'Paste cell here'!T350</f>
        <v>0</v>
      </c>
      <c r="N350" s="1">
        <f>'Paste cell here'!W350</f>
        <v>0</v>
      </c>
      <c r="O350" s="1">
        <f>'Paste cell here'!U350</f>
        <v>0</v>
      </c>
      <c r="P350" s="1">
        <f t="shared" si="28"/>
        <v>0</v>
      </c>
      <c r="Q350" s="1">
        <f>'Paste cell here'!V350</f>
        <v>0</v>
      </c>
      <c r="R350" s="1">
        <f t="shared" si="29"/>
        <v>0</v>
      </c>
      <c r="S350" s="7">
        <f>Sintesi!$C$30</f>
        <v>8.3099999999999993E-2</v>
      </c>
      <c r="T350" s="7">
        <f>Sintesi!$C$29</f>
        <v>0.229209</v>
      </c>
      <c r="U350" s="5">
        <f>O350/(Sintesi!$C$5*1000)</f>
        <v>0</v>
      </c>
      <c r="V350" s="1">
        <f t="shared" si="25"/>
        <v>0.14610899999999999</v>
      </c>
      <c r="W350" s="1">
        <v>0.68495018566008603</v>
      </c>
      <c r="X350" s="1">
        <f t="shared" si="26"/>
        <v>0.10007738667660951</v>
      </c>
      <c r="Y350" s="1">
        <f t="shared" si="27"/>
        <v>0.12913161332339049</v>
      </c>
      <c r="Z350" s="1">
        <f>'Paste cellinfo here'!$B$11</f>
        <v>0.51802400000000004</v>
      </c>
    </row>
    <row r="351" spans="1:26">
      <c r="A351" s="1">
        <v>350</v>
      </c>
      <c r="B351" s="2">
        <f>DATE(Sintesi!$C$4-1,12,31)+A351</f>
        <v>44546</v>
      </c>
      <c r="C351" s="1">
        <f>'Paste cell here'!B351</f>
        <v>0</v>
      </c>
      <c r="D351" s="1">
        <f>'Paste cell here'!I351</f>
        <v>0</v>
      </c>
      <c r="E351" s="1">
        <f>'Paste cell here'!J351</f>
        <v>0</v>
      </c>
      <c r="F351" s="1">
        <f>'Paste cell here'!K351</f>
        <v>0</v>
      </c>
      <c r="G351" s="1">
        <f>'Paste cell here'!L351</f>
        <v>0</v>
      </c>
      <c r="H351" s="1">
        <f>'Paste cell here'!M351</f>
        <v>0</v>
      </c>
      <c r="I351" s="1">
        <f>'Paste cell here'!N351</f>
        <v>0</v>
      </c>
      <c r="J351" s="1">
        <f>'Paste cell here'!O351</f>
        <v>0</v>
      </c>
      <c r="K351" s="1">
        <f>'Paste cell here'!Q351</f>
        <v>0</v>
      </c>
      <c r="L351" s="1">
        <f>'Paste cell here'!S351</f>
        <v>0</v>
      </c>
      <c r="M351" s="1">
        <f>'Paste cell here'!T351</f>
        <v>0</v>
      </c>
      <c r="N351" s="1">
        <f>'Paste cell here'!W351</f>
        <v>0</v>
      </c>
      <c r="O351" s="1">
        <f>'Paste cell here'!U351</f>
        <v>0</v>
      </c>
      <c r="P351" s="1">
        <f t="shared" si="28"/>
        <v>0</v>
      </c>
      <c r="Q351" s="1">
        <f>'Paste cell here'!V351</f>
        <v>0</v>
      </c>
      <c r="R351" s="1">
        <f t="shared" si="29"/>
        <v>0</v>
      </c>
      <c r="S351" s="7">
        <f>Sintesi!$C$30</f>
        <v>8.3099999999999993E-2</v>
      </c>
      <c r="T351" s="7">
        <f>Sintesi!$C$29</f>
        <v>0.229209</v>
      </c>
      <c r="U351" s="5">
        <f>O351/(Sintesi!$C$5*1000)</f>
        <v>0</v>
      </c>
      <c r="V351" s="1">
        <f t="shared" si="25"/>
        <v>0.14610899999999999</v>
      </c>
      <c r="W351" s="1">
        <v>0.67845764007600495</v>
      </c>
      <c r="X351" s="1">
        <f t="shared" si="26"/>
        <v>9.9128767333864998E-2</v>
      </c>
      <c r="Y351" s="1">
        <f t="shared" si="27"/>
        <v>0.130080232666135</v>
      </c>
      <c r="Z351" s="1">
        <f>'Paste cellinfo here'!$B$11</f>
        <v>0.51802400000000004</v>
      </c>
    </row>
    <row r="352" spans="1:26">
      <c r="A352" s="1">
        <v>351</v>
      </c>
      <c r="B352" s="2">
        <f>DATE(Sintesi!$C$4-1,12,31)+A352</f>
        <v>44547</v>
      </c>
      <c r="C352" s="1">
        <f>'Paste cell here'!B352</f>
        <v>0</v>
      </c>
      <c r="D352" s="1">
        <f>'Paste cell here'!I352</f>
        <v>0</v>
      </c>
      <c r="E352" s="1">
        <f>'Paste cell here'!J352</f>
        <v>0</v>
      </c>
      <c r="F352" s="1">
        <f>'Paste cell here'!K352</f>
        <v>0</v>
      </c>
      <c r="G352" s="1">
        <f>'Paste cell here'!L352</f>
        <v>0</v>
      </c>
      <c r="H352" s="1">
        <f>'Paste cell here'!M352</f>
        <v>0</v>
      </c>
      <c r="I352" s="1">
        <f>'Paste cell here'!N352</f>
        <v>0</v>
      </c>
      <c r="J352" s="1">
        <f>'Paste cell here'!O352</f>
        <v>0</v>
      </c>
      <c r="K352" s="1">
        <f>'Paste cell here'!Q352</f>
        <v>0</v>
      </c>
      <c r="L352" s="1">
        <f>'Paste cell here'!S352</f>
        <v>0</v>
      </c>
      <c r="M352" s="1">
        <f>'Paste cell here'!T352</f>
        <v>0</v>
      </c>
      <c r="N352" s="1">
        <f>'Paste cell here'!W352</f>
        <v>0</v>
      </c>
      <c r="O352" s="1">
        <f>'Paste cell here'!U352</f>
        <v>0</v>
      </c>
      <c r="P352" s="1">
        <f t="shared" si="28"/>
        <v>0</v>
      </c>
      <c r="Q352" s="1">
        <f>'Paste cell here'!V352</f>
        <v>0</v>
      </c>
      <c r="R352" s="1">
        <f t="shared" si="29"/>
        <v>0</v>
      </c>
      <c r="S352" s="7">
        <f>Sintesi!$C$30</f>
        <v>8.3099999999999993E-2</v>
      </c>
      <c r="T352" s="7">
        <f>Sintesi!$C$29</f>
        <v>0.229209</v>
      </c>
      <c r="U352" s="5">
        <f>O352/(Sintesi!$C$5*1000)</f>
        <v>0</v>
      </c>
      <c r="V352" s="1">
        <f t="shared" si="25"/>
        <v>0.14610899999999999</v>
      </c>
      <c r="W352" s="1">
        <v>0.67983473564729202</v>
      </c>
      <c r="X352" s="1">
        <f t="shared" si="26"/>
        <v>9.9329973390690177E-2</v>
      </c>
      <c r="Y352" s="1">
        <f t="shared" si="27"/>
        <v>0.12987902660930983</v>
      </c>
      <c r="Z352" s="1">
        <f>'Paste cellinfo here'!$B$11</f>
        <v>0.51802400000000004</v>
      </c>
    </row>
    <row r="353" spans="1:26">
      <c r="A353" s="1">
        <v>352</v>
      </c>
      <c r="B353" s="2">
        <f>DATE(Sintesi!$C$4-1,12,31)+A353</f>
        <v>44548</v>
      </c>
      <c r="C353" s="1">
        <f>'Paste cell here'!B353</f>
        <v>0</v>
      </c>
      <c r="D353" s="1">
        <f>'Paste cell here'!I353</f>
        <v>0</v>
      </c>
      <c r="E353" s="1">
        <f>'Paste cell here'!J353</f>
        <v>0</v>
      </c>
      <c r="F353" s="1">
        <f>'Paste cell here'!K353</f>
        <v>0</v>
      </c>
      <c r="G353" s="1">
        <f>'Paste cell here'!L353</f>
        <v>0</v>
      </c>
      <c r="H353" s="1">
        <f>'Paste cell here'!M353</f>
        <v>0</v>
      </c>
      <c r="I353" s="1">
        <f>'Paste cell here'!N353</f>
        <v>0</v>
      </c>
      <c r="J353" s="1">
        <f>'Paste cell here'!O353</f>
        <v>0</v>
      </c>
      <c r="K353" s="1">
        <f>'Paste cell here'!Q353</f>
        <v>0</v>
      </c>
      <c r="L353" s="1">
        <f>'Paste cell here'!S353</f>
        <v>0</v>
      </c>
      <c r="M353" s="1">
        <f>'Paste cell here'!T353</f>
        <v>0</v>
      </c>
      <c r="N353" s="1">
        <f>'Paste cell here'!W353</f>
        <v>0</v>
      </c>
      <c r="O353" s="1">
        <f>'Paste cell here'!U353</f>
        <v>0</v>
      </c>
      <c r="P353" s="1">
        <f t="shared" si="28"/>
        <v>0</v>
      </c>
      <c r="Q353" s="1">
        <f>'Paste cell here'!V353</f>
        <v>0</v>
      </c>
      <c r="R353" s="1">
        <f t="shared" si="29"/>
        <v>0</v>
      </c>
      <c r="S353" s="7">
        <f>Sintesi!$C$30</f>
        <v>8.3099999999999993E-2</v>
      </c>
      <c r="T353" s="7">
        <f>Sintesi!$C$29</f>
        <v>0.229209</v>
      </c>
      <c r="U353" s="5">
        <f>O353/(Sintesi!$C$5*1000)</f>
        <v>0</v>
      </c>
      <c r="V353" s="1">
        <f t="shared" si="25"/>
        <v>0.14610899999999999</v>
      </c>
      <c r="W353" s="1">
        <v>0.674481495928693</v>
      </c>
      <c r="X353" s="1">
        <f t="shared" si="26"/>
        <v>9.8547816888645404E-2</v>
      </c>
      <c r="Y353" s="1">
        <f t="shared" si="27"/>
        <v>0.13066118311135461</v>
      </c>
      <c r="Z353" s="1">
        <f>'Paste cellinfo here'!$B$11</f>
        <v>0.51802400000000004</v>
      </c>
    </row>
    <row r="354" spans="1:26">
      <c r="A354" s="1">
        <v>353</v>
      </c>
      <c r="B354" s="2">
        <f>DATE(Sintesi!$C$4-1,12,31)+A354</f>
        <v>44549</v>
      </c>
      <c r="C354" s="1">
        <f>'Paste cell here'!B354</f>
        <v>0</v>
      </c>
      <c r="D354" s="1">
        <f>'Paste cell here'!I354</f>
        <v>0</v>
      </c>
      <c r="E354" s="1">
        <f>'Paste cell here'!J354</f>
        <v>0</v>
      </c>
      <c r="F354" s="1">
        <f>'Paste cell here'!K354</f>
        <v>0</v>
      </c>
      <c r="G354" s="1">
        <f>'Paste cell here'!L354</f>
        <v>0</v>
      </c>
      <c r="H354" s="1">
        <f>'Paste cell here'!M354</f>
        <v>0</v>
      </c>
      <c r="I354" s="1">
        <f>'Paste cell here'!N354</f>
        <v>0</v>
      </c>
      <c r="J354" s="1">
        <f>'Paste cell here'!O354</f>
        <v>0</v>
      </c>
      <c r="K354" s="1">
        <f>'Paste cell here'!Q354</f>
        <v>0</v>
      </c>
      <c r="L354" s="1">
        <f>'Paste cell here'!S354</f>
        <v>0</v>
      </c>
      <c r="M354" s="1">
        <f>'Paste cell here'!T354</f>
        <v>0</v>
      </c>
      <c r="N354" s="1">
        <f>'Paste cell here'!W354</f>
        <v>0</v>
      </c>
      <c r="O354" s="1">
        <f>'Paste cell here'!U354</f>
        <v>0</v>
      </c>
      <c r="P354" s="1">
        <f t="shared" si="28"/>
        <v>0</v>
      </c>
      <c r="Q354" s="1">
        <f>'Paste cell here'!V354</f>
        <v>0</v>
      </c>
      <c r="R354" s="1">
        <f t="shared" si="29"/>
        <v>0</v>
      </c>
      <c r="S354" s="7">
        <f>Sintesi!$C$30</f>
        <v>8.3099999999999993E-2</v>
      </c>
      <c r="T354" s="7">
        <f>Sintesi!$C$29</f>
        <v>0.229209</v>
      </c>
      <c r="U354" s="5">
        <f>O354/(Sintesi!$C$5*1000)</f>
        <v>0</v>
      </c>
      <c r="V354" s="1">
        <f t="shared" si="25"/>
        <v>0.14610899999999999</v>
      </c>
      <c r="W354" s="1">
        <v>0.68273124229005999</v>
      </c>
      <c r="X354" s="1">
        <f t="shared" si="26"/>
        <v>9.9753179079758364E-2</v>
      </c>
      <c r="Y354" s="1">
        <f t="shared" si="27"/>
        <v>0.12945582092024163</v>
      </c>
      <c r="Z354" s="1">
        <f>'Paste cellinfo here'!$B$11</f>
        <v>0.51802400000000004</v>
      </c>
    </row>
    <row r="355" spans="1:26">
      <c r="A355" s="1">
        <v>354</v>
      </c>
      <c r="B355" s="2">
        <f>DATE(Sintesi!$C$4-1,12,31)+A355</f>
        <v>44550</v>
      </c>
      <c r="C355" s="1">
        <f>'Paste cell here'!B355</f>
        <v>0</v>
      </c>
      <c r="D355" s="1">
        <f>'Paste cell here'!I355</f>
        <v>0</v>
      </c>
      <c r="E355" s="1">
        <f>'Paste cell here'!J355</f>
        <v>0</v>
      </c>
      <c r="F355" s="1">
        <f>'Paste cell here'!K355</f>
        <v>0</v>
      </c>
      <c r="G355" s="1">
        <f>'Paste cell here'!L355</f>
        <v>0</v>
      </c>
      <c r="H355" s="1">
        <f>'Paste cell here'!M355</f>
        <v>0</v>
      </c>
      <c r="I355" s="1">
        <f>'Paste cell here'!N355</f>
        <v>0</v>
      </c>
      <c r="J355" s="1">
        <f>'Paste cell here'!O355</f>
        <v>0</v>
      </c>
      <c r="K355" s="1">
        <f>'Paste cell here'!Q355</f>
        <v>0</v>
      </c>
      <c r="L355" s="1">
        <f>'Paste cell here'!S355</f>
        <v>0</v>
      </c>
      <c r="M355" s="1">
        <f>'Paste cell here'!T355</f>
        <v>0</v>
      </c>
      <c r="N355" s="1">
        <f>'Paste cell here'!W355</f>
        <v>0</v>
      </c>
      <c r="O355" s="1">
        <f>'Paste cell here'!U355</f>
        <v>0</v>
      </c>
      <c r="P355" s="1">
        <f t="shared" si="28"/>
        <v>0</v>
      </c>
      <c r="Q355" s="1">
        <f>'Paste cell here'!V355</f>
        <v>0</v>
      </c>
      <c r="R355" s="1">
        <f t="shared" si="29"/>
        <v>0</v>
      </c>
      <c r="S355" s="7">
        <f>Sintesi!$C$30</f>
        <v>8.3099999999999993E-2</v>
      </c>
      <c r="T355" s="7">
        <f>Sintesi!$C$29</f>
        <v>0.229209</v>
      </c>
      <c r="U355" s="5">
        <f>O355/(Sintesi!$C$5*1000)</f>
        <v>0</v>
      </c>
      <c r="V355" s="1">
        <f t="shared" si="25"/>
        <v>0.14610899999999999</v>
      </c>
      <c r="W355" s="1">
        <v>0.68170378803830201</v>
      </c>
      <c r="X355" s="1">
        <f t="shared" si="26"/>
        <v>9.9603058766488256E-2</v>
      </c>
      <c r="Y355" s="1">
        <f t="shared" si="27"/>
        <v>0.12960594123351174</v>
      </c>
      <c r="Z355" s="1">
        <f>'Paste cellinfo here'!$B$11</f>
        <v>0.51802400000000004</v>
      </c>
    </row>
    <row r="356" spans="1:26">
      <c r="A356" s="1">
        <v>355</v>
      </c>
      <c r="B356" s="2">
        <f>DATE(Sintesi!$C$4-1,12,31)+A356</f>
        <v>44551</v>
      </c>
      <c r="C356" s="1">
        <f>'Paste cell here'!B356</f>
        <v>0</v>
      </c>
      <c r="D356" s="1">
        <f>'Paste cell here'!I356</f>
        <v>0</v>
      </c>
      <c r="E356" s="1">
        <f>'Paste cell here'!J356</f>
        <v>0</v>
      </c>
      <c r="F356" s="1">
        <f>'Paste cell here'!K356</f>
        <v>0</v>
      </c>
      <c r="G356" s="1">
        <f>'Paste cell here'!L356</f>
        <v>0</v>
      </c>
      <c r="H356" s="1">
        <f>'Paste cell here'!M356</f>
        <v>0</v>
      </c>
      <c r="I356" s="1">
        <f>'Paste cell here'!N356</f>
        <v>0</v>
      </c>
      <c r="J356" s="1">
        <f>'Paste cell here'!O356</f>
        <v>0</v>
      </c>
      <c r="K356" s="1">
        <f>'Paste cell here'!Q356</f>
        <v>0</v>
      </c>
      <c r="L356" s="1">
        <f>'Paste cell here'!S356</f>
        <v>0</v>
      </c>
      <c r="M356" s="1">
        <f>'Paste cell here'!T356</f>
        <v>0</v>
      </c>
      <c r="N356" s="1">
        <f>'Paste cell here'!W356</f>
        <v>0</v>
      </c>
      <c r="O356" s="1">
        <f>'Paste cell here'!U356</f>
        <v>0</v>
      </c>
      <c r="P356" s="1">
        <f t="shared" si="28"/>
        <v>0</v>
      </c>
      <c r="Q356" s="1">
        <f>'Paste cell here'!V356</f>
        <v>0</v>
      </c>
      <c r="R356" s="1">
        <f t="shared" si="29"/>
        <v>0</v>
      </c>
      <c r="S356" s="7">
        <f>Sintesi!$C$30</f>
        <v>8.3099999999999993E-2</v>
      </c>
      <c r="T356" s="7">
        <f>Sintesi!$C$29</f>
        <v>0.229209</v>
      </c>
      <c r="U356" s="5">
        <f>O356/(Sintesi!$C$5*1000)</f>
        <v>0</v>
      </c>
      <c r="V356" s="1">
        <f t="shared" si="25"/>
        <v>0.14610899999999999</v>
      </c>
      <c r="W356" s="1">
        <v>0.67988763442774702</v>
      </c>
      <c r="X356" s="1">
        <f t="shared" si="26"/>
        <v>9.9337702378603676E-2</v>
      </c>
      <c r="Y356" s="1">
        <f t="shared" si="27"/>
        <v>0.12987129762139632</v>
      </c>
      <c r="Z356" s="1">
        <f>'Paste cellinfo here'!$B$11</f>
        <v>0.51802400000000004</v>
      </c>
    </row>
    <row r="357" spans="1:26">
      <c r="A357" s="1">
        <v>356</v>
      </c>
      <c r="B357" s="2">
        <f>DATE(Sintesi!$C$4-1,12,31)+A357</f>
        <v>44552</v>
      </c>
      <c r="C357" s="1">
        <f>'Paste cell here'!B357</f>
        <v>0</v>
      </c>
      <c r="D357" s="1">
        <f>'Paste cell here'!I357</f>
        <v>0</v>
      </c>
      <c r="E357" s="1">
        <f>'Paste cell here'!J357</f>
        <v>0</v>
      </c>
      <c r="F357" s="1">
        <f>'Paste cell here'!K357</f>
        <v>0</v>
      </c>
      <c r="G357" s="1">
        <f>'Paste cell here'!L357</f>
        <v>0</v>
      </c>
      <c r="H357" s="1">
        <f>'Paste cell here'!M357</f>
        <v>0</v>
      </c>
      <c r="I357" s="1">
        <f>'Paste cell here'!N357</f>
        <v>0</v>
      </c>
      <c r="J357" s="1">
        <f>'Paste cell here'!O357</f>
        <v>0</v>
      </c>
      <c r="K357" s="1">
        <f>'Paste cell here'!Q357</f>
        <v>0</v>
      </c>
      <c r="L357" s="1">
        <f>'Paste cell here'!S357</f>
        <v>0</v>
      </c>
      <c r="M357" s="1">
        <f>'Paste cell here'!T357</f>
        <v>0</v>
      </c>
      <c r="N357" s="1">
        <f>'Paste cell here'!W357</f>
        <v>0</v>
      </c>
      <c r="O357" s="1">
        <f>'Paste cell here'!U357</f>
        <v>0</v>
      </c>
      <c r="P357" s="1">
        <f t="shared" si="28"/>
        <v>0</v>
      </c>
      <c r="Q357" s="1">
        <f>'Paste cell here'!V357</f>
        <v>0</v>
      </c>
      <c r="R357" s="1">
        <f t="shared" si="29"/>
        <v>0</v>
      </c>
      <c r="S357" s="7">
        <f>Sintesi!$C$30</f>
        <v>8.3099999999999993E-2</v>
      </c>
      <c r="T357" s="7">
        <f>Sintesi!$C$29</f>
        <v>0.229209</v>
      </c>
      <c r="U357" s="5">
        <f>O357/(Sintesi!$C$5*1000)</f>
        <v>0</v>
      </c>
      <c r="V357" s="1">
        <f t="shared" si="25"/>
        <v>0.14610899999999999</v>
      </c>
      <c r="W357" s="1">
        <v>0.67967703929663204</v>
      </c>
      <c r="X357" s="1">
        <f t="shared" si="26"/>
        <v>9.9306932534591608E-2</v>
      </c>
      <c r="Y357" s="1">
        <f t="shared" si="27"/>
        <v>0.12990206746540839</v>
      </c>
      <c r="Z357" s="1">
        <f>'Paste cellinfo here'!$B$11</f>
        <v>0.51802400000000004</v>
      </c>
    </row>
    <row r="358" spans="1:26">
      <c r="A358" s="1">
        <v>357</v>
      </c>
      <c r="B358" s="2">
        <f>DATE(Sintesi!$C$4-1,12,31)+A358</f>
        <v>44553</v>
      </c>
      <c r="C358" s="1">
        <f>'Paste cell here'!B358</f>
        <v>0</v>
      </c>
      <c r="D358" s="1">
        <f>'Paste cell here'!I358</f>
        <v>0</v>
      </c>
      <c r="E358" s="1">
        <f>'Paste cell here'!J358</f>
        <v>0</v>
      </c>
      <c r="F358" s="1">
        <f>'Paste cell here'!K358</f>
        <v>0</v>
      </c>
      <c r="G358" s="1">
        <f>'Paste cell here'!L358</f>
        <v>0</v>
      </c>
      <c r="H358" s="1">
        <f>'Paste cell here'!M358</f>
        <v>0</v>
      </c>
      <c r="I358" s="1">
        <f>'Paste cell here'!N358</f>
        <v>0</v>
      </c>
      <c r="J358" s="1">
        <f>'Paste cell here'!O358</f>
        <v>0</v>
      </c>
      <c r="K358" s="1">
        <f>'Paste cell here'!Q358</f>
        <v>0</v>
      </c>
      <c r="L358" s="1">
        <f>'Paste cell here'!S358</f>
        <v>0</v>
      </c>
      <c r="M358" s="1">
        <f>'Paste cell here'!T358</f>
        <v>0</v>
      </c>
      <c r="N358" s="1">
        <f>'Paste cell here'!W358</f>
        <v>0</v>
      </c>
      <c r="O358" s="1">
        <f>'Paste cell here'!U358</f>
        <v>0</v>
      </c>
      <c r="P358" s="1">
        <f t="shared" si="28"/>
        <v>0</v>
      </c>
      <c r="Q358" s="1">
        <f>'Paste cell here'!V358</f>
        <v>0</v>
      </c>
      <c r="R358" s="1">
        <f t="shared" si="29"/>
        <v>0</v>
      </c>
      <c r="S358" s="7">
        <f>Sintesi!$C$30</f>
        <v>8.3099999999999993E-2</v>
      </c>
      <c r="T358" s="7">
        <f>Sintesi!$C$29</f>
        <v>0.229209</v>
      </c>
      <c r="U358" s="5">
        <f>O358/(Sintesi!$C$5*1000)</f>
        <v>0</v>
      </c>
      <c r="V358" s="1">
        <f t="shared" si="25"/>
        <v>0.14610899999999999</v>
      </c>
      <c r="W358" s="1">
        <v>0.67660749106312801</v>
      </c>
      <c r="X358" s="1">
        <f t="shared" si="26"/>
        <v>9.8858443911742561E-2</v>
      </c>
      <c r="Y358" s="1">
        <f t="shared" si="27"/>
        <v>0.13035055608825744</v>
      </c>
      <c r="Z358" s="1">
        <f>'Paste cellinfo here'!$B$11</f>
        <v>0.51802400000000004</v>
      </c>
    </row>
    <row r="359" spans="1:26">
      <c r="A359" s="1">
        <v>358</v>
      </c>
      <c r="B359" s="2">
        <f>DATE(Sintesi!$C$4-1,12,31)+A359</f>
        <v>44554</v>
      </c>
      <c r="C359" s="1">
        <f>'Paste cell here'!B359</f>
        <v>0</v>
      </c>
      <c r="D359" s="1">
        <f>'Paste cell here'!I359</f>
        <v>0</v>
      </c>
      <c r="E359" s="1">
        <f>'Paste cell here'!J359</f>
        <v>0</v>
      </c>
      <c r="F359" s="1">
        <f>'Paste cell here'!K359</f>
        <v>0</v>
      </c>
      <c r="G359" s="1">
        <f>'Paste cell here'!L359</f>
        <v>0</v>
      </c>
      <c r="H359" s="1">
        <f>'Paste cell here'!M359</f>
        <v>0</v>
      </c>
      <c r="I359" s="1">
        <f>'Paste cell here'!N359</f>
        <v>0</v>
      </c>
      <c r="J359" s="1">
        <f>'Paste cell here'!O359</f>
        <v>0</v>
      </c>
      <c r="K359" s="1">
        <f>'Paste cell here'!Q359</f>
        <v>0</v>
      </c>
      <c r="L359" s="1">
        <f>'Paste cell here'!S359</f>
        <v>0</v>
      </c>
      <c r="M359" s="1">
        <f>'Paste cell here'!T359</f>
        <v>0</v>
      </c>
      <c r="N359" s="1">
        <f>'Paste cell here'!W359</f>
        <v>0</v>
      </c>
      <c r="O359" s="1">
        <f>'Paste cell here'!U359</f>
        <v>0</v>
      </c>
      <c r="P359" s="1">
        <f t="shared" si="28"/>
        <v>0</v>
      </c>
      <c r="Q359" s="1">
        <f>'Paste cell here'!V359</f>
        <v>0</v>
      </c>
      <c r="R359" s="1">
        <f t="shared" si="29"/>
        <v>0</v>
      </c>
      <c r="S359" s="7">
        <f>Sintesi!$C$30</f>
        <v>8.3099999999999993E-2</v>
      </c>
      <c r="T359" s="7">
        <f>Sintesi!$C$29</f>
        <v>0.229209</v>
      </c>
      <c r="U359" s="5">
        <f>O359/(Sintesi!$C$5*1000)</f>
        <v>0</v>
      </c>
      <c r="V359" s="1">
        <f t="shared" si="25"/>
        <v>0.14610899999999999</v>
      </c>
      <c r="W359" s="1">
        <v>0.66135713259260398</v>
      </c>
      <c r="X359" s="1">
        <f t="shared" si="26"/>
        <v>9.6630229285972771E-2</v>
      </c>
      <c r="Y359" s="1">
        <f t="shared" si="27"/>
        <v>0.13257877071402724</v>
      </c>
      <c r="Z359" s="1">
        <f>'Paste cellinfo here'!$B$11</f>
        <v>0.51802400000000004</v>
      </c>
    </row>
    <row r="360" spans="1:26">
      <c r="A360" s="1">
        <v>359</v>
      </c>
      <c r="B360" s="2">
        <f>DATE(Sintesi!$C$4-1,12,31)+A360</f>
        <v>44555</v>
      </c>
      <c r="C360" s="1">
        <f>'Paste cell here'!B360</f>
        <v>0</v>
      </c>
      <c r="D360" s="1">
        <f>'Paste cell here'!I360</f>
        <v>0</v>
      </c>
      <c r="E360" s="1">
        <f>'Paste cell here'!J360</f>
        <v>0</v>
      </c>
      <c r="F360" s="1">
        <f>'Paste cell here'!K360</f>
        <v>0</v>
      </c>
      <c r="G360" s="1">
        <f>'Paste cell here'!L360</f>
        <v>0</v>
      </c>
      <c r="H360" s="1">
        <f>'Paste cell here'!M360</f>
        <v>0</v>
      </c>
      <c r="I360" s="1">
        <f>'Paste cell here'!N360</f>
        <v>0</v>
      </c>
      <c r="J360" s="1">
        <f>'Paste cell here'!O360</f>
        <v>0</v>
      </c>
      <c r="K360" s="1">
        <f>'Paste cell here'!Q360</f>
        <v>0</v>
      </c>
      <c r="L360" s="1">
        <f>'Paste cell here'!S360</f>
        <v>0</v>
      </c>
      <c r="M360" s="1">
        <f>'Paste cell here'!T360</f>
        <v>0</v>
      </c>
      <c r="N360" s="1">
        <f>'Paste cell here'!W360</f>
        <v>0</v>
      </c>
      <c r="O360" s="1">
        <f>'Paste cell here'!U360</f>
        <v>0</v>
      </c>
      <c r="P360" s="1">
        <f t="shared" si="28"/>
        <v>0</v>
      </c>
      <c r="Q360" s="1">
        <f>'Paste cell here'!V360</f>
        <v>0</v>
      </c>
      <c r="R360" s="1">
        <f t="shared" si="29"/>
        <v>0</v>
      </c>
      <c r="S360" s="7">
        <f>Sintesi!$C$30</f>
        <v>8.3099999999999993E-2</v>
      </c>
      <c r="T360" s="7">
        <f>Sintesi!$C$29</f>
        <v>0.229209</v>
      </c>
      <c r="U360" s="5">
        <f>O360/(Sintesi!$C$5*1000)</f>
        <v>0</v>
      </c>
      <c r="V360" s="1">
        <f t="shared" si="25"/>
        <v>0.14610899999999999</v>
      </c>
      <c r="W360" s="1">
        <v>0.67277949524092395</v>
      </c>
      <c r="X360" s="1">
        <f t="shared" si="26"/>
        <v>9.8299139270156155E-2</v>
      </c>
      <c r="Y360" s="1">
        <f t="shared" si="27"/>
        <v>0.13090986072984384</v>
      </c>
      <c r="Z360" s="1">
        <f>'Paste cellinfo here'!$B$11</f>
        <v>0.51802400000000004</v>
      </c>
    </row>
    <row r="361" spans="1:26">
      <c r="A361" s="1">
        <v>360</v>
      </c>
      <c r="B361" s="2">
        <f>DATE(Sintesi!$C$4-1,12,31)+A361</f>
        <v>44556</v>
      </c>
      <c r="C361" s="1">
        <f>'Paste cell here'!B361</f>
        <v>0</v>
      </c>
      <c r="D361" s="1">
        <f>'Paste cell here'!I361</f>
        <v>0</v>
      </c>
      <c r="E361" s="1">
        <f>'Paste cell here'!J361</f>
        <v>0</v>
      </c>
      <c r="F361" s="1">
        <f>'Paste cell here'!K361</f>
        <v>0</v>
      </c>
      <c r="G361" s="1">
        <f>'Paste cell here'!L361</f>
        <v>0</v>
      </c>
      <c r="H361" s="1">
        <f>'Paste cell here'!M361</f>
        <v>0</v>
      </c>
      <c r="I361" s="1">
        <f>'Paste cell here'!N361</f>
        <v>0</v>
      </c>
      <c r="J361" s="1">
        <f>'Paste cell here'!O361</f>
        <v>0</v>
      </c>
      <c r="K361" s="1">
        <f>'Paste cell here'!Q361</f>
        <v>0</v>
      </c>
      <c r="L361" s="1">
        <f>'Paste cell here'!S361</f>
        <v>0</v>
      </c>
      <c r="M361" s="1">
        <f>'Paste cell here'!T361</f>
        <v>0</v>
      </c>
      <c r="N361" s="1">
        <f>'Paste cell here'!W361</f>
        <v>0</v>
      </c>
      <c r="O361" s="1">
        <f>'Paste cell here'!U361</f>
        <v>0</v>
      </c>
      <c r="P361" s="1">
        <f t="shared" si="28"/>
        <v>0</v>
      </c>
      <c r="Q361" s="1">
        <f>'Paste cell here'!V361</f>
        <v>0</v>
      </c>
      <c r="R361" s="1">
        <f t="shared" si="29"/>
        <v>0</v>
      </c>
      <c r="S361" s="7">
        <f>Sintesi!$C$30</f>
        <v>8.3099999999999993E-2</v>
      </c>
      <c r="T361" s="7">
        <f>Sintesi!$C$29</f>
        <v>0.229209</v>
      </c>
      <c r="U361" s="5">
        <f>O361/(Sintesi!$C$5*1000)</f>
        <v>0</v>
      </c>
      <c r="V361" s="1">
        <f t="shared" si="25"/>
        <v>0.14610899999999999</v>
      </c>
      <c r="W361" s="1">
        <v>0.67800097291641204</v>
      </c>
      <c r="X361" s="1">
        <f t="shared" si="26"/>
        <v>9.9062044151844039E-2</v>
      </c>
      <c r="Y361" s="1">
        <f t="shared" si="27"/>
        <v>0.13014695584815594</v>
      </c>
      <c r="Z361" s="1">
        <f>'Paste cellinfo here'!$B$11</f>
        <v>0.51802400000000004</v>
      </c>
    </row>
    <row r="362" spans="1:26">
      <c r="A362" s="1">
        <v>361</v>
      </c>
      <c r="B362" s="2">
        <f>DATE(Sintesi!$C$4-1,12,31)+A362</f>
        <v>44557</v>
      </c>
      <c r="C362" s="1">
        <f>'Paste cell here'!B362</f>
        <v>0</v>
      </c>
      <c r="D362" s="1">
        <f>'Paste cell here'!I362</f>
        <v>0</v>
      </c>
      <c r="E362" s="1">
        <f>'Paste cell here'!J362</f>
        <v>0</v>
      </c>
      <c r="F362" s="1">
        <f>'Paste cell here'!K362</f>
        <v>0</v>
      </c>
      <c r="G362" s="1">
        <f>'Paste cell here'!L362</f>
        <v>0</v>
      </c>
      <c r="H362" s="1">
        <f>'Paste cell here'!M362</f>
        <v>0</v>
      </c>
      <c r="I362" s="1">
        <f>'Paste cell here'!N362</f>
        <v>0</v>
      </c>
      <c r="J362" s="1">
        <f>'Paste cell here'!O362</f>
        <v>0</v>
      </c>
      <c r="K362" s="1">
        <f>'Paste cell here'!Q362</f>
        <v>0</v>
      </c>
      <c r="L362" s="1">
        <f>'Paste cell here'!S362</f>
        <v>0</v>
      </c>
      <c r="M362" s="1">
        <f>'Paste cell here'!T362</f>
        <v>0</v>
      </c>
      <c r="N362" s="1">
        <f>'Paste cell here'!W362</f>
        <v>0</v>
      </c>
      <c r="O362" s="1">
        <f>'Paste cell here'!U362</f>
        <v>0</v>
      </c>
      <c r="P362" s="1">
        <f t="shared" si="28"/>
        <v>0</v>
      </c>
      <c r="Q362" s="1">
        <f>'Paste cell here'!V362</f>
        <v>0</v>
      </c>
      <c r="R362" s="1">
        <f t="shared" si="29"/>
        <v>0</v>
      </c>
      <c r="S362" s="7">
        <f>Sintesi!$C$30</f>
        <v>8.3099999999999993E-2</v>
      </c>
      <c r="T362" s="7">
        <f>Sintesi!$C$29</f>
        <v>0.229209</v>
      </c>
      <c r="U362" s="5">
        <f>O362/(Sintesi!$C$5*1000)</f>
        <v>0</v>
      </c>
      <c r="V362" s="1">
        <f t="shared" si="25"/>
        <v>0.14610899999999999</v>
      </c>
      <c r="W362" s="1">
        <v>0.67596994196929205</v>
      </c>
      <c r="X362" s="1">
        <f t="shared" si="26"/>
        <v>9.8765292251191281E-2</v>
      </c>
      <c r="Y362" s="1">
        <f t="shared" si="27"/>
        <v>0.1304437077488087</v>
      </c>
      <c r="Z362" s="1">
        <f>'Paste cellinfo here'!$B$11</f>
        <v>0.51802400000000004</v>
      </c>
    </row>
    <row r="363" spans="1:26">
      <c r="A363" s="1">
        <v>362</v>
      </c>
      <c r="B363" s="2">
        <f>DATE(Sintesi!$C$4-1,12,31)+A363</f>
        <v>44558</v>
      </c>
      <c r="C363" s="1">
        <f>'Paste cell here'!B363</f>
        <v>0</v>
      </c>
      <c r="D363" s="1">
        <f>'Paste cell here'!I363</f>
        <v>0</v>
      </c>
      <c r="E363" s="1">
        <f>'Paste cell here'!J363</f>
        <v>0</v>
      </c>
      <c r="F363" s="1">
        <f>'Paste cell here'!K363</f>
        <v>0</v>
      </c>
      <c r="G363" s="1">
        <f>'Paste cell here'!L363</f>
        <v>0</v>
      </c>
      <c r="H363" s="1">
        <f>'Paste cell here'!M363</f>
        <v>0</v>
      </c>
      <c r="I363" s="1">
        <f>'Paste cell here'!N363</f>
        <v>0</v>
      </c>
      <c r="J363" s="1">
        <f>'Paste cell here'!O363</f>
        <v>0</v>
      </c>
      <c r="K363" s="1">
        <f>'Paste cell here'!Q363</f>
        <v>0</v>
      </c>
      <c r="L363" s="1">
        <f>'Paste cell here'!S363</f>
        <v>0</v>
      </c>
      <c r="M363" s="1">
        <f>'Paste cell here'!T363</f>
        <v>0</v>
      </c>
      <c r="N363" s="1">
        <f>'Paste cell here'!W363</f>
        <v>0</v>
      </c>
      <c r="O363" s="1">
        <f>'Paste cell here'!U363</f>
        <v>0</v>
      </c>
      <c r="P363" s="1">
        <f t="shared" si="28"/>
        <v>0</v>
      </c>
      <c r="Q363" s="1">
        <f>'Paste cell here'!V363</f>
        <v>0</v>
      </c>
      <c r="R363" s="1">
        <f t="shared" si="29"/>
        <v>0</v>
      </c>
      <c r="S363" s="7">
        <f>Sintesi!$C$30</f>
        <v>8.3099999999999993E-2</v>
      </c>
      <c r="T363" s="7">
        <f>Sintesi!$C$29</f>
        <v>0.229209</v>
      </c>
      <c r="U363" s="5">
        <f>O363/(Sintesi!$C$5*1000)</f>
        <v>0</v>
      </c>
      <c r="V363" s="1">
        <f t="shared" si="25"/>
        <v>0.14610899999999999</v>
      </c>
      <c r="W363" s="1">
        <v>0.68314670105296704</v>
      </c>
      <c r="X363" s="1">
        <f t="shared" si="26"/>
        <v>9.9813881344147953E-2</v>
      </c>
      <c r="Y363" s="1">
        <f t="shared" si="27"/>
        <v>0.12939511865585204</v>
      </c>
      <c r="Z363" s="1">
        <f>'Paste cellinfo here'!$B$11</f>
        <v>0.51802400000000004</v>
      </c>
    </row>
    <row r="364" spans="1:26">
      <c r="A364" s="1">
        <v>363</v>
      </c>
      <c r="B364" s="2">
        <f>DATE(Sintesi!$C$4-1,12,31)+A364</f>
        <v>44559</v>
      </c>
      <c r="C364" s="1">
        <f>'Paste cell here'!B364</f>
        <v>0</v>
      </c>
      <c r="D364" s="1">
        <f>'Paste cell here'!I364</f>
        <v>0</v>
      </c>
      <c r="E364" s="1">
        <f>'Paste cell here'!J364</f>
        <v>0</v>
      </c>
      <c r="F364" s="1">
        <f>'Paste cell here'!K364</f>
        <v>0</v>
      </c>
      <c r="G364" s="1">
        <f>'Paste cell here'!L364</f>
        <v>0</v>
      </c>
      <c r="H364" s="1">
        <f>'Paste cell here'!M364</f>
        <v>0</v>
      </c>
      <c r="I364" s="1">
        <f>'Paste cell here'!N364</f>
        <v>0</v>
      </c>
      <c r="J364" s="1">
        <f>'Paste cell here'!O364</f>
        <v>0</v>
      </c>
      <c r="K364" s="1">
        <f>'Paste cell here'!Q364</f>
        <v>0</v>
      </c>
      <c r="L364" s="1">
        <f>'Paste cell here'!S364</f>
        <v>0</v>
      </c>
      <c r="M364" s="1">
        <f>'Paste cell here'!T364</f>
        <v>0</v>
      </c>
      <c r="N364" s="1">
        <f>'Paste cell here'!W364</f>
        <v>0</v>
      </c>
      <c r="O364" s="1">
        <f>'Paste cell here'!U364</f>
        <v>0</v>
      </c>
      <c r="P364" s="1">
        <f t="shared" si="28"/>
        <v>0</v>
      </c>
      <c r="Q364" s="1">
        <f>'Paste cell here'!V364</f>
        <v>0</v>
      </c>
      <c r="R364" s="1">
        <f t="shared" si="29"/>
        <v>0</v>
      </c>
      <c r="S364" s="7">
        <f>Sintesi!$C$30</f>
        <v>8.3099999999999993E-2</v>
      </c>
      <c r="T364" s="7">
        <f>Sintesi!$C$29</f>
        <v>0.229209</v>
      </c>
      <c r="U364" s="5">
        <f>O364/(Sintesi!$C$5*1000)</f>
        <v>0</v>
      </c>
      <c r="V364" s="1">
        <f t="shared" si="25"/>
        <v>0.14610899999999999</v>
      </c>
      <c r="W364" s="1">
        <v>0.67547041796790597</v>
      </c>
      <c r="X364" s="1">
        <f t="shared" si="26"/>
        <v>9.8692307298872767E-2</v>
      </c>
      <c r="Y364" s="1">
        <f t="shared" si="27"/>
        <v>0.13051669270112723</v>
      </c>
      <c r="Z364" s="1">
        <f>'Paste cellinfo here'!$B$11</f>
        <v>0.51802400000000004</v>
      </c>
    </row>
    <row r="365" spans="1:26">
      <c r="A365" s="1">
        <v>364</v>
      </c>
      <c r="B365" s="2">
        <f>DATE(Sintesi!$C$4-1,12,31)+A365</f>
        <v>44560</v>
      </c>
      <c r="C365" s="1">
        <f>'Paste cell here'!B365</f>
        <v>0</v>
      </c>
      <c r="D365" s="1">
        <f>'Paste cell here'!I365</f>
        <v>0</v>
      </c>
      <c r="E365" s="1">
        <f>'Paste cell here'!J365</f>
        <v>0</v>
      </c>
      <c r="F365" s="1">
        <f>'Paste cell here'!K365</f>
        <v>0</v>
      </c>
      <c r="G365" s="1">
        <f>'Paste cell here'!L365</f>
        <v>0</v>
      </c>
      <c r="H365" s="1">
        <f>'Paste cell here'!M365</f>
        <v>0</v>
      </c>
      <c r="I365" s="1">
        <f>'Paste cell here'!N365</f>
        <v>0</v>
      </c>
      <c r="J365" s="1">
        <f>'Paste cell here'!O365</f>
        <v>0</v>
      </c>
      <c r="K365" s="1">
        <f>'Paste cell here'!Q365</f>
        <v>0</v>
      </c>
      <c r="L365" s="1">
        <f>'Paste cell here'!S365</f>
        <v>0</v>
      </c>
      <c r="M365" s="1">
        <f>'Paste cell here'!T365</f>
        <v>0</v>
      </c>
      <c r="N365" s="1">
        <f>'Paste cell here'!W365</f>
        <v>0</v>
      </c>
      <c r="O365" s="1">
        <f>'Paste cell here'!U365</f>
        <v>0</v>
      </c>
      <c r="P365" s="1">
        <f t="shared" si="28"/>
        <v>0</v>
      </c>
      <c r="Q365" s="1">
        <f>'Paste cell here'!V365</f>
        <v>0</v>
      </c>
      <c r="R365" s="1">
        <f t="shared" si="29"/>
        <v>0</v>
      </c>
      <c r="S365" s="7">
        <f>Sintesi!$C$30</f>
        <v>8.3099999999999993E-2</v>
      </c>
      <c r="T365" s="7">
        <f>Sintesi!$C$29</f>
        <v>0.229209</v>
      </c>
      <c r="U365" s="5">
        <f>O365/(Sintesi!$C$5*1000)</f>
        <v>0</v>
      </c>
      <c r="V365" s="1">
        <f t="shared" si="25"/>
        <v>0.14610899999999999</v>
      </c>
      <c r="W365" s="1">
        <v>0.683461882635785</v>
      </c>
      <c r="X365" s="1">
        <f t="shared" si="26"/>
        <v>9.9859932210031907E-2</v>
      </c>
      <c r="Y365" s="1">
        <f t="shared" si="27"/>
        <v>0.12934906778996808</v>
      </c>
      <c r="Z365" s="1">
        <f>'Paste cellinfo here'!$B$11</f>
        <v>0.51802400000000004</v>
      </c>
    </row>
    <row r="366" spans="1:26">
      <c r="A366" s="1">
        <v>365</v>
      </c>
      <c r="B366" s="2">
        <f>DATE(Sintesi!$C$4-1,12,31)+A366</f>
        <v>44561</v>
      </c>
      <c r="C366" s="1">
        <f>'Paste cell here'!B366</f>
        <v>0</v>
      </c>
      <c r="D366" s="1">
        <f>'Paste cell here'!I366</f>
        <v>0</v>
      </c>
      <c r="E366" s="1">
        <f>'Paste cell here'!J366</f>
        <v>0</v>
      </c>
      <c r="F366" s="1">
        <f>'Paste cell here'!K366</f>
        <v>0</v>
      </c>
      <c r="G366" s="1">
        <f>'Paste cell here'!L366</f>
        <v>0</v>
      </c>
      <c r="H366" s="1">
        <f>'Paste cell here'!M366</f>
        <v>0</v>
      </c>
      <c r="I366" s="1">
        <f>'Paste cell here'!N366</f>
        <v>0</v>
      </c>
      <c r="J366" s="1">
        <f>'Paste cell here'!O366</f>
        <v>0</v>
      </c>
      <c r="K366" s="1">
        <f>'Paste cell here'!Q366</f>
        <v>0</v>
      </c>
      <c r="L366" s="1">
        <f>'Paste cell here'!S366</f>
        <v>0</v>
      </c>
      <c r="M366" s="1">
        <f>'Paste cell here'!T366</f>
        <v>0</v>
      </c>
      <c r="N366" s="1">
        <f>'Paste cell here'!W366</f>
        <v>0</v>
      </c>
      <c r="O366" s="1">
        <f>'Paste cell here'!U366</f>
        <v>0</v>
      </c>
      <c r="P366" s="1">
        <f t="shared" si="28"/>
        <v>0</v>
      </c>
      <c r="Q366" s="1">
        <f>'Paste cell here'!V366</f>
        <v>0</v>
      </c>
      <c r="R366" s="1">
        <f t="shared" si="29"/>
        <v>0</v>
      </c>
      <c r="S366" s="7">
        <f>Sintesi!$C$30</f>
        <v>8.3099999999999993E-2</v>
      </c>
      <c r="T366" s="7">
        <f>Sintesi!$C$29</f>
        <v>0.229209</v>
      </c>
      <c r="U366" s="5">
        <f>O366/(Sintesi!$C$5*1000)</f>
        <v>0</v>
      </c>
      <c r="V366" s="1">
        <f t="shared" si="25"/>
        <v>0.14610899999999999</v>
      </c>
      <c r="W366" s="1">
        <v>0.69069380757984999</v>
      </c>
      <c r="X366" s="1">
        <f t="shared" si="26"/>
        <v>0.1009165815316843</v>
      </c>
      <c r="Y366" s="1">
        <f t="shared" si="27"/>
        <v>0.12829241846831568</v>
      </c>
      <c r="Z366" s="1">
        <f>'Paste cellinfo here'!$B$11</f>
        <v>0.51802400000000004</v>
      </c>
    </row>
    <row r="368" spans="1:26">
      <c r="D368" s="1">
        <f>D108+D124+D156+D172+D180+D188+D196+D204+D212+D220+D228+D236+D252+D260</f>
        <v>0</v>
      </c>
    </row>
    <row r="369" spans="4:4">
      <c r="D369" s="1">
        <f>D368/14</f>
        <v>0</v>
      </c>
    </row>
    <row r="370" spans="4:4">
      <c r="D370" s="4"/>
    </row>
  </sheetData>
  <conditionalFormatting sqref="R1:R366">
    <cfRule type="cellIs" dxfId="8" priority="2" stopIfTrue="1" operator="lessThan">
      <formula>0.00001</formula>
    </cfRule>
  </conditionalFormatting>
  <conditionalFormatting sqref="R3:R366">
    <cfRule type="cellIs" dxfId="7" priority="3" stopIfTrue="1" operator="lessThan">
      <formula>0.01</formula>
    </cfRule>
    <cfRule type="cellIs" dxfId="6" priority="4" operator="greaterThanOrEqual">
      <formula>0.01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8"/>
  <dimension ref="A1:T372"/>
  <sheetViews>
    <sheetView zoomScale="113" zoomScaleNormal="100" workbookViewId="0">
      <pane xSplit="2" ySplit="1" topLeftCell="C332" activePane="bottomRight" state="frozen"/>
      <selection pane="topRight" activeCell="C1" sqref="C1"/>
      <selection pane="bottomLeft" activeCell="A2" sqref="A2"/>
      <selection pane="bottomRight" activeCell="E352" sqref="E352"/>
    </sheetView>
  </sheetViews>
  <sheetFormatPr defaultColWidth="14.140625" defaultRowHeight="11.25"/>
  <cols>
    <col min="1" max="2" width="14.140625" style="1"/>
    <col min="3" max="8" width="17.140625" style="1" customWidth="1"/>
    <col min="9" max="9" width="15" style="1" customWidth="1"/>
    <col min="10" max="10" width="12" style="1" customWidth="1"/>
    <col min="11" max="11" width="9.42578125" style="1" bestFit="1" customWidth="1"/>
    <col min="12" max="13" width="9.5703125" style="1" customWidth="1"/>
    <col min="14" max="14" width="10.7109375" style="8" bestFit="1" customWidth="1"/>
    <col min="15" max="15" width="9.5703125" style="1" customWidth="1"/>
    <col min="16" max="16" width="10.5703125" style="1" bestFit="1" customWidth="1"/>
    <col min="17" max="17" width="10.7109375" style="1" bestFit="1" customWidth="1"/>
    <col min="18" max="18" width="12.5703125" style="1" bestFit="1" customWidth="1"/>
    <col min="19" max="19" width="16.85546875" style="1" bestFit="1" customWidth="1"/>
    <col min="20" max="20" width="11.140625" style="1" bestFit="1" customWidth="1"/>
    <col min="21" max="16384" width="14.140625" style="1"/>
  </cols>
  <sheetData>
    <row r="1" spans="1:20" ht="22.5">
      <c r="A1" s="3" t="s">
        <v>7</v>
      </c>
      <c r="B1" s="3" t="s">
        <v>8</v>
      </c>
      <c r="C1" s="3" t="s">
        <v>23</v>
      </c>
      <c r="D1" s="3" t="s">
        <v>39</v>
      </c>
      <c r="E1" s="3" t="s">
        <v>22</v>
      </c>
      <c r="F1" s="3" t="s">
        <v>24</v>
      </c>
      <c r="G1" s="3" t="s">
        <v>94</v>
      </c>
      <c r="H1" s="3" t="s">
        <v>18</v>
      </c>
      <c r="I1" s="9" t="s">
        <v>95</v>
      </c>
      <c r="J1" s="4" t="s">
        <v>20</v>
      </c>
      <c r="K1" s="4" t="s">
        <v>32</v>
      </c>
      <c r="L1" s="6" t="s">
        <v>33</v>
      </c>
      <c r="M1" s="6" t="s">
        <v>34</v>
      </c>
      <c r="N1" s="3" t="s">
        <v>25</v>
      </c>
      <c r="O1" s="4" t="s">
        <v>40</v>
      </c>
      <c r="P1" s="4" t="s">
        <v>41</v>
      </c>
      <c r="Q1" s="4" t="s">
        <v>42</v>
      </c>
      <c r="R1" s="4" t="s">
        <v>43</v>
      </c>
      <c r="S1" s="3" t="s">
        <v>26</v>
      </c>
      <c r="T1" s="4" t="s">
        <v>44</v>
      </c>
    </row>
    <row r="2" spans="1:20">
      <c r="A2" s="1">
        <v>1</v>
      </c>
      <c r="B2" s="2">
        <f>DATE(Sintesi!$C$4-1,12,31)+A2</f>
        <v>44197</v>
      </c>
      <c r="C2" s="1">
        <f>'Paste cell here'!T2</f>
        <v>3.1797259210000002</v>
      </c>
      <c r="D2" s="1">
        <f>'Paste cell here'!AC2</f>
        <v>0</v>
      </c>
      <c r="E2" s="1">
        <f>'Paste cell here'!Y2</f>
        <v>0</v>
      </c>
      <c r="F2" s="1">
        <f>'Paste cell here'!AD2</f>
        <v>0.21086889</v>
      </c>
      <c r="G2" s="1">
        <f>'Paste cell here'!W2</f>
        <v>0</v>
      </c>
      <c r="H2" s="1">
        <f>'Paste cell here'!AE2</f>
        <v>180.26525699999999</v>
      </c>
      <c r="I2" s="1">
        <f>'Paste cell here'!AF2</f>
        <v>177.29640000000001</v>
      </c>
      <c r="J2" s="1">
        <f t="shared" ref="J2:J65" si="0">ABS(I2+C2+D2-E2-F2-G2-H2)</f>
        <v>3.1000013223092537E-8</v>
      </c>
      <c r="K2" s="1" t="str">
        <f>IF('Bilancio primo strato'!D2&gt;0,1,"")</f>
        <v/>
      </c>
      <c r="L2" s="7">
        <f>Sintesi!$C$34</f>
        <v>9.0200000000000002E-2</v>
      </c>
      <c r="M2" s="7">
        <f>Sintesi!$C$33</f>
        <v>0.196996</v>
      </c>
      <c r="N2" s="1">
        <f>'Paste cell here'!AA2</f>
        <v>0.9</v>
      </c>
      <c r="O2" s="1">
        <f>'Paste cell here'!H2</f>
        <v>0.69999999599999996</v>
      </c>
      <c r="P2" s="1">
        <f t="shared" ref="P2:P65" si="1">(M2-L2)*N2*1000</f>
        <v>96.116399999999999</v>
      </c>
      <c r="Q2" s="1">
        <f>P2*O2</f>
        <v>67.281479615534394</v>
      </c>
      <c r="R2" s="1">
        <f>M2*N2*1000-Q2</f>
        <v>110.01492038446564</v>
      </c>
      <c r="S2" s="5">
        <f>H2/($N2*1000)</f>
        <v>0.20029472999999998</v>
      </c>
      <c r="T2" s="5">
        <f>R2/($N2*1000)</f>
        <v>0.12223880042718405</v>
      </c>
    </row>
    <row r="3" spans="1:20">
      <c r="A3" s="1">
        <v>2</v>
      </c>
      <c r="B3" s="2">
        <f>DATE(Sintesi!$C$4-1,12,31)+A3</f>
        <v>44198</v>
      </c>
      <c r="C3" s="1">
        <f>'Paste cell here'!T3</f>
        <v>12.104180210000001</v>
      </c>
      <c r="D3" s="1">
        <f>'Paste cell here'!AC3</f>
        <v>0</v>
      </c>
      <c r="E3" s="1">
        <f>'Paste cell here'!Y3</f>
        <v>0</v>
      </c>
      <c r="F3" s="1">
        <f>'Paste cell here'!AD3</f>
        <v>0.36486832499999999</v>
      </c>
      <c r="G3" s="1">
        <f>'Paste cell here'!W3</f>
        <v>0</v>
      </c>
      <c r="H3" s="1">
        <f>'Paste cell here'!AE3</f>
        <v>192.00456890000001</v>
      </c>
      <c r="I3" s="1">
        <f>'Paste cell here'!AF3</f>
        <v>180.26525699999999</v>
      </c>
      <c r="J3" s="1">
        <f t="shared" si="0"/>
        <v>1.5000011899246601E-8</v>
      </c>
      <c r="K3" s="1" t="str">
        <f>IF('Bilancio primo strato'!D3&gt;0,1,"")</f>
        <v/>
      </c>
      <c r="L3" s="7">
        <f>Sintesi!$C$34</f>
        <v>9.0200000000000002E-2</v>
      </c>
      <c r="M3" s="7">
        <f>Sintesi!$C$33</f>
        <v>0.196996</v>
      </c>
      <c r="N3" s="1">
        <f>'Paste cell here'!AA3</f>
        <v>0.9</v>
      </c>
      <c r="O3" s="1">
        <f>'Paste cell here'!H3</f>
        <v>0.68866744599999996</v>
      </c>
      <c r="P3" s="1">
        <f>(M3-L3)*N3*1000</f>
        <v>96.116399999999999</v>
      </c>
      <c r="Q3" s="1">
        <f t="shared" ref="Q3:Q65" si="2">P3*O3</f>
        <v>66.192235706714399</v>
      </c>
      <c r="R3" s="1">
        <f t="shared" ref="R3:R65" si="3">M3*N3*1000-Q3</f>
        <v>111.10416429328563</v>
      </c>
      <c r="S3" s="5">
        <f t="shared" ref="S3:S65" si="4">H3/($N3*1000)</f>
        <v>0.21333840988888889</v>
      </c>
      <c r="T3" s="5">
        <f t="shared" ref="T3:T65" si="5">R3/($N3*1000)</f>
        <v>0.12344907143698404</v>
      </c>
    </row>
    <row r="4" spans="1:20">
      <c r="A4" s="1">
        <v>3</v>
      </c>
      <c r="B4" s="2">
        <f>DATE(Sintesi!$C$4-1,12,31)+A4</f>
        <v>44199</v>
      </c>
      <c r="C4" s="1">
        <f>'Paste cell here'!T4</f>
        <v>7.1943807499999997</v>
      </c>
      <c r="D4" s="1">
        <f>'Paste cell here'!AC4</f>
        <v>0</v>
      </c>
      <c r="E4" s="1">
        <f>'Paste cell here'!Y4</f>
        <v>0</v>
      </c>
      <c r="F4" s="1">
        <f>'Paste cell here'!AD4</f>
        <v>0.67606668000000003</v>
      </c>
      <c r="G4" s="1">
        <f>'Paste cell here'!W4</f>
        <v>0</v>
      </c>
      <c r="H4" s="1">
        <f>'Paste cell here'!AE4</f>
        <v>198.52288300000001</v>
      </c>
      <c r="I4" s="1">
        <f>'Paste cell here'!AF4</f>
        <v>192.00456890000001</v>
      </c>
      <c r="J4" s="1">
        <f t="shared" si="0"/>
        <v>2.9999995376783772E-8</v>
      </c>
      <c r="K4" s="1" t="str">
        <f>IF('Bilancio primo strato'!D4&gt;0,1,"")</f>
        <v/>
      </c>
      <c r="L4" s="7">
        <f>Sintesi!$C$34</f>
        <v>9.0200000000000002E-2</v>
      </c>
      <c r="M4" s="7">
        <f>Sintesi!$C$33</f>
        <v>0.196996</v>
      </c>
      <c r="N4" s="1">
        <f>'Paste cell here'!AA4</f>
        <v>0.9</v>
      </c>
      <c r="O4" s="1">
        <f>'Paste cell here'!H4</f>
        <v>0.68780485499999999</v>
      </c>
      <c r="P4" s="1">
        <f t="shared" si="1"/>
        <v>96.116399999999999</v>
      </c>
      <c r="Q4" s="1">
        <f t="shared" si="2"/>
        <v>66.109326565122004</v>
      </c>
      <c r="R4" s="1">
        <f t="shared" si="3"/>
        <v>111.18707343487803</v>
      </c>
      <c r="S4" s="5">
        <f t="shared" si="4"/>
        <v>0.22058098111111113</v>
      </c>
      <c r="T4" s="5">
        <f t="shared" si="5"/>
        <v>0.12354119270542004</v>
      </c>
    </row>
    <row r="5" spans="1:20">
      <c r="A5" s="1">
        <v>4</v>
      </c>
      <c r="B5" s="2">
        <f>DATE(Sintesi!$C$4-1,12,31)+A5</f>
        <v>44200</v>
      </c>
      <c r="C5" s="1">
        <f>'Paste cell here'!T5</f>
        <v>5.5225036650000003</v>
      </c>
      <c r="D5" s="1">
        <f>'Paste cell here'!AC5</f>
        <v>0</v>
      </c>
      <c r="E5" s="1">
        <f>'Paste cell here'!Y5</f>
        <v>0</v>
      </c>
      <c r="F5" s="1">
        <f>'Paste cell here'!AD5</f>
        <v>0.90791603600000004</v>
      </c>
      <c r="G5" s="1">
        <f>'Paste cell here'!W5</f>
        <v>0</v>
      </c>
      <c r="H5" s="1">
        <f>'Paste cell here'!AE5</f>
        <v>203.1374706</v>
      </c>
      <c r="I5" s="1">
        <f>'Paste cell here'!AF5</f>
        <v>198.52288300000001</v>
      </c>
      <c r="J5" s="1">
        <f t="shared" si="0"/>
        <v>2.9000005952184438E-8</v>
      </c>
      <c r="K5" s="1" t="str">
        <f>IF('Bilancio primo strato'!D5&gt;0,1,"")</f>
        <v/>
      </c>
      <c r="L5" s="7">
        <f>Sintesi!$C$34</f>
        <v>9.0200000000000002E-2</v>
      </c>
      <c r="M5" s="7">
        <f>Sintesi!$C$33</f>
        <v>0.196996</v>
      </c>
      <c r="N5" s="1">
        <f>'Paste cell here'!AA5</f>
        <v>0.9</v>
      </c>
      <c r="O5" s="1">
        <f>'Paste cell here'!H5</f>
        <v>0.68965712099999998</v>
      </c>
      <c r="P5" s="1">
        <f t="shared" si="1"/>
        <v>96.116399999999999</v>
      </c>
      <c r="Q5" s="1">
        <f t="shared" si="2"/>
        <v>66.287359704884395</v>
      </c>
      <c r="R5" s="1">
        <f t="shared" si="3"/>
        <v>111.00904029511564</v>
      </c>
      <c r="S5" s="5">
        <f t="shared" si="4"/>
        <v>0.22570830066666667</v>
      </c>
      <c r="T5" s="5">
        <f t="shared" si="5"/>
        <v>0.12334337810568405</v>
      </c>
    </row>
    <row r="6" spans="1:20">
      <c r="A6" s="1">
        <v>5</v>
      </c>
      <c r="B6" s="2">
        <f>DATE(Sintesi!$C$4-1,12,31)+A6</f>
        <v>44201</v>
      </c>
      <c r="C6" s="1">
        <f>'Paste cell here'!T6</f>
        <v>6.7961810930000004</v>
      </c>
      <c r="D6" s="1">
        <f>'Paste cell here'!AC6</f>
        <v>0</v>
      </c>
      <c r="E6" s="1">
        <f>'Paste cell here'!Y6</f>
        <v>0</v>
      </c>
      <c r="F6" s="1">
        <f>'Paste cell here'!AD6</f>
        <v>1.2173893490000001</v>
      </c>
      <c r="G6" s="1">
        <f>'Paste cell here'!W6</f>
        <v>0</v>
      </c>
      <c r="H6" s="1">
        <f>'Paste cell here'!AE6</f>
        <v>208.71626240000001</v>
      </c>
      <c r="I6" s="1">
        <f>'Paste cell here'!AF6</f>
        <v>203.1374706</v>
      </c>
      <c r="J6" s="1">
        <f t="shared" si="0"/>
        <v>5.6000004633460776E-8</v>
      </c>
      <c r="K6" s="1" t="str">
        <f>IF('Bilancio primo strato'!D6&gt;0,1,"")</f>
        <v/>
      </c>
      <c r="L6" s="7">
        <f>Sintesi!$C$34</f>
        <v>9.0200000000000002E-2</v>
      </c>
      <c r="M6" s="7">
        <f>Sintesi!$C$33</f>
        <v>0.196996</v>
      </c>
      <c r="N6" s="1">
        <f>'Paste cell here'!AA6</f>
        <v>0.9</v>
      </c>
      <c r="O6" s="1">
        <f>'Paste cell here'!H6</f>
        <v>0.68877461100000004</v>
      </c>
      <c r="P6" s="1">
        <f t="shared" si="1"/>
        <v>96.116399999999999</v>
      </c>
      <c r="Q6" s="1">
        <f t="shared" si="2"/>
        <v>66.202536020720402</v>
      </c>
      <c r="R6" s="1">
        <f t="shared" si="3"/>
        <v>111.09386397927963</v>
      </c>
      <c r="S6" s="5">
        <f t="shared" si="4"/>
        <v>0.23190695822222224</v>
      </c>
      <c r="T6" s="5">
        <f t="shared" si="5"/>
        <v>0.12343762664364404</v>
      </c>
    </row>
    <row r="7" spans="1:20">
      <c r="A7" s="1">
        <v>6</v>
      </c>
      <c r="B7" s="2">
        <f>DATE(Sintesi!$C$4-1,12,31)+A7</f>
        <v>44202</v>
      </c>
      <c r="C7" s="1">
        <f>'Paste cell here'!T7</f>
        <v>3.8009933330000001</v>
      </c>
      <c r="D7" s="1">
        <f>'Paste cell here'!AC7</f>
        <v>0</v>
      </c>
      <c r="E7" s="1">
        <f>'Paste cell here'!Y7</f>
        <v>0</v>
      </c>
      <c r="F7" s="1">
        <f>'Paste cell here'!AD7</f>
        <v>1.549675688</v>
      </c>
      <c r="G7" s="1">
        <f>'Paste cell here'!W7</f>
        <v>0</v>
      </c>
      <c r="H7" s="1">
        <f>'Paste cell here'!AE7</f>
        <v>210.96758</v>
      </c>
      <c r="I7" s="1">
        <f>'Paste cell here'!AF7</f>
        <v>208.71626240000001</v>
      </c>
      <c r="J7" s="1">
        <f t="shared" si="0"/>
        <v>4.5000007276030374E-8</v>
      </c>
      <c r="K7" s="1" t="str">
        <f>IF('Bilancio primo strato'!D7&gt;0,1,"")</f>
        <v/>
      </c>
      <c r="L7" s="7">
        <f>Sintesi!$C$34</f>
        <v>9.0200000000000002E-2</v>
      </c>
      <c r="M7" s="7">
        <f>Sintesi!$C$33</f>
        <v>0.196996</v>
      </c>
      <c r="N7" s="1">
        <f>'Paste cell here'!AA7</f>
        <v>0.9</v>
      </c>
      <c r="O7" s="1">
        <f>'Paste cell here'!H7</f>
        <v>0.68413463900000004</v>
      </c>
      <c r="P7" s="1">
        <f t="shared" si="1"/>
        <v>96.116399999999999</v>
      </c>
      <c r="Q7" s="1">
        <f t="shared" si="2"/>
        <v>65.7565586159796</v>
      </c>
      <c r="R7" s="1">
        <f t="shared" si="3"/>
        <v>111.53984138402043</v>
      </c>
      <c r="S7" s="5">
        <f t="shared" si="4"/>
        <v>0.23440842222222222</v>
      </c>
      <c r="T7" s="5">
        <f t="shared" si="5"/>
        <v>0.12393315709335603</v>
      </c>
    </row>
    <row r="8" spans="1:20">
      <c r="A8" s="1">
        <v>7</v>
      </c>
      <c r="B8" s="2">
        <f>DATE(Sintesi!$C$4-1,12,31)+A8</f>
        <v>44203</v>
      </c>
      <c r="C8" s="1">
        <f>'Paste cell here'!T8</f>
        <v>1.4983005899999999</v>
      </c>
      <c r="D8" s="1">
        <f>'Paste cell here'!AC8</f>
        <v>0</v>
      </c>
      <c r="E8" s="1">
        <f>'Paste cell here'!Y8</f>
        <v>0</v>
      </c>
      <c r="F8" s="1">
        <f>'Paste cell here'!AD8</f>
        <v>1.6163220920000001</v>
      </c>
      <c r="G8" s="1">
        <f>'Paste cell here'!W8</f>
        <v>0</v>
      </c>
      <c r="H8" s="1">
        <f>'Paste cell here'!AE8</f>
        <v>210.8495585</v>
      </c>
      <c r="I8" s="1">
        <f>'Paste cell here'!AF8</f>
        <v>210.96758</v>
      </c>
      <c r="J8" s="1">
        <f t="shared" si="0"/>
        <v>1.9999788491986692E-9</v>
      </c>
      <c r="K8" s="1" t="str">
        <f>IF('Bilancio primo strato'!D8&gt;0,1,"")</f>
        <v/>
      </c>
      <c r="L8" s="7">
        <f>Sintesi!$C$34</f>
        <v>9.0200000000000002E-2</v>
      </c>
      <c r="M8" s="7">
        <f>Sintesi!$C$33</f>
        <v>0.196996</v>
      </c>
      <c r="N8" s="1">
        <f>'Paste cell here'!AA8</f>
        <v>0.9</v>
      </c>
      <c r="O8" s="1">
        <f>'Paste cell here'!H8</f>
        <v>0.686749265</v>
      </c>
      <c r="P8" s="1">
        <f t="shared" si="1"/>
        <v>96.116399999999999</v>
      </c>
      <c r="Q8" s="1">
        <f t="shared" si="2"/>
        <v>66.007867054445995</v>
      </c>
      <c r="R8" s="1">
        <f t="shared" si="3"/>
        <v>111.28853294555404</v>
      </c>
      <c r="S8" s="5">
        <f t="shared" si="4"/>
        <v>0.23427728722222221</v>
      </c>
      <c r="T8" s="5">
        <f t="shared" si="5"/>
        <v>0.12365392549506005</v>
      </c>
    </row>
    <row r="9" spans="1:20">
      <c r="A9" s="1">
        <v>8</v>
      </c>
      <c r="B9" s="2">
        <f>DATE(Sintesi!$C$4-1,12,31)+A9</f>
        <v>44204</v>
      </c>
      <c r="C9" s="1">
        <f>'Paste cell here'!T9</f>
        <v>1.1476926380000001</v>
      </c>
      <c r="D9" s="1">
        <f>'Paste cell here'!AC9</f>
        <v>0</v>
      </c>
      <c r="E9" s="1">
        <f>'Paste cell here'!Y9</f>
        <v>0</v>
      </c>
      <c r="F9" s="1">
        <f>'Paste cell here'!AD9</f>
        <v>1.5817010819999999</v>
      </c>
      <c r="G9" s="1">
        <f>'Paste cell here'!W9</f>
        <v>0</v>
      </c>
      <c r="H9" s="1">
        <f>'Paste cell here'!AE9</f>
        <v>210.41555009999999</v>
      </c>
      <c r="I9" s="1">
        <f>'Paste cell here'!AF9</f>
        <v>210.8495585</v>
      </c>
      <c r="J9" s="1">
        <f t="shared" si="0"/>
        <v>4.3999989429721609E-8</v>
      </c>
      <c r="K9" s="1" t="str">
        <f>IF('Bilancio primo strato'!D9&gt;0,1,"")</f>
        <v/>
      </c>
      <c r="L9" s="7">
        <f>Sintesi!$C$34</f>
        <v>9.0200000000000002E-2</v>
      </c>
      <c r="M9" s="7">
        <f>Sintesi!$C$33</f>
        <v>0.196996</v>
      </c>
      <c r="N9" s="1">
        <f>'Paste cell here'!AA9</f>
        <v>0.9</v>
      </c>
      <c r="O9" s="1">
        <f>'Paste cell here'!H9</f>
        <v>0.68351954000000004</v>
      </c>
      <c r="P9" s="1">
        <f t="shared" si="1"/>
        <v>96.116399999999999</v>
      </c>
      <c r="Q9" s="1">
        <f t="shared" si="2"/>
        <v>65.697437514455999</v>
      </c>
      <c r="R9" s="1">
        <f t="shared" si="3"/>
        <v>111.59896248554404</v>
      </c>
      <c r="S9" s="5">
        <f t="shared" si="4"/>
        <v>0.23379505566666667</v>
      </c>
      <c r="T9" s="5">
        <f t="shared" si="5"/>
        <v>0.12399884720616004</v>
      </c>
    </row>
    <row r="10" spans="1:20">
      <c r="A10" s="1">
        <v>9</v>
      </c>
      <c r="B10" s="2">
        <f>DATE(Sintesi!$C$4-1,12,31)+A10</f>
        <v>44205</v>
      </c>
      <c r="C10" s="1">
        <f>'Paste cell here'!T10</f>
        <v>0.94780998900000002</v>
      </c>
      <c r="D10" s="1">
        <f>'Paste cell here'!AC10</f>
        <v>0</v>
      </c>
      <c r="E10" s="1">
        <f>'Paste cell here'!Y10</f>
        <v>0</v>
      </c>
      <c r="F10" s="1">
        <f>'Paste cell here'!AD10</f>
        <v>1.5431978909999999</v>
      </c>
      <c r="G10" s="1">
        <f>'Paste cell here'!W10</f>
        <v>0</v>
      </c>
      <c r="H10" s="1">
        <f>'Paste cell here'!AE10</f>
        <v>209.8201622</v>
      </c>
      <c r="I10" s="1">
        <f>'Paste cell here'!AF10</f>
        <v>210.41555009999999</v>
      </c>
      <c r="J10" s="1">
        <f t="shared" si="0"/>
        <v>2.0000072709080996E-9</v>
      </c>
      <c r="K10" s="1" t="str">
        <f>IF('Bilancio primo strato'!D10&gt;0,1,"")</f>
        <v/>
      </c>
      <c r="L10" s="7">
        <f>Sintesi!$C$34</f>
        <v>9.0200000000000002E-2</v>
      </c>
      <c r="M10" s="7">
        <f>Sintesi!$C$33</f>
        <v>0.196996</v>
      </c>
      <c r="N10" s="1">
        <f>'Paste cell here'!AA10</f>
        <v>0.9</v>
      </c>
      <c r="O10" s="1">
        <f>'Paste cell here'!H10</f>
        <v>0.69265359699999995</v>
      </c>
      <c r="P10" s="1">
        <f t="shared" si="1"/>
        <v>96.116399999999999</v>
      </c>
      <c r="Q10" s="1">
        <f t="shared" si="2"/>
        <v>66.575370190690791</v>
      </c>
      <c r="R10" s="1">
        <f t="shared" si="3"/>
        <v>110.72102980930924</v>
      </c>
      <c r="S10" s="5">
        <f t="shared" si="4"/>
        <v>0.23313351355555556</v>
      </c>
      <c r="T10" s="5">
        <f t="shared" si="5"/>
        <v>0.12302336645478805</v>
      </c>
    </row>
    <row r="11" spans="1:20">
      <c r="A11" s="1">
        <v>10</v>
      </c>
      <c r="B11" s="2">
        <f>DATE(Sintesi!$C$4-1,12,31)+A11</f>
        <v>44206</v>
      </c>
      <c r="C11" s="1">
        <f>'Paste cell here'!T11</f>
        <v>0.57089934899999994</v>
      </c>
      <c r="D11" s="1">
        <f>'Paste cell here'!AC11</f>
        <v>0</v>
      </c>
      <c r="E11" s="1">
        <f>'Paste cell here'!Y11</f>
        <v>0</v>
      </c>
      <c r="F11" s="1">
        <f>'Paste cell here'!AD11</f>
        <v>1.47863455</v>
      </c>
      <c r="G11" s="1">
        <f>'Paste cell here'!W11</f>
        <v>0</v>
      </c>
      <c r="H11" s="1">
        <f>'Paste cell here'!AE11</f>
        <v>208.91242700000001</v>
      </c>
      <c r="I11" s="1">
        <f>'Paste cell here'!AF11</f>
        <v>209.8201622</v>
      </c>
      <c r="J11" s="1">
        <f t="shared" si="0"/>
        <v>1.000017846308765E-9</v>
      </c>
      <c r="K11" s="1" t="str">
        <f>IF('Bilancio primo strato'!D11&gt;0,1,"")</f>
        <v/>
      </c>
      <c r="L11" s="7">
        <f>Sintesi!$C$34</f>
        <v>9.0200000000000002E-2</v>
      </c>
      <c r="M11" s="7">
        <f>Sintesi!$C$33</f>
        <v>0.196996</v>
      </c>
      <c r="N11" s="1">
        <f>'Paste cell here'!AA11</f>
        <v>0.9</v>
      </c>
      <c r="O11" s="1">
        <f>'Paste cell here'!H11</f>
        <v>0.68431070800000005</v>
      </c>
      <c r="P11" s="1">
        <f t="shared" si="1"/>
        <v>96.116399999999999</v>
      </c>
      <c r="Q11" s="1">
        <f t="shared" si="2"/>
        <v>65.773481734411206</v>
      </c>
      <c r="R11" s="1">
        <f t="shared" si="3"/>
        <v>111.52291826558883</v>
      </c>
      <c r="S11" s="5">
        <f t="shared" si="4"/>
        <v>0.23212491888888889</v>
      </c>
      <c r="T11" s="5">
        <f t="shared" si="5"/>
        <v>0.12391435362843203</v>
      </c>
    </row>
    <row r="12" spans="1:20">
      <c r="A12" s="1">
        <v>11</v>
      </c>
      <c r="B12" s="2">
        <f>DATE(Sintesi!$C$4-1,12,31)+A12</f>
        <v>44207</v>
      </c>
      <c r="C12" s="1">
        <f>'Paste cell here'!T12</f>
        <v>0.38888244</v>
      </c>
      <c r="D12" s="1">
        <f>'Paste cell here'!AC12</f>
        <v>0</v>
      </c>
      <c r="E12" s="1">
        <f>'Paste cell here'!Y12</f>
        <v>0</v>
      </c>
      <c r="F12" s="1">
        <f>'Paste cell here'!AD12</f>
        <v>1.4007359850000001</v>
      </c>
      <c r="G12" s="1">
        <f>'Paste cell here'!W12</f>
        <v>0</v>
      </c>
      <c r="H12" s="1">
        <f>'Paste cell here'!AE12</f>
        <v>207.90057340000001</v>
      </c>
      <c r="I12" s="1">
        <f>'Paste cell here'!AF12</f>
        <v>208.91242700000001</v>
      </c>
      <c r="J12" s="1">
        <f t="shared" si="0"/>
        <v>5.4999986787152011E-8</v>
      </c>
      <c r="K12" s="1" t="str">
        <f>IF('Bilancio primo strato'!D12&gt;0,1,"")</f>
        <v/>
      </c>
      <c r="L12" s="7">
        <f>Sintesi!$C$34</f>
        <v>9.0200000000000002E-2</v>
      </c>
      <c r="M12" s="7">
        <f>Sintesi!$C$33</f>
        <v>0.196996</v>
      </c>
      <c r="N12" s="1">
        <f>'Paste cell here'!AA12</f>
        <v>0.9</v>
      </c>
      <c r="O12" s="1">
        <f>'Paste cell here'!H12</f>
        <v>0.68150050699999998</v>
      </c>
      <c r="P12" s="1">
        <f t="shared" si="1"/>
        <v>96.116399999999999</v>
      </c>
      <c r="Q12" s="1">
        <f t="shared" si="2"/>
        <v>65.503375331014794</v>
      </c>
      <c r="R12" s="1">
        <f t="shared" si="3"/>
        <v>111.79302466898524</v>
      </c>
      <c r="S12" s="5">
        <f t="shared" si="4"/>
        <v>0.23100063711111113</v>
      </c>
      <c r="T12" s="5">
        <f t="shared" si="5"/>
        <v>0.12421447185442805</v>
      </c>
    </row>
    <row r="13" spans="1:20">
      <c r="A13" s="1">
        <v>12</v>
      </c>
      <c r="B13" s="2">
        <f>DATE(Sintesi!$C$4-1,12,31)+A13</f>
        <v>44208</v>
      </c>
      <c r="C13" s="1">
        <f>'Paste cell here'!T13</f>
        <v>0.28550772800000002</v>
      </c>
      <c r="D13" s="1">
        <f>'Paste cell here'!AC13</f>
        <v>0</v>
      </c>
      <c r="E13" s="1">
        <f>'Paste cell here'!Y13</f>
        <v>0</v>
      </c>
      <c r="F13" s="1">
        <f>'Paste cell here'!AD13</f>
        <v>1.322582878</v>
      </c>
      <c r="G13" s="1">
        <f>'Paste cell here'!W13</f>
        <v>0</v>
      </c>
      <c r="H13" s="1">
        <f>'Paste cell here'!AE13</f>
        <v>206.8634983</v>
      </c>
      <c r="I13" s="1">
        <f>'Paste cell here'!AF13</f>
        <v>207.90057340000001</v>
      </c>
      <c r="J13" s="1">
        <f t="shared" si="0"/>
        <v>4.9999982820736477E-8</v>
      </c>
      <c r="K13" s="1" t="str">
        <f>IF('Bilancio primo strato'!D13&gt;0,1,"")</f>
        <v/>
      </c>
      <c r="L13" s="7">
        <f>Sintesi!$C$34</f>
        <v>9.0200000000000002E-2</v>
      </c>
      <c r="M13" s="7">
        <f>Sintesi!$C$33</f>
        <v>0.196996</v>
      </c>
      <c r="N13" s="1">
        <f>'Paste cell here'!AA13</f>
        <v>0.9</v>
      </c>
      <c r="O13" s="1">
        <f>'Paste cell here'!H13</f>
        <v>0.68964871999999999</v>
      </c>
      <c r="P13" s="1">
        <f t="shared" si="1"/>
        <v>96.116399999999999</v>
      </c>
      <c r="Q13" s="1">
        <f t="shared" si="2"/>
        <v>66.286552231008002</v>
      </c>
      <c r="R13" s="1">
        <f t="shared" si="3"/>
        <v>111.00984776899203</v>
      </c>
      <c r="S13" s="5">
        <f t="shared" si="4"/>
        <v>0.22984833144444444</v>
      </c>
      <c r="T13" s="5">
        <f t="shared" si="5"/>
        <v>0.12334427529888004</v>
      </c>
    </row>
    <row r="14" spans="1:20">
      <c r="A14" s="1">
        <v>13</v>
      </c>
      <c r="B14" s="2">
        <f>DATE(Sintesi!$C$4-1,12,31)+A14</f>
        <v>44209</v>
      </c>
      <c r="C14" s="1">
        <f>'Paste cell here'!T14</f>
        <v>0.19552836300000001</v>
      </c>
      <c r="D14" s="1">
        <f>'Paste cell here'!AC14</f>
        <v>0</v>
      </c>
      <c r="E14" s="1">
        <f>'Paste cell here'!Y14</f>
        <v>0</v>
      </c>
      <c r="F14" s="1">
        <f>'Paste cell here'!AD14</f>
        <v>1.2470497</v>
      </c>
      <c r="G14" s="1">
        <f>'Paste cell here'!W14</f>
        <v>0</v>
      </c>
      <c r="H14" s="1">
        <f>'Paste cell here'!AE14</f>
        <v>205.81197689999999</v>
      </c>
      <c r="I14" s="1">
        <f>'Paste cell here'!AF14</f>
        <v>206.8634983</v>
      </c>
      <c r="J14" s="1">
        <f t="shared" si="0"/>
        <v>6.3000015870784409E-8</v>
      </c>
      <c r="K14" s="1" t="str">
        <f>IF('Bilancio primo strato'!D14&gt;0,1,"")</f>
        <v/>
      </c>
      <c r="L14" s="7">
        <f>Sintesi!$C$34</f>
        <v>9.0200000000000002E-2</v>
      </c>
      <c r="M14" s="7">
        <f>Sintesi!$C$33</f>
        <v>0.196996</v>
      </c>
      <c r="N14" s="1">
        <f>'Paste cell here'!AA14</f>
        <v>0.9</v>
      </c>
      <c r="O14" s="1">
        <f>'Paste cell here'!H14</f>
        <v>0.68470619099999996</v>
      </c>
      <c r="P14" s="1">
        <f t="shared" si="1"/>
        <v>96.116399999999999</v>
      </c>
      <c r="Q14" s="1">
        <f t="shared" si="2"/>
        <v>65.81149413663239</v>
      </c>
      <c r="R14" s="1">
        <f t="shared" si="3"/>
        <v>111.48490586336764</v>
      </c>
      <c r="S14" s="5">
        <f t="shared" si="4"/>
        <v>0.22867997433333331</v>
      </c>
      <c r="T14" s="5">
        <f t="shared" si="5"/>
        <v>0.12387211762596405</v>
      </c>
    </row>
    <row r="15" spans="1:20">
      <c r="A15" s="1">
        <v>14</v>
      </c>
      <c r="B15" s="2">
        <f>DATE(Sintesi!$C$4-1,12,31)+A15</f>
        <v>44210</v>
      </c>
      <c r="C15" s="1">
        <f>'Paste cell here'!T15</f>
        <v>0.12825503399999999</v>
      </c>
      <c r="D15" s="1">
        <f>'Paste cell here'!AC15</f>
        <v>0</v>
      </c>
      <c r="E15" s="1">
        <f>'Paste cell here'!Y15</f>
        <v>0</v>
      </c>
      <c r="F15" s="1">
        <f>'Paste cell here'!AD15</f>
        <v>1.1746966089999999</v>
      </c>
      <c r="G15" s="1">
        <f>'Paste cell here'!W15</f>
        <v>0</v>
      </c>
      <c r="H15" s="1">
        <f>'Paste cell here'!AE15</f>
        <v>204.76553530000001</v>
      </c>
      <c r="I15" s="1">
        <f>'Paste cell here'!AF15</f>
        <v>205.81197689999999</v>
      </c>
      <c r="J15" s="1">
        <f t="shared" si="0"/>
        <v>2.4999991410368239E-8</v>
      </c>
      <c r="K15" s="1" t="str">
        <f>IF('Bilancio primo strato'!D15&gt;0,1,"")</f>
        <v/>
      </c>
      <c r="L15" s="7">
        <f>Sintesi!$C$34</f>
        <v>9.0200000000000002E-2</v>
      </c>
      <c r="M15" s="7">
        <f>Sintesi!$C$33</f>
        <v>0.196996</v>
      </c>
      <c r="N15" s="1">
        <f>'Paste cell here'!AA15</f>
        <v>0.9</v>
      </c>
      <c r="O15" s="1">
        <f>'Paste cell here'!H15</f>
        <v>0.67159476100000004</v>
      </c>
      <c r="P15" s="1">
        <f t="shared" si="1"/>
        <v>96.116399999999999</v>
      </c>
      <c r="Q15" s="1">
        <f t="shared" si="2"/>
        <v>64.551270686180402</v>
      </c>
      <c r="R15" s="1">
        <f t="shared" si="3"/>
        <v>112.74512931381963</v>
      </c>
      <c r="S15" s="5">
        <f t="shared" si="4"/>
        <v>0.22751726144444445</v>
      </c>
      <c r="T15" s="5">
        <f t="shared" si="5"/>
        <v>0.12527236590424404</v>
      </c>
    </row>
    <row r="16" spans="1:20">
      <c r="A16" s="1">
        <v>15</v>
      </c>
      <c r="B16" s="2">
        <f>DATE(Sintesi!$C$4-1,12,31)+A16</f>
        <v>44211</v>
      </c>
      <c r="C16" s="1">
        <f>'Paste cell here'!T16</f>
        <v>8.7300000000000003E-2</v>
      </c>
      <c r="D16" s="1">
        <f>'Paste cell here'!AC16</f>
        <v>0</v>
      </c>
      <c r="E16" s="1">
        <f>'Paste cell here'!Y16</f>
        <v>0</v>
      </c>
      <c r="F16" s="1">
        <f>'Paste cell here'!AD16</f>
        <v>1.1072213639999999</v>
      </c>
      <c r="G16" s="1">
        <f>'Paste cell here'!W16</f>
        <v>0</v>
      </c>
      <c r="H16" s="1">
        <f>'Paste cell here'!AE16</f>
        <v>203.74563499999999</v>
      </c>
      <c r="I16" s="1">
        <f>'Paste cell here'!AF16</f>
        <v>204.76553530000001</v>
      </c>
      <c r="J16" s="1">
        <f t="shared" si="0"/>
        <v>2.106399998069719E-5</v>
      </c>
      <c r="K16" s="1" t="str">
        <f>IF('Bilancio primo strato'!D16&gt;0,1,"")</f>
        <v/>
      </c>
      <c r="L16" s="7">
        <f>Sintesi!$C$34</f>
        <v>9.0200000000000002E-2</v>
      </c>
      <c r="M16" s="7">
        <f>Sintesi!$C$33</f>
        <v>0.196996</v>
      </c>
      <c r="N16" s="1">
        <f>'Paste cell here'!AA16</f>
        <v>0.9</v>
      </c>
      <c r="O16" s="1">
        <f>'Paste cell here'!H16</f>
        <v>0.67576091100000002</v>
      </c>
      <c r="P16" s="1">
        <f t="shared" si="1"/>
        <v>96.116399999999999</v>
      </c>
      <c r="Q16" s="1">
        <f t="shared" si="2"/>
        <v>64.951706026040398</v>
      </c>
      <c r="R16" s="1">
        <f t="shared" si="3"/>
        <v>112.34469397395964</v>
      </c>
      <c r="S16" s="5">
        <f t="shared" si="4"/>
        <v>0.22638403888888889</v>
      </c>
      <c r="T16" s="5">
        <f t="shared" si="5"/>
        <v>0.12482743774884404</v>
      </c>
    </row>
    <row r="17" spans="1:20">
      <c r="A17" s="1">
        <v>16</v>
      </c>
      <c r="B17" s="2">
        <f>DATE(Sintesi!$C$4-1,12,31)+A17</f>
        <v>44212</v>
      </c>
      <c r="C17" s="1">
        <f>'Paste cell here'!T17</f>
        <v>6.1800000000000001E-2</v>
      </c>
      <c r="D17" s="1">
        <f>'Paste cell here'!AC17</f>
        <v>0</v>
      </c>
      <c r="E17" s="1">
        <f>'Paste cell here'!Y17</f>
        <v>0</v>
      </c>
      <c r="F17" s="1">
        <f>'Paste cell here'!AD17</f>
        <v>1.04507331</v>
      </c>
      <c r="G17" s="1">
        <f>'Paste cell here'!W17</f>
        <v>0</v>
      </c>
      <c r="H17" s="1">
        <f>'Paste cell here'!AE17</f>
        <v>202.76234400000001</v>
      </c>
      <c r="I17" s="1">
        <f>'Paste cell here'!AF17</f>
        <v>203.74563499999999</v>
      </c>
      <c r="J17" s="1">
        <f t="shared" si="0"/>
        <v>1.76899999928537E-5</v>
      </c>
      <c r="K17" s="1" t="str">
        <f>IF('Bilancio primo strato'!D17&gt;0,1,"")</f>
        <v/>
      </c>
      <c r="L17" s="7">
        <f>Sintesi!$C$34</f>
        <v>9.0200000000000002E-2</v>
      </c>
      <c r="M17" s="7">
        <f>Sintesi!$C$33</f>
        <v>0.196996</v>
      </c>
      <c r="N17" s="1">
        <f>'Paste cell here'!AA17</f>
        <v>0.9</v>
      </c>
      <c r="O17" s="1">
        <f>'Paste cell here'!H17</f>
        <v>0.674700996</v>
      </c>
      <c r="P17" s="1">
        <f t="shared" si="1"/>
        <v>96.116399999999999</v>
      </c>
      <c r="Q17" s="1">
        <f t="shared" si="2"/>
        <v>64.849830811934396</v>
      </c>
      <c r="R17" s="1">
        <f t="shared" si="3"/>
        <v>112.44656918806564</v>
      </c>
      <c r="S17" s="5">
        <f t="shared" si="4"/>
        <v>0.22529149333333334</v>
      </c>
      <c r="T17" s="5">
        <f t="shared" si="5"/>
        <v>0.12494063243118404</v>
      </c>
    </row>
    <row r="18" spans="1:20">
      <c r="A18" s="1">
        <v>17</v>
      </c>
      <c r="B18" s="2">
        <f>DATE(Sintesi!$C$4-1,12,31)+A18</f>
        <v>44213</v>
      </c>
      <c r="C18" s="1">
        <f>'Paste cell here'!T18</f>
        <v>4.7600000000000003E-2</v>
      </c>
      <c r="D18" s="1">
        <f>'Paste cell here'!AC18</f>
        <v>0</v>
      </c>
      <c r="E18" s="1">
        <f>'Paste cell here'!Y18</f>
        <v>0</v>
      </c>
      <c r="F18" s="1">
        <f>'Paste cell here'!AD18</f>
        <v>0.98833595200000002</v>
      </c>
      <c r="G18" s="1">
        <f>'Paste cell here'!W18</f>
        <v>0</v>
      </c>
      <c r="H18" s="1">
        <f>'Paste cell here'!AE18</f>
        <v>201.8216377</v>
      </c>
      <c r="I18" s="1">
        <f>'Paste cell here'!AF18</f>
        <v>202.76234400000001</v>
      </c>
      <c r="J18" s="1">
        <f t="shared" si="0"/>
        <v>2.9651999994939615E-5</v>
      </c>
      <c r="K18" s="1" t="str">
        <f>IF('Bilancio primo strato'!D18&gt;0,1,"")</f>
        <v/>
      </c>
      <c r="L18" s="7">
        <f>Sintesi!$C$34</f>
        <v>9.0200000000000002E-2</v>
      </c>
      <c r="M18" s="7">
        <f>Sintesi!$C$33</f>
        <v>0.196996</v>
      </c>
      <c r="N18" s="1">
        <f>'Paste cell here'!AA18</f>
        <v>0.9</v>
      </c>
      <c r="O18" s="1">
        <f>'Paste cell here'!H18</f>
        <v>0.68181573299999998</v>
      </c>
      <c r="P18" s="1">
        <f t="shared" si="1"/>
        <v>96.116399999999999</v>
      </c>
      <c r="Q18" s="1">
        <f t="shared" si="2"/>
        <v>65.5336737193212</v>
      </c>
      <c r="R18" s="1">
        <f t="shared" si="3"/>
        <v>111.76272628067883</v>
      </c>
      <c r="S18" s="5">
        <f t="shared" si="4"/>
        <v>0.22424626411111112</v>
      </c>
      <c r="T18" s="5">
        <f t="shared" si="5"/>
        <v>0.12418080697853204</v>
      </c>
    </row>
    <row r="19" spans="1:20">
      <c r="A19" s="1">
        <v>18</v>
      </c>
      <c r="B19" s="2">
        <f>DATE(Sintesi!$C$4-1,12,31)+A19</f>
        <v>44214</v>
      </c>
      <c r="C19" s="1">
        <f>'Paste cell here'!T19</f>
        <v>3.9399999999999998E-2</v>
      </c>
      <c r="D19" s="1">
        <f>'Paste cell here'!AC19</f>
        <v>0</v>
      </c>
      <c r="E19" s="1">
        <f>'Paste cell here'!Y19</f>
        <v>0</v>
      </c>
      <c r="F19" s="1">
        <f>'Paste cell here'!AD19</f>
        <v>0.93670332000000001</v>
      </c>
      <c r="G19" s="1">
        <f>'Paste cell here'!W19</f>
        <v>0</v>
      </c>
      <c r="H19" s="1">
        <f>'Paste cell here'!AE19</f>
        <v>200.92433800000001</v>
      </c>
      <c r="I19" s="1">
        <f>'Paste cell here'!AF19</f>
        <v>201.8216377</v>
      </c>
      <c r="J19" s="1">
        <f t="shared" si="0"/>
        <v>3.620000001092194E-6</v>
      </c>
      <c r="K19" s="1" t="str">
        <f>IF('Bilancio primo strato'!D19&gt;0,1,"")</f>
        <v/>
      </c>
      <c r="L19" s="7">
        <f>Sintesi!$C$34</f>
        <v>9.0200000000000002E-2</v>
      </c>
      <c r="M19" s="7">
        <f>Sintesi!$C$33</f>
        <v>0.196996</v>
      </c>
      <c r="N19" s="1">
        <f>'Paste cell here'!AA19</f>
        <v>0.9</v>
      </c>
      <c r="O19" s="1">
        <f>'Paste cell here'!H19</f>
        <v>0.68710295200000004</v>
      </c>
      <c r="P19" s="1">
        <f t="shared" si="1"/>
        <v>96.116399999999999</v>
      </c>
      <c r="Q19" s="1">
        <f t="shared" si="2"/>
        <v>66.041862175612806</v>
      </c>
      <c r="R19" s="1">
        <f t="shared" si="3"/>
        <v>111.25453782438723</v>
      </c>
      <c r="S19" s="5">
        <f t="shared" si="4"/>
        <v>0.22324926444444446</v>
      </c>
      <c r="T19" s="5">
        <f t="shared" si="5"/>
        <v>0.12361615313820803</v>
      </c>
    </row>
    <row r="20" spans="1:20">
      <c r="A20" s="1">
        <v>19</v>
      </c>
      <c r="B20" s="2">
        <f>DATE(Sintesi!$C$4-1,12,31)+A20</f>
        <v>44215</v>
      </c>
      <c r="C20" s="1">
        <f>'Paste cell here'!T20</f>
        <v>4.4900000000000002E-2</v>
      </c>
      <c r="D20" s="1">
        <f>'Paste cell here'!AC20</f>
        <v>0</v>
      </c>
      <c r="E20" s="1">
        <f>'Paste cell here'!Y20</f>
        <v>0</v>
      </c>
      <c r="F20" s="1">
        <f>'Paste cell here'!AD20</f>
        <v>0.88988148099999997</v>
      </c>
      <c r="G20" s="1">
        <f>'Paste cell here'!W20</f>
        <v>0</v>
      </c>
      <c r="H20" s="1">
        <f>'Paste cell here'!AE20</f>
        <v>200.07937920000001</v>
      </c>
      <c r="I20" s="1">
        <f>'Paste cell here'!AF20</f>
        <v>200.92433800000001</v>
      </c>
      <c r="J20" s="1">
        <f t="shared" si="0"/>
        <v>2.2680999990143391E-5</v>
      </c>
      <c r="K20" s="1" t="str">
        <f>IF('Bilancio primo strato'!D20&gt;0,1,"")</f>
        <v/>
      </c>
      <c r="L20" s="7">
        <f>Sintesi!$C$34</f>
        <v>9.0200000000000002E-2</v>
      </c>
      <c r="M20" s="7">
        <f>Sintesi!$C$33</f>
        <v>0.196996</v>
      </c>
      <c r="N20" s="1">
        <f>'Paste cell here'!AA20</f>
        <v>0.9</v>
      </c>
      <c r="O20" s="1">
        <f>'Paste cell here'!H20</f>
        <v>0.69110965199999996</v>
      </c>
      <c r="P20" s="1">
        <f t="shared" si="1"/>
        <v>96.116399999999999</v>
      </c>
      <c r="Q20" s="1">
        <f t="shared" si="2"/>
        <v>66.426971755492801</v>
      </c>
      <c r="R20" s="1">
        <f t="shared" si="3"/>
        <v>110.86942824450723</v>
      </c>
      <c r="S20" s="5">
        <f t="shared" si="4"/>
        <v>0.22231042133333334</v>
      </c>
      <c r="T20" s="5">
        <f t="shared" si="5"/>
        <v>0.12318825360500804</v>
      </c>
    </row>
    <row r="21" spans="1:20">
      <c r="A21" s="1">
        <v>20</v>
      </c>
      <c r="B21" s="2">
        <f>DATE(Sintesi!$C$4-1,12,31)+A21</f>
        <v>44216</v>
      </c>
      <c r="C21" s="1">
        <f>'Paste cell here'!T21</f>
        <v>0.124570049</v>
      </c>
      <c r="D21" s="1">
        <f>'Paste cell here'!AC21</f>
        <v>0</v>
      </c>
      <c r="E21" s="1">
        <f>'Paste cell here'!Y21</f>
        <v>0</v>
      </c>
      <c r="F21" s="1">
        <f>'Paste cell here'!AD21</f>
        <v>0.84891106199999999</v>
      </c>
      <c r="G21" s="1">
        <f>'Paste cell here'!W21</f>
        <v>0</v>
      </c>
      <c r="H21" s="1">
        <f>'Paste cell here'!AE21</f>
        <v>199.3550381</v>
      </c>
      <c r="I21" s="1">
        <f>'Paste cell here'!AF21</f>
        <v>200.07937920000001</v>
      </c>
      <c r="J21" s="1">
        <f t="shared" si="0"/>
        <v>8.6999989434843883E-8</v>
      </c>
      <c r="K21" s="1" t="str">
        <f>IF('Bilancio primo strato'!D21&gt;0,1,"")</f>
        <v/>
      </c>
      <c r="L21" s="7">
        <f>Sintesi!$C$34</f>
        <v>9.0200000000000002E-2</v>
      </c>
      <c r="M21" s="7">
        <f>Sintesi!$C$33</f>
        <v>0.196996</v>
      </c>
      <c r="N21" s="1">
        <f>'Paste cell here'!AA21</f>
        <v>0.9</v>
      </c>
      <c r="O21" s="1">
        <f>'Paste cell here'!H21</f>
        <v>0.688451166</v>
      </c>
      <c r="P21" s="1">
        <f t="shared" si="1"/>
        <v>96.116399999999999</v>
      </c>
      <c r="Q21" s="1">
        <f t="shared" si="2"/>
        <v>66.171447651722403</v>
      </c>
      <c r="R21" s="1">
        <f t="shared" si="3"/>
        <v>111.12495234827763</v>
      </c>
      <c r="S21" s="5">
        <f t="shared" si="4"/>
        <v>0.22150559788888888</v>
      </c>
      <c r="T21" s="5">
        <f t="shared" si="5"/>
        <v>0.12347216927586403</v>
      </c>
    </row>
    <row r="22" spans="1:20">
      <c r="A22" s="1">
        <v>21</v>
      </c>
      <c r="B22" s="2">
        <f>DATE(Sintesi!$C$4-1,12,31)+A22</f>
        <v>44217</v>
      </c>
      <c r="C22" s="1">
        <f>'Paste cell here'!T22</f>
        <v>1.9675365730000001</v>
      </c>
      <c r="D22" s="1">
        <f>'Paste cell here'!AC22</f>
        <v>0</v>
      </c>
      <c r="E22" s="1">
        <f>'Paste cell here'!Y22</f>
        <v>0</v>
      </c>
      <c r="F22" s="1">
        <f>'Paste cell here'!AD22</f>
        <v>0.83901685400000003</v>
      </c>
      <c r="G22" s="1">
        <f>'Paste cell here'!W22</f>
        <v>0</v>
      </c>
      <c r="H22" s="1">
        <f>'Paste cell here'!AE22</f>
        <v>200.48355789999999</v>
      </c>
      <c r="I22" s="1">
        <f>'Paste cell here'!AF22</f>
        <v>199.3550381</v>
      </c>
      <c r="J22" s="1">
        <f t="shared" si="0"/>
        <v>8.0999996043829015E-8</v>
      </c>
      <c r="K22" s="1" t="str">
        <f>IF('Bilancio primo strato'!D22&gt;0,1,"")</f>
        <v/>
      </c>
      <c r="L22" s="7">
        <f>Sintesi!$C$34</f>
        <v>9.0200000000000002E-2</v>
      </c>
      <c r="M22" s="7">
        <f>Sintesi!$C$33</f>
        <v>0.196996</v>
      </c>
      <c r="N22" s="1">
        <f>'Paste cell here'!AA22</f>
        <v>0.9</v>
      </c>
      <c r="O22" s="1">
        <f>'Paste cell here'!H22</f>
        <v>0.68579928300000004</v>
      </c>
      <c r="P22" s="1">
        <f t="shared" si="1"/>
        <v>96.116399999999999</v>
      </c>
      <c r="Q22" s="1">
        <f t="shared" si="2"/>
        <v>65.916558204541204</v>
      </c>
      <c r="R22" s="1">
        <f t="shared" si="3"/>
        <v>111.37984179545883</v>
      </c>
      <c r="S22" s="5">
        <f t="shared" si="4"/>
        <v>0.22275950877777778</v>
      </c>
      <c r="T22" s="5">
        <f t="shared" si="5"/>
        <v>0.12375537977273203</v>
      </c>
    </row>
    <row r="23" spans="1:20">
      <c r="A23" s="1">
        <v>22</v>
      </c>
      <c r="B23" s="2">
        <f>DATE(Sintesi!$C$4-1,12,31)+A23</f>
        <v>44218</v>
      </c>
      <c r="C23" s="1">
        <f>'Paste cell here'!T23</f>
        <v>10.83818494</v>
      </c>
      <c r="D23" s="1">
        <f>'Paste cell here'!AC23</f>
        <v>0</v>
      </c>
      <c r="E23" s="1">
        <f>'Paste cell here'!Y23</f>
        <v>0</v>
      </c>
      <c r="F23" s="1">
        <f>'Paste cell here'!AD23</f>
        <v>1.1504660609999999</v>
      </c>
      <c r="G23" s="1">
        <f>'Paste cell here'!W23</f>
        <v>0</v>
      </c>
      <c r="H23" s="1">
        <f>'Paste cell here'!AE23</f>
        <v>210.17127669999999</v>
      </c>
      <c r="I23" s="1">
        <f>'Paste cell here'!AF23</f>
        <v>200.48355789999999</v>
      </c>
      <c r="J23" s="1">
        <f t="shared" si="0"/>
        <v>7.8999988772920915E-8</v>
      </c>
      <c r="K23" s="1" t="str">
        <f>IF('Bilancio primo strato'!D23&gt;0,1,"")</f>
        <v/>
      </c>
      <c r="L23" s="7">
        <f>Sintesi!$C$34</f>
        <v>9.0200000000000002E-2</v>
      </c>
      <c r="M23" s="7">
        <f>Sintesi!$C$33</f>
        <v>0.196996</v>
      </c>
      <c r="N23" s="1">
        <f>'Paste cell here'!AA23</f>
        <v>0.9</v>
      </c>
      <c r="O23" s="1">
        <f>'Paste cell here'!H23</f>
        <v>0.68366461599999995</v>
      </c>
      <c r="P23" s="1">
        <f t="shared" si="1"/>
        <v>96.116399999999999</v>
      </c>
      <c r="Q23" s="1">
        <f t="shared" si="2"/>
        <v>65.7113816973024</v>
      </c>
      <c r="R23" s="1">
        <f t="shared" si="3"/>
        <v>111.58501830269763</v>
      </c>
      <c r="S23" s="5">
        <f t="shared" si="4"/>
        <v>0.23352364077777776</v>
      </c>
      <c r="T23" s="5">
        <f t="shared" si="5"/>
        <v>0.12398335366966404</v>
      </c>
    </row>
    <row r="24" spans="1:20">
      <c r="A24" s="1">
        <v>23</v>
      </c>
      <c r="B24" s="2">
        <f>DATE(Sintesi!$C$4-1,12,31)+A24</f>
        <v>44219</v>
      </c>
      <c r="C24" s="1">
        <f>'Paste cell here'!T24</f>
        <v>11.261518069999999</v>
      </c>
      <c r="D24" s="1">
        <f>'Paste cell here'!AC24</f>
        <v>0</v>
      </c>
      <c r="E24" s="1">
        <f>'Paste cell here'!Y24</f>
        <v>0</v>
      </c>
      <c r="F24" s="1">
        <f>'Paste cell here'!AD24</f>
        <v>2.0357184400000001</v>
      </c>
      <c r="G24" s="1">
        <f>'Paste cell here'!W24</f>
        <v>0</v>
      </c>
      <c r="H24" s="1">
        <f>'Paste cell here'!AE24</f>
        <v>219.3970764</v>
      </c>
      <c r="I24" s="1">
        <f>'Paste cell here'!AF24</f>
        <v>210.17127669999999</v>
      </c>
      <c r="J24" s="1">
        <f t="shared" si="0"/>
        <v>7.0000027108108043E-8</v>
      </c>
      <c r="K24" s="1" t="str">
        <f>IF('Bilancio primo strato'!D24&gt;0,1,"")</f>
        <v/>
      </c>
      <c r="L24" s="7">
        <f>Sintesi!$C$34</f>
        <v>9.0200000000000002E-2</v>
      </c>
      <c r="M24" s="7">
        <f>Sintesi!$C$33</f>
        <v>0.196996</v>
      </c>
      <c r="N24" s="1">
        <f>'Paste cell here'!AA24</f>
        <v>0.9</v>
      </c>
      <c r="O24" s="1">
        <f>'Paste cell here'!H24</f>
        <v>0.68390504399999996</v>
      </c>
      <c r="P24" s="1">
        <f t="shared" si="1"/>
        <v>96.116399999999999</v>
      </c>
      <c r="Q24" s="1">
        <f t="shared" si="2"/>
        <v>65.7344907711216</v>
      </c>
      <c r="R24" s="1">
        <f t="shared" si="3"/>
        <v>111.56190922887843</v>
      </c>
      <c r="S24" s="5">
        <f t="shared" si="4"/>
        <v>0.24377452933333332</v>
      </c>
      <c r="T24" s="5">
        <f t="shared" si="5"/>
        <v>0.12395767692097603</v>
      </c>
    </row>
    <row r="25" spans="1:20">
      <c r="A25" s="1">
        <v>24</v>
      </c>
      <c r="B25" s="2">
        <f>DATE(Sintesi!$C$4-1,12,31)+A25</f>
        <v>44220</v>
      </c>
      <c r="C25" s="1">
        <f>'Paste cell here'!T25</f>
        <v>4.1080493000000002</v>
      </c>
      <c r="D25" s="1">
        <f>'Paste cell here'!AC25</f>
        <v>0</v>
      </c>
      <c r="E25" s="1">
        <f>'Paste cell here'!Y25</f>
        <v>0</v>
      </c>
      <c r="F25" s="1">
        <f>'Paste cell here'!AD25</f>
        <v>2.714225468</v>
      </c>
      <c r="G25" s="1">
        <f>'Paste cell here'!W25</f>
        <v>0</v>
      </c>
      <c r="H25" s="1">
        <f>'Paste cell here'!AE25</f>
        <v>220.79090020000001</v>
      </c>
      <c r="I25" s="1">
        <f>'Paste cell here'!AF25</f>
        <v>219.3970764</v>
      </c>
      <c r="J25" s="1">
        <f t="shared" si="0"/>
        <v>3.2000002647691872E-8</v>
      </c>
      <c r="K25" s="1" t="str">
        <f>IF('Bilancio primo strato'!D25&gt;0,1,"")</f>
        <v/>
      </c>
      <c r="L25" s="7">
        <f>Sintesi!$C$34</f>
        <v>9.0200000000000002E-2</v>
      </c>
      <c r="M25" s="7">
        <f>Sintesi!$C$33</f>
        <v>0.196996</v>
      </c>
      <c r="N25" s="1">
        <f>'Paste cell here'!AA25</f>
        <v>0.9</v>
      </c>
      <c r="O25" s="1">
        <f>'Paste cell here'!H25</f>
        <v>0.67449899099999999</v>
      </c>
      <c r="P25" s="1">
        <f t="shared" si="1"/>
        <v>96.116399999999999</v>
      </c>
      <c r="Q25" s="1">
        <f t="shared" si="2"/>
        <v>64.830414818552399</v>
      </c>
      <c r="R25" s="1">
        <f t="shared" si="3"/>
        <v>112.46598518144764</v>
      </c>
      <c r="S25" s="5">
        <f t="shared" si="4"/>
        <v>0.24532322244444446</v>
      </c>
      <c r="T25" s="5">
        <f t="shared" si="5"/>
        <v>0.12496220575716403</v>
      </c>
    </row>
    <row r="26" spans="1:20">
      <c r="A26" s="1">
        <v>25</v>
      </c>
      <c r="B26" s="2">
        <f>DATE(Sintesi!$C$4-1,12,31)+A26</f>
        <v>44221</v>
      </c>
      <c r="C26" s="1">
        <f>'Paste cell here'!T26</f>
        <v>1.1226562899999999</v>
      </c>
      <c r="D26" s="1">
        <f>'Paste cell here'!AC26</f>
        <v>0</v>
      </c>
      <c r="E26" s="1">
        <f>'Paste cell here'!Y26</f>
        <v>0</v>
      </c>
      <c r="F26" s="1">
        <f>'Paste cell here'!AD26</f>
        <v>2.6262554740000001</v>
      </c>
      <c r="G26" s="1">
        <f>'Paste cell here'!W26</f>
        <v>0</v>
      </c>
      <c r="H26" s="1">
        <f>'Paste cell here'!AE26</f>
        <v>219.28730100000001</v>
      </c>
      <c r="I26" s="1">
        <f>'Paste cell here'!AF26</f>
        <v>220.79090020000001</v>
      </c>
      <c r="J26" s="1">
        <f t="shared" si="0"/>
        <v>1.6000001323845936E-8</v>
      </c>
      <c r="K26" s="1" t="str">
        <f>IF('Bilancio primo strato'!D26&gt;0,1,"")</f>
        <v/>
      </c>
      <c r="L26" s="7">
        <f>Sintesi!$C$34</f>
        <v>9.0200000000000002E-2</v>
      </c>
      <c r="M26" s="7">
        <f>Sintesi!$C$33</f>
        <v>0.196996</v>
      </c>
      <c r="N26" s="1">
        <f>'Paste cell here'!AA26</f>
        <v>0.9</v>
      </c>
      <c r="O26" s="1">
        <f>'Paste cell here'!H26</f>
        <v>0.65732720600000005</v>
      </c>
      <c r="P26" s="1">
        <f t="shared" si="1"/>
        <v>96.116399999999999</v>
      </c>
      <c r="Q26" s="1">
        <f t="shared" si="2"/>
        <v>63.179924662778404</v>
      </c>
      <c r="R26" s="1">
        <f t="shared" si="3"/>
        <v>114.11647533722163</v>
      </c>
      <c r="S26" s="5">
        <f t="shared" si="4"/>
        <v>0.24365255666666669</v>
      </c>
      <c r="T26" s="5">
        <f t="shared" si="5"/>
        <v>0.12679608370802403</v>
      </c>
    </row>
    <row r="27" spans="1:20">
      <c r="A27" s="1">
        <v>26</v>
      </c>
      <c r="B27" s="2">
        <f>DATE(Sintesi!$C$4-1,12,31)+A27</f>
        <v>44222</v>
      </c>
      <c r="C27" s="1">
        <f>'Paste cell here'!T27</f>
        <v>0.447981513</v>
      </c>
      <c r="D27" s="1">
        <f>'Paste cell here'!AC27</f>
        <v>0</v>
      </c>
      <c r="E27" s="1">
        <f>'Paste cell here'!Y27</f>
        <v>0</v>
      </c>
      <c r="F27" s="1">
        <f>'Paste cell here'!AD27</f>
        <v>2.3952150190000001</v>
      </c>
      <c r="G27" s="1">
        <f>'Paste cell here'!W27</f>
        <v>0</v>
      </c>
      <c r="H27" s="1">
        <f>'Paste cell here'!AE27</f>
        <v>217.3400675</v>
      </c>
      <c r="I27" s="1">
        <f>'Paste cell here'!AF27</f>
        <v>219.28730100000001</v>
      </c>
      <c r="J27" s="1">
        <f t="shared" si="0"/>
        <v>5.9999933910148684E-9</v>
      </c>
      <c r="K27" s="1" t="str">
        <f>IF('Bilancio primo strato'!D27&gt;0,1,"")</f>
        <v/>
      </c>
      <c r="L27" s="7">
        <f>Sintesi!$C$34</f>
        <v>9.0200000000000002E-2</v>
      </c>
      <c r="M27" s="7">
        <f>Sintesi!$C$33</f>
        <v>0.196996</v>
      </c>
      <c r="N27" s="1">
        <f>'Paste cell here'!AA27</f>
        <v>0.9</v>
      </c>
      <c r="O27" s="1">
        <f>'Paste cell here'!H27</f>
        <v>0.661813867</v>
      </c>
      <c r="P27" s="1">
        <f t="shared" si="1"/>
        <v>96.116399999999999</v>
      </c>
      <c r="Q27" s="1">
        <f t="shared" si="2"/>
        <v>63.611166366118802</v>
      </c>
      <c r="R27" s="1">
        <f t="shared" si="3"/>
        <v>113.68523363388124</v>
      </c>
      <c r="S27" s="5">
        <f t="shared" si="4"/>
        <v>0.24148896388888888</v>
      </c>
      <c r="T27" s="5">
        <f t="shared" si="5"/>
        <v>0.12631692625986804</v>
      </c>
    </row>
    <row r="28" spans="1:20">
      <c r="A28" s="1">
        <v>27</v>
      </c>
      <c r="B28" s="2">
        <f>DATE(Sintesi!$C$4-1,12,31)+A28</f>
        <v>44223</v>
      </c>
      <c r="C28" s="1">
        <f>'Paste cell here'!T28</f>
        <v>0.18291822399999999</v>
      </c>
      <c r="D28" s="1">
        <f>'Paste cell here'!AC28</f>
        <v>0</v>
      </c>
      <c r="E28" s="1">
        <f>'Paste cell here'!Y28</f>
        <v>0</v>
      </c>
      <c r="F28" s="1">
        <f>'Paste cell here'!AD28</f>
        <v>2.1568549379999999</v>
      </c>
      <c r="G28" s="1">
        <f>'Paste cell here'!W28</f>
        <v>0</v>
      </c>
      <c r="H28" s="1">
        <f>'Paste cell here'!AE28</f>
        <v>215.36613080000001</v>
      </c>
      <c r="I28" s="1">
        <f>'Paste cell here'!AF28</f>
        <v>217.3400675</v>
      </c>
      <c r="J28" s="1">
        <f t="shared" si="0"/>
        <v>1.4000022474647267E-8</v>
      </c>
      <c r="K28" s="1" t="str">
        <f>IF('Bilancio primo strato'!D28&gt;0,1,"")</f>
        <v/>
      </c>
      <c r="L28" s="7">
        <f>Sintesi!$C$34</f>
        <v>9.0200000000000002E-2</v>
      </c>
      <c r="M28" s="7">
        <f>Sintesi!$C$33</f>
        <v>0.196996</v>
      </c>
      <c r="N28" s="1">
        <f>'Paste cell here'!AA28</f>
        <v>0.9</v>
      </c>
      <c r="O28" s="1">
        <f>'Paste cell here'!H28</f>
        <v>0.61986292799999998</v>
      </c>
      <c r="P28" s="1">
        <f t="shared" si="1"/>
        <v>96.116399999999999</v>
      </c>
      <c r="Q28" s="1">
        <f t="shared" si="2"/>
        <v>59.5789931328192</v>
      </c>
      <c r="R28" s="1">
        <f t="shared" si="3"/>
        <v>117.71740686718084</v>
      </c>
      <c r="S28" s="5">
        <f t="shared" si="4"/>
        <v>0.23929570088888891</v>
      </c>
      <c r="T28" s="5">
        <f t="shared" si="5"/>
        <v>0.13079711874131206</v>
      </c>
    </row>
    <row r="29" spans="1:20">
      <c r="A29" s="1">
        <v>28</v>
      </c>
      <c r="B29" s="2">
        <f>DATE(Sintesi!$C$4-1,12,31)+A29</f>
        <v>44224</v>
      </c>
      <c r="C29" s="1">
        <f>'Paste cell here'!T29</f>
        <v>0.115731161</v>
      </c>
      <c r="D29" s="1">
        <f>'Paste cell here'!AC29</f>
        <v>0</v>
      </c>
      <c r="E29" s="1">
        <f>'Paste cell here'!Y29</f>
        <v>0</v>
      </c>
      <c r="F29" s="1">
        <f>'Paste cell here'!AD29</f>
        <v>1.9488990399999999</v>
      </c>
      <c r="G29" s="1">
        <f>'Paste cell here'!W29</f>
        <v>0</v>
      </c>
      <c r="H29" s="1">
        <f>'Paste cell here'!AE29</f>
        <v>213.5329629</v>
      </c>
      <c r="I29" s="1">
        <f>'Paste cell here'!AF29</f>
        <v>215.36613080000001</v>
      </c>
      <c r="J29" s="1">
        <f t="shared" si="0"/>
        <v>2.10000337119709E-8</v>
      </c>
      <c r="K29" s="1" t="str">
        <f>IF('Bilancio primo strato'!D29&gt;0,1,"")</f>
        <v/>
      </c>
      <c r="L29" s="7">
        <f>Sintesi!$C$34</f>
        <v>9.0200000000000002E-2</v>
      </c>
      <c r="M29" s="7">
        <f>Sintesi!$C$33</f>
        <v>0.196996</v>
      </c>
      <c r="N29" s="1">
        <f>'Paste cell here'!AA29</f>
        <v>0.9</v>
      </c>
      <c r="O29" s="1">
        <f>'Paste cell here'!H29</f>
        <v>0.66647230000000002</v>
      </c>
      <c r="P29" s="1">
        <f t="shared" si="1"/>
        <v>96.116399999999999</v>
      </c>
      <c r="Q29" s="1">
        <f t="shared" si="2"/>
        <v>64.058918175719995</v>
      </c>
      <c r="R29" s="1">
        <f t="shared" si="3"/>
        <v>113.23748182428004</v>
      </c>
      <c r="S29" s="5">
        <f t="shared" si="4"/>
        <v>0.23725884766666666</v>
      </c>
      <c r="T29" s="5">
        <f t="shared" si="5"/>
        <v>0.12581942424920003</v>
      </c>
    </row>
    <row r="30" spans="1:20">
      <c r="A30" s="1">
        <v>29</v>
      </c>
      <c r="B30" s="2">
        <f>DATE(Sintesi!$C$4-1,12,31)+A30</f>
        <v>44225</v>
      </c>
      <c r="C30" s="1">
        <f>'Paste cell here'!T30</f>
        <v>7.8700000000000006E-2</v>
      </c>
      <c r="D30" s="1">
        <f>'Paste cell here'!AC30</f>
        <v>0</v>
      </c>
      <c r="E30" s="1">
        <f>'Paste cell here'!Y30</f>
        <v>0</v>
      </c>
      <c r="F30" s="1">
        <f>'Paste cell here'!AD30</f>
        <v>1.772012036</v>
      </c>
      <c r="G30" s="1">
        <f>'Paste cell here'!W30</f>
        <v>0</v>
      </c>
      <c r="H30" s="1">
        <f>'Paste cell here'!AE30</f>
        <v>211.83962650000001</v>
      </c>
      <c r="I30" s="1">
        <f>'Paste cell here'!AF30</f>
        <v>213.5329629</v>
      </c>
      <c r="J30" s="1">
        <f t="shared" si="0"/>
        <v>2.4363999983734175E-5</v>
      </c>
      <c r="K30" s="1" t="str">
        <f>IF('Bilancio primo strato'!D30&gt;0,1,"")</f>
        <v/>
      </c>
      <c r="L30" s="7">
        <f>Sintesi!$C$34</f>
        <v>9.0200000000000002E-2</v>
      </c>
      <c r="M30" s="7">
        <f>Sintesi!$C$33</f>
        <v>0.196996</v>
      </c>
      <c r="N30" s="1">
        <f>'Paste cell here'!AA30</f>
        <v>0.9</v>
      </c>
      <c r="O30" s="1">
        <f>'Paste cell here'!H30</f>
        <v>0.67566981000000004</v>
      </c>
      <c r="P30" s="1">
        <f t="shared" si="1"/>
        <v>96.116399999999999</v>
      </c>
      <c r="Q30" s="1">
        <f t="shared" si="2"/>
        <v>64.942949725884006</v>
      </c>
      <c r="R30" s="1">
        <f t="shared" si="3"/>
        <v>112.35345027411603</v>
      </c>
      <c r="S30" s="5">
        <f t="shared" si="4"/>
        <v>0.23537736277777779</v>
      </c>
      <c r="T30" s="5">
        <f t="shared" si="5"/>
        <v>0.12483716697124003</v>
      </c>
    </row>
    <row r="31" spans="1:20">
      <c r="A31" s="1">
        <v>30</v>
      </c>
      <c r="B31" s="2">
        <f>DATE(Sintesi!$C$4-1,12,31)+A31</f>
        <v>44226</v>
      </c>
      <c r="C31" s="1">
        <f>'Paste cell here'!T31</f>
        <v>7.9899999999999999E-2</v>
      </c>
      <c r="D31" s="1">
        <f>'Paste cell here'!AC31</f>
        <v>0</v>
      </c>
      <c r="E31" s="1">
        <f>'Paste cell here'!Y31</f>
        <v>0</v>
      </c>
      <c r="F31" s="1">
        <f>'Paste cell here'!AD31</f>
        <v>1.621964655</v>
      </c>
      <c r="G31" s="1">
        <f>'Paste cell here'!W31</f>
        <v>0</v>
      </c>
      <c r="H31" s="1">
        <f>'Paste cell here'!AE31</f>
        <v>210.2975447</v>
      </c>
      <c r="I31" s="1">
        <f>'Paste cell here'!AF31</f>
        <v>211.83962650000001</v>
      </c>
      <c r="J31" s="1">
        <f t="shared" si="0"/>
        <v>1.7145000015261758E-5</v>
      </c>
      <c r="K31" s="1" t="str">
        <f>IF('Bilancio primo strato'!D31&gt;0,1,"")</f>
        <v/>
      </c>
      <c r="L31" s="7">
        <f>Sintesi!$C$34</f>
        <v>9.0200000000000002E-2</v>
      </c>
      <c r="M31" s="7">
        <f>Sintesi!$C$33</f>
        <v>0.196996</v>
      </c>
      <c r="N31" s="1">
        <f>'Paste cell here'!AA31</f>
        <v>0.9</v>
      </c>
      <c r="O31" s="1">
        <f>'Paste cell here'!H31</f>
        <v>0.67516299599999996</v>
      </c>
      <c r="P31" s="1">
        <f t="shared" si="1"/>
        <v>96.116399999999999</v>
      </c>
      <c r="Q31" s="1">
        <f t="shared" si="2"/>
        <v>64.894236588734401</v>
      </c>
      <c r="R31" s="1">
        <f t="shared" si="3"/>
        <v>112.40216341126563</v>
      </c>
      <c r="S31" s="5">
        <f t="shared" si="4"/>
        <v>0.23366393855555556</v>
      </c>
      <c r="T31" s="5">
        <f t="shared" si="5"/>
        <v>0.12489129267918404</v>
      </c>
    </row>
    <row r="32" spans="1:20">
      <c r="A32" s="1">
        <v>31</v>
      </c>
      <c r="B32" s="2">
        <f>DATE(Sintesi!$C$4-1,12,31)+A32</f>
        <v>44227</v>
      </c>
      <c r="C32" s="1">
        <f>'Paste cell here'!T32</f>
        <v>0.26566567800000002</v>
      </c>
      <c r="D32" s="1">
        <f>'Paste cell here'!AC32</f>
        <v>0</v>
      </c>
      <c r="E32" s="1">
        <f>'Paste cell here'!Y32</f>
        <v>0</v>
      </c>
      <c r="F32" s="1">
        <f>'Paste cell here'!AD32</f>
        <v>1.499942576</v>
      </c>
      <c r="G32" s="1">
        <f>'Paste cell here'!W32</f>
        <v>0</v>
      </c>
      <c r="H32" s="1">
        <f>'Paste cell here'!AE32</f>
        <v>209.06326780000001</v>
      </c>
      <c r="I32" s="1">
        <f>'Paste cell here'!AF32</f>
        <v>210.2975447</v>
      </c>
      <c r="J32" s="1">
        <f t="shared" si="0"/>
        <v>2.0000072709080996E-9</v>
      </c>
      <c r="K32" s="1" t="str">
        <f>IF('Bilancio primo strato'!D32&gt;0,1,"")</f>
        <v/>
      </c>
      <c r="L32" s="7">
        <f>Sintesi!$C$34</f>
        <v>9.0200000000000002E-2</v>
      </c>
      <c r="M32" s="7">
        <f>Sintesi!$C$33</f>
        <v>0.196996</v>
      </c>
      <c r="N32" s="1">
        <f>'Paste cell here'!AA32</f>
        <v>0.9</v>
      </c>
      <c r="O32" s="1">
        <f>'Paste cell here'!H32</f>
        <v>0.66464990700000004</v>
      </c>
      <c r="P32" s="1">
        <f t="shared" si="1"/>
        <v>96.116399999999999</v>
      </c>
      <c r="Q32" s="1">
        <f t="shared" si="2"/>
        <v>63.883756321174801</v>
      </c>
      <c r="R32" s="1">
        <f t="shared" si="3"/>
        <v>113.41264367882523</v>
      </c>
      <c r="S32" s="5">
        <f t="shared" si="4"/>
        <v>0.23229251977777779</v>
      </c>
      <c r="T32" s="5">
        <f t="shared" si="5"/>
        <v>0.12601404853202805</v>
      </c>
    </row>
    <row r="33" spans="1:20">
      <c r="A33" s="1">
        <v>32</v>
      </c>
      <c r="B33" s="2">
        <f>DATE(Sintesi!$C$4-1,12,31)+A33</f>
        <v>44228</v>
      </c>
      <c r="C33" s="1">
        <f>'Paste cell here'!T33</f>
        <v>0.42191334800000002</v>
      </c>
      <c r="D33" s="1">
        <f>'Paste cell here'!AC33</f>
        <v>0</v>
      </c>
      <c r="E33" s="1">
        <f>'Paste cell here'!Y33</f>
        <v>0</v>
      </c>
      <c r="F33" s="1">
        <f>'Paste cell here'!AD33</f>
        <v>1.414229347</v>
      </c>
      <c r="G33" s="1">
        <f>'Paste cell here'!W33</f>
        <v>0</v>
      </c>
      <c r="H33" s="1">
        <f>'Paste cell here'!AE33</f>
        <v>208.07095179999999</v>
      </c>
      <c r="I33" s="1">
        <f>'Paste cell here'!AF33</f>
        <v>209.06326780000001</v>
      </c>
      <c r="J33" s="1">
        <f t="shared" si="0"/>
        <v>1.000017846308765E-9</v>
      </c>
      <c r="K33" s="1" t="str">
        <f>IF('Bilancio primo strato'!D33&gt;0,1,"")</f>
        <v/>
      </c>
      <c r="L33" s="7">
        <f>Sintesi!$C$34</f>
        <v>9.0200000000000002E-2</v>
      </c>
      <c r="M33" s="7">
        <f>Sintesi!$C$33</f>
        <v>0.196996</v>
      </c>
      <c r="N33" s="1">
        <f>'Paste cell here'!AA33</f>
        <v>0.9</v>
      </c>
      <c r="O33" s="1">
        <f>'Paste cell here'!H33</f>
        <v>0.66624545499999999</v>
      </c>
      <c r="P33" s="1">
        <f t="shared" si="1"/>
        <v>96.116399999999999</v>
      </c>
      <c r="Q33" s="1">
        <f t="shared" si="2"/>
        <v>64.037114650961996</v>
      </c>
      <c r="R33" s="1">
        <f t="shared" si="3"/>
        <v>113.25928534903804</v>
      </c>
      <c r="S33" s="5">
        <f t="shared" si="4"/>
        <v>0.23118994644444443</v>
      </c>
      <c r="T33" s="5">
        <f t="shared" si="5"/>
        <v>0.12584365038782006</v>
      </c>
    </row>
    <row r="34" spans="1:20">
      <c r="A34" s="1">
        <v>33</v>
      </c>
      <c r="B34" s="2">
        <f>DATE(Sintesi!$C$4-1,12,31)+A34</f>
        <v>44229</v>
      </c>
      <c r="C34" s="1">
        <f>'Paste cell here'!T34</f>
        <v>0.27218584000000001</v>
      </c>
      <c r="D34" s="1">
        <f>'Paste cell here'!AC34</f>
        <v>0</v>
      </c>
      <c r="E34" s="1">
        <f>'Paste cell here'!Y34</f>
        <v>0</v>
      </c>
      <c r="F34" s="1">
        <f>'Paste cell here'!AD34</f>
        <v>1.3343985140000001</v>
      </c>
      <c r="G34" s="1">
        <f>'Paste cell here'!W34</f>
        <v>0</v>
      </c>
      <c r="H34" s="1">
        <f>'Paste cell here'!AE34</f>
        <v>207.00873910000001</v>
      </c>
      <c r="I34" s="1">
        <f>'Paste cell here'!AF34</f>
        <v>208.07095179999999</v>
      </c>
      <c r="J34" s="1">
        <f t="shared" si="0"/>
        <v>2.5999952413258143E-8</v>
      </c>
      <c r="K34" s="1" t="str">
        <f>IF('Bilancio primo strato'!D34&gt;0,1,"")</f>
        <v/>
      </c>
      <c r="L34" s="7">
        <f>Sintesi!$C$34</f>
        <v>9.0200000000000002E-2</v>
      </c>
      <c r="M34" s="7">
        <f>Sintesi!$C$33</f>
        <v>0.196996</v>
      </c>
      <c r="N34" s="1">
        <f>'Paste cell here'!AA34</f>
        <v>0.9</v>
      </c>
      <c r="O34" s="1">
        <f>'Paste cell here'!H34</f>
        <v>0.67216354599999995</v>
      </c>
      <c r="P34" s="1">
        <f t="shared" si="1"/>
        <v>96.116399999999999</v>
      </c>
      <c r="Q34" s="1">
        <f t="shared" si="2"/>
        <v>64.605940252754394</v>
      </c>
      <c r="R34" s="1">
        <f t="shared" si="3"/>
        <v>112.69045974724564</v>
      </c>
      <c r="S34" s="5">
        <f t="shared" si="4"/>
        <v>0.23000971011111113</v>
      </c>
      <c r="T34" s="5">
        <f t="shared" si="5"/>
        <v>0.12521162194138405</v>
      </c>
    </row>
    <row r="35" spans="1:20">
      <c r="A35" s="1">
        <v>34</v>
      </c>
      <c r="B35" s="2">
        <f>DATE(Sintesi!$C$4-1,12,31)+A35</f>
        <v>44230</v>
      </c>
      <c r="C35" s="1">
        <f>'Paste cell here'!T35</f>
        <v>4.3246250719999999</v>
      </c>
      <c r="D35" s="1">
        <f>'Paste cell here'!AC35</f>
        <v>0</v>
      </c>
      <c r="E35" s="1">
        <f>'Paste cell here'!Y35</f>
        <v>0</v>
      </c>
      <c r="F35" s="1">
        <f>'Paste cell here'!AD35</f>
        <v>1.3348337320000001</v>
      </c>
      <c r="G35" s="1">
        <f>'Paste cell here'!W35</f>
        <v>0</v>
      </c>
      <c r="H35" s="1">
        <f>'Paste cell here'!AE35</f>
        <v>209.99853039999999</v>
      </c>
      <c r="I35" s="1">
        <f>'Paste cell here'!AF35</f>
        <v>207.00873910000001</v>
      </c>
      <c r="J35" s="1">
        <f t="shared" si="0"/>
        <v>4.000003173132427E-8</v>
      </c>
      <c r="K35" s="1" t="str">
        <f>IF('Bilancio primo strato'!D35&gt;0,1,"")</f>
        <v/>
      </c>
      <c r="L35" s="7">
        <f>Sintesi!$C$34</f>
        <v>9.0200000000000002E-2</v>
      </c>
      <c r="M35" s="7">
        <f>Sintesi!$C$33</f>
        <v>0.196996</v>
      </c>
      <c r="N35" s="1">
        <f>'Paste cell here'!AA35</f>
        <v>0.9</v>
      </c>
      <c r="O35" s="1">
        <f>'Paste cell here'!H35</f>
        <v>0.68205562399999997</v>
      </c>
      <c r="P35" s="1">
        <f t="shared" si="1"/>
        <v>96.116399999999999</v>
      </c>
      <c r="Q35" s="1">
        <f t="shared" si="2"/>
        <v>65.556731178633598</v>
      </c>
      <c r="R35" s="1">
        <f t="shared" si="3"/>
        <v>111.73966882136644</v>
      </c>
      <c r="S35" s="5">
        <f t="shared" si="4"/>
        <v>0.23333170044444443</v>
      </c>
      <c r="T35" s="5">
        <f t="shared" si="5"/>
        <v>0.12415518757929604</v>
      </c>
    </row>
    <row r="36" spans="1:20">
      <c r="A36" s="1">
        <v>35</v>
      </c>
      <c r="B36" s="2">
        <f>DATE(Sintesi!$C$4-1,12,31)+A36</f>
        <v>44231</v>
      </c>
      <c r="C36" s="1">
        <f>'Paste cell here'!T36</f>
        <v>4.872370257</v>
      </c>
      <c r="D36" s="1">
        <f>'Paste cell here'!AC36</f>
        <v>0</v>
      </c>
      <c r="E36" s="1">
        <f>'Paste cell here'!Y36</f>
        <v>0</v>
      </c>
      <c r="F36" s="1">
        <f>'Paste cell here'!AD36</f>
        <v>1.7261209900000001</v>
      </c>
      <c r="G36" s="1">
        <f>'Paste cell here'!W36</f>
        <v>0</v>
      </c>
      <c r="H36" s="1">
        <f>'Paste cell here'!AE36</f>
        <v>213.14477969999999</v>
      </c>
      <c r="I36" s="1">
        <f>'Paste cell here'!AF36</f>
        <v>209.99853039999999</v>
      </c>
      <c r="J36" s="1">
        <f t="shared" si="0"/>
        <v>3.2999992072291207E-8</v>
      </c>
      <c r="K36" s="1" t="str">
        <f>IF('Bilancio primo strato'!D36&gt;0,1,"")</f>
        <v/>
      </c>
      <c r="L36" s="7">
        <f>Sintesi!$C$34</f>
        <v>9.0200000000000002E-2</v>
      </c>
      <c r="M36" s="7">
        <f>Sintesi!$C$33</f>
        <v>0.196996</v>
      </c>
      <c r="N36" s="1">
        <f>'Paste cell here'!AA36</f>
        <v>0.9</v>
      </c>
      <c r="O36" s="1">
        <f>'Paste cell here'!H36</f>
        <v>0.68103942900000003</v>
      </c>
      <c r="P36" s="1">
        <f t="shared" si="1"/>
        <v>96.116399999999999</v>
      </c>
      <c r="Q36" s="1">
        <f t="shared" si="2"/>
        <v>65.459058173535595</v>
      </c>
      <c r="R36" s="1">
        <f t="shared" si="3"/>
        <v>111.83734182646444</v>
      </c>
      <c r="S36" s="5">
        <f t="shared" si="4"/>
        <v>0.23682753299999998</v>
      </c>
      <c r="T36" s="5">
        <f t="shared" si="5"/>
        <v>0.12426371314051604</v>
      </c>
    </row>
    <row r="37" spans="1:20">
      <c r="A37" s="1">
        <v>36</v>
      </c>
      <c r="B37" s="2">
        <f>DATE(Sintesi!$C$4-1,12,31)+A37</f>
        <v>44232</v>
      </c>
      <c r="C37" s="1">
        <f>'Paste cell here'!T37</f>
        <v>1.6630873340000001</v>
      </c>
      <c r="D37" s="1">
        <f>'Paste cell here'!AC37</f>
        <v>0</v>
      </c>
      <c r="E37" s="1">
        <f>'Paste cell here'!Y37</f>
        <v>0</v>
      </c>
      <c r="F37" s="1">
        <f>'Paste cell here'!AD37</f>
        <v>1.8204541409999999</v>
      </c>
      <c r="G37" s="1">
        <f>'Paste cell here'!W37</f>
        <v>0</v>
      </c>
      <c r="H37" s="1">
        <f>'Paste cell here'!AE37</f>
        <v>212.98741290000001</v>
      </c>
      <c r="I37" s="1">
        <f>'Paste cell here'!AF37</f>
        <v>213.14477969999999</v>
      </c>
      <c r="J37" s="1">
        <f t="shared" si="0"/>
        <v>7.0000112373236334E-9</v>
      </c>
      <c r="K37" s="1" t="str">
        <f>IF('Bilancio primo strato'!D37&gt;0,1,"")</f>
        <v/>
      </c>
      <c r="L37" s="7">
        <f>Sintesi!$C$34</f>
        <v>9.0200000000000002E-2</v>
      </c>
      <c r="M37" s="7">
        <f>Sintesi!$C$33</f>
        <v>0.196996</v>
      </c>
      <c r="N37" s="1">
        <f>'Paste cell here'!AA37</f>
        <v>0.9</v>
      </c>
      <c r="O37" s="1">
        <f>'Paste cell here'!H37</f>
        <v>0.67712503999999996</v>
      </c>
      <c r="P37" s="1">
        <f t="shared" si="1"/>
        <v>96.116399999999999</v>
      </c>
      <c r="Q37" s="1">
        <f t="shared" si="2"/>
        <v>65.082821194655992</v>
      </c>
      <c r="R37" s="1">
        <f t="shared" si="3"/>
        <v>112.21357880534404</v>
      </c>
      <c r="S37" s="5">
        <f t="shared" si="4"/>
        <v>0.236652681</v>
      </c>
      <c r="T37" s="5">
        <f t="shared" si="5"/>
        <v>0.12468175422816005</v>
      </c>
    </row>
    <row r="38" spans="1:20">
      <c r="A38" s="1">
        <v>37</v>
      </c>
      <c r="B38" s="2">
        <f>DATE(Sintesi!$C$4-1,12,31)+A38</f>
        <v>44233</v>
      </c>
      <c r="C38" s="1">
        <f>'Paste cell here'!T38</f>
        <v>0.81373683299999999</v>
      </c>
      <c r="D38" s="1">
        <f>'Paste cell here'!AC38</f>
        <v>0</v>
      </c>
      <c r="E38" s="1">
        <f>'Paste cell here'!Y38</f>
        <v>0</v>
      </c>
      <c r="F38" s="1">
        <f>'Paste cell here'!AD38</f>
        <v>1.7592604030000001</v>
      </c>
      <c r="G38" s="1">
        <f>'Paste cell here'!W38</f>
        <v>0</v>
      </c>
      <c r="H38" s="1">
        <f>'Paste cell here'!AE38</f>
        <v>212.04188930000001</v>
      </c>
      <c r="I38" s="1">
        <f>'Paste cell here'!AF38</f>
        <v>212.98741290000001</v>
      </c>
      <c r="J38" s="1">
        <f t="shared" si="0"/>
        <v>2.9999995376783772E-8</v>
      </c>
      <c r="K38" s="1" t="str">
        <f>IF('Bilancio primo strato'!D38&gt;0,1,"")</f>
        <v/>
      </c>
      <c r="L38" s="7">
        <f>Sintesi!$C$34</f>
        <v>9.0200000000000002E-2</v>
      </c>
      <c r="M38" s="7">
        <f>Sintesi!$C$33</f>
        <v>0.196996</v>
      </c>
      <c r="N38" s="1">
        <f>'Paste cell here'!AA38</f>
        <v>0.9</v>
      </c>
      <c r="O38" s="1">
        <f>'Paste cell here'!H38</f>
        <v>0.67656310099999994</v>
      </c>
      <c r="P38" s="1">
        <f t="shared" si="1"/>
        <v>96.116399999999999</v>
      </c>
      <c r="Q38" s="1">
        <f t="shared" si="2"/>
        <v>65.028809640956396</v>
      </c>
      <c r="R38" s="1">
        <f t="shared" si="3"/>
        <v>112.26759035904364</v>
      </c>
      <c r="S38" s="5">
        <f t="shared" si="4"/>
        <v>0.23560209922222222</v>
      </c>
      <c r="T38" s="5">
        <f t="shared" si="5"/>
        <v>0.12474176706560404</v>
      </c>
    </row>
    <row r="39" spans="1:20">
      <c r="A39" s="1">
        <v>38</v>
      </c>
      <c r="B39" s="2">
        <f>DATE(Sintesi!$C$4-1,12,31)+A39</f>
        <v>44234</v>
      </c>
      <c r="C39" s="1">
        <f>'Paste cell here'!T39</f>
        <v>7.8040874039999997</v>
      </c>
      <c r="D39" s="1">
        <f>'Paste cell here'!AC39</f>
        <v>0</v>
      </c>
      <c r="E39" s="1">
        <f>'Paste cell here'!Y39</f>
        <v>0</v>
      </c>
      <c r="F39" s="1">
        <f>'Paste cell here'!AD39</f>
        <v>1.871235867</v>
      </c>
      <c r="G39" s="1">
        <f>'Paste cell here'!W39</f>
        <v>0</v>
      </c>
      <c r="H39" s="1">
        <f>'Paste cell here'!AE39</f>
        <v>217.9747409</v>
      </c>
      <c r="I39" s="1">
        <f>'Paste cell here'!AF39</f>
        <v>212.04188930000001</v>
      </c>
      <c r="J39" s="1">
        <f t="shared" si="0"/>
        <v>6.2999987449074979E-8</v>
      </c>
      <c r="K39" s="1" t="str">
        <f>IF('Bilancio primo strato'!D39&gt;0,1,"")</f>
        <v/>
      </c>
      <c r="L39" s="7">
        <f>Sintesi!$C$34</f>
        <v>9.0200000000000002E-2</v>
      </c>
      <c r="M39" s="7">
        <f>Sintesi!$C$33</f>
        <v>0.196996</v>
      </c>
      <c r="N39" s="1">
        <f>'Paste cell here'!AA39</f>
        <v>0.9</v>
      </c>
      <c r="O39" s="1">
        <f>'Paste cell here'!H39</f>
        <v>0.676715179</v>
      </c>
      <c r="P39" s="1">
        <f t="shared" si="1"/>
        <v>96.116399999999999</v>
      </c>
      <c r="Q39" s="1">
        <f t="shared" si="2"/>
        <v>65.0434268308356</v>
      </c>
      <c r="R39" s="1">
        <f t="shared" si="3"/>
        <v>112.25297316916443</v>
      </c>
      <c r="S39" s="5">
        <f t="shared" si="4"/>
        <v>0.24219415655555557</v>
      </c>
      <c r="T39" s="5">
        <f t="shared" si="5"/>
        <v>0.12472552574351604</v>
      </c>
    </row>
    <row r="40" spans="1:20">
      <c r="A40" s="1">
        <v>39</v>
      </c>
      <c r="B40" s="2">
        <f>DATE(Sintesi!$C$4-1,12,31)+A40</f>
        <v>44235</v>
      </c>
      <c r="C40" s="1">
        <f>'Paste cell here'!T40</f>
        <v>5.0096719409999997</v>
      </c>
      <c r="D40" s="1">
        <f>'Paste cell here'!AC40</f>
        <v>0</v>
      </c>
      <c r="E40" s="1">
        <f>'Paste cell here'!Y40</f>
        <v>0</v>
      </c>
      <c r="F40" s="1">
        <f>'Paste cell here'!AD40</f>
        <v>2.6255563359999998</v>
      </c>
      <c r="G40" s="1">
        <f>'Paste cell here'!W40</f>
        <v>0</v>
      </c>
      <c r="H40" s="1">
        <f>'Paste cell here'!AE40</f>
        <v>220.3588565</v>
      </c>
      <c r="I40" s="1">
        <f>'Paste cell here'!AF40</f>
        <v>217.9747409</v>
      </c>
      <c r="J40" s="1">
        <f t="shared" si="0"/>
        <v>5.0000039664155338E-9</v>
      </c>
      <c r="K40" s="1" t="str">
        <f>IF('Bilancio primo strato'!D40&gt;0,1,"")</f>
        <v/>
      </c>
      <c r="L40" s="7">
        <f>Sintesi!$C$34</f>
        <v>9.0200000000000002E-2</v>
      </c>
      <c r="M40" s="7">
        <f>Sintesi!$C$33</f>
        <v>0.196996</v>
      </c>
      <c r="N40" s="1">
        <f>'Paste cell here'!AA40</f>
        <v>0.9</v>
      </c>
      <c r="O40" s="1">
        <f>'Paste cell here'!H40</f>
        <v>0.67981883499999995</v>
      </c>
      <c r="P40" s="1">
        <f t="shared" si="1"/>
        <v>96.116399999999999</v>
      </c>
      <c r="Q40" s="1">
        <f t="shared" si="2"/>
        <v>65.341739072393992</v>
      </c>
      <c r="R40" s="1">
        <f t="shared" si="3"/>
        <v>111.95466092760604</v>
      </c>
      <c r="S40" s="5">
        <f t="shared" si="4"/>
        <v>0.2448431738888889</v>
      </c>
      <c r="T40" s="5">
        <f t="shared" si="5"/>
        <v>0.12439406769734004</v>
      </c>
    </row>
    <row r="41" spans="1:20">
      <c r="A41" s="1">
        <v>40</v>
      </c>
      <c r="B41" s="2">
        <f>DATE(Sintesi!$C$4-1,12,31)+A41</f>
        <v>44236</v>
      </c>
      <c r="C41" s="1">
        <f>'Paste cell here'!T41</f>
        <v>1.86089412</v>
      </c>
      <c r="D41" s="1">
        <f>'Paste cell here'!AC41</f>
        <v>0</v>
      </c>
      <c r="E41" s="1">
        <f>'Paste cell here'!Y41</f>
        <v>0</v>
      </c>
      <c r="F41" s="1">
        <f>'Paste cell here'!AD41</f>
        <v>2.6086284210000001</v>
      </c>
      <c r="G41" s="1">
        <f>'Paste cell here'!W41</f>
        <v>0</v>
      </c>
      <c r="H41" s="1">
        <f>'Paste cell here'!AE41</f>
        <v>219.61112220000001</v>
      </c>
      <c r="I41" s="1">
        <f>'Paste cell here'!AF41</f>
        <v>220.3588565</v>
      </c>
      <c r="J41" s="1">
        <f t="shared" si="0"/>
        <v>9.999894245993346E-10</v>
      </c>
      <c r="K41" s="1" t="str">
        <f>IF('Bilancio primo strato'!D41&gt;0,1,"")</f>
        <v/>
      </c>
      <c r="L41" s="7">
        <f>Sintesi!$C$34</f>
        <v>9.0200000000000002E-2</v>
      </c>
      <c r="M41" s="7">
        <f>Sintesi!$C$33</f>
        <v>0.196996</v>
      </c>
      <c r="N41" s="1">
        <f>'Paste cell here'!AA41</f>
        <v>0.9</v>
      </c>
      <c r="O41" s="1">
        <f>'Paste cell here'!H41</f>
        <v>0.64119052499999996</v>
      </c>
      <c r="P41" s="1">
        <f t="shared" si="1"/>
        <v>96.116399999999999</v>
      </c>
      <c r="Q41" s="1">
        <f t="shared" si="2"/>
        <v>61.628924977109996</v>
      </c>
      <c r="R41" s="1">
        <f t="shared" si="3"/>
        <v>115.66747502289005</v>
      </c>
      <c r="S41" s="5">
        <f t="shared" si="4"/>
        <v>0.24401235800000001</v>
      </c>
      <c r="T41" s="5">
        <f t="shared" si="5"/>
        <v>0.12851941669210004</v>
      </c>
    </row>
    <row r="42" spans="1:20">
      <c r="A42" s="1">
        <v>41</v>
      </c>
      <c r="B42" s="2">
        <f>DATE(Sintesi!$C$4-1,12,31)+A42</f>
        <v>44237</v>
      </c>
      <c r="C42" s="1">
        <f>'Paste cell here'!T42</f>
        <v>6.1522375800000004</v>
      </c>
      <c r="D42" s="1">
        <f>'Paste cell here'!AC42</f>
        <v>0</v>
      </c>
      <c r="E42" s="1">
        <f>'Paste cell here'!Y42</f>
        <v>0</v>
      </c>
      <c r="F42" s="1">
        <f>'Paste cell here'!AD42</f>
        <v>2.708845926</v>
      </c>
      <c r="G42" s="1">
        <f>'Paste cell here'!W42</f>
        <v>0</v>
      </c>
      <c r="H42" s="1">
        <f>'Paste cell here'!AE42</f>
        <v>223.0545138</v>
      </c>
      <c r="I42" s="1">
        <f>'Paste cell here'!AF42</f>
        <v>219.61112220000001</v>
      </c>
      <c r="J42" s="1">
        <f t="shared" si="0"/>
        <v>5.3999997362552676E-8</v>
      </c>
      <c r="K42" s="1" t="str">
        <f>IF('Bilancio primo strato'!D42&gt;0,1,"")</f>
        <v/>
      </c>
      <c r="L42" s="7">
        <f>Sintesi!$C$34</f>
        <v>9.0200000000000002E-2</v>
      </c>
      <c r="M42" s="7">
        <f>Sintesi!$C$33</f>
        <v>0.196996</v>
      </c>
      <c r="N42" s="1">
        <f>'Paste cell here'!AA42</f>
        <v>0.9</v>
      </c>
      <c r="O42" s="1">
        <f>'Paste cell here'!H42</f>
        <v>0.66814899900000002</v>
      </c>
      <c r="P42" s="1">
        <f t="shared" si="1"/>
        <v>96.116399999999999</v>
      </c>
      <c r="Q42" s="1">
        <f t="shared" si="2"/>
        <v>64.220076447483606</v>
      </c>
      <c r="R42" s="1">
        <f t="shared" si="3"/>
        <v>113.07632355251643</v>
      </c>
      <c r="S42" s="5">
        <f t="shared" si="4"/>
        <v>0.24783834866666665</v>
      </c>
      <c r="T42" s="5">
        <f t="shared" si="5"/>
        <v>0.12564035950279603</v>
      </c>
    </row>
    <row r="43" spans="1:20">
      <c r="A43" s="1">
        <v>42</v>
      </c>
      <c r="B43" s="2">
        <f>DATE(Sintesi!$C$4-1,12,31)+A43</f>
        <v>44238</v>
      </c>
      <c r="C43" s="1">
        <f>'Paste cell here'!T43</f>
        <v>3.9434464500000002</v>
      </c>
      <c r="D43" s="1">
        <f>'Paste cell here'!AC43</f>
        <v>0</v>
      </c>
      <c r="E43" s="1">
        <f>'Paste cell here'!Y43</f>
        <v>0</v>
      </c>
      <c r="F43" s="1">
        <f>'Paste cell here'!AD43</f>
        <v>3.2074661529999999</v>
      </c>
      <c r="G43" s="1">
        <f>'Paste cell here'!W43</f>
        <v>0</v>
      </c>
      <c r="H43" s="1">
        <f>'Paste cell here'!AE43</f>
        <v>223.79049409999999</v>
      </c>
      <c r="I43" s="1">
        <f>'Paste cell here'!AF43</f>
        <v>223.0545138</v>
      </c>
      <c r="J43" s="1">
        <f t="shared" si="0"/>
        <v>2.9999966955074342E-9</v>
      </c>
      <c r="K43" s="1" t="str">
        <f>IF('Bilancio primo strato'!D43&gt;0,1,"")</f>
        <v/>
      </c>
      <c r="L43" s="7">
        <f>Sintesi!$C$34</f>
        <v>9.0200000000000002E-2</v>
      </c>
      <c r="M43" s="7">
        <f>Sintesi!$C$33</f>
        <v>0.196996</v>
      </c>
      <c r="N43" s="1">
        <f>'Paste cell here'!AA43</f>
        <v>0.9</v>
      </c>
      <c r="O43" s="1">
        <f>'Paste cell here'!H43</f>
        <v>0.67928222500000002</v>
      </c>
      <c r="P43" s="1">
        <f t="shared" si="1"/>
        <v>96.116399999999999</v>
      </c>
      <c r="Q43" s="1">
        <f t="shared" si="2"/>
        <v>65.290162050990006</v>
      </c>
      <c r="R43" s="1">
        <f t="shared" si="3"/>
        <v>112.00623794901003</v>
      </c>
      <c r="S43" s="5">
        <f t="shared" si="4"/>
        <v>0.24865610455555553</v>
      </c>
      <c r="T43" s="5">
        <f t="shared" si="5"/>
        <v>0.12445137549890004</v>
      </c>
    </row>
    <row r="44" spans="1:20">
      <c r="A44" s="1">
        <v>43</v>
      </c>
      <c r="B44" s="2">
        <f>DATE(Sintesi!$C$4-1,12,31)+A44</f>
        <v>44239</v>
      </c>
      <c r="C44" s="1">
        <f>'Paste cell here'!T44</f>
        <v>1.083057932</v>
      </c>
      <c r="D44" s="1">
        <f>'Paste cell here'!AC44</f>
        <v>0</v>
      </c>
      <c r="E44" s="1">
        <f>'Paste cell here'!Y44</f>
        <v>0</v>
      </c>
      <c r="F44" s="1">
        <f>'Paste cell here'!AD44</f>
        <v>3.0285131789999999</v>
      </c>
      <c r="G44" s="1">
        <f>'Paste cell here'!W44</f>
        <v>0</v>
      </c>
      <c r="H44" s="1">
        <f>'Paste cell here'!AE44</f>
        <v>221.84503889999999</v>
      </c>
      <c r="I44" s="1">
        <f>'Paste cell here'!AF44</f>
        <v>223.79049409999999</v>
      </c>
      <c r="J44" s="1">
        <f t="shared" si="0"/>
        <v>4.6999986125229043E-8</v>
      </c>
      <c r="K44" s="1" t="str">
        <f>IF('Bilancio primo strato'!D44&gt;0,1,"")</f>
        <v/>
      </c>
      <c r="L44" s="7">
        <f>Sintesi!$C$34</f>
        <v>9.0200000000000002E-2</v>
      </c>
      <c r="M44" s="7">
        <f>Sintesi!$C$33</f>
        <v>0.196996</v>
      </c>
      <c r="N44" s="1">
        <f>'Paste cell here'!AA44</f>
        <v>0.9</v>
      </c>
      <c r="O44" s="1">
        <f>'Paste cell here'!H44</f>
        <v>0.64994886699999999</v>
      </c>
      <c r="P44" s="1">
        <f t="shared" si="1"/>
        <v>96.116399999999999</v>
      </c>
      <c r="Q44" s="1">
        <f t="shared" si="2"/>
        <v>62.470745280118798</v>
      </c>
      <c r="R44" s="1">
        <f t="shared" si="3"/>
        <v>114.82565471988124</v>
      </c>
      <c r="S44" s="5">
        <f t="shared" si="4"/>
        <v>0.24649448766666665</v>
      </c>
      <c r="T44" s="5">
        <f t="shared" si="5"/>
        <v>0.12758406079986806</v>
      </c>
    </row>
    <row r="45" spans="1:20">
      <c r="A45" s="1">
        <v>44</v>
      </c>
      <c r="B45" s="2">
        <f>DATE(Sintesi!$C$4-1,12,31)+A45</f>
        <v>44240</v>
      </c>
      <c r="C45" s="1">
        <f>'Paste cell here'!T45</f>
        <v>0.46439235899999998</v>
      </c>
      <c r="D45" s="1">
        <f>'Paste cell here'!AC45</f>
        <v>0</v>
      </c>
      <c r="E45" s="1">
        <f>'Paste cell here'!Y45</f>
        <v>0</v>
      </c>
      <c r="F45" s="1">
        <f>'Paste cell here'!AD45</f>
        <v>2.710465058</v>
      </c>
      <c r="G45" s="1">
        <f>'Paste cell here'!W45</f>
        <v>0</v>
      </c>
      <c r="H45" s="1">
        <f>'Paste cell here'!AE45</f>
        <v>219.59896620000001</v>
      </c>
      <c r="I45" s="1">
        <f>'Paste cell here'!AF45</f>
        <v>221.84503889999999</v>
      </c>
      <c r="J45" s="1">
        <f t="shared" si="0"/>
        <v>9.9996100288990419E-10</v>
      </c>
      <c r="K45" s="1" t="str">
        <f>IF('Bilancio primo strato'!D45&gt;0,1,"")</f>
        <v/>
      </c>
      <c r="L45" s="7">
        <f>Sintesi!$C$34</f>
        <v>9.0200000000000002E-2</v>
      </c>
      <c r="M45" s="7">
        <f>Sintesi!$C$33</f>
        <v>0.196996</v>
      </c>
      <c r="N45" s="1">
        <f>'Paste cell here'!AA45</f>
        <v>0.9</v>
      </c>
      <c r="O45" s="1">
        <f>'Paste cell here'!H45</f>
        <v>0.64832948000000001</v>
      </c>
      <c r="P45" s="1">
        <f t="shared" si="1"/>
        <v>96.116399999999999</v>
      </c>
      <c r="Q45" s="1">
        <f t="shared" si="2"/>
        <v>62.315095631471998</v>
      </c>
      <c r="R45" s="1">
        <f t="shared" si="3"/>
        <v>114.98130436852804</v>
      </c>
      <c r="S45" s="5">
        <f t="shared" si="4"/>
        <v>0.24399885133333335</v>
      </c>
      <c r="T45" s="5">
        <f t="shared" si="5"/>
        <v>0.12775700485392005</v>
      </c>
    </row>
    <row r="46" spans="1:20">
      <c r="A46" s="1">
        <v>45</v>
      </c>
      <c r="B46" s="2">
        <f>DATE(Sintesi!$C$4-1,12,31)+A46</f>
        <v>44241</v>
      </c>
      <c r="C46" s="1">
        <f>'Paste cell here'!T46</f>
        <v>0.23217138600000001</v>
      </c>
      <c r="D46" s="1">
        <f>'Paste cell here'!AC46</f>
        <v>0</v>
      </c>
      <c r="E46" s="1">
        <f>'Paste cell here'!Y46</f>
        <v>0</v>
      </c>
      <c r="F46" s="1">
        <f>'Paste cell here'!AD46</f>
        <v>2.4145403980000002</v>
      </c>
      <c r="G46" s="1">
        <f>'Paste cell here'!W46</f>
        <v>0</v>
      </c>
      <c r="H46" s="1">
        <f>'Paste cell here'!AE46</f>
        <v>217.41659709999999</v>
      </c>
      <c r="I46" s="1">
        <f>'Paste cell here'!AF46</f>
        <v>219.59896620000001</v>
      </c>
      <c r="J46" s="1">
        <f t="shared" si="0"/>
        <v>8.8000007281152648E-8</v>
      </c>
      <c r="K46" s="1" t="str">
        <f>IF('Bilancio primo strato'!D46&gt;0,1,"")</f>
        <v/>
      </c>
      <c r="L46" s="7">
        <f>Sintesi!$C$34</f>
        <v>9.0200000000000002E-2</v>
      </c>
      <c r="M46" s="7">
        <f>Sintesi!$C$33</f>
        <v>0.196996</v>
      </c>
      <c r="N46" s="1">
        <f>'Paste cell here'!AA46</f>
        <v>0.9</v>
      </c>
      <c r="O46" s="1">
        <f>'Paste cell here'!H46</f>
        <v>0.65730615599999997</v>
      </c>
      <c r="P46" s="1">
        <f t="shared" si="1"/>
        <v>96.116399999999999</v>
      </c>
      <c r="Q46" s="1">
        <f t="shared" si="2"/>
        <v>63.177901412558398</v>
      </c>
      <c r="R46" s="1">
        <f t="shared" si="3"/>
        <v>114.11849858744164</v>
      </c>
      <c r="S46" s="5">
        <f t="shared" si="4"/>
        <v>0.24157399677777777</v>
      </c>
      <c r="T46" s="5">
        <f t="shared" si="5"/>
        <v>0.12679833176382405</v>
      </c>
    </row>
    <row r="47" spans="1:20">
      <c r="A47" s="1">
        <v>46</v>
      </c>
      <c r="B47" s="2">
        <f>DATE(Sintesi!$C$4-1,12,31)+A47</f>
        <v>44242</v>
      </c>
      <c r="C47" s="1">
        <f>'Paste cell here'!T47</f>
        <v>0.116985573</v>
      </c>
      <c r="D47" s="1">
        <f>'Paste cell here'!AC47</f>
        <v>0</v>
      </c>
      <c r="E47" s="1">
        <f>'Paste cell here'!Y47</f>
        <v>0</v>
      </c>
      <c r="F47" s="1">
        <f>'Paste cell here'!AD47</f>
        <v>2.1605399140000001</v>
      </c>
      <c r="G47" s="1">
        <f>'Paste cell here'!W47</f>
        <v>0</v>
      </c>
      <c r="H47" s="1">
        <f>'Paste cell here'!AE47</f>
        <v>215.37304280000001</v>
      </c>
      <c r="I47" s="1">
        <f>'Paste cell here'!AF47</f>
        <v>217.41659709999999</v>
      </c>
      <c r="J47" s="1">
        <f t="shared" si="0"/>
        <v>4.1000021155923605E-8</v>
      </c>
      <c r="K47" s="1" t="str">
        <f>IF('Bilancio primo strato'!D47&gt;0,1,"")</f>
        <v/>
      </c>
      <c r="L47" s="7">
        <f>Sintesi!$C$34</f>
        <v>9.0200000000000002E-2</v>
      </c>
      <c r="M47" s="7">
        <f>Sintesi!$C$33</f>
        <v>0.196996</v>
      </c>
      <c r="N47" s="1">
        <f>'Paste cell here'!AA47</f>
        <v>0.9</v>
      </c>
      <c r="O47" s="1">
        <f>'Paste cell here'!H47</f>
        <v>0.65184221799999997</v>
      </c>
      <c r="P47" s="1">
        <f t="shared" si="1"/>
        <v>96.116399999999999</v>
      </c>
      <c r="Q47" s="1">
        <f t="shared" si="2"/>
        <v>62.652727362175199</v>
      </c>
      <c r="R47" s="1">
        <f t="shared" si="3"/>
        <v>114.64367263782484</v>
      </c>
      <c r="S47" s="5">
        <f t="shared" si="4"/>
        <v>0.23930338088888889</v>
      </c>
      <c r="T47" s="5">
        <f t="shared" si="5"/>
        <v>0.12738185848647204</v>
      </c>
    </row>
    <row r="48" spans="1:20">
      <c r="A48" s="1">
        <v>47</v>
      </c>
      <c r="B48" s="2">
        <f>DATE(Sintesi!$C$4-1,12,31)+A48</f>
        <v>44243</v>
      </c>
      <c r="C48" s="1">
        <f>'Paste cell here'!T48</f>
        <v>5.96E-2</v>
      </c>
      <c r="D48" s="1">
        <f>'Paste cell here'!AC48</f>
        <v>0</v>
      </c>
      <c r="E48" s="1">
        <f>'Paste cell here'!Y48</f>
        <v>0</v>
      </c>
      <c r="F48" s="1">
        <f>'Paste cell here'!AD48</f>
        <v>1.9468265229999999</v>
      </c>
      <c r="G48" s="1">
        <f>'Paste cell here'!W48</f>
        <v>0</v>
      </c>
      <c r="H48" s="1">
        <f>'Paste cell here'!AE48</f>
        <v>213.48580050000001</v>
      </c>
      <c r="I48" s="1">
        <f>'Paste cell here'!AF48</f>
        <v>215.37304280000001</v>
      </c>
      <c r="J48" s="1">
        <f t="shared" si="0"/>
        <v>1.5776999987338058E-5</v>
      </c>
      <c r="K48" s="1" t="str">
        <f>IF('Bilancio primo strato'!D48&gt;0,1,"")</f>
        <v/>
      </c>
      <c r="L48" s="7">
        <f>Sintesi!$C$34</f>
        <v>9.0200000000000002E-2</v>
      </c>
      <c r="M48" s="7">
        <f>Sintesi!$C$33</f>
        <v>0.196996</v>
      </c>
      <c r="N48" s="1">
        <f>'Paste cell here'!AA48</f>
        <v>0.9</v>
      </c>
      <c r="O48" s="1">
        <f>'Paste cell here'!H48</f>
        <v>0.65484970399999998</v>
      </c>
      <c r="P48" s="1">
        <f t="shared" si="1"/>
        <v>96.116399999999999</v>
      </c>
      <c r="Q48" s="1">
        <f t="shared" si="2"/>
        <v>62.941796089545598</v>
      </c>
      <c r="R48" s="1">
        <f t="shared" si="3"/>
        <v>114.35460391045444</v>
      </c>
      <c r="S48" s="5">
        <f t="shared" si="4"/>
        <v>0.23720644500000002</v>
      </c>
      <c r="T48" s="5">
        <f t="shared" si="5"/>
        <v>0.12706067101161606</v>
      </c>
    </row>
    <row r="49" spans="1:20">
      <c r="A49" s="1">
        <v>48</v>
      </c>
      <c r="B49" s="2">
        <f>DATE(Sintesi!$C$4-1,12,31)+A49</f>
        <v>44244</v>
      </c>
      <c r="C49" s="1">
        <f>'Paste cell here'!T49</f>
        <v>2.8199999999999999E-2</v>
      </c>
      <c r="D49" s="1">
        <f>'Paste cell here'!AC49</f>
        <v>0</v>
      </c>
      <c r="E49" s="1">
        <f>'Paste cell here'!Y49</f>
        <v>0</v>
      </c>
      <c r="F49" s="1">
        <f>'Paste cell here'!AD49</f>
        <v>1.7653464510000001</v>
      </c>
      <c r="G49" s="1">
        <f>'Paste cell here'!W49</f>
        <v>0</v>
      </c>
      <c r="H49" s="1">
        <f>'Paste cell here'!AE49</f>
        <v>211.74869179999999</v>
      </c>
      <c r="I49" s="1">
        <f>'Paste cell here'!AF49</f>
        <v>213.48580050000001</v>
      </c>
      <c r="J49" s="1">
        <f t="shared" si="0"/>
        <v>3.775099997938014E-5</v>
      </c>
      <c r="K49" s="1" t="str">
        <f>IF('Bilancio primo strato'!D49&gt;0,1,"")</f>
        <v/>
      </c>
      <c r="L49" s="7">
        <f>Sintesi!$C$34</f>
        <v>9.0200000000000002E-2</v>
      </c>
      <c r="M49" s="7">
        <f>Sintesi!$C$33</f>
        <v>0.196996</v>
      </c>
      <c r="N49" s="1">
        <f>'Paste cell here'!AA49</f>
        <v>0.9</v>
      </c>
      <c r="O49" s="1">
        <f>'Paste cell here'!H49</f>
        <v>0.65297085600000004</v>
      </c>
      <c r="P49" s="1">
        <f t="shared" si="1"/>
        <v>96.116399999999999</v>
      </c>
      <c r="Q49" s="1">
        <f t="shared" si="2"/>
        <v>62.761207983638407</v>
      </c>
      <c r="R49" s="1">
        <f t="shared" si="3"/>
        <v>114.53519201636163</v>
      </c>
      <c r="S49" s="5">
        <f t="shared" si="4"/>
        <v>0.23527632422222222</v>
      </c>
      <c r="T49" s="5">
        <f t="shared" si="5"/>
        <v>0.12726132446262403</v>
      </c>
    </row>
    <row r="50" spans="1:20">
      <c r="A50" s="1">
        <v>49</v>
      </c>
      <c r="B50" s="2">
        <f>DATE(Sintesi!$C$4-1,12,31)+A50</f>
        <v>44245</v>
      </c>
      <c r="C50" s="1">
        <f>'Paste cell here'!T50</f>
        <v>1.8499999999999999E-2</v>
      </c>
      <c r="D50" s="1">
        <f>'Paste cell here'!AC50</f>
        <v>0</v>
      </c>
      <c r="E50" s="1">
        <f>'Paste cell here'!Y50</f>
        <v>0</v>
      </c>
      <c r="F50" s="1">
        <f>'Paste cell here'!AD50</f>
        <v>1.6118396930000001</v>
      </c>
      <c r="G50" s="1">
        <f>'Paste cell here'!W50</f>
        <v>0</v>
      </c>
      <c r="H50" s="1">
        <f>'Paste cell here'!AE50</f>
        <v>210.1553863</v>
      </c>
      <c r="I50" s="1">
        <f>'Paste cell here'!AF50</f>
        <v>211.74869179999999</v>
      </c>
      <c r="J50" s="1">
        <f t="shared" si="0"/>
        <v>3.419300003315584E-5</v>
      </c>
      <c r="K50" s="1" t="str">
        <f>IF('Bilancio primo strato'!D50&gt;0,1,"")</f>
        <v/>
      </c>
      <c r="L50" s="7">
        <f>Sintesi!$C$34</f>
        <v>9.0200000000000002E-2</v>
      </c>
      <c r="M50" s="7">
        <f>Sintesi!$C$33</f>
        <v>0.196996</v>
      </c>
      <c r="N50" s="1">
        <f>'Paste cell here'!AA50</f>
        <v>0.9</v>
      </c>
      <c r="O50" s="1">
        <f>'Paste cell here'!H50</f>
        <v>0.64866244699999998</v>
      </c>
      <c r="P50" s="1">
        <f t="shared" si="1"/>
        <v>96.116399999999999</v>
      </c>
      <c r="Q50" s="1">
        <f t="shared" si="2"/>
        <v>62.347099220830799</v>
      </c>
      <c r="R50" s="1">
        <f t="shared" si="3"/>
        <v>114.94930077916923</v>
      </c>
      <c r="S50" s="5">
        <f t="shared" si="4"/>
        <v>0.23350598477777779</v>
      </c>
      <c r="T50" s="5">
        <f t="shared" si="5"/>
        <v>0.12772144531018803</v>
      </c>
    </row>
    <row r="51" spans="1:20">
      <c r="A51" s="1">
        <v>50</v>
      </c>
      <c r="B51" s="2">
        <f>DATE(Sintesi!$C$4-1,12,31)+A51</f>
        <v>44246</v>
      </c>
      <c r="C51" s="1">
        <f>'Paste cell here'!T51</f>
        <v>1.55E-2</v>
      </c>
      <c r="D51" s="1">
        <f>'Paste cell here'!AC51</f>
        <v>0</v>
      </c>
      <c r="E51" s="1">
        <f>'Paste cell here'!Y51</f>
        <v>0</v>
      </c>
      <c r="F51" s="1">
        <f>'Paste cell here'!AD51</f>
        <v>1.4815278359999999</v>
      </c>
      <c r="G51" s="1">
        <f>'Paste cell here'!W51</f>
        <v>0</v>
      </c>
      <c r="H51" s="1">
        <f>'Paste cell here'!AE51</f>
        <v>208.68932040000001</v>
      </c>
      <c r="I51" s="1">
        <f>'Paste cell here'!AF51</f>
        <v>210.1553863</v>
      </c>
      <c r="J51" s="1">
        <f t="shared" si="0"/>
        <v>3.8063999994619735E-5</v>
      </c>
      <c r="K51" s="1" t="str">
        <f>IF('Bilancio primo strato'!D51&gt;0,1,"")</f>
        <v/>
      </c>
      <c r="L51" s="7">
        <f>Sintesi!$C$34</f>
        <v>9.0200000000000002E-2</v>
      </c>
      <c r="M51" s="7">
        <f>Sintesi!$C$33</f>
        <v>0.196996</v>
      </c>
      <c r="N51" s="1">
        <f>'Paste cell here'!AA51</f>
        <v>0.9</v>
      </c>
      <c r="O51" s="1">
        <f>'Paste cell here'!H51</f>
        <v>0.65525551699999995</v>
      </c>
      <c r="P51" s="1">
        <f t="shared" si="1"/>
        <v>96.116399999999999</v>
      </c>
      <c r="Q51" s="1">
        <f t="shared" si="2"/>
        <v>62.980801374178796</v>
      </c>
      <c r="R51" s="1">
        <f t="shared" si="3"/>
        <v>114.31559862582124</v>
      </c>
      <c r="S51" s="5">
        <f t="shared" si="4"/>
        <v>0.23187702266666668</v>
      </c>
      <c r="T51" s="5">
        <f t="shared" si="5"/>
        <v>0.12701733180646804</v>
      </c>
    </row>
    <row r="52" spans="1:20">
      <c r="A52" s="1">
        <v>51</v>
      </c>
      <c r="B52" s="2">
        <f>DATE(Sintesi!$C$4-1,12,31)+A52</f>
        <v>44247</v>
      </c>
      <c r="C52" s="1">
        <f>'Paste cell here'!T52</f>
        <v>8.8000000000000005E-3</v>
      </c>
      <c r="D52" s="1">
        <f>'Paste cell here'!AC52</f>
        <v>0</v>
      </c>
      <c r="E52" s="1">
        <f>'Paste cell here'!Y52</f>
        <v>0</v>
      </c>
      <c r="F52" s="1">
        <f>'Paste cell here'!AD52</f>
        <v>1.369394778</v>
      </c>
      <c r="G52" s="1">
        <f>'Paste cell here'!W52</f>
        <v>0</v>
      </c>
      <c r="H52" s="1">
        <f>'Paste cell here'!AE52</f>
        <v>207.32872370000001</v>
      </c>
      <c r="I52" s="1">
        <f>'Paste cell here'!AF52</f>
        <v>208.68932040000001</v>
      </c>
      <c r="J52" s="1">
        <f t="shared" si="0"/>
        <v>1.9220000240238733E-6</v>
      </c>
      <c r="K52" s="1" t="str">
        <f>IF('Bilancio primo strato'!D52&gt;0,1,"")</f>
        <v/>
      </c>
      <c r="L52" s="7">
        <f>Sintesi!$C$34</f>
        <v>9.0200000000000002E-2</v>
      </c>
      <c r="M52" s="7">
        <f>Sintesi!$C$33</f>
        <v>0.196996</v>
      </c>
      <c r="N52" s="1">
        <f>'Paste cell here'!AA52</f>
        <v>0.9</v>
      </c>
      <c r="O52" s="1">
        <f>'Paste cell here'!H52</f>
        <v>0.66876484400000002</v>
      </c>
      <c r="P52" s="1">
        <f t="shared" si="1"/>
        <v>96.116399999999999</v>
      </c>
      <c r="Q52" s="1">
        <f t="shared" si="2"/>
        <v>64.279269251841598</v>
      </c>
      <c r="R52" s="1">
        <f t="shared" si="3"/>
        <v>113.01713074815844</v>
      </c>
      <c r="S52" s="5">
        <f t="shared" si="4"/>
        <v>0.23036524855555557</v>
      </c>
      <c r="T52" s="5">
        <f t="shared" si="5"/>
        <v>0.12557458972017604</v>
      </c>
    </row>
    <row r="53" spans="1:20">
      <c r="A53" s="1">
        <v>52</v>
      </c>
      <c r="B53" s="2">
        <f>DATE(Sintesi!$C$4-1,12,31)+A53</f>
        <v>44248</v>
      </c>
      <c r="C53" s="1">
        <f>'Paste cell here'!T53</f>
        <v>4.2399999999999998E-3</v>
      </c>
      <c r="D53" s="1">
        <f>'Paste cell here'!AC53</f>
        <v>0</v>
      </c>
      <c r="E53" s="1">
        <f>'Paste cell here'!Y53</f>
        <v>0</v>
      </c>
      <c r="F53" s="1">
        <f>'Paste cell here'!AD53</f>
        <v>1.2719113529999999</v>
      </c>
      <c r="G53" s="1">
        <f>'Paste cell here'!W53</f>
        <v>0</v>
      </c>
      <c r="H53" s="1">
        <f>'Paste cell here'!AE53</f>
        <v>206.06105210000001</v>
      </c>
      <c r="I53" s="1">
        <f>'Paste cell here'!AF53</f>
        <v>207.32872370000001</v>
      </c>
      <c r="J53" s="1">
        <f t="shared" si="0"/>
        <v>2.4700000267330324E-7</v>
      </c>
      <c r="K53" s="1" t="str">
        <f>IF('Bilancio primo strato'!D53&gt;0,1,"")</f>
        <v/>
      </c>
      <c r="L53" s="7">
        <f>Sintesi!$C$34</f>
        <v>9.0200000000000002E-2</v>
      </c>
      <c r="M53" s="7">
        <f>Sintesi!$C$33</f>
        <v>0.196996</v>
      </c>
      <c r="N53" s="1">
        <f>'Paste cell here'!AA53</f>
        <v>0.9</v>
      </c>
      <c r="O53" s="1">
        <f>'Paste cell here'!H53</f>
        <v>0.66542960399999995</v>
      </c>
      <c r="P53" s="1">
        <f t="shared" si="1"/>
        <v>96.116399999999999</v>
      </c>
      <c r="Q53" s="1">
        <f t="shared" si="2"/>
        <v>63.958697989905595</v>
      </c>
      <c r="R53" s="1">
        <f t="shared" si="3"/>
        <v>113.33770201009443</v>
      </c>
      <c r="S53" s="5">
        <f t="shared" si="4"/>
        <v>0.22895672455555557</v>
      </c>
      <c r="T53" s="5">
        <f t="shared" si="5"/>
        <v>0.12593078001121605</v>
      </c>
    </row>
    <row r="54" spans="1:20">
      <c r="A54" s="1">
        <v>53</v>
      </c>
      <c r="B54" s="2">
        <f>DATE(Sintesi!$C$4-1,12,31)+A54</f>
        <v>44249</v>
      </c>
      <c r="C54" s="1">
        <f>'Paste cell here'!T54</f>
        <v>1.66E-3</v>
      </c>
      <c r="D54" s="1">
        <f>'Paste cell here'!AC54</f>
        <v>0</v>
      </c>
      <c r="E54" s="1">
        <f>'Paste cell here'!Y54</f>
        <v>0</v>
      </c>
      <c r="F54" s="1">
        <f>'Paste cell here'!AD54</f>
        <v>1.1865007240000001</v>
      </c>
      <c r="G54" s="1">
        <f>'Paste cell here'!W54</f>
        <v>0</v>
      </c>
      <c r="H54" s="1">
        <f>'Paste cell here'!AE54</f>
        <v>204.8762093</v>
      </c>
      <c r="I54" s="1">
        <f>'Paste cell here'!AF54</f>
        <v>206.06105210000001</v>
      </c>
      <c r="J54" s="1">
        <f t="shared" si="0"/>
        <v>2.0759999870278989E-6</v>
      </c>
      <c r="K54" s="1" t="str">
        <f>IF('Bilancio primo strato'!D54&gt;0,1,"")</f>
        <v/>
      </c>
      <c r="L54" s="7">
        <f>Sintesi!$C$34</f>
        <v>9.0200000000000002E-2</v>
      </c>
      <c r="M54" s="7">
        <f>Sintesi!$C$33</f>
        <v>0.196996</v>
      </c>
      <c r="N54" s="1">
        <f>'Paste cell here'!AA54</f>
        <v>0.9</v>
      </c>
      <c r="O54" s="1">
        <f>'Paste cell here'!H54</f>
        <v>0.65115621199999996</v>
      </c>
      <c r="P54" s="1">
        <f t="shared" si="1"/>
        <v>96.116399999999999</v>
      </c>
      <c r="Q54" s="1">
        <f t="shared" si="2"/>
        <v>62.586790935076792</v>
      </c>
      <c r="R54" s="1">
        <f t="shared" si="3"/>
        <v>114.70960906492324</v>
      </c>
      <c r="S54" s="5">
        <f t="shared" si="4"/>
        <v>0.22764023255555554</v>
      </c>
      <c r="T54" s="5">
        <f t="shared" si="5"/>
        <v>0.12745512118324806</v>
      </c>
    </row>
    <row r="55" spans="1:20">
      <c r="A55" s="1">
        <v>54</v>
      </c>
      <c r="B55" s="2">
        <f>DATE(Sintesi!$C$4-1,12,31)+A55</f>
        <v>44250</v>
      </c>
      <c r="C55" s="1">
        <f>'Paste cell here'!T55</f>
        <v>6.02E-4</v>
      </c>
      <c r="D55" s="1">
        <f>'Paste cell here'!AC55</f>
        <v>0</v>
      </c>
      <c r="E55" s="1">
        <f>'Paste cell here'!Y55</f>
        <v>0</v>
      </c>
      <c r="F55" s="1">
        <f>'Paste cell here'!AD55</f>
        <v>1.1111868030000001</v>
      </c>
      <c r="G55" s="1">
        <f>'Paste cell here'!W55</f>
        <v>0</v>
      </c>
      <c r="H55" s="1">
        <f>'Paste cell here'!AE55</f>
        <v>203.76562469999999</v>
      </c>
      <c r="I55" s="1">
        <f>'Paste cell here'!AF55</f>
        <v>204.8762093</v>
      </c>
      <c r="J55" s="1">
        <f t="shared" si="0"/>
        <v>2.0300001324358163E-7</v>
      </c>
      <c r="K55" s="1" t="str">
        <f>IF('Bilancio primo strato'!D55&gt;0,1,"")</f>
        <v/>
      </c>
      <c r="L55" s="7">
        <f>Sintesi!$C$34</f>
        <v>9.0200000000000002E-2</v>
      </c>
      <c r="M55" s="7">
        <f>Sintesi!$C$33</f>
        <v>0.196996</v>
      </c>
      <c r="N55" s="1">
        <f>'Paste cell here'!AA55</f>
        <v>0.9</v>
      </c>
      <c r="O55" s="1">
        <f>'Paste cell here'!H55</f>
        <v>0.65727250500000001</v>
      </c>
      <c r="P55" s="1">
        <f t="shared" si="1"/>
        <v>96.116399999999999</v>
      </c>
      <c r="Q55" s="1">
        <f t="shared" si="2"/>
        <v>63.174666999582001</v>
      </c>
      <c r="R55" s="1">
        <f t="shared" si="3"/>
        <v>114.12173300041803</v>
      </c>
      <c r="S55" s="5">
        <f t="shared" si="4"/>
        <v>0.22640624966666664</v>
      </c>
      <c r="T55" s="5">
        <f t="shared" si="5"/>
        <v>0.12680192555602005</v>
      </c>
    </row>
    <row r="56" spans="1:20">
      <c r="A56" s="1">
        <v>55</v>
      </c>
      <c r="B56" s="2">
        <f>DATE(Sintesi!$C$4-1,12,31)+A56</f>
        <v>44251</v>
      </c>
      <c r="C56" s="1">
        <f>'Paste cell here'!T56</f>
        <v>1.56E-4</v>
      </c>
      <c r="D56" s="1">
        <f>'Paste cell here'!AC56</f>
        <v>0</v>
      </c>
      <c r="E56" s="1">
        <f>'Paste cell here'!Y56</f>
        <v>0</v>
      </c>
      <c r="F56" s="1">
        <f>'Paste cell here'!AD56</f>
        <v>1.0443511489999999</v>
      </c>
      <c r="G56" s="1">
        <f>'Paste cell here'!W56</f>
        <v>0</v>
      </c>
      <c r="H56" s="1">
        <f>'Paste cell here'!AE56</f>
        <v>202.72142919999999</v>
      </c>
      <c r="I56" s="1">
        <f>'Paste cell here'!AF56</f>
        <v>203.76562469999999</v>
      </c>
      <c r="J56" s="1">
        <f t="shared" si="0"/>
        <v>3.5100001127830183E-7</v>
      </c>
      <c r="K56" s="1" t="str">
        <f>IF('Bilancio primo strato'!D56&gt;0,1,"")</f>
        <v/>
      </c>
      <c r="L56" s="7">
        <f>Sintesi!$C$34</f>
        <v>9.0200000000000002E-2</v>
      </c>
      <c r="M56" s="7">
        <f>Sintesi!$C$33</f>
        <v>0.196996</v>
      </c>
      <c r="N56" s="1">
        <f>'Paste cell here'!AA56</f>
        <v>0.9</v>
      </c>
      <c r="O56" s="1">
        <f>'Paste cell here'!H56</f>
        <v>0.642278982</v>
      </c>
      <c r="P56" s="1">
        <f t="shared" si="1"/>
        <v>96.116399999999999</v>
      </c>
      <c r="Q56" s="1">
        <f t="shared" si="2"/>
        <v>61.733543545504801</v>
      </c>
      <c r="R56" s="1">
        <f t="shared" si="3"/>
        <v>115.56285645449523</v>
      </c>
      <c r="S56" s="5">
        <f t="shared" si="4"/>
        <v>0.22524603244444444</v>
      </c>
      <c r="T56" s="5">
        <f t="shared" si="5"/>
        <v>0.12840317383832803</v>
      </c>
    </row>
    <row r="57" spans="1:20">
      <c r="A57" s="1">
        <v>56</v>
      </c>
      <c r="B57" s="2">
        <f>DATE(Sintesi!$C$4-1,12,31)+A57</f>
        <v>44252</v>
      </c>
      <c r="C57" s="1">
        <f>'Paste cell here'!T57</f>
        <v>2.8200000000000001E-5</v>
      </c>
      <c r="D57" s="1">
        <f>'Paste cell here'!AC57</f>
        <v>0</v>
      </c>
      <c r="E57" s="1">
        <f>'Paste cell here'!Y57</f>
        <v>0</v>
      </c>
      <c r="F57" s="1">
        <f>'Paste cell here'!AD57</f>
        <v>0.98468378400000001</v>
      </c>
      <c r="G57" s="1">
        <f>'Paste cell here'!W57</f>
        <v>0</v>
      </c>
      <c r="H57" s="1">
        <f>'Paste cell here'!AE57</f>
        <v>201.73677369999999</v>
      </c>
      <c r="I57" s="1">
        <f>'Paste cell here'!AF57</f>
        <v>202.72142919999999</v>
      </c>
      <c r="J57" s="1">
        <f t="shared" si="0"/>
        <v>8.3999992739336449E-8</v>
      </c>
      <c r="K57" s="1" t="str">
        <f>IF('Bilancio primo strato'!D57&gt;0,1,"")</f>
        <v/>
      </c>
      <c r="L57" s="7">
        <f>Sintesi!$C$34</f>
        <v>9.0200000000000002E-2</v>
      </c>
      <c r="M57" s="7">
        <f>Sintesi!$C$33</f>
        <v>0.196996</v>
      </c>
      <c r="N57" s="1">
        <f>'Paste cell here'!AA57</f>
        <v>0.9</v>
      </c>
      <c r="O57" s="1">
        <f>'Paste cell here'!H57</f>
        <v>0.62223224799999999</v>
      </c>
      <c r="P57" s="1">
        <f t="shared" si="1"/>
        <v>96.116399999999999</v>
      </c>
      <c r="Q57" s="1">
        <f t="shared" si="2"/>
        <v>59.806723641667197</v>
      </c>
      <c r="R57" s="1">
        <f t="shared" si="3"/>
        <v>117.48967635833284</v>
      </c>
      <c r="S57" s="5">
        <f t="shared" si="4"/>
        <v>0.22415197077777776</v>
      </c>
      <c r="T57" s="5">
        <f t="shared" si="5"/>
        <v>0.13054408484259206</v>
      </c>
    </row>
    <row r="58" spans="1:20">
      <c r="A58" s="1">
        <v>57</v>
      </c>
      <c r="B58" s="2">
        <f>DATE(Sintesi!$C$4-1,12,31)+A58</f>
        <v>44253</v>
      </c>
      <c r="C58" s="1">
        <f>'Paste cell here'!T58</f>
        <v>4.7099999999999998E-6</v>
      </c>
      <c r="D58" s="1">
        <f>'Paste cell here'!AC58</f>
        <v>0</v>
      </c>
      <c r="E58" s="1">
        <f>'Paste cell here'!Y58</f>
        <v>0</v>
      </c>
      <c r="F58" s="1">
        <f>'Paste cell here'!AD58</f>
        <v>0.931118695</v>
      </c>
      <c r="G58" s="1">
        <f>'Paste cell here'!W58</f>
        <v>0</v>
      </c>
      <c r="H58" s="1">
        <f>'Paste cell here'!AE58</f>
        <v>200.80565970000001</v>
      </c>
      <c r="I58" s="1">
        <f>'Paste cell here'!AF58</f>
        <v>201.73677369999999</v>
      </c>
      <c r="J58" s="1">
        <f t="shared" si="0"/>
        <v>1.4999983477537171E-8</v>
      </c>
      <c r="K58" s="1" t="str">
        <f>IF('Bilancio primo strato'!D58&gt;0,1,"")</f>
        <v/>
      </c>
      <c r="L58" s="7">
        <f>Sintesi!$C$34</f>
        <v>9.0200000000000002E-2</v>
      </c>
      <c r="M58" s="7">
        <f>Sintesi!$C$33</f>
        <v>0.196996</v>
      </c>
      <c r="N58" s="1">
        <f>'Paste cell here'!AA58</f>
        <v>0.9</v>
      </c>
      <c r="O58" s="1">
        <f>'Paste cell here'!H58</f>
        <v>0.62028198499999998</v>
      </c>
      <c r="P58" s="1">
        <f t="shared" si="1"/>
        <v>96.116399999999999</v>
      </c>
      <c r="Q58" s="1">
        <f t="shared" si="2"/>
        <v>59.619271383053999</v>
      </c>
      <c r="R58" s="1">
        <f t="shared" si="3"/>
        <v>117.67712861694604</v>
      </c>
      <c r="S58" s="5">
        <f t="shared" si="4"/>
        <v>0.22311739966666666</v>
      </c>
      <c r="T58" s="5">
        <f t="shared" si="5"/>
        <v>0.13075236512994004</v>
      </c>
    </row>
    <row r="59" spans="1:20">
      <c r="A59" s="1">
        <v>58</v>
      </c>
      <c r="B59" s="2">
        <f>DATE(Sintesi!$C$4-1,12,31)+A59</f>
        <v>44254</v>
      </c>
      <c r="C59" s="1">
        <f>'Paste cell here'!T59</f>
        <v>6.7599999999999997E-7</v>
      </c>
      <c r="D59" s="1">
        <f>'Paste cell here'!AC59</f>
        <v>0</v>
      </c>
      <c r="E59" s="1">
        <f>'Paste cell here'!Y59</f>
        <v>0</v>
      </c>
      <c r="F59" s="1">
        <f>'Paste cell here'!AD59</f>
        <v>0.88278336199999996</v>
      </c>
      <c r="G59" s="1">
        <f>'Paste cell here'!W59</f>
        <v>0</v>
      </c>
      <c r="H59" s="1">
        <f>'Paste cell here'!AE59</f>
        <v>199.922877</v>
      </c>
      <c r="I59" s="1">
        <f>'Paste cell here'!AF59</f>
        <v>200.80565970000001</v>
      </c>
      <c r="J59" s="1">
        <f t="shared" si="0"/>
        <v>1.4000022474647267E-8</v>
      </c>
      <c r="K59" s="1" t="str">
        <f>IF('Bilancio primo strato'!D59&gt;0,1,"")</f>
        <v/>
      </c>
      <c r="L59" s="7">
        <f>Sintesi!$C$34</f>
        <v>9.0200000000000002E-2</v>
      </c>
      <c r="M59" s="7">
        <f>Sintesi!$C$33</f>
        <v>0.196996</v>
      </c>
      <c r="N59" s="1">
        <f>'Paste cell here'!AA59</f>
        <v>0.9</v>
      </c>
      <c r="O59" s="1">
        <f>'Paste cell here'!H59</f>
        <v>0.61627341300000005</v>
      </c>
      <c r="P59" s="1">
        <f t="shared" si="1"/>
        <v>96.116399999999999</v>
      </c>
      <c r="Q59" s="1">
        <f t="shared" si="2"/>
        <v>59.233981873273201</v>
      </c>
      <c r="R59" s="1">
        <f t="shared" si="3"/>
        <v>118.06241812672684</v>
      </c>
      <c r="S59" s="5">
        <f t="shared" si="4"/>
        <v>0.22213653</v>
      </c>
      <c r="T59" s="5">
        <f t="shared" si="5"/>
        <v>0.13118046458525204</v>
      </c>
    </row>
    <row r="60" spans="1:20">
      <c r="A60" s="1">
        <v>59</v>
      </c>
      <c r="B60" s="2">
        <f>DATE(Sintesi!$C$4-1,12,31)+A60</f>
        <v>44255</v>
      </c>
      <c r="C60" s="1">
        <f>'Paste cell here'!T60</f>
        <v>7.6899999999999994E-8</v>
      </c>
      <c r="D60" s="1">
        <f>'Paste cell here'!AC60</f>
        <v>0</v>
      </c>
      <c r="E60" s="1">
        <f>'Paste cell here'!Y60</f>
        <v>0</v>
      </c>
      <c r="F60" s="1">
        <f>'Paste cell here'!AD60</f>
        <v>0.83896108999999996</v>
      </c>
      <c r="G60" s="1">
        <f>'Paste cell here'!W60</f>
        <v>0</v>
      </c>
      <c r="H60" s="1">
        <f>'Paste cell here'!AE60</f>
        <v>199.08391599999999</v>
      </c>
      <c r="I60" s="1">
        <f>'Paste cell here'!AF60</f>
        <v>199.922877</v>
      </c>
      <c r="J60" s="1">
        <f t="shared" si="0"/>
        <v>1.3099992202114663E-8</v>
      </c>
      <c r="K60" s="1" t="str">
        <f>IF('Bilancio primo strato'!D60&gt;0,1,"")</f>
        <v/>
      </c>
      <c r="L60" s="7">
        <f>Sintesi!$C$34</f>
        <v>9.0200000000000002E-2</v>
      </c>
      <c r="M60" s="7">
        <f>Sintesi!$C$33</f>
        <v>0.196996</v>
      </c>
      <c r="N60" s="1">
        <f>'Paste cell here'!AA60</f>
        <v>0.9</v>
      </c>
      <c r="O60" s="1">
        <f>'Paste cell here'!H60</f>
        <v>0.60553544199999998</v>
      </c>
      <c r="P60" s="1">
        <f t="shared" si="1"/>
        <v>96.116399999999999</v>
      </c>
      <c r="Q60" s="1">
        <f t="shared" si="2"/>
        <v>58.201886757448797</v>
      </c>
      <c r="R60" s="1">
        <f t="shared" si="3"/>
        <v>119.09451324255124</v>
      </c>
      <c r="S60" s="5">
        <f t="shared" si="4"/>
        <v>0.22120435111111109</v>
      </c>
      <c r="T60" s="5">
        <f t="shared" si="5"/>
        <v>0.13232723693616805</v>
      </c>
    </row>
    <row r="61" spans="1:20">
      <c r="A61" s="1">
        <v>60</v>
      </c>
      <c r="B61" s="2">
        <f>DATE(Sintesi!$C$4-1,12,31)+A61</f>
        <v>44256</v>
      </c>
      <c r="C61" s="1">
        <f>'Paste cell here'!T61</f>
        <v>9.3999999999999998E-9</v>
      </c>
      <c r="D61" s="1">
        <f>'Paste cell here'!AC61</f>
        <v>0</v>
      </c>
      <c r="E61" s="1">
        <f>'Paste cell here'!Y61</f>
        <v>0</v>
      </c>
      <c r="F61" s="1">
        <f>'Paste cell here'!AD61</f>
        <v>0.79905903899999997</v>
      </c>
      <c r="G61" s="1">
        <f>'Paste cell here'!W61</f>
        <v>0</v>
      </c>
      <c r="H61" s="1">
        <f>'Paste cell here'!AE61</f>
        <v>198.28485699999999</v>
      </c>
      <c r="I61" s="1">
        <f>'Paste cell here'!AF61</f>
        <v>199.08391599999999</v>
      </c>
      <c r="J61" s="1">
        <f t="shared" si="0"/>
        <v>2.9600016659969697E-8</v>
      </c>
      <c r="K61" s="1" t="str">
        <f>IF('Bilancio primo strato'!D61&gt;0,1,"")</f>
        <v/>
      </c>
      <c r="L61" s="7">
        <f>Sintesi!$C$34</f>
        <v>9.0200000000000002E-2</v>
      </c>
      <c r="M61" s="7">
        <f>Sintesi!$C$33</f>
        <v>0.196996</v>
      </c>
      <c r="N61" s="1">
        <f>'Paste cell here'!AA61</f>
        <v>0.9</v>
      </c>
      <c r="O61" s="1">
        <f>'Paste cell here'!H61</f>
        <v>0.61272663599999999</v>
      </c>
      <c r="P61" s="1">
        <f t="shared" si="1"/>
        <v>96.116399999999999</v>
      </c>
      <c r="Q61" s="1">
        <f t="shared" si="2"/>
        <v>58.8930784364304</v>
      </c>
      <c r="R61" s="1">
        <f t="shared" si="3"/>
        <v>118.40332156356963</v>
      </c>
      <c r="S61" s="5">
        <f t="shared" si="4"/>
        <v>0.22031650777777775</v>
      </c>
      <c r="T61" s="5">
        <f t="shared" si="5"/>
        <v>0.13155924618174403</v>
      </c>
    </row>
    <row r="62" spans="1:20">
      <c r="A62" s="1">
        <v>61</v>
      </c>
      <c r="B62" s="2">
        <f>DATE(Sintesi!$C$4-1,12,31)+A62</f>
        <v>44257</v>
      </c>
      <c r="C62" s="1">
        <f>'Paste cell here'!T62</f>
        <v>1.08E-9</v>
      </c>
      <c r="D62" s="1">
        <f>'Paste cell here'!AC62</f>
        <v>0</v>
      </c>
      <c r="E62" s="1">
        <f>'Paste cell here'!Y62</f>
        <v>0</v>
      </c>
      <c r="F62" s="1">
        <f>'Paste cell here'!AD62</f>
        <v>0.76258292299999997</v>
      </c>
      <c r="G62" s="1">
        <f>'Paste cell here'!W62</f>
        <v>0</v>
      </c>
      <c r="H62" s="1">
        <f>'Paste cell here'!AE62</f>
        <v>197.52227400000001</v>
      </c>
      <c r="I62" s="1">
        <f>'Paste cell here'!AF62</f>
        <v>198.28485699999999</v>
      </c>
      <c r="J62" s="1">
        <f t="shared" si="0"/>
        <v>7.8079978038658737E-8</v>
      </c>
      <c r="K62" s="1" t="str">
        <f>IF('Bilancio primo strato'!D62&gt;0,1,"")</f>
        <v/>
      </c>
      <c r="L62" s="7">
        <f>Sintesi!$C$34</f>
        <v>9.0200000000000002E-2</v>
      </c>
      <c r="M62" s="7">
        <f>Sintesi!$C$33</f>
        <v>0.196996</v>
      </c>
      <c r="N62" s="1">
        <f>'Paste cell here'!AA62</f>
        <v>0.9</v>
      </c>
      <c r="O62" s="1">
        <f>'Paste cell here'!H62</f>
        <v>0.61386583299999997</v>
      </c>
      <c r="P62" s="1">
        <f t="shared" si="1"/>
        <v>96.116399999999999</v>
      </c>
      <c r="Q62" s="1">
        <f t="shared" si="2"/>
        <v>59.0025739509612</v>
      </c>
      <c r="R62" s="1">
        <f t="shared" si="3"/>
        <v>118.29382604903884</v>
      </c>
      <c r="S62" s="5">
        <f t="shared" si="4"/>
        <v>0.21946919333333334</v>
      </c>
      <c r="T62" s="5">
        <f t="shared" si="5"/>
        <v>0.13143758449893206</v>
      </c>
    </row>
    <row r="63" spans="1:20">
      <c r="A63" s="1">
        <v>62</v>
      </c>
      <c r="B63" s="2">
        <f>DATE(Sintesi!$C$4-1,12,31)+A63</f>
        <v>44258</v>
      </c>
      <c r="C63" s="1">
        <f>'Paste cell here'!T63</f>
        <v>1.2400000000000001E-10</v>
      </c>
      <c r="D63" s="1">
        <f>'Paste cell here'!AC63</f>
        <v>0</v>
      </c>
      <c r="E63" s="1">
        <f>'Paste cell here'!Y63</f>
        <v>0</v>
      </c>
      <c r="F63" s="1">
        <f>'Paste cell here'!AD63</f>
        <v>0.72911747999999998</v>
      </c>
      <c r="G63" s="1">
        <f>'Paste cell here'!W63</f>
        <v>0</v>
      </c>
      <c r="H63" s="1">
        <f>'Paste cell here'!AE63</f>
        <v>196.7931566</v>
      </c>
      <c r="I63" s="1">
        <f>'Paste cell here'!AF63</f>
        <v>197.52227400000001</v>
      </c>
      <c r="J63" s="1">
        <f t="shared" si="0"/>
        <v>7.9876002700984827E-8</v>
      </c>
      <c r="K63" s="1" t="str">
        <f>IF('Bilancio primo strato'!D63&gt;0,1,"")</f>
        <v/>
      </c>
      <c r="L63" s="7">
        <f>Sintesi!$C$34</f>
        <v>9.0200000000000002E-2</v>
      </c>
      <c r="M63" s="7">
        <f>Sintesi!$C$33</f>
        <v>0.196996</v>
      </c>
      <c r="N63" s="1">
        <f>'Paste cell here'!AA63</f>
        <v>0.9</v>
      </c>
      <c r="O63" s="1">
        <f>'Paste cell here'!H63</f>
        <v>0.61545524200000001</v>
      </c>
      <c r="P63" s="1">
        <f t="shared" si="1"/>
        <v>96.116399999999999</v>
      </c>
      <c r="Q63" s="1">
        <f t="shared" si="2"/>
        <v>59.155342222168798</v>
      </c>
      <c r="R63" s="1">
        <f t="shared" si="3"/>
        <v>118.14105777783124</v>
      </c>
      <c r="S63" s="5">
        <f t="shared" si="4"/>
        <v>0.21865906288888889</v>
      </c>
      <c r="T63" s="5">
        <f t="shared" si="5"/>
        <v>0.13126784197536803</v>
      </c>
    </row>
    <row r="64" spans="1:20">
      <c r="A64" s="1">
        <v>63</v>
      </c>
      <c r="B64" s="2">
        <f>DATE(Sintesi!$C$4-1,12,31)+A64</f>
        <v>44259</v>
      </c>
      <c r="C64" s="1">
        <f>'Paste cell here'!T64</f>
        <v>1.8500000000000001E-11</v>
      </c>
      <c r="D64" s="1">
        <f>'Paste cell here'!AC64</f>
        <v>0</v>
      </c>
      <c r="E64" s="1">
        <f>'Paste cell here'!Y64</f>
        <v>0</v>
      </c>
      <c r="F64" s="1">
        <f>'Paste cell here'!AD64</f>
        <v>0.69831137799999998</v>
      </c>
      <c r="G64" s="1">
        <f>'Paste cell here'!W64</f>
        <v>0</v>
      </c>
      <c r="H64" s="1">
        <f>'Paste cell here'!AE64</f>
        <v>196.09484520000001</v>
      </c>
      <c r="I64" s="1">
        <f>'Paste cell here'!AF64</f>
        <v>196.7931566</v>
      </c>
      <c r="J64" s="1">
        <f t="shared" si="0"/>
        <v>2.2018497247699997E-8</v>
      </c>
      <c r="K64" s="1" t="str">
        <f>IF('Bilancio primo strato'!D64&gt;0,1,"")</f>
        <v/>
      </c>
      <c r="L64" s="7">
        <f>Sintesi!$C$34</f>
        <v>9.0200000000000002E-2</v>
      </c>
      <c r="M64" s="7">
        <f>Sintesi!$C$33</f>
        <v>0.196996</v>
      </c>
      <c r="N64" s="1">
        <f>'Paste cell here'!AA64</f>
        <v>0.9</v>
      </c>
      <c r="O64" s="1">
        <f>'Paste cell here'!H64</f>
        <v>0.63319027000000006</v>
      </c>
      <c r="P64" s="1">
        <f t="shared" si="1"/>
        <v>96.116399999999999</v>
      </c>
      <c r="Q64" s="1">
        <f t="shared" si="2"/>
        <v>60.859969267428006</v>
      </c>
      <c r="R64" s="1">
        <f t="shared" si="3"/>
        <v>116.43643073257203</v>
      </c>
      <c r="S64" s="5">
        <f t="shared" si="4"/>
        <v>0.21788316133333335</v>
      </c>
      <c r="T64" s="5">
        <f t="shared" si="5"/>
        <v>0.12937381192508005</v>
      </c>
    </row>
    <row r="65" spans="1:20">
      <c r="A65" s="1">
        <v>64</v>
      </c>
      <c r="B65" s="2">
        <f>DATE(Sintesi!$C$4-1,12,31)+A65</f>
        <v>44260</v>
      </c>
      <c r="C65" s="1">
        <f>'Paste cell here'!T65</f>
        <v>2.0400000000000002E-12</v>
      </c>
      <c r="D65" s="1">
        <f>'Paste cell here'!AC65</f>
        <v>0</v>
      </c>
      <c r="E65" s="1">
        <f>'Paste cell here'!Y65</f>
        <v>0</v>
      </c>
      <c r="F65" s="1">
        <f>'Paste cell here'!AD65</f>
        <v>0.66986542400000004</v>
      </c>
      <c r="G65" s="1">
        <f>'Paste cell here'!W65</f>
        <v>0</v>
      </c>
      <c r="H65" s="1">
        <f>'Paste cell here'!AE65</f>
        <v>195.42497969999999</v>
      </c>
      <c r="I65" s="1">
        <f>'Paste cell here'!AF65</f>
        <v>196.09484520000001</v>
      </c>
      <c r="J65" s="1">
        <f t="shared" si="0"/>
        <v>7.60020668622019E-8</v>
      </c>
      <c r="K65" s="1" t="str">
        <f>IF('Bilancio primo strato'!D65&gt;0,1,"")</f>
        <v/>
      </c>
      <c r="L65" s="7">
        <f>Sintesi!$C$34</f>
        <v>9.0200000000000002E-2</v>
      </c>
      <c r="M65" s="7">
        <f>Sintesi!$C$33</f>
        <v>0.196996</v>
      </c>
      <c r="N65" s="1">
        <f>'Paste cell here'!AA65</f>
        <v>0.9</v>
      </c>
      <c r="O65" s="1">
        <f>'Paste cell here'!H65</f>
        <v>0.62987026999999995</v>
      </c>
      <c r="P65" s="1">
        <f t="shared" si="1"/>
        <v>96.116399999999999</v>
      </c>
      <c r="Q65" s="1">
        <f t="shared" si="2"/>
        <v>60.540862819427993</v>
      </c>
      <c r="R65" s="1">
        <f t="shared" si="3"/>
        <v>116.75553718057205</v>
      </c>
      <c r="S65" s="5">
        <f t="shared" si="4"/>
        <v>0.21713886633333332</v>
      </c>
      <c r="T65" s="5">
        <f t="shared" si="5"/>
        <v>0.12972837464508005</v>
      </c>
    </row>
    <row r="66" spans="1:20">
      <c r="A66" s="1">
        <v>65</v>
      </c>
      <c r="B66" s="2">
        <f>DATE(Sintesi!$C$4-1,12,31)+A66</f>
        <v>44261</v>
      </c>
      <c r="C66" s="1">
        <f>'Paste cell here'!T66</f>
        <v>1.06E-13</v>
      </c>
      <c r="D66" s="1">
        <f>'Paste cell here'!AC66</f>
        <v>0</v>
      </c>
      <c r="E66" s="1">
        <f>'Paste cell here'!Y66</f>
        <v>0</v>
      </c>
      <c r="F66" s="1">
        <f>'Paste cell here'!AD66</f>
        <v>0.64352328999999997</v>
      </c>
      <c r="G66" s="1">
        <f>'Paste cell here'!W66</f>
        <v>0</v>
      </c>
      <c r="H66" s="1">
        <f>'Paste cell here'!AE66</f>
        <v>194.78145649999999</v>
      </c>
      <c r="I66" s="1">
        <f>'Paste cell here'!AF66</f>
        <v>195.42497969999999</v>
      </c>
      <c r="J66" s="1">
        <f t="shared" ref="J66:J129" si="6">ABS(I66+C66+D66-E66-F66-G66-H66)</f>
        <v>8.9999872443513595E-8</v>
      </c>
      <c r="K66" s="1" t="str">
        <f>IF('Bilancio primo strato'!D66&gt;0,1,"")</f>
        <v/>
      </c>
      <c r="L66" s="7">
        <f>Sintesi!$C$34</f>
        <v>9.0200000000000002E-2</v>
      </c>
      <c r="M66" s="7">
        <f>Sintesi!$C$33</f>
        <v>0.196996</v>
      </c>
      <c r="N66" s="1">
        <f>'Paste cell here'!AA66</f>
        <v>0.9</v>
      </c>
      <c r="O66" s="1">
        <f>'Paste cell here'!H66</f>
        <v>0.60839070500000003</v>
      </c>
      <c r="P66" s="1">
        <f t="shared" ref="P66:P129" si="7">(M66-L66)*N66*1000</f>
        <v>96.116399999999999</v>
      </c>
      <c r="Q66" s="1">
        <f t="shared" ref="Q66:Q129" si="8">P66*O66</f>
        <v>58.476324358062001</v>
      </c>
      <c r="R66" s="1">
        <f t="shared" ref="R66:R129" si="9">M66*N66*1000-Q66</f>
        <v>118.82007564193803</v>
      </c>
      <c r="S66" s="5">
        <f t="shared" ref="S66:S129" si="10">H66/($N66*1000)</f>
        <v>0.21642384055555555</v>
      </c>
      <c r="T66" s="5">
        <f t="shared" ref="T66:T129" si="11">R66/($N66*1000)</f>
        <v>0.13202230626882003</v>
      </c>
    </row>
    <row r="67" spans="1:20">
      <c r="A67" s="1">
        <v>66</v>
      </c>
      <c r="B67" s="2">
        <f>DATE(Sintesi!$C$4-1,12,31)+A67</f>
        <v>44262</v>
      </c>
      <c r="C67" s="1">
        <f>'Paste cell here'!T67</f>
        <v>7.7900000000000008E-15</v>
      </c>
      <c r="D67" s="1">
        <f>'Paste cell here'!AC67</f>
        <v>0</v>
      </c>
      <c r="E67" s="1">
        <f>'Paste cell here'!Y67</f>
        <v>0</v>
      </c>
      <c r="F67" s="1">
        <f>'Paste cell here'!AD67</f>
        <v>0.61906414300000001</v>
      </c>
      <c r="G67" s="1">
        <f>'Paste cell here'!W67</f>
        <v>0</v>
      </c>
      <c r="H67" s="1">
        <f>'Paste cell here'!AE67</f>
        <v>194.16239229999999</v>
      </c>
      <c r="I67" s="1">
        <f>'Paste cell here'!AF67</f>
        <v>194.78145649999999</v>
      </c>
      <c r="J67" s="1">
        <f t="shared" si="6"/>
        <v>5.6999994058060111E-8</v>
      </c>
      <c r="K67" s="1" t="str">
        <f>IF('Bilancio primo strato'!D67&gt;0,1,"")</f>
        <v/>
      </c>
      <c r="L67" s="7">
        <f>Sintesi!$C$34</f>
        <v>9.0200000000000002E-2</v>
      </c>
      <c r="M67" s="7">
        <f>Sintesi!$C$33</f>
        <v>0.196996</v>
      </c>
      <c r="N67" s="1">
        <f>'Paste cell here'!AA67</f>
        <v>0.9</v>
      </c>
      <c r="O67" s="1">
        <f>'Paste cell here'!H67</f>
        <v>0.63238697499999996</v>
      </c>
      <c r="P67" s="1">
        <f t="shared" si="7"/>
        <v>96.116399999999999</v>
      </c>
      <c r="Q67" s="1">
        <f t="shared" si="8"/>
        <v>60.782759443889994</v>
      </c>
      <c r="R67" s="1">
        <f t="shared" si="9"/>
        <v>116.51364055611003</v>
      </c>
      <c r="S67" s="5">
        <f t="shared" si="10"/>
        <v>0.21573599144444444</v>
      </c>
      <c r="T67" s="5">
        <f t="shared" si="11"/>
        <v>0.12945960061790004</v>
      </c>
    </row>
    <row r="68" spans="1:20">
      <c r="A68" s="1">
        <v>67</v>
      </c>
      <c r="B68" s="2">
        <f>DATE(Sintesi!$C$4-1,12,31)+A68</f>
        <v>44263</v>
      </c>
      <c r="C68" s="1">
        <f>'Paste cell here'!T68</f>
        <v>2.4400000000000002E-16</v>
      </c>
      <c r="D68" s="1">
        <f>'Paste cell here'!AC68</f>
        <v>0</v>
      </c>
      <c r="E68" s="1">
        <f>'Paste cell here'!Y68</f>
        <v>0</v>
      </c>
      <c r="F68" s="1">
        <f>'Paste cell here'!AD68</f>
        <v>0.59629673299999997</v>
      </c>
      <c r="G68" s="1">
        <f>'Paste cell here'!W68</f>
        <v>0</v>
      </c>
      <c r="H68" s="1">
        <f>'Paste cell here'!AE68</f>
        <v>193.56609560000001</v>
      </c>
      <c r="I68" s="1">
        <f>'Paste cell here'!AF68</f>
        <v>194.16239229999999</v>
      </c>
      <c r="J68" s="1">
        <f t="shared" si="6"/>
        <v>3.3000020494000637E-8</v>
      </c>
      <c r="K68" s="1" t="str">
        <f>IF('Bilancio primo strato'!D68&gt;0,1,"")</f>
        <v/>
      </c>
      <c r="L68" s="7">
        <f>Sintesi!$C$34</f>
        <v>9.0200000000000002E-2</v>
      </c>
      <c r="M68" s="7">
        <f>Sintesi!$C$33</f>
        <v>0.196996</v>
      </c>
      <c r="N68" s="1">
        <f>'Paste cell here'!AA68</f>
        <v>0.9</v>
      </c>
      <c r="O68" s="1">
        <f>'Paste cell here'!H68</f>
        <v>0.62295540299999996</v>
      </c>
      <c r="P68" s="1">
        <f t="shared" si="7"/>
        <v>96.116399999999999</v>
      </c>
      <c r="Q68" s="1">
        <f t="shared" si="8"/>
        <v>59.876230696909197</v>
      </c>
      <c r="R68" s="1">
        <f t="shared" si="9"/>
        <v>117.42016930309083</v>
      </c>
      <c r="S68" s="5">
        <f t="shared" si="10"/>
        <v>0.21507343955555558</v>
      </c>
      <c r="T68" s="5">
        <f t="shared" si="11"/>
        <v>0.13046685478121203</v>
      </c>
    </row>
    <row r="69" spans="1:20">
      <c r="A69" s="1">
        <v>68</v>
      </c>
      <c r="B69" s="2">
        <f>DATE(Sintesi!$C$4-1,12,31)+A69</f>
        <v>44264</v>
      </c>
      <c r="C69" s="1">
        <f>'Paste cell here'!T69</f>
        <v>2.2200000000000001E-18</v>
      </c>
      <c r="D69" s="1">
        <f>'Paste cell here'!AC69</f>
        <v>0</v>
      </c>
      <c r="E69" s="1">
        <f>'Paste cell here'!Y69</f>
        <v>0</v>
      </c>
      <c r="F69" s="1">
        <f>'Paste cell here'!AD69</f>
        <v>0.57505463099999998</v>
      </c>
      <c r="G69" s="1">
        <f>'Paste cell here'!W69</f>
        <v>0</v>
      </c>
      <c r="H69" s="1">
        <f>'Paste cell here'!AE69</f>
        <v>192.991041</v>
      </c>
      <c r="I69" s="1">
        <f>'Paste cell here'!AF69</f>
        <v>193.56609560000001</v>
      </c>
      <c r="J69" s="1">
        <f t="shared" si="6"/>
        <v>3.0999984801383107E-8</v>
      </c>
      <c r="K69" s="1" t="str">
        <f>IF('Bilancio primo strato'!D69&gt;0,1,"")</f>
        <v/>
      </c>
      <c r="L69" s="7">
        <f>Sintesi!$C$34</f>
        <v>9.0200000000000002E-2</v>
      </c>
      <c r="M69" s="7">
        <f>Sintesi!$C$33</f>
        <v>0.196996</v>
      </c>
      <c r="N69" s="1">
        <f>'Paste cell here'!AA69</f>
        <v>0.9</v>
      </c>
      <c r="O69" s="1">
        <f>'Paste cell here'!H69</f>
        <v>0.61929168300000004</v>
      </c>
      <c r="P69" s="1">
        <f t="shared" si="7"/>
        <v>96.116399999999999</v>
      </c>
      <c r="Q69" s="1">
        <f t="shared" si="8"/>
        <v>59.524087119901203</v>
      </c>
      <c r="R69" s="1">
        <f t="shared" si="9"/>
        <v>117.77231288009884</v>
      </c>
      <c r="S69" s="5">
        <f t="shared" si="10"/>
        <v>0.21443449000000001</v>
      </c>
      <c r="T69" s="5">
        <f t="shared" si="11"/>
        <v>0.13085812542233205</v>
      </c>
    </row>
    <row r="70" spans="1:20">
      <c r="A70" s="1">
        <v>69</v>
      </c>
      <c r="B70" s="2">
        <f>DATE(Sintesi!$C$4-1,12,31)+A70</f>
        <v>44265</v>
      </c>
      <c r="C70" s="1">
        <f>'Paste cell here'!T70</f>
        <v>4.5399999999999996E-22</v>
      </c>
      <c r="D70" s="1">
        <f>'Paste cell here'!AC70</f>
        <v>0</v>
      </c>
      <c r="E70" s="1">
        <f>'Paste cell here'!Y70</f>
        <v>0</v>
      </c>
      <c r="F70" s="1">
        <f>'Paste cell here'!AD70</f>
        <v>0.55519234799999995</v>
      </c>
      <c r="G70" s="1">
        <f>'Paste cell here'!W70</f>
        <v>0</v>
      </c>
      <c r="H70" s="1">
        <f>'Paste cell here'!AE70</f>
        <v>192.43584860000001</v>
      </c>
      <c r="I70" s="1">
        <f>'Paste cell here'!AF70</f>
        <v>192.991041</v>
      </c>
      <c r="J70" s="1">
        <f t="shared" si="6"/>
        <v>5.1999990091644577E-8</v>
      </c>
      <c r="K70" s="1" t="str">
        <f>IF('Bilancio primo strato'!D70&gt;0,1,"")</f>
        <v/>
      </c>
      <c r="L70" s="7">
        <f>Sintesi!$C$34</f>
        <v>9.0200000000000002E-2</v>
      </c>
      <c r="M70" s="7">
        <f>Sintesi!$C$33</f>
        <v>0.196996</v>
      </c>
      <c r="N70" s="1">
        <f>'Paste cell here'!AA70</f>
        <v>0.9</v>
      </c>
      <c r="O70" s="1">
        <f>'Paste cell here'!H70</f>
        <v>0.61157483099999999</v>
      </c>
      <c r="P70" s="1">
        <f t="shared" si="7"/>
        <v>96.116399999999999</v>
      </c>
      <c r="Q70" s="1">
        <f t="shared" si="8"/>
        <v>58.782371086328396</v>
      </c>
      <c r="R70" s="1">
        <f t="shared" si="9"/>
        <v>118.51402891367164</v>
      </c>
      <c r="S70" s="5">
        <f t="shared" si="10"/>
        <v>0.21381760955555557</v>
      </c>
      <c r="T70" s="5">
        <f t="shared" si="11"/>
        <v>0.13168225434852404</v>
      </c>
    </row>
    <row r="71" spans="1:20">
      <c r="A71" s="1">
        <v>70</v>
      </c>
      <c r="B71" s="2">
        <f>DATE(Sintesi!$C$4-1,12,31)+A71</f>
        <v>44266</v>
      </c>
      <c r="C71" s="1">
        <f>'Paste cell here'!T71</f>
        <v>0</v>
      </c>
      <c r="D71" s="1">
        <f>'Paste cell here'!AC71</f>
        <v>0</v>
      </c>
      <c r="E71" s="1">
        <f>'Paste cell here'!Y71</f>
        <v>0</v>
      </c>
      <c r="F71" s="1">
        <f>'Paste cell here'!AD71</f>
        <v>0.53658215799999998</v>
      </c>
      <c r="G71" s="1">
        <f>'Paste cell here'!W71</f>
        <v>0</v>
      </c>
      <c r="H71" s="1">
        <f>'Paste cell here'!AE71</f>
        <v>191.89926639999999</v>
      </c>
      <c r="I71" s="1">
        <f>'Paste cell here'!AF71</f>
        <v>192.43584860000001</v>
      </c>
      <c r="J71" s="1">
        <f t="shared" si="6"/>
        <v>4.200003900223237E-8</v>
      </c>
      <c r="K71" s="1" t="str">
        <f>IF('Bilancio primo strato'!D71&gt;0,1,"")</f>
        <v/>
      </c>
      <c r="L71" s="7">
        <f>Sintesi!$C$34</f>
        <v>9.0200000000000002E-2</v>
      </c>
      <c r="M71" s="7">
        <f>Sintesi!$C$33</f>
        <v>0.196996</v>
      </c>
      <c r="N71" s="1">
        <f>'Paste cell here'!AA71</f>
        <v>0.9</v>
      </c>
      <c r="O71" s="1">
        <f>'Paste cell here'!H71</f>
        <v>0.607021692</v>
      </c>
      <c r="P71" s="1">
        <f t="shared" si="7"/>
        <v>96.116399999999999</v>
      </c>
      <c r="Q71" s="1">
        <f t="shared" si="8"/>
        <v>58.344739756948798</v>
      </c>
      <c r="R71" s="1">
        <f t="shared" si="9"/>
        <v>118.95166024305124</v>
      </c>
      <c r="S71" s="5">
        <f t="shared" si="10"/>
        <v>0.21322140711111109</v>
      </c>
      <c r="T71" s="5">
        <f t="shared" si="11"/>
        <v>0.13216851138116803</v>
      </c>
    </row>
    <row r="72" spans="1:20">
      <c r="A72" s="1">
        <v>71</v>
      </c>
      <c r="B72" s="2">
        <f>DATE(Sintesi!$C$4-1,12,31)+A72</f>
        <v>44267</v>
      </c>
      <c r="C72" s="1">
        <f>'Paste cell here'!T72</f>
        <v>0</v>
      </c>
      <c r="D72" s="1">
        <f>'Paste cell here'!AC72</f>
        <v>0</v>
      </c>
      <c r="E72" s="1">
        <f>'Paste cell here'!Y72</f>
        <v>0</v>
      </c>
      <c r="F72" s="1">
        <f>'Paste cell here'!AD72</f>
        <v>0.51911148399999996</v>
      </c>
      <c r="G72" s="1">
        <f>'Paste cell here'!W72</f>
        <v>0</v>
      </c>
      <c r="H72" s="1">
        <f>'Paste cell here'!AE72</f>
        <v>191.380155</v>
      </c>
      <c r="I72" s="1">
        <f>'Paste cell here'!AF72</f>
        <v>191.89926639999999</v>
      </c>
      <c r="J72" s="1">
        <f t="shared" si="6"/>
        <v>8.4000021161045879E-8</v>
      </c>
      <c r="K72" s="1" t="str">
        <f>IF('Bilancio primo strato'!D72&gt;0,1,"")</f>
        <v/>
      </c>
      <c r="L72" s="7">
        <f>Sintesi!$C$34</f>
        <v>9.0200000000000002E-2</v>
      </c>
      <c r="M72" s="7">
        <f>Sintesi!$C$33</f>
        <v>0.196996</v>
      </c>
      <c r="N72" s="1">
        <f>'Paste cell here'!AA72</f>
        <v>0.9</v>
      </c>
      <c r="O72" s="1">
        <f>'Paste cell here'!H72</f>
        <v>0.64466115400000001</v>
      </c>
      <c r="P72" s="1">
        <f t="shared" si="7"/>
        <v>96.116399999999999</v>
      </c>
      <c r="Q72" s="1">
        <f t="shared" si="8"/>
        <v>61.962509342325603</v>
      </c>
      <c r="R72" s="1">
        <f t="shared" si="9"/>
        <v>115.33389065767443</v>
      </c>
      <c r="S72" s="5">
        <f t="shared" si="10"/>
        <v>0.21264461666666667</v>
      </c>
      <c r="T72" s="5">
        <f t="shared" si="11"/>
        <v>0.12814876739741604</v>
      </c>
    </row>
    <row r="73" spans="1:20">
      <c r="A73" s="1">
        <v>72</v>
      </c>
      <c r="B73" s="2">
        <f>DATE(Sintesi!$C$4-1,12,31)+A73</f>
        <v>44268</v>
      </c>
      <c r="C73" s="1">
        <f>'Paste cell here'!T73</f>
        <v>0</v>
      </c>
      <c r="D73" s="1">
        <f>'Paste cell here'!AC73</f>
        <v>0</v>
      </c>
      <c r="E73" s="1">
        <f>'Paste cell here'!Y73</f>
        <v>0</v>
      </c>
      <c r="F73" s="1">
        <f>'Paste cell here'!AD73</f>
        <v>0.50268072900000005</v>
      </c>
      <c r="G73" s="1">
        <f>'Paste cell here'!W73</f>
        <v>0</v>
      </c>
      <c r="H73" s="1">
        <f>'Paste cell here'!AE73</f>
        <v>190.87747419999999</v>
      </c>
      <c r="I73" s="1">
        <f>'Paste cell here'!AF73</f>
        <v>191.380155</v>
      </c>
      <c r="J73" s="1">
        <f t="shared" si="6"/>
        <v>7.1000016532707377E-8</v>
      </c>
      <c r="K73" s="1" t="str">
        <f>IF('Bilancio primo strato'!D73&gt;0,1,"")</f>
        <v/>
      </c>
      <c r="L73" s="7">
        <f>Sintesi!$C$34</f>
        <v>9.0200000000000002E-2</v>
      </c>
      <c r="M73" s="7">
        <f>Sintesi!$C$33</f>
        <v>0.196996</v>
      </c>
      <c r="N73" s="1">
        <f>'Paste cell here'!AA73</f>
        <v>0.9</v>
      </c>
      <c r="O73" s="1">
        <f>'Paste cell here'!H73</f>
        <v>0.60930899000000005</v>
      </c>
      <c r="P73" s="1">
        <f t="shared" si="7"/>
        <v>96.116399999999999</v>
      </c>
      <c r="Q73" s="1">
        <f t="shared" si="8"/>
        <v>58.564586606436002</v>
      </c>
      <c r="R73" s="1">
        <f t="shared" si="9"/>
        <v>118.73181339356404</v>
      </c>
      <c r="S73" s="5">
        <f t="shared" si="10"/>
        <v>0.21208608244444443</v>
      </c>
      <c r="T73" s="5">
        <f t="shared" si="11"/>
        <v>0.13192423710396003</v>
      </c>
    </row>
    <row r="74" spans="1:20">
      <c r="A74" s="1">
        <v>73</v>
      </c>
      <c r="B74" s="2">
        <f>DATE(Sintesi!$C$4-1,12,31)+A74</f>
        <v>44269</v>
      </c>
      <c r="C74" s="1">
        <f>'Paste cell here'!T74</f>
        <v>0</v>
      </c>
      <c r="D74" s="1">
        <f>'Paste cell here'!AC74</f>
        <v>0</v>
      </c>
      <c r="E74" s="1">
        <f>'Paste cell here'!Y74</f>
        <v>0</v>
      </c>
      <c r="F74" s="1">
        <f>'Paste cell here'!AD74</f>
        <v>0.487201465</v>
      </c>
      <c r="G74" s="1">
        <f>'Paste cell here'!W74</f>
        <v>0</v>
      </c>
      <c r="H74" s="1">
        <f>'Paste cell here'!AE74</f>
        <v>190.39027279999999</v>
      </c>
      <c r="I74" s="1">
        <f>'Paste cell here'!AF74</f>
        <v>190.87747419999999</v>
      </c>
      <c r="J74" s="1">
        <f t="shared" si="6"/>
        <v>6.4999994719983079E-8</v>
      </c>
      <c r="K74" s="1" t="str">
        <f>IF('Bilancio primo strato'!D74&gt;0,1,"")</f>
        <v/>
      </c>
      <c r="L74" s="7">
        <f>Sintesi!$C$34</f>
        <v>9.0200000000000002E-2</v>
      </c>
      <c r="M74" s="7">
        <f>Sintesi!$C$33</f>
        <v>0.196996</v>
      </c>
      <c r="N74" s="1">
        <f>'Paste cell here'!AA74</f>
        <v>0.9</v>
      </c>
      <c r="O74" s="1">
        <f>'Paste cell here'!H74</f>
        <v>0.59917004900000004</v>
      </c>
      <c r="P74" s="1">
        <f t="shared" si="7"/>
        <v>96.116399999999999</v>
      </c>
      <c r="Q74" s="1">
        <f t="shared" si="8"/>
        <v>57.5900680977036</v>
      </c>
      <c r="R74" s="1">
        <f t="shared" si="9"/>
        <v>119.70633190229643</v>
      </c>
      <c r="S74" s="5">
        <f t="shared" si="10"/>
        <v>0.21154474755555555</v>
      </c>
      <c r="T74" s="5">
        <f t="shared" si="11"/>
        <v>0.13300703544699602</v>
      </c>
    </row>
    <row r="75" spans="1:20">
      <c r="A75" s="1">
        <v>74</v>
      </c>
      <c r="B75" s="2">
        <f>DATE(Sintesi!$C$4-1,12,31)+A75</f>
        <v>44270</v>
      </c>
      <c r="C75" s="1">
        <f>'Paste cell here'!T75</f>
        <v>0</v>
      </c>
      <c r="D75" s="1">
        <f>'Paste cell here'!AC75</f>
        <v>0</v>
      </c>
      <c r="E75" s="1">
        <f>'Paste cell here'!Y75</f>
        <v>0</v>
      </c>
      <c r="F75" s="1">
        <f>'Paste cell here'!AD75</f>
        <v>0.472594923</v>
      </c>
      <c r="G75" s="1">
        <f>'Paste cell here'!W75</f>
        <v>0</v>
      </c>
      <c r="H75" s="1">
        <f>'Paste cell here'!AE75</f>
        <v>189.91767780000001</v>
      </c>
      <c r="I75" s="1">
        <f>'Paste cell here'!AF75</f>
        <v>190.39027279999999</v>
      </c>
      <c r="J75" s="1">
        <f t="shared" si="6"/>
        <v>7.6999981502012815E-8</v>
      </c>
      <c r="K75" s="1" t="str">
        <f>IF('Bilancio primo strato'!D75&gt;0,1,"")</f>
        <v/>
      </c>
      <c r="L75" s="7">
        <f>Sintesi!$C$34</f>
        <v>9.0200000000000002E-2</v>
      </c>
      <c r="M75" s="7">
        <f>Sintesi!$C$33</f>
        <v>0.196996</v>
      </c>
      <c r="N75" s="1">
        <f>'Paste cell here'!AA75</f>
        <v>0.9</v>
      </c>
      <c r="O75" s="1">
        <f>'Paste cell here'!H75</f>
        <v>0.53631689100000002</v>
      </c>
      <c r="P75" s="1">
        <f t="shared" si="7"/>
        <v>96.116399999999999</v>
      </c>
      <c r="Q75" s="1">
        <f t="shared" si="8"/>
        <v>51.548848822112404</v>
      </c>
      <c r="R75" s="1">
        <f t="shared" si="9"/>
        <v>125.74755117788763</v>
      </c>
      <c r="S75" s="5">
        <f t="shared" si="10"/>
        <v>0.21101964200000001</v>
      </c>
      <c r="T75" s="5">
        <f t="shared" si="11"/>
        <v>0.13971950130876404</v>
      </c>
    </row>
    <row r="76" spans="1:20">
      <c r="A76" s="1">
        <v>75</v>
      </c>
      <c r="B76" s="2">
        <f>DATE(Sintesi!$C$4-1,12,31)+A76</f>
        <v>44271</v>
      </c>
      <c r="C76" s="1">
        <f>'Paste cell here'!T76</f>
        <v>0</v>
      </c>
      <c r="D76" s="1">
        <f>'Paste cell here'!AC76</f>
        <v>0</v>
      </c>
      <c r="E76" s="1">
        <f>'Paste cell here'!Y76</f>
        <v>0</v>
      </c>
      <c r="F76" s="1">
        <f>'Paste cell here'!AD76</f>
        <v>0.45879071100000002</v>
      </c>
      <c r="G76" s="1">
        <f>'Paste cell here'!W76</f>
        <v>0</v>
      </c>
      <c r="H76" s="1">
        <f>'Paste cell here'!AE76</f>
        <v>189.4588871</v>
      </c>
      <c r="I76" s="1">
        <f>'Paste cell here'!AF76</f>
        <v>189.91767780000001</v>
      </c>
      <c r="J76" s="1">
        <f t="shared" si="6"/>
        <v>1.0999997357430402E-8</v>
      </c>
      <c r="K76" s="1" t="str">
        <f>IF('Bilancio primo strato'!D76&gt;0,1,"")</f>
        <v/>
      </c>
      <c r="L76" s="7">
        <f>Sintesi!$C$34</f>
        <v>9.0200000000000002E-2</v>
      </c>
      <c r="M76" s="7">
        <f>Sintesi!$C$33</f>
        <v>0.196996</v>
      </c>
      <c r="N76" s="1">
        <f>'Paste cell here'!AA76</f>
        <v>0.9</v>
      </c>
      <c r="O76" s="1">
        <f>'Paste cell here'!H76</f>
        <v>0.543235472</v>
      </c>
      <c r="P76" s="1">
        <f t="shared" si="7"/>
        <v>96.116399999999999</v>
      </c>
      <c r="Q76" s="1">
        <f t="shared" si="8"/>
        <v>52.213837920940797</v>
      </c>
      <c r="R76" s="1">
        <f t="shared" si="9"/>
        <v>125.08256207905924</v>
      </c>
      <c r="S76" s="5">
        <f t="shared" si="10"/>
        <v>0.21050987455555556</v>
      </c>
      <c r="T76" s="5">
        <f t="shared" si="11"/>
        <v>0.13898062453228804</v>
      </c>
    </row>
    <row r="77" spans="1:20">
      <c r="A77" s="1">
        <v>76</v>
      </c>
      <c r="B77" s="2">
        <f>DATE(Sintesi!$C$4-1,12,31)+A77</f>
        <v>44272</v>
      </c>
      <c r="C77" s="1">
        <f>'Paste cell here'!T77</f>
        <v>0</v>
      </c>
      <c r="D77" s="1">
        <f>'Paste cell here'!AC77</f>
        <v>0</v>
      </c>
      <c r="E77" s="1">
        <f>'Paste cell here'!Y77</f>
        <v>0</v>
      </c>
      <c r="F77" s="1">
        <f>'Paste cell here'!AD77</f>
        <v>0.44572573999999998</v>
      </c>
      <c r="G77" s="1">
        <f>'Paste cell here'!W77</f>
        <v>0</v>
      </c>
      <c r="H77" s="1">
        <f>'Paste cell here'!AE77</f>
        <v>189.0131614</v>
      </c>
      <c r="I77" s="1">
        <f>'Paste cell here'!AF77</f>
        <v>189.4588871</v>
      </c>
      <c r="J77" s="1">
        <f t="shared" si="6"/>
        <v>4.000000330961484E-8</v>
      </c>
      <c r="K77" s="1" t="str">
        <f>IF('Bilancio primo strato'!D77&gt;0,1,"")</f>
        <v/>
      </c>
      <c r="L77" s="7">
        <f>Sintesi!$C$34</f>
        <v>9.0200000000000002E-2</v>
      </c>
      <c r="M77" s="7">
        <f>Sintesi!$C$33</f>
        <v>0.196996</v>
      </c>
      <c r="N77" s="1">
        <f>'Paste cell here'!AA77</f>
        <v>0.9</v>
      </c>
      <c r="O77" s="1">
        <f>'Paste cell here'!H77</f>
        <v>0.46150123900000001</v>
      </c>
      <c r="P77" s="1">
        <f t="shared" si="7"/>
        <v>96.116399999999999</v>
      </c>
      <c r="Q77" s="1">
        <f t="shared" si="8"/>
        <v>44.357837688219597</v>
      </c>
      <c r="R77" s="1">
        <f t="shared" si="9"/>
        <v>132.93856231178043</v>
      </c>
      <c r="S77" s="5">
        <f t="shared" si="10"/>
        <v>0.21001462377777777</v>
      </c>
      <c r="T77" s="5">
        <f t="shared" si="11"/>
        <v>0.14770951367975604</v>
      </c>
    </row>
    <row r="78" spans="1:20">
      <c r="A78" s="1">
        <v>77</v>
      </c>
      <c r="B78" s="2">
        <f>DATE(Sintesi!$C$4-1,12,31)+A78</f>
        <v>44273</v>
      </c>
      <c r="C78" s="1">
        <f>'Paste cell here'!T78</f>
        <v>1.83E-17</v>
      </c>
      <c r="D78" s="1">
        <f>'Paste cell here'!AC78</f>
        <v>0</v>
      </c>
      <c r="E78" s="1">
        <f>'Paste cell here'!Y78</f>
        <v>0</v>
      </c>
      <c r="F78" s="1">
        <f>'Paste cell here'!AD78</f>
        <v>0.43334330399999998</v>
      </c>
      <c r="G78" s="1">
        <f>'Paste cell here'!W78</f>
        <v>0</v>
      </c>
      <c r="H78" s="1">
        <f>'Paste cell here'!AE78</f>
        <v>188.57981810000001</v>
      </c>
      <c r="I78" s="1">
        <f>'Paste cell here'!AF78</f>
        <v>189.0131614</v>
      </c>
      <c r="J78" s="1">
        <f t="shared" si="6"/>
        <v>4.0000145418161992E-9</v>
      </c>
      <c r="K78" s="1" t="str">
        <f>IF('Bilancio primo strato'!D78&gt;0,1,"")</f>
        <v/>
      </c>
      <c r="L78" s="7">
        <f>Sintesi!$C$34</f>
        <v>9.0200000000000002E-2</v>
      </c>
      <c r="M78" s="7">
        <f>Sintesi!$C$33</f>
        <v>0.196996</v>
      </c>
      <c r="N78" s="1">
        <f>'Paste cell here'!AA78</f>
        <v>0.9</v>
      </c>
      <c r="O78" s="1">
        <f>'Paste cell here'!H78</f>
        <v>0.53578282899999996</v>
      </c>
      <c r="P78" s="1">
        <f t="shared" si="7"/>
        <v>96.116399999999999</v>
      </c>
      <c r="Q78" s="1">
        <f t="shared" si="8"/>
        <v>51.497516705295595</v>
      </c>
      <c r="R78" s="1">
        <f t="shared" si="9"/>
        <v>125.79888329470444</v>
      </c>
      <c r="S78" s="5">
        <f t="shared" si="10"/>
        <v>0.20953313122222222</v>
      </c>
      <c r="T78" s="5">
        <f t="shared" si="11"/>
        <v>0.13977653699411605</v>
      </c>
    </row>
    <row r="79" spans="1:20">
      <c r="A79" s="1">
        <v>78</v>
      </c>
      <c r="B79" s="2">
        <f>DATE(Sintesi!$C$4-1,12,31)+A79</f>
        <v>44274</v>
      </c>
      <c r="C79" s="1">
        <f>'Paste cell here'!T79</f>
        <v>2.5600000000000002E-16</v>
      </c>
      <c r="D79" s="1">
        <f>'Paste cell here'!AC79</f>
        <v>0</v>
      </c>
      <c r="E79" s="1">
        <f>'Paste cell here'!Y79</f>
        <v>0</v>
      </c>
      <c r="F79" s="1">
        <f>'Paste cell here'!AD79</f>
        <v>0.421592297</v>
      </c>
      <c r="G79" s="1">
        <f>'Paste cell here'!W79</f>
        <v>0</v>
      </c>
      <c r="H79" s="1">
        <f>'Paste cell here'!AE79</f>
        <v>188.1582258</v>
      </c>
      <c r="I79" s="1">
        <f>'Paste cell here'!AF79</f>
        <v>188.57981810000001</v>
      </c>
      <c r="J79" s="1">
        <f t="shared" si="6"/>
        <v>3.0000251172168646E-9</v>
      </c>
      <c r="K79" s="1" t="str">
        <f>IF('Bilancio primo strato'!D79&gt;0,1,"")</f>
        <v/>
      </c>
      <c r="L79" s="7">
        <f>Sintesi!$C$34</f>
        <v>9.0200000000000002E-2</v>
      </c>
      <c r="M79" s="7">
        <f>Sintesi!$C$33</f>
        <v>0.196996</v>
      </c>
      <c r="N79" s="1">
        <f>'Paste cell here'!AA79</f>
        <v>0.9</v>
      </c>
      <c r="O79" s="1">
        <f>'Paste cell here'!H79</f>
        <v>0.60223541700000005</v>
      </c>
      <c r="P79" s="1">
        <f t="shared" si="7"/>
        <v>96.116399999999999</v>
      </c>
      <c r="Q79" s="1">
        <f t="shared" si="8"/>
        <v>57.884700234538805</v>
      </c>
      <c r="R79" s="1">
        <f t="shared" si="9"/>
        <v>119.41169976546124</v>
      </c>
      <c r="S79" s="5">
        <f t="shared" si="10"/>
        <v>0.20906469533333333</v>
      </c>
      <c r="T79" s="5">
        <f t="shared" si="11"/>
        <v>0.13267966640606804</v>
      </c>
    </row>
    <row r="80" spans="1:20">
      <c r="A80" s="1">
        <v>79</v>
      </c>
      <c r="B80" s="2">
        <f>DATE(Sintesi!$C$4-1,12,31)+A80</f>
        <v>44275</v>
      </c>
      <c r="C80" s="1">
        <f>'Paste cell here'!T80</f>
        <v>6.8800000000000002E-19</v>
      </c>
      <c r="D80" s="1">
        <f>'Paste cell here'!AC80</f>
        <v>0</v>
      </c>
      <c r="E80" s="1">
        <f>'Paste cell here'!Y80</f>
        <v>0</v>
      </c>
      <c r="F80" s="1">
        <f>'Paste cell here'!AD80</f>
        <v>0.41042654299999998</v>
      </c>
      <c r="G80" s="1">
        <f>'Paste cell here'!W80</f>
        <v>0</v>
      </c>
      <c r="H80" s="1">
        <f>'Paste cell here'!AE80</f>
        <v>187.7477993</v>
      </c>
      <c r="I80" s="1">
        <f>'Paste cell here'!AF80</f>
        <v>188.1582258</v>
      </c>
      <c r="J80" s="1">
        <f t="shared" si="6"/>
        <v>4.3000000005122274E-8</v>
      </c>
      <c r="K80" s="1" t="str">
        <f>IF('Bilancio primo strato'!D80&gt;0,1,"")</f>
        <v/>
      </c>
      <c r="L80" s="7">
        <f>Sintesi!$C$34</f>
        <v>9.0200000000000002E-2</v>
      </c>
      <c r="M80" s="7">
        <f>Sintesi!$C$33</f>
        <v>0.196996</v>
      </c>
      <c r="N80" s="1">
        <f>'Paste cell here'!AA80</f>
        <v>0.9</v>
      </c>
      <c r="O80" s="1">
        <f>'Paste cell here'!H80</f>
        <v>0.60155306099999994</v>
      </c>
      <c r="P80" s="1">
        <f t="shared" si="7"/>
        <v>96.116399999999999</v>
      </c>
      <c r="Q80" s="1">
        <f t="shared" si="8"/>
        <v>57.819114632300391</v>
      </c>
      <c r="R80" s="1">
        <f t="shared" si="9"/>
        <v>119.47728536769964</v>
      </c>
      <c r="S80" s="5">
        <f t="shared" si="10"/>
        <v>0.20860866588888888</v>
      </c>
      <c r="T80" s="5">
        <f t="shared" si="11"/>
        <v>0.13275253929744404</v>
      </c>
    </row>
    <row r="81" spans="1:20">
      <c r="A81" s="1">
        <v>80</v>
      </c>
      <c r="B81" s="2">
        <f>DATE(Sintesi!$C$4-1,12,31)+A81</f>
        <v>44276</v>
      </c>
      <c r="C81" s="1">
        <f>'Paste cell here'!T81</f>
        <v>8.2800000000000004E-25</v>
      </c>
      <c r="D81" s="1">
        <f>'Paste cell here'!AC81</f>
        <v>0</v>
      </c>
      <c r="E81" s="1">
        <f>'Paste cell here'!Y81</f>
        <v>0</v>
      </c>
      <c r="F81" s="1">
        <f>'Paste cell here'!AD81</f>
        <v>0.39980421900000002</v>
      </c>
      <c r="G81" s="1">
        <f>'Paste cell here'!W81</f>
        <v>0</v>
      </c>
      <c r="H81" s="1">
        <f>'Paste cell here'!AE81</f>
        <v>187.347995</v>
      </c>
      <c r="I81" s="1">
        <f>'Paste cell here'!AF81</f>
        <v>187.7477993</v>
      </c>
      <c r="J81" s="1">
        <f t="shared" si="6"/>
        <v>8.0999996043829015E-8</v>
      </c>
      <c r="K81" s="1" t="str">
        <f>IF('Bilancio primo strato'!D81&gt;0,1,"")</f>
        <v/>
      </c>
      <c r="L81" s="7">
        <f>Sintesi!$C$34</f>
        <v>9.0200000000000002E-2</v>
      </c>
      <c r="M81" s="7">
        <f>Sintesi!$C$33</f>
        <v>0.196996</v>
      </c>
      <c r="N81" s="1">
        <f>'Paste cell here'!AA81</f>
        <v>0.9</v>
      </c>
      <c r="O81" s="1">
        <f>'Paste cell here'!H81</f>
        <v>0.59412684400000004</v>
      </c>
      <c r="P81" s="1">
        <f t="shared" si="7"/>
        <v>96.116399999999999</v>
      </c>
      <c r="Q81" s="1">
        <f t="shared" si="8"/>
        <v>57.105333388641604</v>
      </c>
      <c r="R81" s="1">
        <f t="shared" si="9"/>
        <v>120.19106661135842</v>
      </c>
      <c r="S81" s="5">
        <f t="shared" si="10"/>
        <v>0.20816443888888889</v>
      </c>
      <c r="T81" s="5">
        <f t="shared" si="11"/>
        <v>0.13354562956817603</v>
      </c>
    </row>
    <row r="82" spans="1:20">
      <c r="A82" s="1">
        <v>81</v>
      </c>
      <c r="B82" s="2">
        <f>DATE(Sintesi!$C$4-1,12,31)+A82</f>
        <v>44277</v>
      </c>
      <c r="C82" s="1">
        <f>'Paste cell here'!T82</f>
        <v>0</v>
      </c>
      <c r="D82" s="1">
        <f>'Paste cell here'!AC82</f>
        <v>0</v>
      </c>
      <c r="E82" s="1">
        <f>'Paste cell here'!Y82</f>
        <v>0</v>
      </c>
      <c r="F82" s="1">
        <f>'Paste cell here'!AD82</f>
        <v>0.38968735500000001</v>
      </c>
      <c r="G82" s="1">
        <f>'Paste cell here'!W82</f>
        <v>0</v>
      </c>
      <c r="H82" s="1">
        <f>'Paste cell here'!AE82</f>
        <v>186.95830770000001</v>
      </c>
      <c r="I82" s="1">
        <f>'Paste cell here'!AF82</f>
        <v>187.347995</v>
      </c>
      <c r="J82" s="1">
        <f t="shared" si="6"/>
        <v>5.5000015208861441E-8</v>
      </c>
      <c r="K82" s="1" t="str">
        <f>IF('Bilancio primo strato'!D82&gt;0,1,"")</f>
        <v/>
      </c>
      <c r="L82" s="7">
        <f>Sintesi!$C$34</f>
        <v>9.0200000000000002E-2</v>
      </c>
      <c r="M82" s="7">
        <f>Sintesi!$C$33</f>
        <v>0.196996</v>
      </c>
      <c r="N82" s="1">
        <f>'Paste cell here'!AA82</f>
        <v>0.9</v>
      </c>
      <c r="O82" s="1">
        <f>'Paste cell here'!H82</f>
        <v>0.60314057799999998</v>
      </c>
      <c r="P82" s="1">
        <f t="shared" si="7"/>
        <v>96.116399999999999</v>
      </c>
      <c r="Q82" s="1">
        <f t="shared" si="8"/>
        <v>57.971701051279197</v>
      </c>
      <c r="R82" s="1">
        <f t="shared" si="9"/>
        <v>119.32469894872084</v>
      </c>
      <c r="S82" s="5">
        <f t="shared" si="10"/>
        <v>0.20773145300000001</v>
      </c>
      <c r="T82" s="5">
        <f t="shared" si="11"/>
        <v>0.13258299883191205</v>
      </c>
    </row>
    <row r="83" spans="1:20">
      <c r="A83" s="1">
        <v>82</v>
      </c>
      <c r="B83" s="2">
        <f>DATE(Sintesi!$C$4-1,12,31)+A83</f>
        <v>44278</v>
      </c>
      <c r="C83" s="1">
        <f>'Paste cell here'!T83</f>
        <v>0</v>
      </c>
      <c r="D83" s="1">
        <f>'Paste cell here'!AC83</f>
        <v>0</v>
      </c>
      <c r="E83" s="1">
        <f>'Paste cell here'!Y83</f>
        <v>0</v>
      </c>
      <c r="F83" s="1">
        <f>'Paste cell here'!AD83</f>
        <v>0.380041405</v>
      </c>
      <c r="G83" s="1">
        <f>'Paste cell here'!W83</f>
        <v>0</v>
      </c>
      <c r="H83" s="1">
        <f>'Paste cell here'!AE83</f>
        <v>186.5782663</v>
      </c>
      <c r="I83" s="1">
        <f>'Paste cell here'!AF83</f>
        <v>186.95830770000001</v>
      </c>
      <c r="J83" s="1">
        <f t="shared" si="6"/>
        <v>4.9999755447061034E-9</v>
      </c>
      <c r="K83" s="1" t="str">
        <f>IF('Bilancio primo strato'!D83&gt;0,1,"")</f>
        <v/>
      </c>
      <c r="L83" s="7">
        <f>Sintesi!$C$34</f>
        <v>9.0200000000000002E-2</v>
      </c>
      <c r="M83" s="7">
        <f>Sintesi!$C$33</f>
        <v>0.196996</v>
      </c>
      <c r="N83" s="1">
        <f>'Paste cell here'!AA83</f>
        <v>0.9</v>
      </c>
      <c r="O83" s="1">
        <f>'Paste cell here'!H83</f>
        <v>0.57816716700000004</v>
      </c>
      <c r="P83" s="1">
        <f t="shared" si="7"/>
        <v>96.116399999999999</v>
      </c>
      <c r="Q83" s="1">
        <f t="shared" si="8"/>
        <v>55.571346690238805</v>
      </c>
      <c r="R83" s="1">
        <f t="shared" si="9"/>
        <v>121.72505330976122</v>
      </c>
      <c r="S83" s="5">
        <f t="shared" si="10"/>
        <v>0.20730918477777777</v>
      </c>
      <c r="T83" s="5">
        <f t="shared" si="11"/>
        <v>0.13525005923306802</v>
      </c>
    </row>
    <row r="84" spans="1:20">
      <c r="A84" s="1">
        <v>83</v>
      </c>
      <c r="B84" s="2">
        <f>DATE(Sintesi!$C$4-1,12,31)+A84</f>
        <v>44279</v>
      </c>
      <c r="C84" s="1">
        <f>'Paste cell here'!T84</f>
        <v>0</v>
      </c>
      <c r="D84" s="1">
        <f>'Paste cell here'!AC84</f>
        <v>0</v>
      </c>
      <c r="E84" s="1">
        <f>'Paste cell here'!Y84</f>
        <v>0</v>
      </c>
      <c r="F84" s="1">
        <f>'Paste cell here'!AD84</f>
        <v>0.37083487100000001</v>
      </c>
      <c r="G84" s="1">
        <f>'Paste cell here'!W84</f>
        <v>0</v>
      </c>
      <c r="H84" s="1">
        <f>'Paste cell here'!AE84</f>
        <v>186.20743139999999</v>
      </c>
      <c r="I84" s="1">
        <f>'Paste cell here'!AF84</f>
        <v>186.5782663</v>
      </c>
      <c r="J84" s="1">
        <f t="shared" si="6"/>
        <v>2.9000005952184438E-8</v>
      </c>
      <c r="K84" s="1" t="str">
        <f>IF('Bilancio primo strato'!D84&gt;0,1,"")</f>
        <v/>
      </c>
      <c r="L84" s="7">
        <f>Sintesi!$C$34</f>
        <v>9.0200000000000002E-2</v>
      </c>
      <c r="M84" s="7">
        <f>Sintesi!$C$33</f>
        <v>0.196996</v>
      </c>
      <c r="N84" s="1">
        <f>'Paste cell here'!AA84</f>
        <v>0.9</v>
      </c>
      <c r="O84" s="1">
        <f>'Paste cell here'!H84</f>
        <v>0.56773429799999997</v>
      </c>
      <c r="P84" s="1">
        <f t="shared" si="7"/>
        <v>96.116399999999999</v>
      </c>
      <c r="Q84" s="1">
        <f t="shared" si="8"/>
        <v>54.568576880287196</v>
      </c>
      <c r="R84" s="1">
        <f t="shared" si="9"/>
        <v>122.72782311971284</v>
      </c>
      <c r="S84" s="5">
        <f t="shared" si="10"/>
        <v>0.20689714599999998</v>
      </c>
      <c r="T84" s="5">
        <f t="shared" si="11"/>
        <v>0.13636424791079205</v>
      </c>
    </row>
    <row r="85" spans="1:20">
      <c r="A85" s="1">
        <v>84</v>
      </c>
      <c r="B85" s="2">
        <f>DATE(Sintesi!$C$4-1,12,31)+A85</f>
        <v>44280</v>
      </c>
      <c r="C85" s="1">
        <f>'Paste cell here'!T85</f>
        <v>0</v>
      </c>
      <c r="D85" s="1">
        <f>'Paste cell here'!AC85</f>
        <v>0</v>
      </c>
      <c r="E85" s="1">
        <f>'Paste cell here'!Y85</f>
        <v>0</v>
      </c>
      <c r="F85" s="1">
        <f>'Paste cell here'!AD85</f>
        <v>0.36203897400000001</v>
      </c>
      <c r="G85" s="1">
        <f>'Paste cell here'!W85</f>
        <v>0</v>
      </c>
      <c r="H85" s="1">
        <f>'Paste cell here'!AE85</f>
        <v>185.84539240000001</v>
      </c>
      <c r="I85" s="1">
        <f>'Paste cell here'!AF85</f>
        <v>186.20743139999999</v>
      </c>
      <c r="J85" s="1">
        <f t="shared" si="6"/>
        <v>2.5999980834967573E-8</v>
      </c>
      <c r="K85" s="1" t="str">
        <f>IF('Bilancio primo strato'!D85&gt;0,1,"")</f>
        <v/>
      </c>
      <c r="L85" s="7">
        <f>Sintesi!$C$34</f>
        <v>9.0200000000000002E-2</v>
      </c>
      <c r="M85" s="7">
        <f>Sintesi!$C$33</f>
        <v>0.196996</v>
      </c>
      <c r="N85" s="1">
        <f>'Paste cell here'!AA85</f>
        <v>0.9</v>
      </c>
      <c r="O85" s="1">
        <f>'Paste cell here'!H85</f>
        <v>0.57420910800000002</v>
      </c>
      <c r="P85" s="1">
        <f t="shared" si="7"/>
        <v>96.116399999999999</v>
      </c>
      <c r="Q85" s="1">
        <f t="shared" si="8"/>
        <v>55.1909123081712</v>
      </c>
      <c r="R85" s="1">
        <f t="shared" si="9"/>
        <v>122.10548769182884</v>
      </c>
      <c r="S85" s="5">
        <f t="shared" si="10"/>
        <v>0.20649488044444445</v>
      </c>
      <c r="T85" s="5">
        <f t="shared" si="11"/>
        <v>0.13567276410203205</v>
      </c>
    </row>
    <row r="86" spans="1:20">
      <c r="A86" s="1">
        <v>85</v>
      </c>
      <c r="B86" s="2">
        <f>DATE(Sintesi!$C$4-1,12,31)+A86</f>
        <v>44281</v>
      </c>
      <c r="C86" s="1">
        <f>'Paste cell here'!T86</f>
        <v>0</v>
      </c>
      <c r="D86" s="1">
        <f>'Paste cell here'!AC86</f>
        <v>0</v>
      </c>
      <c r="E86" s="1">
        <f>'Paste cell here'!Y86</f>
        <v>0</v>
      </c>
      <c r="F86" s="1">
        <f>'Paste cell here'!AD86</f>
        <v>0.35362737399999999</v>
      </c>
      <c r="G86" s="1">
        <f>'Paste cell here'!W86</f>
        <v>0</v>
      </c>
      <c r="H86" s="1">
        <f>'Paste cell here'!AE86</f>
        <v>185.49176510000001</v>
      </c>
      <c r="I86" s="1">
        <f>'Paste cell here'!AF86</f>
        <v>185.84539240000001</v>
      </c>
      <c r="J86" s="1">
        <f t="shared" si="6"/>
        <v>7.4000013228214812E-8</v>
      </c>
      <c r="K86" s="1" t="str">
        <f>IF('Bilancio primo strato'!D86&gt;0,1,"")</f>
        <v/>
      </c>
      <c r="L86" s="7">
        <f>Sintesi!$C$34</f>
        <v>9.0200000000000002E-2</v>
      </c>
      <c r="M86" s="7">
        <f>Sintesi!$C$33</f>
        <v>0.196996</v>
      </c>
      <c r="N86" s="1">
        <f>'Paste cell here'!AA86</f>
        <v>0.9</v>
      </c>
      <c r="O86" s="1">
        <f>'Paste cell here'!H86</f>
        <v>0.56968185900000001</v>
      </c>
      <c r="P86" s="1">
        <f t="shared" si="7"/>
        <v>96.116399999999999</v>
      </c>
      <c r="Q86" s="1">
        <f t="shared" si="8"/>
        <v>54.755769432387602</v>
      </c>
      <c r="R86" s="1">
        <f t="shared" si="9"/>
        <v>122.54063056761242</v>
      </c>
      <c r="S86" s="5">
        <f t="shared" si="10"/>
        <v>0.20610196122222224</v>
      </c>
      <c r="T86" s="5">
        <f t="shared" si="11"/>
        <v>0.13615625618623603</v>
      </c>
    </row>
    <row r="87" spans="1:20">
      <c r="A87" s="1">
        <v>86</v>
      </c>
      <c r="B87" s="2">
        <f>DATE(Sintesi!$C$4-1,12,31)+A87</f>
        <v>44282</v>
      </c>
      <c r="C87" s="1">
        <f>'Paste cell here'!T87</f>
        <v>0</v>
      </c>
      <c r="D87" s="1">
        <f>'Paste cell here'!AC87</f>
        <v>0</v>
      </c>
      <c r="E87" s="1">
        <f>'Paste cell here'!Y87</f>
        <v>0</v>
      </c>
      <c r="F87" s="1">
        <f>'Paste cell here'!AD87</f>
        <v>0.34557590999999999</v>
      </c>
      <c r="G87" s="1">
        <f>'Paste cell here'!W87</f>
        <v>0</v>
      </c>
      <c r="H87" s="1">
        <f>'Paste cell here'!AE87</f>
        <v>185.14618909999999</v>
      </c>
      <c r="I87" s="1">
        <f>'Paste cell here'!AF87</f>
        <v>185.49176510000001</v>
      </c>
      <c r="J87" s="1">
        <f t="shared" si="6"/>
        <v>9.0000014552060748E-8</v>
      </c>
      <c r="K87" s="1" t="str">
        <f>IF('Bilancio primo strato'!D87&gt;0,1,"")</f>
        <v/>
      </c>
      <c r="L87" s="7">
        <f>Sintesi!$C$34</f>
        <v>9.0200000000000002E-2</v>
      </c>
      <c r="M87" s="7">
        <f>Sintesi!$C$33</f>
        <v>0.196996</v>
      </c>
      <c r="N87" s="1">
        <f>'Paste cell here'!AA87</f>
        <v>0.9</v>
      </c>
      <c r="O87" s="1">
        <f>'Paste cell here'!H87</f>
        <v>0.57408849699999998</v>
      </c>
      <c r="P87" s="1">
        <f t="shared" si="7"/>
        <v>96.116399999999999</v>
      </c>
      <c r="Q87" s="1">
        <f t="shared" si="8"/>
        <v>55.179319613050794</v>
      </c>
      <c r="R87" s="1">
        <f t="shared" si="9"/>
        <v>122.11708038694924</v>
      </c>
      <c r="S87" s="5">
        <f t="shared" si="10"/>
        <v>0.20571798788888887</v>
      </c>
      <c r="T87" s="5">
        <f t="shared" si="11"/>
        <v>0.13568564487438806</v>
      </c>
    </row>
    <row r="88" spans="1:20">
      <c r="A88" s="1">
        <v>87</v>
      </c>
      <c r="B88" s="2">
        <f>DATE(Sintesi!$C$4-1,12,31)+A88</f>
        <v>44283</v>
      </c>
      <c r="C88" s="1">
        <f>'Paste cell here'!T88</f>
        <v>0</v>
      </c>
      <c r="D88" s="1">
        <f>'Paste cell here'!AC88</f>
        <v>0</v>
      </c>
      <c r="E88" s="1">
        <f>'Paste cell here'!Y88</f>
        <v>0</v>
      </c>
      <c r="F88" s="1">
        <f>'Paste cell here'!AD88</f>
        <v>0.33786238899999999</v>
      </c>
      <c r="G88" s="1">
        <f>'Paste cell here'!W88</f>
        <v>0</v>
      </c>
      <c r="H88" s="1">
        <f>'Paste cell here'!AE88</f>
        <v>184.8083268</v>
      </c>
      <c r="I88" s="1">
        <f>'Paste cell here'!AF88</f>
        <v>185.14618909999999</v>
      </c>
      <c r="J88" s="1">
        <f t="shared" si="6"/>
        <v>8.9000025127461413E-8</v>
      </c>
      <c r="K88" s="1" t="str">
        <f>IF('Bilancio primo strato'!D88&gt;0,1,"")</f>
        <v/>
      </c>
      <c r="L88" s="7">
        <f>Sintesi!$C$34</f>
        <v>9.0200000000000002E-2</v>
      </c>
      <c r="M88" s="7">
        <f>Sintesi!$C$33</f>
        <v>0.196996</v>
      </c>
      <c r="N88" s="1">
        <f>'Paste cell here'!AA88</f>
        <v>0.9</v>
      </c>
      <c r="O88" s="1">
        <f>'Paste cell here'!H88</f>
        <v>0.61937170900000005</v>
      </c>
      <c r="P88" s="1">
        <f t="shared" si="7"/>
        <v>96.116399999999999</v>
      </c>
      <c r="Q88" s="1">
        <f t="shared" si="8"/>
        <v>59.531778930927601</v>
      </c>
      <c r="R88" s="1">
        <f t="shared" si="9"/>
        <v>117.76462106907243</v>
      </c>
      <c r="S88" s="5">
        <f t="shared" si="10"/>
        <v>0.20534258533333333</v>
      </c>
      <c r="T88" s="5">
        <f t="shared" si="11"/>
        <v>0.13084957896563604</v>
      </c>
    </row>
    <row r="89" spans="1:20">
      <c r="A89" s="1">
        <v>88</v>
      </c>
      <c r="B89" s="2">
        <f>DATE(Sintesi!$C$4-1,12,31)+A89</f>
        <v>44284</v>
      </c>
      <c r="C89" s="1">
        <f>'Paste cell here'!T89</f>
        <v>0</v>
      </c>
      <c r="D89" s="1">
        <f>'Paste cell here'!AC89</f>
        <v>0</v>
      </c>
      <c r="E89" s="1">
        <f>'Paste cell here'!Y89</f>
        <v>0</v>
      </c>
      <c r="F89" s="1">
        <f>'Paste cell here'!AD89</f>
        <v>0.33046638499999997</v>
      </c>
      <c r="G89" s="1">
        <f>'Paste cell here'!W89</f>
        <v>0</v>
      </c>
      <c r="H89" s="1">
        <f>'Paste cell here'!AE89</f>
        <v>184.4778604</v>
      </c>
      <c r="I89" s="1">
        <f>'Paste cell here'!AF89</f>
        <v>184.8083268</v>
      </c>
      <c r="J89" s="1">
        <f t="shared" si="6"/>
        <v>1.5000011899246601E-8</v>
      </c>
      <c r="K89" s="1" t="str">
        <f>IF('Bilancio primo strato'!D89&gt;0,1,"")</f>
        <v/>
      </c>
      <c r="L89" s="7">
        <f>Sintesi!$C$34</f>
        <v>9.0200000000000002E-2</v>
      </c>
      <c r="M89" s="7">
        <f>Sintesi!$C$33</f>
        <v>0.196996</v>
      </c>
      <c r="N89" s="1">
        <f>'Paste cell here'!AA89</f>
        <v>0.9</v>
      </c>
      <c r="O89" s="1">
        <f>'Paste cell here'!H89</f>
        <v>0.57325796500000004</v>
      </c>
      <c r="P89" s="1">
        <f t="shared" si="7"/>
        <v>96.116399999999999</v>
      </c>
      <c r="Q89" s="1">
        <f t="shared" si="8"/>
        <v>55.099491867126005</v>
      </c>
      <c r="R89" s="1">
        <f t="shared" si="9"/>
        <v>122.19690813287403</v>
      </c>
      <c r="S89" s="5">
        <f t="shared" si="10"/>
        <v>0.20497540044444443</v>
      </c>
      <c r="T89" s="5">
        <f t="shared" si="11"/>
        <v>0.13577434236986002</v>
      </c>
    </row>
    <row r="90" spans="1:20">
      <c r="A90" s="1">
        <v>89</v>
      </c>
      <c r="B90" s="2">
        <f>DATE(Sintesi!$C$4-1,12,31)+A90</f>
        <v>44285</v>
      </c>
      <c r="C90" s="1">
        <f>'Paste cell here'!T90</f>
        <v>0</v>
      </c>
      <c r="D90" s="1">
        <f>'Paste cell here'!AC90</f>
        <v>0</v>
      </c>
      <c r="E90" s="1">
        <f>'Paste cell here'!Y90</f>
        <v>0</v>
      </c>
      <c r="F90" s="1">
        <f>'Paste cell here'!AD90</f>
        <v>0.32336906999999998</v>
      </c>
      <c r="G90" s="1">
        <f>'Paste cell here'!W90</f>
        <v>0</v>
      </c>
      <c r="H90" s="1">
        <f>'Paste cell here'!AE90</f>
        <v>184.15449129999999</v>
      </c>
      <c r="I90" s="1">
        <f>'Paste cell here'!AF90</f>
        <v>184.4778604</v>
      </c>
      <c r="J90" s="1">
        <f t="shared" si="6"/>
        <v>2.9999995376783772E-8</v>
      </c>
      <c r="K90" s="1" t="str">
        <f>IF('Bilancio primo strato'!D90&gt;0,1,"")</f>
        <v/>
      </c>
      <c r="L90" s="7">
        <f>Sintesi!$C$34</f>
        <v>9.0200000000000002E-2</v>
      </c>
      <c r="M90" s="7">
        <f>Sintesi!$C$33</f>
        <v>0.196996</v>
      </c>
      <c r="N90" s="1">
        <f>'Paste cell here'!AA90</f>
        <v>0.9</v>
      </c>
      <c r="O90" s="1">
        <f>'Paste cell here'!H90</f>
        <v>0.55500652800000005</v>
      </c>
      <c r="P90" s="1">
        <f t="shared" si="7"/>
        <v>96.116399999999999</v>
      </c>
      <c r="Q90" s="1">
        <f t="shared" si="8"/>
        <v>53.345229447859204</v>
      </c>
      <c r="R90" s="1">
        <f t="shared" si="9"/>
        <v>123.95117055214084</v>
      </c>
      <c r="S90" s="5">
        <f t="shared" si="10"/>
        <v>0.20461610144444442</v>
      </c>
      <c r="T90" s="5">
        <f t="shared" si="11"/>
        <v>0.13772352283571204</v>
      </c>
    </row>
    <row r="91" spans="1:20">
      <c r="A91" s="1">
        <v>90</v>
      </c>
      <c r="B91" s="2">
        <f>DATE(Sintesi!$C$4-1,12,31)+A91</f>
        <v>44286</v>
      </c>
      <c r="C91" s="1">
        <f>'Paste cell here'!T91</f>
        <v>0</v>
      </c>
      <c r="D91" s="1">
        <f>'Paste cell here'!AC91</f>
        <v>0</v>
      </c>
      <c r="E91" s="1">
        <f>'Paste cell here'!Y91</f>
        <v>0</v>
      </c>
      <c r="F91" s="1">
        <f>'Paste cell here'!AD91</f>
        <v>0.31655306300000002</v>
      </c>
      <c r="G91" s="1">
        <f>'Paste cell here'!W91</f>
        <v>0</v>
      </c>
      <c r="H91" s="1">
        <f>'Paste cell here'!AE91</f>
        <v>183.8379382</v>
      </c>
      <c r="I91" s="1">
        <f>'Paste cell here'!AF91</f>
        <v>184.15449129999999</v>
      </c>
      <c r="J91" s="1">
        <f t="shared" si="6"/>
        <v>3.7000006614107406E-8</v>
      </c>
      <c r="K91" s="1" t="str">
        <f>IF('Bilancio primo strato'!D91&gt;0,1,"")</f>
        <v/>
      </c>
      <c r="L91" s="7">
        <f>Sintesi!$C$34</f>
        <v>9.0200000000000002E-2</v>
      </c>
      <c r="M91" s="7">
        <f>Sintesi!$C$33</f>
        <v>0.196996</v>
      </c>
      <c r="N91" s="1">
        <f>'Paste cell here'!AA91</f>
        <v>0.9</v>
      </c>
      <c r="O91" s="1">
        <f>'Paste cell here'!H91</f>
        <v>0.53867558599999998</v>
      </c>
      <c r="P91" s="1">
        <f t="shared" si="7"/>
        <v>96.116399999999999</v>
      </c>
      <c r="Q91" s="1">
        <f t="shared" si="8"/>
        <v>51.775558094210396</v>
      </c>
      <c r="R91" s="1">
        <f t="shared" si="9"/>
        <v>125.52084190578964</v>
      </c>
      <c r="S91" s="5">
        <f t="shared" si="10"/>
        <v>0.20426437577777778</v>
      </c>
      <c r="T91" s="5">
        <f t="shared" si="11"/>
        <v>0.13946760211754405</v>
      </c>
    </row>
    <row r="92" spans="1:20">
      <c r="A92" s="1">
        <v>91</v>
      </c>
      <c r="B92" s="2">
        <f>DATE(Sintesi!$C$4-1,12,31)+A92</f>
        <v>44287</v>
      </c>
      <c r="C92" s="1">
        <f>'Paste cell here'!T92</f>
        <v>0</v>
      </c>
      <c r="D92" s="1">
        <f>'Paste cell here'!AC92</f>
        <v>0</v>
      </c>
      <c r="E92" s="1">
        <f>'Paste cell here'!Y92</f>
        <v>0</v>
      </c>
      <c r="F92" s="1">
        <f>'Paste cell here'!AD92</f>
        <v>0.31000228899999999</v>
      </c>
      <c r="G92" s="1">
        <f>'Paste cell here'!W92</f>
        <v>0</v>
      </c>
      <c r="H92" s="1">
        <f>'Paste cell here'!AE92</f>
        <v>183.52793600000001</v>
      </c>
      <c r="I92" s="1">
        <f>'Paste cell here'!AF92</f>
        <v>183.8379382</v>
      </c>
      <c r="J92" s="1">
        <f t="shared" si="6"/>
        <v>8.9000025127461413E-8</v>
      </c>
      <c r="K92" s="1" t="str">
        <f>IF('Bilancio primo strato'!D92&gt;0,1,"")</f>
        <v/>
      </c>
      <c r="L92" s="7">
        <f>Sintesi!$C$34</f>
        <v>9.0200000000000002E-2</v>
      </c>
      <c r="M92" s="7">
        <f>Sintesi!$C$33</f>
        <v>0.196996</v>
      </c>
      <c r="N92" s="1">
        <f>'Paste cell here'!AA92</f>
        <v>0.9</v>
      </c>
      <c r="O92" s="1">
        <f>'Paste cell here'!H92</f>
        <v>0.53122374800000005</v>
      </c>
      <c r="P92" s="1">
        <f t="shared" si="7"/>
        <v>96.116399999999999</v>
      </c>
      <c r="Q92" s="1">
        <f t="shared" si="8"/>
        <v>51.059314252267207</v>
      </c>
      <c r="R92" s="1">
        <f t="shared" si="9"/>
        <v>126.23708574773283</v>
      </c>
      <c r="S92" s="5">
        <f t="shared" si="10"/>
        <v>0.20391992888888891</v>
      </c>
      <c r="T92" s="5">
        <f t="shared" si="11"/>
        <v>0.14026342860859203</v>
      </c>
    </row>
    <row r="93" spans="1:20">
      <c r="A93" s="1">
        <v>92</v>
      </c>
      <c r="B93" s="2">
        <f>DATE(Sintesi!$C$4-1,12,31)+A93</f>
        <v>44288</v>
      </c>
      <c r="C93" s="1">
        <f>'Paste cell here'!T93</f>
        <v>0</v>
      </c>
      <c r="D93" s="1">
        <f>'Paste cell here'!AC93</f>
        <v>0</v>
      </c>
      <c r="E93" s="1">
        <f>'Paste cell here'!Y93</f>
        <v>0</v>
      </c>
      <c r="F93" s="1">
        <f>'Paste cell here'!AD93</f>
        <v>0.30370186700000001</v>
      </c>
      <c r="G93" s="1">
        <f>'Paste cell here'!W93</f>
        <v>0</v>
      </c>
      <c r="H93" s="1">
        <f>'Paste cell here'!AE93</f>
        <v>183.22423409999999</v>
      </c>
      <c r="I93" s="1">
        <f>'Paste cell here'!AF93</f>
        <v>183.52793600000001</v>
      </c>
      <c r="J93" s="1">
        <f t="shared" si="6"/>
        <v>3.3000020494000637E-8</v>
      </c>
      <c r="K93" s="1" t="str">
        <f>IF('Bilancio primo strato'!D93&gt;0,1,"")</f>
        <v/>
      </c>
      <c r="L93" s="7">
        <f>Sintesi!$C$34</f>
        <v>9.0200000000000002E-2</v>
      </c>
      <c r="M93" s="7">
        <f>Sintesi!$C$33</f>
        <v>0.196996</v>
      </c>
      <c r="N93" s="1">
        <f>'Paste cell here'!AA93</f>
        <v>0.9</v>
      </c>
      <c r="O93" s="1">
        <f>'Paste cell here'!H93</f>
        <v>0.50796950200000002</v>
      </c>
      <c r="P93" s="1">
        <f t="shared" si="7"/>
        <v>96.116399999999999</v>
      </c>
      <c r="Q93" s="1">
        <f t="shared" si="8"/>
        <v>48.824199842032804</v>
      </c>
      <c r="R93" s="1">
        <f t="shared" si="9"/>
        <v>128.47220015796722</v>
      </c>
      <c r="S93" s="5">
        <f t="shared" si="10"/>
        <v>0.20358248233333331</v>
      </c>
      <c r="T93" s="5">
        <f t="shared" si="11"/>
        <v>0.14274688906440802</v>
      </c>
    </row>
    <row r="94" spans="1:20">
      <c r="A94" s="1">
        <v>93</v>
      </c>
      <c r="B94" s="2">
        <f>DATE(Sintesi!$C$4-1,12,31)+A94</f>
        <v>44289</v>
      </c>
      <c r="C94" s="1">
        <f>'Paste cell here'!T94</f>
        <v>0</v>
      </c>
      <c r="D94" s="1">
        <f>'Paste cell here'!AC94</f>
        <v>0</v>
      </c>
      <c r="E94" s="1">
        <f>'Paste cell here'!Y94</f>
        <v>0.27717724999999999</v>
      </c>
      <c r="F94" s="1">
        <f>'Paste cell here'!AD94</f>
        <v>0.276875023</v>
      </c>
      <c r="G94" s="1">
        <f>'Paste cell here'!W94</f>
        <v>0</v>
      </c>
      <c r="H94" s="1">
        <f>'Paste cell here'!AE94</f>
        <v>40.162444190000002</v>
      </c>
      <c r="I94" s="1">
        <f>'Paste cell here'!AF94</f>
        <v>40.716496460000002</v>
      </c>
      <c r="J94" s="1">
        <f t="shared" si="6"/>
        <v>3.0000038009347918E-9</v>
      </c>
      <c r="K94" s="1" t="str">
        <f>IF('Bilancio primo strato'!D94&gt;0,1,"")</f>
        <v/>
      </c>
      <c r="L94" s="7">
        <f>Sintesi!$C$34</f>
        <v>9.0200000000000002E-2</v>
      </c>
      <c r="M94" s="7">
        <f>Sintesi!$C$33</f>
        <v>0.196996</v>
      </c>
      <c r="N94" s="1">
        <f>'Paste cell here'!AA94</f>
        <v>0.2</v>
      </c>
      <c r="O94" s="1">
        <f>'Paste cell here'!H94</f>
        <v>0.48284470899999998</v>
      </c>
      <c r="P94" s="1">
        <f t="shared" si="7"/>
        <v>21.359200000000001</v>
      </c>
      <c r="Q94" s="1">
        <f t="shared" si="8"/>
        <v>10.313176708472801</v>
      </c>
      <c r="R94" s="1">
        <f t="shared" si="9"/>
        <v>29.086023291527198</v>
      </c>
      <c r="S94" s="5">
        <f t="shared" si="10"/>
        <v>0.20081222095000001</v>
      </c>
      <c r="T94" s="5">
        <f t="shared" si="11"/>
        <v>0.14543011645763598</v>
      </c>
    </row>
    <row r="95" spans="1:20">
      <c r="A95" s="1">
        <v>94</v>
      </c>
      <c r="B95" s="2">
        <f>DATE(Sintesi!$C$4-1,12,31)+A95</f>
        <v>44290</v>
      </c>
      <c r="C95" s="1">
        <f>'Paste cell here'!T95</f>
        <v>0</v>
      </c>
      <c r="D95" s="1">
        <f>'Paste cell here'!AC95</f>
        <v>0</v>
      </c>
      <c r="E95" s="1">
        <f>'Paste cell here'!Y95</f>
        <v>0.490676116</v>
      </c>
      <c r="F95" s="1">
        <f>'Paste cell here'!AD95</f>
        <v>0.22797864300000001</v>
      </c>
      <c r="G95" s="1">
        <f>'Paste cell here'!W95</f>
        <v>0</v>
      </c>
      <c r="H95" s="1">
        <f>'Paste cell here'!AE95</f>
        <v>39.443789430000002</v>
      </c>
      <c r="I95" s="1">
        <f>'Paste cell here'!AF95</f>
        <v>40.162444190000002</v>
      </c>
      <c r="J95" s="1">
        <f t="shared" si="6"/>
        <v>9.999965300266922E-10</v>
      </c>
      <c r="K95" s="1" t="str">
        <f>IF('Bilancio primo strato'!D95&gt;0,1,"")</f>
        <v/>
      </c>
      <c r="L95" s="7">
        <f>Sintesi!$C$34</f>
        <v>9.0200000000000002E-2</v>
      </c>
      <c r="M95" s="7">
        <f>Sintesi!$C$33</f>
        <v>0.196996</v>
      </c>
      <c r="N95" s="1">
        <f>'Paste cell here'!AA95</f>
        <v>0.2</v>
      </c>
      <c r="O95" s="1">
        <f>'Paste cell here'!H95</f>
        <v>0.52221524799999997</v>
      </c>
      <c r="P95" s="1">
        <f t="shared" si="7"/>
        <v>21.359200000000001</v>
      </c>
      <c r="Q95" s="1">
        <f t="shared" si="8"/>
        <v>11.154099925081599</v>
      </c>
      <c r="R95" s="1">
        <f t="shared" si="9"/>
        <v>28.245100074918401</v>
      </c>
      <c r="S95" s="5">
        <f t="shared" si="10"/>
        <v>0.19721894715000002</v>
      </c>
      <c r="T95" s="5">
        <f t="shared" si="11"/>
        <v>0.141225500374592</v>
      </c>
    </row>
    <row r="96" spans="1:20">
      <c r="A96" s="1">
        <v>95</v>
      </c>
      <c r="B96" s="2">
        <f>DATE(Sintesi!$C$4-1,12,31)+A96</f>
        <v>44291</v>
      </c>
      <c r="C96" s="1">
        <f>'Paste cell here'!T96</f>
        <v>0</v>
      </c>
      <c r="D96" s="1">
        <f>'Paste cell here'!AC96</f>
        <v>0</v>
      </c>
      <c r="E96" s="1">
        <f>'Paste cell here'!Y96</f>
        <v>0.4881839</v>
      </c>
      <c r="F96" s="1">
        <f>'Paste cell here'!AD96</f>
        <v>0.18354227400000001</v>
      </c>
      <c r="G96" s="1">
        <f>'Paste cell here'!W96</f>
        <v>0</v>
      </c>
      <c r="H96" s="1">
        <f>'Paste cell here'!AE96</f>
        <v>40.15103526</v>
      </c>
      <c r="I96" s="1">
        <f>'Paste cell here'!AF96</f>
        <v>40.82276143</v>
      </c>
      <c r="J96" s="1">
        <f t="shared" si="6"/>
        <v>4.000000330961484E-9</v>
      </c>
      <c r="K96" s="1" t="str">
        <f>IF('Bilancio primo strato'!D96&gt;0,1,"")</f>
        <v/>
      </c>
      <c r="L96" s="7">
        <f>Sintesi!$C$34</f>
        <v>9.0200000000000002E-2</v>
      </c>
      <c r="M96" s="7">
        <f>Sintesi!$C$33</f>
        <v>0.196996</v>
      </c>
      <c r="N96" s="1">
        <f>'Paste cell here'!AA96</f>
        <v>0.20699999999999999</v>
      </c>
      <c r="O96" s="1">
        <f>'Paste cell here'!H96</f>
        <v>0.54160819199999999</v>
      </c>
      <c r="P96" s="1">
        <f t="shared" si="7"/>
        <v>22.106771999999999</v>
      </c>
      <c r="Q96" s="1">
        <f t="shared" si="8"/>
        <v>11.973208813876223</v>
      </c>
      <c r="R96" s="1">
        <f t="shared" si="9"/>
        <v>28.804963186123775</v>
      </c>
      <c r="S96" s="5">
        <f t="shared" si="10"/>
        <v>0.19396635391304348</v>
      </c>
      <c r="T96" s="5">
        <f t="shared" si="11"/>
        <v>0.13915441152716798</v>
      </c>
    </row>
    <row r="97" spans="1:20">
      <c r="A97" s="1">
        <v>96</v>
      </c>
      <c r="B97" s="2">
        <f>DATE(Sintesi!$C$4-1,12,31)+A97</f>
        <v>44292</v>
      </c>
      <c r="C97" s="1">
        <f>'Paste cell here'!T97</f>
        <v>0</v>
      </c>
      <c r="D97" s="1">
        <f>'Paste cell here'!AC97</f>
        <v>0</v>
      </c>
      <c r="E97" s="1">
        <f>'Paste cell here'!Y97</f>
        <v>0.499120909</v>
      </c>
      <c r="F97" s="1">
        <f>'Paste cell here'!AD97</f>
        <v>0.150699747</v>
      </c>
      <c r="G97" s="1">
        <f>'Paste cell here'!W97</f>
        <v>0</v>
      </c>
      <c r="H97" s="1">
        <f>'Paste cell here'!AE97</f>
        <v>40.880186600000002</v>
      </c>
      <c r="I97" s="1">
        <f>'Paste cell here'!AF97</f>
        <v>41.530007259999998</v>
      </c>
      <c r="J97" s="1">
        <f t="shared" si="6"/>
        <v>4.000000330961484E-9</v>
      </c>
      <c r="K97" s="1" t="str">
        <f>IF('Bilancio primo strato'!D97&gt;0,1,"")</f>
        <v/>
      </c>
      <c r="L97" s="7">
        <f>Sintesi!$C$34</f>
        <v>9.0200000000000002E-2</v>
      </c>
      <c r="M97" s="7">
        <f>Sintesi!$C$33</f>
        <v>0.196996</v>
      </c>
      <c r="N97" s="1">
        <f>'Paste cell here'!AA97</f>
        <v>0.214</v>
      </c>
      <c r="O97" s="1">
        <f>'Paste cell here'!H97</f>
        <v>0.54192249299999995</v>
      </c>
      <c r="P97" s="1">
        <f t="shared" si="7"/>
        <v>22.854343999999998</v>
      </c>
      <c r="Q97" s="1">
        <f t="shared" si="8"/>
        <v>12.38528307635959</v>
      </c>
      <c r="R97" s="1">
        <f t="shared" si="9"/>
        <v>29.771860923640411</v>
      </c>
      <c r="S97" s="5">
        <f t="shared" si="10"/>
        <v>0.19102890934579439</v>
      </c>
      <c r="T97" s="5">
        <f t="shared" si="11"/>
        <v>0.139120845437572</v>
      </c>
    </row>
    <row r="98" spans="1:20">
      <c r="A98" s="1">
        <v>97</v>
      </c>
      <c r="B98" s="2">
        <f>DATE(Sintesi!$C$4-1,12,31)+A98</f>
        <v>44293</v>
      </c>
      <c r="C98" s="1">
        <f>'Paste cell here'!T98</f>
        <v>0</v>
      </c>
      <c r="D98" s="1">
        <f>'Paste cell here'!AC98</f>
        <v>0</v>
      </c>
      <c r="E98" s="1">
        <f>'Paste cell here'!Y98</f>
        <v>0.54382363099999997</v>
      </c>
      <c r="F98" s="1">
        <f>'Paste cell here'!AD98</f>
        <v>0.12485307900000001</v>
      </c>
      <c r="G98" s="1">
        <f>'Paste cell here'!W98</f>
        <v>0</v>
      </c>
      <c r="H98" s="1">
        <f>'Paste cell here'!AE98</f>
        <v>41.59048189</v>
      </c>
      <c r="I98" s="1">
        <f>'Paste cell here'!AF98</f>
        <v>42.259158599999999</v>
      </c>
      <c r="J98" s="1">
        <f t="shared" si="6"/>
        <v>0</v>
      </c>
      <c r="K98" s="1" t="str">
        <f>IF('Bilancio primo strato'!D98&gt;0,1,"")</f>
        <v/>
      </c>
      <c r="L98" s="7">
        <f>Sintesi!$C$34</f>
        <v>9.0200000000000002E-2</v>
      </c>
      <c r="M98" s="7">
        <f>Sintesi!$C$33</f>
        <v>0.196996</v>
      </c>
      <c r="N98" s="1">
        <f>'Paste cell here'!AA98</f>
        <v>0.221</v>
      </c>
      <c r="O98" s="1">
        <f>'Paste cell here'!H98</f>
        <v>0.53533876499999999</v>
      </c>
      <c r="P98" s="1">
        <f t="shared" si="7"/>
        <v>23.601915999999999</v>
      </c>
      <c r="Q98" s="1">
        <f t="shared" si="8"/>
        <v>12.63502056307374</v>
      </c>
      <c r="R98" s="1">
        <f t="shared" si="9"/>
        <v>30.901095436926262</v>
      </c>
      <c r="S98" s="5">
        <f t="shared" si="10"/>
        <v>0.18819222574660632</v>
      </c>
      <c r="T98" s="5">
        <f t="shared" si="11"/>
        <v>0.13982396125306001</v>
      </c>
    </row>
    <row r="99" spans="1:20">
      <c r="A99" s="1">
        <v>98</v>
      </c>
      <c r="B99" s="2">
        <f>DATE(Sintesi!$C$4-1,12,31)+A99</f>
        <v>44294</v>
      </c>
      <c r="C99" s="1">
        <f>'Paste cell here'!T99</f>
        <v>0</v>
      </c>
      <c r="D99" s="1">
        <f>'Paste cell here'!AC99</f>
        <v>0</v>
      </c>
      <c r="E99" s="1">
        <f>'Paste cell here'!Y99</f>
        <v>0.51778213399999995</v>
      </c>
      <c r="F99" s="1">
        <f>'Paste cell here'!AD99</f>
        <v>0.104882341</v>
      </c>
      <c r="G99" s="1">
        <f>'Paste cell here'!W99</f>
        <v>0</v>
      </c>
      <c r="H99" s="1">
        <f>'Paste cell here'!AE99</f>
        <v>42.543785419999999</v>
      </c>
      <c r="I99" s="1">
        <f>'Paste cell here'!AF99</f>
        <v>43.166449890000003</v>
      </c>
      <c r="J99" s="1">
        <f t="shared" si="6"/>
        <v>4.9999968609881762E-9</v>
      </c>
      <c r="K99" s="1" t="str">
        <f>IF('Bilancio primo strato'!D99&gt;0,1,"")</f>
        <v/>
      </c>
      <c r="L99" s="7">
        <f>Sintesi!$C$34</f>
        <v>9.0200000000000002E-2</v>
      </c>
      <c r="M99" s="7">
        <f>Sintesi!$C$33</f>
        <v>0.196996</v>
      </c>
      <c r="N99" s="1">
        <f>'Paste cell here'!AA99</f>
        <v>0.22900000000000001</v>
      </c>
      <c r="O99" s="1">
        <f>'Paste cell here'!H99</f>
        <v>0.51680301399999995</v>
      </c>
      <c r="P99" s="1">
        <f t="shared" si="7"/>
        <v>24.456284</v>
      </c>
      <c r="Q99" s="1">
        <f t="shared" si="8"/>
        <v>12.639081282439975</v>
      </c>
      <c r="R99" s="1">
        <f t="shared" si="9"/>
        <v>32.473002717560028</v>
      </c>
      <c r="S99" s="5">
        <f t="shared" si="10"/>
        <v>0.1857807223580786</v>
      </c>
      <c r="T99" s="5">
        <f t="shared" si="11"/>
        <v>0.14180350531685601</v>
      </c>
    </row>
    <row r="100" spans="1:20">
      <c r="A100" s="1">
        <v>99</v>
      </c>
      <c r="B100" s="2">
        <f>DATE(Sintesi!$C$4-1,12,31)+A100</f>
        <v>44295</v>
      </c>
      <c r="C100" s="1">
        <f>'Paste cell here'!T100</f>
        <v>0</v>
      </c>
      <c r="D100" s="1">
        <f>'Paste cell here'!AC100</f>
        <v>0</v>
      </c>
      <c r="E100" s="1">
        <f>'Paste cell here'!Y100</f>
        <v>0.34521670799999998</v>
      </c>
      <c r="F100" s="1">
        <f>'Paste cell here'!AD100</f>
        <v>9.1499999999999998E-2</v>
      </c>
      <c r="G100" s="1">
        <f>'Paste cell here'!W100</f>
        <v>0</v>
      </c>
      <c r="H100" s="1">
        <f>'Paste cell here'!AE100</f>
        <v>43.486041530000001</v>
      </c>
      <c r="I100" s="1">
        <f>'Paste cell here'!AF100</f>
        <v>43.922757420000003</v>
      </c>
      <c r="J100" s="1">
        <f t="shared" si="6"/>
        <v>8.1800000373277726E-7</v>
      </c>
      <c r="K100" s="1" t="str">
        <f>IF('Bilancio primo strato'!D100&gt;0,1,"")</f>
        <v/>
      </c>
      <c r="L100" s="7">
        <f>Sintesi!$C$34</f>
        <v>9.0200000000000002E-2</v>
      </c>
      <c r="M100" s="7">
        <f>Sintesi!$C$33</f>
        <v>0.196996</v>
      </c>
      <c r="N100" s="1">
        <f>'Paste cell here'!AA100</f>
        <v>0.23599999999999999</v>
      </c>
      <c r="O100" s="1">
        <f>'Paste cell here'!H100</f>
        <v>0.53034326700000001</v>
      </c>
      <c r="P100" s="1">
        <f t="shared" si="7"/>
        <v>25.203856000000002</v>
      </c>
      <c r="Q100" s="1">
        <f t="shared" si="8"/>
        <v>13.366695332037553</v>
      </c>
      <c r="R100" s="1">
        <f t="shared" si="9"/>
        <v>33.124360667962442</v>
      </c>
      <c r="S100" s="5">
        <f t="shared" si="10"/>
        <v>0.18426288783898306</v>
      </c>
      <c r="T100" s="5">
        <f t="shared" si="11"/>
        <v>0.14035746045746797</v>
      </c>
    </row>
    <row r="101" spans="1:20">
      <c r="A101" s="1">
        <v>100</v>
      </c>
      <c r="B101" s="2">
        <f>DATE(Sintesi!$C$4-1,12,31)+A101</f>
        <v>44296</v>
      </c>
      <c r="C101" s="1">
        <f>'Paste cell here'!T101</f>
        <v>1.06E-13</v>
      </c>
      <c r="D101" s="1">
        <f>'Paste cell here'!AC101</f>
        <v>0</v>
      </c>
      <c r="E101" s="1">
        <f>'Paste cell here'!Y101</f>
        <v>0.29220022400000001</v>
      </c>
      <c r="F101" s="1">
        <f>'Paste cell here'!AD101</f>
        <v>8.3299999999999999E-2</v>
      </c>
      <c r="G101" s="1">
        <f>'Paste cell here'!W101</f>
        <v>0</v>
      </c>
      <c r="H101" s="1">
        <f>'Paste cell here'!AE101</f>
        <v>44.489494610000001</v>
      </c>
      <c r="I101" s="1">
        <f>'Paste cell here'!AF101</f>
        <v>44.865013529999999</v>
      </c>
      <c r="J101" s="1">
        <f t="shared" si="6"/>
        <v>1.8696000104512223E-5</v>
      </c>
      <c r="K101" s="1" t="str">
        <f>IF('Bilancio primo strato'!D101&gt;0,1,"")</f>
        <v/>
      </c>
      <c r="L101" s="7">
        <f>Sintesi!$C$34</f>
        <v>9.0200000000000002E-2</v>
      </c>
      <c r="M101" s="7">
        <f>Sintesi!$C$33</f>
        <v>0.196996</v>
      </c>
      <c r="N101" s="1">
        <f>'Paste cell here'!AA101</f>
        <v>0.24299999999999999</v>
      </c>
      <c r="O101" s="1">
        <f>'Paste cell here'!H101</f>
        <v>0.589934128</v>
      </c>
      <c r="P101" s="1">
        <f t="shared" si="7"/>
        <v>25.951428</v>
      </c>
      <c r="Q101" s="1">
        <f t="shared" si="8"/>
        <v>15.309633047534785</v>
      </c>
      <c r="R101" s="1">
        <f t="shared" si="9"/>
        <v>32.560394952465217</v>
      </c>
      <c r="S101" s="5">
        <f t="shared" si="10"/>
        <v>0.18308433995884774</v>
      </c>
      <c r="T101" s="5">
        <f t="shared" si="11"/>
        <v>0.133993394866112</v>
      </c>
    </row>
    <row r="102" spans="1:20">
      <c r="A102" s="1">
        <v>101</v>
      </c>
      <c r="B102" s="2">
        <f>DATE(Sintesi!$C$4-1,12,31)+A102</f>
        <v>44297</v>
      </c>
      <c r="C102" s="1">
        <f>'Paste cell here'!T102</f>
        <v>1.11E-5</v>
      </c>
      <c r="D102" s="1">
        <f>'Paste cell here'!AC102</f>
        <v>0</v>
      </c>
      <c r="E102" s="1">
        <f>'Paste cell here'!Y102</f>
        <v>0.16198099199999999</v>
      </c>
      <c r="F102" s="1">
        <f>'Paste cell here'!AD102</f>
        <v>7.8299999999999995E-2</v>
      </c>
      <c r="G102" s="1">
        <f>'Paste cell here'!W102</f>
        <v>0</v>
      </c>
      <c r="H102" s="1">
        <f>'Paste cell here'!AE102</f>
        <v>45.628175910000003</v>
      </c>
      <c r="I102" s="1">
        <f>'Paste cell here'!AF102</f>
        <v>45.868466609999999</v>
      </c>
      <c r="J102" s="1">
        <f t="shared" si="6"/>
        <v>2.0808000002148219E-5</v>
      </c>
      <c r="K102" s="1" t="str">
        <f>IF('Bilancio primo strato'!D102&gt;0,1,"")</f>
        <v/>
      </c>
      <c r="L102" s="7">
        <f>Sintesi!$C$34</f>
        <v>9.0200000000000002E-2</v>
      </c>
      <c r="M102" s="7">
        <f>Sintesi!$C$33</f>
        <v>0.196996</v>
      </c>
      <c r="N102" s="1">
        <f>'Paste cell here'!AA102</f>
        <v>0.25</v>
      </c>
      <c r="O102" s="1">
        <f>'Paste cell here'!H102</f>
        <v>0.60718670200000002</v>
      </c>
      <c r="P102" s="1">
        <f t="shared" si="7"/>
        <v>26.699000000000002</v>
      </c>
      <c r="Q102" s="1">
        <f t="shared" si="8"/>
        <v>16.211277756698003</v>
      </c>
      <c r="R102" s="1">
        <f t="shared" si="9"/>
        <v>33.037722243301999</v>
      </c>
      <c r="S102" s="5">
        <f t="shared" si="10"/>
        <v>0.18251270364000002</v>
      </c>
      <c r="T102" s="5">
        <f t="shared" si="11"/>
        <v>0.13215088897320801</v>
      </c>
    </row>
    <row r="103" spans="1:20">
      <c r="A103" s="1">
        <v>102</v>
      </c>
      <c r="B103" s="2">
        <f>DATE(Sintesi!$C$4-1,12,31)+A103</f>
        <v>44298</v>
      </c>
      <c r="C103" s="1">
        <f>'Paste cell here'!T103</f>
        <v>3.64E-3</v>
      </c>
      <c r="D103" s="1">
        <f>'Paste cell here'!AC103</f>
        <v>0</v>
      </c>
      <c r="E103" s="1">
        <f>'Paste cell here'!Y103</f>
        <v>0.15785227199999999</v>
      </c>
      <c r="F103" s="1">
        <f>'Paste cell here'!AD103</f>
        <v>7.5399999999999995E-2</v>
      </c>
      <c r="G103" s="1">
        <f>'Paste cell here'!W103</f>
        <v>0</v>
      </c>
      <c r="H103" s="1">
        <f>'Paste cell here'!AE103</f>
        <v>46.777552530000001</v>
      </c>
      <c r="I103" s="1">
        <f>'Paste cell here'!AF103</f>
        <v>47.00714791</v>
      </c>
      <c r="J103" s="1">
        <f t="shared" si="6"/>
        <v>1.6892000004986585E-5</v>
      </c>
      <c r="K103" s="1" t="str">
        <f>IF('Bilancio primo strato'!D103&gt;0,1,"")</f>
        <v/>
      </c>
      <c r="L103" s="7">
        <f>Sintesi!$C$34</f>
        <v>9.0200000000000002E-2</v>
      </c>
      <c r="M103" s="7">
        <f>Sintesi!$C$33</f>
        <v>0.196996</v>
      </c>
      <c r="N103" s="1">
        <f>'Paste cell here'!AA103</f>
        <v>0.25700000000000001</v>
      </c>
      <c r="O103" s="1">
        <f>'Paste cell here'!H103</f>
        <v>0.65085172800000002</v>
      </c>
      <c r="P103" s="1">
        <f t="shared" si="7"/>
        <v>27.446572000000003</v>
      </c>
      <c r="Q103" s="1">
        <f t="shared" si="8"/>
        <v>17.86364881387642</v>
      </c>
      <c r="R103" s="1">
        <f t="shared" si="9"/>
        <v>32.764323186123576</v>
      </c>
      <c r="S103" s="5">
        <f t="shared" si="10"/>
        <v>0.18201382307392996</v>
      </c>
      <c r="T103" s="5">
        <f t="shared" si="11"/>
        <v>0.12748763885651196</v>
      </c>
    </row>
    <row r="104" spans="1:20">
      <c r="A104" s="1">
        <v>103</v>
      </c>
      <c r="B104" s="2">
        <f>DATE(Sintesi!$C$4-1,12,31)+A104</f>
        <v>44299</v>
      </c>
      <c r="C104" s="1">
        <f>'Paste cell here'!T104</f>
        <v>1.43E-2</v>
      </c>
      <c r="D104" s="1">
        <f>'Paste cell here'!AC104</f>
        <v>0</v>
      </c>
      <c r="E104" s="1">
        <f>'Paste cell here'!Y104</f>
        <v>0.39997603300000001</v>
      </c>
      <c r="F104" s="1">
        <f>'Paste cell here'!AD104</f>
        <v>7.0800000000000002E-2</v>
      </c>
      <c r="G104" s="1">
        <f>'Paste cell here'!W104</f>
        <v>0</v>
      </c>
      <c r="H104" s="1">
        <f>'Paste cell here'!AE104</f>
        <v>47.700113289999997</v>
      </c>
      <c r="I104" s="1">
        <f>'Paste cell here'!AF104</f>
        <v>48.156524529999999</v>
      </c>
      <c r="J104" s="1">
        <f t="shared" si="6"/>
        <v>6.4792999999951917E-5</v>
      </c>
      <c r="K104" s="1" t="str">
        <f>IF('Bilancio primo strato'!D104&gt;0,1,"")</f>
        <v/>
      </c>
      <c r="L104" s="7">
        <f>Sintesi!$C$34</f>
        <v>9.0200000000000002E-2</v>
      </c>
      <c r="M104" s="7">
        <f>Sintesi!$C$33</f>
        <v>0.196996</v>
      </c>
      <c r="N104" s="1">
        <f>'Paste cell here'!AA104</f>
        <v>0.26400000000000001</v>
      </c>
      <c r="O104" s="1">
        <f>'Paste cell here'!H104</f>
        <v>0.65275704800000001</v>
      </c>
      <c r="P104" s="1">
        <f t="shared" si="7"/>
        <v>28.194144000000001</v>
      </c>
      <c r="Q104" s="1">
        <f t="shared" si="8"/>
        <v>18.403926208326912</v>
      </c>
      <c r="R104" s="1">
        <f t="shared" si="9"/>
        <v>33.603017791673096</v>
      </c>
      <c r="S104" s="5">
        <f t="shared" si="10"/>
        <v>0.18068224731060606</v>
      </c>
      <c r="T104" s="5">
        <f t="shared" si="11"/>
        <v>0.12728415830179204</v>
      </c>
    </row>
    <row r="105" spans="1:20">
      <c r="A105" s="1">
        <v>104</v>
      </c>
      <c r="B105" s="2">
        <f>DATE(Sintesi!$C$4-1,12,31)+A105</f>
        <v>44300</v>
      </c>
      <c r="C105" s="1">
        <f>'Paste cell here'!T105</f>
        <v>4.4200000000000003E-3</v>
      </c>
      <c r="D105" s="1">
        <f>'Paste cell here'!AC105</f>
        <v>0</v>
      </c>
      <c r="E105" s="1">
        <f>'Paste cell here'!Y105</f>
        <v>0.46604940500000003</v>
      </c>
      <c r="F105" s="1">
        <f>'Paste cell here'!AD105</f>
        <v>6.3899999999999998E-2</v>
      </c>
      <c r="G105" s="1">
        <f>'Paste cell here'!W105</f>
        <v>0</v>
      </c>
      <c r="H105" s="1">
        <f>'Paste cell here'!AE105</f>
        <v>48.553530840000001</v>
      </c>
      <c r="I105" s="1">
        <f>'Paste cell here'!AF105</f>
        <v>49.079085290000002</v>
      </c>
      <c r="J105" s="1">
        <f t="shared" si="6"/>
        <v>2.5045000008105944E-5</v>
      </c>
      <c r="K105" s="1" t="str">
        <f>IF('Bilancio primo strato'!D105&gt;0,1,"")</f>
        <v/>
      </c>
      <c r="L105" s="7">
        <f>Sintesi!$C$34</f>
        <v>9.0200000000000002E-2</v>
      </c>
      <c r="M105" s="7">
        <f>Sintesi!$C$33</f>
        <v>0.196996</v>
      </c>
      <c r="N105" s="1">
        <f>'Paste cell here'!AA105</f>
        <v>0.27100000000000002</v>
      </c>
      <c r="O105" s="1">
        <f>'Paste cell here'!H105</f>
        <v>0.57328489199999999</v>
      </c>
      <c r="P105" s="1">
        <f t="shared" si="7"/>
        <v>28.941716000000003</v>
      </c>
      <c r="Q105" s="1">
        <f t="shared" si="8"/>
        <v>16.591848531354675</v>
      </c>
      <c r="R105" s="1">
        <f t="shared" si="9"/>
        <v>36.794067468645338</v>
      </c>
      <c r="S105" s="5">
        <f t="shared" si="10"/>
        <v>0.17916432044280442</v>
      </c>
      <c r="T105" s="5">
        <f t="shared" si="11"/>
        <v>0.13577146667396803</v>
      </c>
    </row>
    <row r="106" spans="1:20">
      <c r="A106" s="1">
        <v>105</v>
      </c>
      <c r="B106" s="2">
        <f>DATE(Sintesi!$C$4-1,12,31)+A106</f>
        <v>44301</v>
      </c>
      <c r="C106" s="1">
        <f>'Paste cell here'!T106</f>
        <v>3.1100000000000002E-4</v>
      </c>
      <c r="D106" s="1">
        <f>'Paste cell here'!AC106</f>
        <v>0</v>
      </c>
      <c r="E106" s="1">
        <f>'Paste cell here'!Y106</f>
        <v>0.373787174</v>
      </c>
      <c r="F106" s="1">
        <f>'Paste cell here'!AD106</f>
        <v>5.8400000000000001E-2</v>
      </c>
      <c r="G106" s="1">
        <f>'Paste cell here'!W106</f>
        <v>0</v>
      </c>
      <c r="H106" s="1">
        <f>'Paste cell here'!AE106</f>
        <v>49.697665919999999</v>
      </c>
      <c r="I106" s="1">
        <f>'Paste cell here'!AF106</f>
        <v>50.129498839999997</v>
      </c>
      <c r="J106" s="1">
        <f t="shared" si="6"/>
        <v>4.3253999997716619E-5</v>
      </c>
      <c r="K106" s="1" t="str">
        <f>IF('Bilancio primo strato'!D106&gt;0,1,"")</f>
        <v/>
      </c>
      <c r="L106" s="7">
        <f>Sintesi!$C$34</f>
        <v>9.0200000000000002E-2</v>
      </c>
      <c r="M106" s="7">
        <f>Sintesi!$C$33</f>
        <v>0.196996</v>
      </c>
      <c r="N106" s="1">
        <f>'Paste cell here'!AA106</f>
        <v>0.27900000000000003</v>
      </c>
      <c r="O106" s="1">
        <f>'Paste cell here'!H106</f>
        <v>0.54762958900000003</v>
      </c>
      <c r="P106" s="1">
        <f t="shared" si="7"/>
        <v>29.796084000000004</v>
      </c>
      <c r="Q106" s="1">
        <f t="shared" si="8"/>
        <v>16.31721723472948</v>
      </c>
      <c r="R106" s="1">
        <f t="shared" si="9"/>
        <v>38.644666765270529</v>
      </c>
      <c r="S106" s="5">
        <f t="shared" si="10"/>
        <v>0.17812783483870967</v>
      </c>
      <c r="T106" s="5">
        <f t="shared" si="11"/>
        <v>0.13851135041315601</v>
      </c>
    </row>
    <row r="107" spans="1:20">
      <c r="A107" s="1">
        <v>106</v>
      </c>
      <c r="B107" s="2">
        <f>DATE(Sintesi!$C$4-1,12,31)+A107</f>
        <v>44302</v>
      </c>
      <c r="C107" s="1">
        <f>'Paste cell here'!T107</f>
        <v>3.79E-5</v>
      </c>
      <c r="D107" s="1">
        <f>'Paste cell here'!AC107</f>
        <v>0</v>
      </c>
      <c r="E107" s="1">
        <f>'Paste cell here'!Y107</f>
        <v>0.433909239</v>
      </c>
      <c r="F107" s="1">
        <f>'Paste cell here'!AD107</f>
        <v>5.3600000000000002E-2</v>
      </c>
      <c r="G107" s="1">
        <f>'Paste cell here'!W107</f>
        <v>0</v>
      </c>
      <c r="H107" s="1">
        <f>'Paste cell here'!AE107</f>
        <v>50.589198809999999</v>
      </c>
      <c r="I107" s="1">
        <f>'Paste cell here'!AF107</f>
        <v>51.076637920000003</v>
      </c>
      <c r="J107" s="1">
        <f t="shared" si="6"/>
        <v>3.2228999998551444E-5</v>
      </c>
      <c r="K107" s="1" t="str">
        <f>IF('Bilancio primo strato'!D107&gt;0,1,"")</f>
        <v/>
      </c>
      <c r="L107" s="7">
        <f>Sintesi!$C$34</f>
        <v>9.0200000000000002E-2</v>
      </c>
      <c r="M107" s="7">
        <f>Sintesi!$C$33</f>
        <v>0.196996</v>
      </c>
      <c r="N107" s="1">
        <f>'Paste cell here'!AA107</f>
        <v>0.28599999999999998</v>
      </c>
      <c r="O107" s="1">
        <f>'Paste cell here'!H107</f>
        <v>0.58042810700000003</v>
      </c>
      <c r="P107" s="1">
        <f t="shared" si="7"/>
        <v>30.543655999999999</v>
      </c>
      <c r="Q107" s="1">
        <f t="shared" si="8"/>
        <v>17.728396432939192</v>
      </c>
      <c r="R107" s="1">
        <f t="shared" si="9"/>
        <v>38.612459567060803</v>
      </c>
      <c r="S107" s="5">
        <f t="shared" si="10"/>
        <v>0.17688531052447551</v>
      </c>
      <c r="T107" s="5">
        <f t="shared" si="11"/>
        <v>0.135008599884828</v>
      </c>
    </row>
    <row r="108" spans="1:20">
      <c r="A108" s="1">
        <v>107</v>
      </c>
      <c r="B108" s="2">
        <f>DATE(Sintesi!$C$4-1,12,31)+A108</f>
        <v>44303</v>
      </c>
      <c r="C108" s="1">
        <f>'Paste cell here'!T108</f>
        <v>4.8600000000000001E-6</v>
      </c>
      <c r="D108" s="1">
        <f>'Paste cell here'!AC108</f>
        <v>0</v>
      </c>
      <c r="E108" s="1">
        <f>'Paste cell here'!Y108</f>
        <v>0.46687995700000001</v>
      </c>
      <c r="F108" s="1">
        <f>'Paste cell here'!AD108</f>
        <v>4.8800000000000003E-2</v>
      </c>
      <c r="G108" s="1">
        <f>'Paste cell here'!W108</f>
        <v>0</v>
      </c>
      <c r="H108" s="1">
        <f>'Paste cell here'!AE108</f>
        <v>51.452497630000003</v>
      </c>
      <c r="I108" s="1">
        <f>'Paste cell here'!AF108</f>
        <v>51.968170809999997</v>
      </c>
      <c r="J108" s="1">
        <f t="shared" si="6"/>
        <v>1.9170000129520304E-6</v>
      </c>
      <c r="K108" s="1" t="str">
        <f>IF('Bilancio primo strato'!D108&gt;0,1,"")</f>
        <v/>
      </c>
      <c r="L108" s="7">
        <f>Sintesi!$C$34</f>
        <v>9.0200000000000002E-2</v>
      </c>
      <c r="M108" s="7">
        <f>Sintesi!$C$33</f>
        <v>0.196996</v>
      </c>
      <c r="N108" s="1">
        <f>'Paste cell here'!AA108</f>
        <v>0.29299999999999998</v>
      </c>
      <c r="O108" s="1">
        <f>'Paste cell here'!H108</f>
        <v>0.55964464899999999</v>
      </c>
      <c r="P108" s="1">
        <f t="shared" si="7"/>
        <v>31.291227999999997</v>
      </c>
      <c r="Q108" s="1">
        <f t="shared" si="8"/>
        <v>17.51196831083897</v>
      </c>
      <c r="R108" s="1">
        <f t="shared" si="9"/>
        <v>40.207859689161026</v>
      </c>
      <c r="S108" s="5">
        <f t="shared" si="10"/>
        <v>0.17560579395904438</v>
      </c>
      <c r="T108" s="5">
        <f t="shared" si="11"/>
        <v>0.13722819006539599</v>
      </c>
    </row>
    <row r="109" spans="1:20">
      <c r="A109" s="1">
        <v>108</v>
      </c>
      <c r="B109" s="2">
        <f>DATE(Sintesi!$C$4-1,12,31)+A109</f>
        <v>44304</v>
      </c>
      <c r="C109" s="1">
        <f>'Paste cell here'!T109</f>
        <v>2.5199999999999998E-7</v>
      </c>
      <c r="D109" s="1">
        <f>'Paste cell here'!AC109</f>
        <v>0</v>
      </c>
      <c r="E109" s="1">
        <f>'Paste cell here'!Y109</f>
        <v>0.44871921399999998</v>
      </c>
      <c r="F109" s="1">
        <f>'Paste cell here'!AD109</f>
        <v>4.4600000000000001E-2</v>
      </c>
      <c r="G109" s="1">
        <f>'Paste cell here'!W109</f>
        <v>0</v>
      </c>
      <c r="H109" s="1">
        <f>'Paste cell here'!AE109</f>
        <v>52.33819716</v>
      </c>
      <c r="I109" s="1">
        <f>'Paste cell here'!AF109</f>
        <v>52.831469630000001</v>
      </c>
      <c r="J109" s="1">
        <f t="shared" si="6"/>
        <v>4.6492000002729128E-5</v>
      </c>
      <c r="K109" s="1" t="str">
        <f>IF('Bilancio primo strato'!D109&gt;0,1,"")</f>
        <v/>
      </c>
      <c r="L109" s="7">
        <f>Sintesi!$C$34</f>
        <v>9.0200000000000002E-2</v>
      </c>
      <c r="M109" s="7">
        <f>Sintesi!$C$33</f>
        <v>0.196996</v>
      </c>
      <c r="N109" s="1">
        <f>'Paste cell here'!AA109</f>
        <v>0.3</v>
      </c>
      <c r="O109" s="1">
        <f>'Paste cell here'!H109</f>
        <v>0.55072924000000001</v>
      </c>
      <c r="P109" s="1">
        <f t="shared" si="7"/>
        <v>32.038800000000002</v>
      </c>
      <c r="Q109" s="1">
        <f t="shared" si="8"/>
        <v>17.644703974512002</v>
      </c>
      <c r="R109" s="1">
        <f t="shared" si="9"/>
        <v>41.454096025487999</v>
      </c>
      <c r="S109" s="5">
        <f t="shared" si="10"/>
        <v>0.17446065720000001</v>
      </c>
      <c r="T109" s="5">
        <f t="shared" si="11"/>
        <v>0.13818032008496001</v>
      </c>
    </row>
    <row r="110" spans="1:20">
      <c r="A110" s="1">
        <v>109</v>
      </c>
      <c r="B110" s="2">
        <f>DATE(Sintesi!$C$4-1,12,31)+A110</f>
        <v>44305</v>
      </c>
      <c r="C110" s="1">
        <f>'Paste cell here'!T110</f>
        <v>1.2299999999999999E-8</v>
      </c>
      <c r="D110" s="1">
        <f>'Paste cell here'!AC110</f>
        <v>0</v>
      </c>
      <c r="E110" s="1">
        <f>'Paste cell here'!Y110</f>
        <v>0.487670139</v>
      </c>
      <c r="F110" s="1">
        <f>'Paste cell here'!AD110</f>
        <v>4.0800000000000003E-2</v>
      </c>
      <c r="G110" s="1">
        <f>'Paste cell here'!W110</f>
        <v>0</v>
      </c>
      <c r="H110" s="1">
        <f>'Paste cell here'!AE110</f>
        <v>53.188737740000001</v>
      </c>
      <c r="I110" s="1">
        <f>'Paste cell here'!AF110</f>
        <v>53.717169159999997</v>
      </c>
      <c r="J110" s="1">
        <f t="shared" si="6"/>
        <v>3.870670000338805E-5</v>
      </c>
      <c r="K110" s="1" t="str">
        <f>IF('Bilancio primo strato'!D110&gt;0,1,"")</f>
        <v/>
      </c>
      <c r="L110" s="7">
        <f>Sintesi!$C$34</f>
        <v>9.0200000000000002E-2</v>
      </c>
      <c r="M110" s="7">
        <f>Sintesi!$C$33</f>
        <v>0.196996</v>
      </c>
      <c r="N110" s="1">
        <f>'Paste cell here'!AA110</f>
        <v>0.307</v>
      </c>
      <c r="O110" s="1">
        <f>'Paste cell here'!H110</f>
        <v>0.55638413799999997</v>
      </c>
      <c r="P110" s="1">
        <f t="shared" si="7"/>
        <v>32.786372</v>
      </c>
      <c r="Q110" s="1">
        <f t="shared" si="8"/>
        <v>18.241817323367336</v>
      </c>
      <c r="R110" s="1">
        <f t="shared" si="9"/>
        <v>42.235954676632666</v>
      </c>
      <c r="S110" s="5">
        <f t="shared" si="10"/>
        <v>0.17325321739413682</v>
      </c>
      <c r="T110" s="5">
        <f t="shared" si="11"/>
        <v>0.13757639959815202</v>
      </c>
    </row>
    <row r="111" spans="1:20">
      <c r="A111" s="1">
        <v>110</v>
      </c>
      <c r="B111" s="2">
        <f>DATE(Sintesi!$C$4-1,12,31)+A111</f>
        <v>44306</v>
      </c>
      <c r="C111" s="1">
        <f>'Paste cell here'!T111</f>
        <v>3.59E-10</v>
      </c>
      <c r="D111" s="1">
        <f>'Paste cell here'!AC111</f>
        <v>0</v>
      </c>
      <c r="E111" s="1">
        <f>'Paste cell here'!Y111</f>
        <v>0.57058262000000004</v>
      </c>
      <c r="F111" s="1">
        <f>'Paste cell here'!AD111</f>
        <v>3.6900000000000002E-2</v>
      </c>
      <c r="G111" s="1">
        <f>'Paste cell here'!W111</f>
        <v>0</v>
      </c>
      <c r="H111" s="1">
        <f>'Paste cell here'!AE111</f>
        <v>53.960230940000002</v>
      </c>
      <c r="I111" s="1">
        <f>'Paste cell here'!AF111</f>
        <v>54.567709739999998</v>
      </c>
      <c r="J111" s="1">
        <f t="shared" si="6"/>
        <v>3.819641008817598E-6</v>
      </c>
      <c r="K111" s="1" t="str">
        <f>IF('Bilancio primo strato'!D111&gt;0,1,"")</f>
        <v/>
      </c>
      <c r="L111" s="7">
        <f>Sintesi!$C$34</f>
        <v>9.0200000000000002E-2</v>
      </c>
      <c r="M111" s="7">
        <f>Sintesi!$C$33</f>
        <v>0.196996</v>
      </c>
      <c r="N111" s="1">
        <f>'Paste cell here'!AA111</f>
        <v>0.314</v>
      </c>
      <c r="O111" s="1">
        <f>'Paste cell here'!H111</f>
        <v>0.54281369400000001</v>
      </c>
      <c r="P111" s="1">
        <f t="shared" si="7"/>
        <v>33.533944000000005</v>
      </c>
      <c r="Q111" s="1">
        <f t="shared" si="8"/>
        <v>18.202684017029139</v>
      </c>
      <c r="R111" s="1">
        <f t="shared" si="9"/>
        <v>43.654059982970864</v>
      </c>
      <c r="S111" s="5">
        <f t="shared" si="10"/>
        <v>0.1718478692356688</v>
      </c>
      <c r="T111" s="5">
        <f t="shared" si="11"/>
        <v>0.13902566873557601</v>
      </c>
    </row>
    <row r="112" spans="1:20">
      <c r="A112" s="1">
        <v>111</v>
      </c>
      <c r="B112" s="2">
        <f>DATE(Sintesi!$C$4-1,12,31)+A112</f>
        <v>44307</v>
      </c>
      <c r="C112" s="1">
        <f>'Paste cell here'!T112</f>
        <v>3.6399999999999998E-12</v>
      </c>
      <c r="D112" s="1">
        <f>'Paste cell here'!AC112</f>
        <v>0</v>
      </c>
      <c r="E112" s="1">
        <f>'Paste cell here'!Y112</f>
        <v>0.55354632800000003</v>
      </c>
      <c r="F112" s="1">
        <f>'Paste cell here'!AD112</f>
        <v>3.32E-2</v>
      </c>
      <c r="G112" s="1">
        <f>'Paste cell here'!W112</f>
        <v>0</v>
      </c>
      <c r="H112" s="1">
        <f>'Paste cell here'!AE112</f>
        <v>54.7524157</v>
      </c>
      <c r="I112" s="1">
        <f>'Paste cell here'!AF112</f>
        <v>55.33920294</v>
      </c>
      <c r="J112" s="1">
        <f t="shared" si="6"/>
        <v>4.0912003633764016E-5</v>
      </c>
      <c r="K112" s="1" t="str">
        <f>IF('Bilancio primo strato'!D112&gt;0,1,"")</f>
        <v/>
      </c>
      <c r="L112" s="7">
        <f>Sintesi!$C$34</f>
        <v>9.0200000000000002E-2</v>
      </c>
      <c r="M112" s="7">
        <f>Sintesi!$C$33</f>
        <v>0.196996</v>
      </c>
      <c r="N112" s="1">
        <f>'Paste cell here'!AA112</f>
        <v>0.32100000000000001</v>
      </c>
      <c r="O112" s="1">
        <f>'Paste cell here'!H112</f>
        <v>0.51338828599999997</v>
      </c>
      <c r="P112" s="1">
        <f t="shared" si="7"/>
        <v>34.281515999999996</v>
      </c>
      <c r="Q112" s="1">
        <f t="shared" si="8"/>
        <v>17.599728740721574</v>
      </c>
      <c r="R112" s="1">
        <f t="shared" si="9"/>
        <v>45.635987259278423</v>
      </c>
      <c r="S112" s="5">
        <f t="shared" si="10"/>
        <v>0.17056827320872275</v>
      </c>
      <c r="T112" s="5">
        <f t="shared" si="11"/>
        <v>0.14216818460834399</v>
      </c>
    </row>
    <row r="113" spans="1:20">
      <c r="A113" s="1">
        <v>112</v>
      </c>
      <c r="B113" s="2">
        <f>DATE(Sintesi!$C$4-1,12,31)+A113</f>
        <v>44308</v>
      </c>
      <c r="C113" s="1">
        <f>'Paste cell here'!T113</f>
        <v>1.81E-14</v>
      </c>
      <c r="D113" s="1">
        <f>'Paste cell here'!AC113</f>
        <v>0</v>
      </c>
      <c r="E113" s="1">
        <f>'Paste cell here'!Y113</f>
        <v>0.52995375600000005</v>
      </c>
      <c r="F113" s="1">
        <f>'Paste cell here'!AD113</f>
        <v>3.04E-2</v>
      </c>
      <c r="G113" s="1">
        <f>'Paste cell here'!W113</f>
        <v>0</v>
      </c>
      <c r="H113" s="1">
        <f>'Paste cell here'!AE113</f>
        <v>55.768019750000001</v>
      </c>
      <c r="I113" s="1">
        <f>'Paste cell here'!AF113</f>
        <v>56.328383700000003</v>
      </c>
      <c r="J113" s="1">
        <f t="shared" si="6"/>
        <v>1.0194000026331196E-5</v>
      </c>
      <c r="K113" s="1" t="str">
        <f>IF('Bilancio primo strato'!D113&gt;0,1,"")</f>
        <v/>
      </c>
      <c r="L113" s="7">
        <f>Sintesi!$C$34</f>
        <v>9.0200000000000002E-2</v>
      </c>
      <c r="M113" s="7">
        <f>Sintesi!$C$33</f>
        <v>0.196996</v>
      </c>
      <c r="N113" s="1">
        <f>'Paste cell here'!AA113</f>
        <v>0.32900000000000001</v>
      </c>
      <c r="O113" s="1">
        <f>'Paste cell here'!H113</f>
        <v>0.52047163100000005</v>
      </c>
      <c r="P113" s="1">
        <f t="shared" si="7"/>
        <v>35.135883999999997</v>
      </c>
      <c r="Q113" s="1">
        <f t="shared" si="8"/>
        <v>18.287230852106806</v>
      </c>
      <c r="R113" s="1">
        <f t="shared" si="9"/>
        <v>46.524453147893212</v>
      </c>
      <c r="S113" s="5">
        <f t="shared" si="10"/>
        <v>0.16950765881458968</v>
      </c>
      <c r="T113" s="5">
        <f t="shared" si="11"/>
        <v>0.14141171169572406</v>
      </c>
    </row>
    <row r="114" spans="1:20">
      <c r="A114" s="1">
        <v>113</v>
      </c>
      <c r="B114" s="2">
        <f>DATE(Sintesi!$C$4-1,12,31)+A114</f>
        <v>44309</v>
      </c>
      <c r="C114" s="1">
        <f>'Paste cell here'!T114</f>
        <v>1.9499999999999999E-17</v>
      </c>
      <c r="D114" s="1">
        <f>'Paste cell here'!AC114</f>
        <v>0</v>
      </c>
      <c r="E114" s="1">
        <f>'Paste cell here'!Y114</f>
        <v>0.57198986900000004</v>
      </c>
      <c r="F114" s="1">
        <f>'Paste cell here'!AD114</f>
        <v>2.7699999999999999E-2</v>
      </c>
      <c r="G114" s="1">
        <f>'Paste cell here'!W114</f>
        <v>0</v>
      </c>
      <c r="H114" s="1">
        <f>'Paste cell here'!AE114</f>
        <v>56.547301189999999</v>
      </c>
      <c r="I114" s="1">
        <f>'Paste cell here'!AF114</f>
        <v>57.146991749999998</v>
      </c>
      <c r="J114" s="1">
        <f t="shared" si="6"/>
        <v>6.9099999677746382E-7</v>
      </c>
      <c r="K114" s="1" t="str">
        <f>IF('Bilancio primo strato'!D114&gt;0,1,"")</f>
        <v/>
      </c>
      <c r="L114" s="7">
        <f>Sintesi!$C$34</f>
        <v>9.0200000000000002E-2</v>
      </c>
      <c r="M114" s="7">
        <f>Sintesi!$C$33</f>
        <v>0.196996</v>
      </c>
      <c r="N114" s="1">
        <f>'Paste cell here'!AA114</f>
        <v>0.33600000000000002</v>
      </c>
      <c r="O114" s="1">
        <f>'Paste cell here'!H114</f>
        <v>0.53142009599999995</v>
      </c>
      <c r="P114" s="1">
        <f t="shared" si="7"/>
        <v>35.883456000000002</v>
      </c>
      <c r="Q114" s="1">
        <f t="shared" si="8"/>
        <v>19.069189632331774</v>
      </c>
      <c r="R114" s="1">
        <f t="shared" si="9"/>
        <v>47.121466367668233</v>
      </c>
      <c r="S114" s="5">
        <f t="shared" si="10"/>
        <v>0.16829553925595236</v>
      </c>
      <c r="T114" s="5">
        <f t="shared" si="11"/>
        <v>0.14024245942758404</v>
      </c>
    </row>
    <row r="115" spans="1:20">
      <c r="A115" s="1">
        <v>114</v>
      </c>
      <c r="B115" s="2">
        <f>DATE(Sintesi!$C$4-1,12,31)+A115</f>
        <v>44310</v>
      </c>
      <c r="C115" s="1">
        <f>'Paste cell here'!T115</f>
        <v>4.2499999999999999E-25</v>
      </c>
      <c r="D115" s="1">
        <f>'Paste cell here'!AC115</f>
        <v>0</v>
      </c>
      <c r="E115" s="1">
        <f>'Paste cell here'!Y115</f>
        <v>0.62886999099999996</v>
      </c>
      <c r="F115" s="1">
        <f>'Paste cell here'!AD115</f>
        <v>2.5000000000000001E-2</v>
      </c>
      <c r="G115" s="1">
        <f>'Paste cell here'!W115</f>
        <v>0</v>
      </c>
      <c r="H115" s="1">
        <f>'Paste cell here'!AE115</f>
        <v>57.272374820000003</v>
      </c>
      <c r="I115" s="1">
        <f>'Paste cell here'!AF115</f>
        <v>57.926273190000003</v>
      </c>
      <c r="J115" s="1">
        <f t="shared" si="6"/>
        <v>2.8378999999745247E-5</v>
      </c>
      <c r="K115" s="1" t="str">
        <f>IF('Bilancio primo strato'!D115&gt;0,1,"")</f>
        <v/>
      </c>
      <c r="L115" s="7">
        <f>Sintesi!$C$34</f>
        <v>9.0200000000000002E-2</v>
      </c>
      <c r="M115" s="7">
        <f>Sintesi!$C$33</f>
        <v>0.196996</v>
      </c>
      <c r="N115" s="1">
        <f>'Paste cell here'!AA115</f>
        <v>0.34300000000000003</v>
      </c>
      <c r="O115" s="1">
        <f>'Paste cell here'!H115</f>
        <v>0.51665513399999996</v>
      </c>
      <c r="P115" s="1">
        <f t="shared" si="7"/>
        <v>36.631028000000001</v>
      </c>
      <c r="Q115" s="1">
        <f t="shared" si="8"/>
        <v>18.925608679897749</v>
      </c>
      <c r="R115" s="1">
        <f t="shared" si="9"/>
        <v>48.644019320102259</v>
      </c>
      <c r="S115" s="5">
        <f t="shared" si="10"/>
        <v>0.16697485370262391</v>
      </c>
      <c r="T115" s="5">
        <f t="shared" si="11"/>
        <v>0.14181929830933604</v>
      </c>
    </row>
    <row r="116" spans="1:20">
      <c r="A116" s="1">
        <v>115</v>
      </c>
      <c r="B116" s="2">
        <f>DATE(Sintesi!$C$4-1,12,31)+A116</f>
        <v>44311</v>
      </c>
      <c r="C116" s="1">
        <f>'Paste cell here'!T116</f>
        <v>0</v>
      </c>
      <c r="D116" s="1">
        <f>'Paste cell here'!AC116</f>
        <v>0</v>
      </c>
      <c r="E116" s="1">
        <f>'Paste cell here'!Y116</f>
        <v>0.65874652600000005</v>
      </c>
      <c r="F116" s="1">
        <f>'Paste cell here'!AD116</f>
        <v>2.2499999999999999E-2</v>
      </c>
      <c r="G116" s="1">
        <f>'Paste cell here'!W116</f>
        <v>0</v>
      </c>
      <c r="H116" s="1">
        <f>'Paste cell here'!AE116</f>
        <v>57.970142010000004</v>
      </c>
      <c r="I116" s="1">
        <f>'Paste cell here'!AF116</f>
        <v>58.651346820000001</v>
      </c>
      <c r="J116" s="1">
        <f t="shared" si="6"/>
        <v>4.1716000005465048E-5</v>
      </c>
      <c r="K116" s="1" t="str">
        <f>IF('Bilancio primo strato'!D116&gt;0,1,"")</f>
        <v/>
      </c>
      <c r="L116" s="7">
        <f>Sintesi!$C$34</f>
        <v>9.0200000000000002E-2</v>
      </c>
      <c r="M116" s="7">
        <f>Sintesi!$C$33</f>
        <v>0.196996</v>
      </c>
      <c r="N116" s="1">
        <f>'Paste cell here'!AA116</f>
        <v>0.35</v>
      </c>
      <c r="O116" s="1">
        <f>'Paste cell here'!H116</f>
        <v>0.49572239499999998</v>
      </c>
      <c r="P116" s="1">
        <f t="shared" si="7"/>
        <v>37.378599999999999</v>
      </c>
      <c r="Q116" s="1">
        <f t="shared" si="8"/>
        <v>18.529409113746997</v>
      </c>
      <c r="R116" s="1">
        <f t="shared" si="9"/>
        <v>50.419190886253006</v>
      </c>
      <c r="S116" s="5">
        <f t="shared" si="10"/>
        <v>0.16562897717142858</v>
      </c>
      <c r="T116" s="5">
        <f t="shared" si="11"/>
        <v>0.14405483110358003</v>
      </c>
    </row>
    <row r="117" spans="1:20">
      <c r="A117" s="1">
        <v>116</v>
      </c>
      <c r="B117" s="2">
        <f>DATE(Sintesi!$C$4-1,12,31)+A117</f>
        <v>44312</v>
      </c>
      <c r="C117" s="1">
        <f>'Paste cell here'!T117</f>
        <v>0</v>
      </c>
      <c r="D117" s="1">
        <f>'Paste cell here'!AC117</f>
        <v>0</v>
      </c>
      <c r="E117" s="1">
        <f>'Paste cell here'!Y117</f>
        <v>0.26952520699999999</v>
      </c>
      <c r="F117" s="1">
        <f>'Paste cell here'!AD117</f>
        <v>2.1000000000000001E-2</v>
      </c>
      <c r="G117" s="1">
        <f>'Paste cell here'!W117</f>
        <v>0</v>
      </c>
      <c r="H117" s="1">
        <f>'Paste cell here'!AE117</f>
        <v>59.058562240000001</v>
      </c>
      <c r="I117" s="1">
        <f>'Paste cell here'!AF117</f>
        <v>59.349114010000001</v>
      </c>
      <c r="J117" s="1">
        <f t="shared" si="6"/>
        <v>2.6562999998702708E-5</v>
      </c>
      <c r="K117" s="1" t="str">
        <f>IF('Bilancio primo strato'!D117&gt;0,1,"")</f>
        <v/>
      </c>
      <c r="L117" s="7">
        <f>Sintesi!$C$34</f>
        <v>9.0200000000000002E-2</v>
      </c>
      <c r="M117" s="7">
        <f>Sintesi!$C$33</f>
        <v>0.196996</v>
      </c>
      <c r="N117" s="1">
        <f>'Paste cell here'!AA117</f>
        <v>0.35699999999999998</v>
      </c>
      <c r="O117" s="1">
        <f>'Paste cell here'!H117</f>
        <v>0.485601226</v>
      </c>
      <c r="P117" s="1">
        <f t="shared" si="7"/>
        <v>38.126171999999997</v>
      </c>
      <c r="Q117" s="1">
        <f t="shared" si="8"/>
        <v>18.514115865886872</v>
      </c>
      <c r="R117" s="1">
        <f t="shared" si="9"/>
        <v>51.813456134113132</v>
      </c>
      <c r="S117" s="5">
        <f t="shared" si="10"/>
        <v>0.16543014633053221</v>
      </c>
      <c r="T117" s="5">
        <f t="shared" si="11"/>
        <v>0.14513573146810402</v>
      </c>
    </row>
    <row r="118" spans="1:20">
      <c r="A118" s="1">
        <v>117</v>
      </c>
      <c r="B118" s="2">
        <f>DATE(Sintesi!$C$4-1,12,31)+A118</f>
        <v>44313</v>
      </c>
      <c r="C118" s="1">
        <f>'Paste cell here'!T118</f>
        <v>0</v>
      </c>
      <c r="D118" s="1">
        <f>'Paste cell here'!AC118</f>
        <v>0</v>
      </c>
      <c r="E118" s="1">
        <f>'Paste cell here'!Y118</f>
        <v>0.27856772600000002</v>
      </c>
      <c r="F118" s="1">
        <f>'Paste cell here'!AD118</f>
        <v>2.07E-2</v>
      </c>
      <c r="G118" s="1">
        <f>'Paste cell here'!W118</f>
        <v>0</v>
      </c>
      <c r="H118" s="1">
        <f>'Paste cell here'!AE118</f>
        <v>60.138304980000001</v>
      </c>
      <c r="I118" s="1">
        <f>'Paste cell here'!AF118</f>
        <v>60.437534239999998</v>
      </c>
      <c r="J118" s="1">
        <f t="shared" si="6"/>
        <v>3.8465999999459655E-5</v>
      </c>
      <c r="K118" s="1" t="str">
        <f>IF('Bilancio primo strato'!D118&gt;0,1,"")</f>
        <v/>
      </c>
      <c r="L118" s="7">
        <f>Sintesi!$C$34</f>
        <v>9.0200000000000002E-2</v>
      </c>
      <c r="M118" s="7">
        <f>Sintesi!$C$33</f>
        <v>0.196996</v>
      </c>
      <c r="N118" s="1">
        <f>'Paste cell here'!AA118</f>
        <v>0.36399999999999999</v>
      </c>
      <c r="O118" s="1">
        <f>'Paste cell here'!H118</f>
        <v>0.61656722500000005</v>
      </c>
      <c r="P118" s="1">
        <f t="shared" si="7"/>
        <v>38.873744000000002</v>
      </c>
      <c r="Q118" s="1">
        <f t="shared" si="8"/>
        <v>23.968276463440404</v>
      </c>
      <c r="R118" s="1">
        <f t="shared" si="9"/>
        <v>47.73826753655959</v>
      </c>
      <c r="S118" s="5">
        <f t="shared" si="10"/>
        <v>0.16521512357142856</v>
      </c>
      <c r="T118" s="5">
        <f t="shared" si="11"/>
        <v>0.13114908663889999</v>
      </c>
    </row>
    <row r="119" spans="1:20">
      <c r="A119" s="1">
        <v>118</v>
      </c>
      <c r="B119" s="2">
        <f>DATE(Sintesi!$C$4-1,12,31)+A119</f>
        <v>44314</v>
      </c>
      <c r="C119" s="1">
        <f>'Paste cell here'!T119</f>
        <v>2.3799999999999999E-24</v>
      </c>
      <c r="D119" s="1">
        <f>'Paste cell here'!AC119</f>
        <v>0</v>
      </c>
      <c r="E119" s="1">
        <f>'Paste cell here'!Y119</f>
        <v>0.43077381999999997</v>
      </c>
      <c r="F119" s="1">
        <f>'Paste cell here'!AD119</f>
        <v>0.02</v>
      </c>
      <c r="G119" s="1">
        <f>'Paste cell here'!W119</f>
        <v>0</v>
      </c>
      <c r="H119" s="1">
        <f>'Paste cell here'!AE119</f>
        <v>61.066535289999997</v>
      </c>
      <c r="I119" s="1">
        <f>'Paste cell here'!AF119</f>
        <v>61.517276979999998</v>
      </c>
      <c r="J119" s="1">
        <f t="shared" si="6"/>
        <v>3.2130000001018288E-5</v>
      </c>
      <c r="K119" s="1" t="str">
        <f>IF('Bilancio primo strato'!D119&gt;0,1,"")</f>
        <v/>
      </c>
      <c r="L119" s="7">
        <f>Sintesi!$C$34</f>
        <v>9.0200000000000002E-2</v>
      </c>
      <c r="M119" s="7">
        <f>Sintesi!$C$33</f>
        <v>0.196996</v>
      </c>
      <c r="N119" s="1">
        <f>'Paste cell here'!AA119</f>
        <v>0.371</v>
      </c>
      <c r="O119" s="1">
        <f>'Paste cell here'!H119</f>
        <v>0.61562682800000001</v>
      </c>
      <c r="P119" s="1">
        <f t="shared" si="7"/>
        <v>39.621316</v>
      </c>
      <c r="Q119" s="1">
        <f t="shared" si="8"/>
        <v>24.391945090265647</v>
      </c>
      <c r="R119" s="1">
        <f t="shared" si="9"/>
        <v>48.693570909734348</v>
      </c>
      <c r="S119" s="5">
        <f t="shared" si="10"/>
        <v>0.16459982557951483</v>
      </c>
      <c r="T119" s="5">
        <f t="shared" si="11"/>
        <v>0.13124951727691198</v>
      </c>
    </row>
    <row r="120" spans="1:20">
      <c r="A120" s="1">
        <v>119</v>
      </c>
      <c r="B120" s="2">
        <f>DATE(Sintesi!$C$4-1,12,31)+A120</f>
        <v>44315</v>
      </c>
      <c r="C120" s="1">
        <f>'Paste cell here'!T120</f>
        <v>1.17E-6</v>
      </c>
      <c r="D120" s="1">
        <f>'Paste cell here'!AC120</f>
        <v>0</v>
      </c>
      <c r="E120" s="1">
        <f>'Paste cell here'!Y120</f>
        <v>0.19496693000000001</v>
      </c>
      <c r="F120" s="1">
        <f>'Paste cell here'!AD120</f>
        <v>1.9599999999999999E-2</v>
      </c>
      <c r="G120" s="1">
        <f>'Paste cell here'!W120</f>
        <v>0</v>
      </c>
      <c r="H120" s="1">
        <f>'Paste cell here'!AE120</f>
        <v>62.427934909999998</v>
      </c>
      <c r="I120" s="1">
        <f>'Paste cell here'!AF120</f>
        <v>62.642503290000001</v>
      </c>
      <c r="J120" s="1">
        <f t="shared" si="6"/>
        <v>2.6200000036169513E-6</v>
      </c>
      <c r="K120" s="1" t="str">
        <f>IF('Bilancio primo strato'!D120&gt;0,1,"")</f>
        <v/>
      </c>
      <c r="L120" s="7">
        <f>Sintesi!$C$34</f>
        <v>9.0200000000000002E-2</v>
      </c>
      <c r="M120" s="7">
        <f>Sintesi!$C$33</f>
        <v>0.196996</v>
      </c>
      <c r="N120" s="1">
        <f>'Paste cell here'!AA120</f>
        <v>0.379</v>
      </c>
      <c r="O120" s="1">
        <f>'Paste cell here'!H120</f>
        <v>0.565549419</v>
      </c>
      <c r="P120" s="1">
        <f t="shared" si="7"/>
        <v>40.475684000000001</v>
      </c>
      <c r="Q120" s="1">
        <f t="shared" si="8"/>
        <v>22.890999569827596</v>
      </c>
      <c r="R120" s="1">
        <f t="shared" si="9"/>
        <v>51.770484430172402</v>
      </c>
      <c r="S120" s="5">
        <f t="shared" si="10"/>
        <v>0.16471750635883906</v>
      </c>
      <c r="T120" s="5">
        <f t="shared" si="11"/>
        <v>0.13659758424847598</v>
      </c>
    </row>
    <row r="121" spans="1:20">
      <c r="A121" s="1">
        <v>120</v>
      </c>
      <c r="B121" s="2">
        <f>DATE(Sintesi!$C$4-1,12,31)+A121</f>
        <v>44316</v>
      </c>
      <c r="C121" s="1">
        <f>'Paste cell here'!T121</f>
        <v>4.21E-5</v>
      </c>
      <c r="D121" s="1">
        <f>'Paste cell here'!AC121</f>
        <v>0</v>
      </c>
      <c r="E121" s="1">
        <f>'Paste cell here'!Y121</f>
        <v>0.32821096900000002</v>
      </c>
      <c r="F121" s="1">
        <f>'Paste cell here'!AD121</f>
        <v>1.9400000000000001E-2</v>
      </c>
      <c r="G121" s="1">
        <f>'Paste cell here'!W121</f>
        <v>0</v>
      </c>
      <c r="H121" s="1">
        <f>'Paste cell here'!AE121</f>
        <v>63.459366209999999</v>
      </c>
      <c r="I121" s="1">
        <f>'Paste cell here'!AF121</f>
        <v>63.806906910000002</v>
      </c>
      <c r="J121" s="1">
        <f t="shared" si="6"/>
        <v>2.8168999989475196E-5</v>
      </c>
      <c r="K121" s="1" t="str">
        <f>IF('Bilancio primo strato'!D121&gt;0,1,"")</f>
        <v/>
      </c>
      <c r="L121" s="7">
        <f>Sintesi!$C$34</f>
        <v>9.0200000000000002E-2</v>
      </c>
      <c r="M121" s="7">
        <f>Sintesi!$C$33</f>
        <v>0.196996</v>
      </c>
      <c r="N121" s="1">
        <f>'Paste cell here'!AA121</f>
        <v>0.38600000000000001</v>
      </c>
      <c r="O121" s="1">
        <f>'Paste cell here'!H121</f>
        <v>0.643066421</v>
      </c>
      <c r="P121" s="1">
        <f t="shared" si="7"/>
        <v>41.223255999999999</v>
      </c>
      <c r="Q121" s="1">
        <f t="shared" si="8"/>
        <v>26.509291697886777</v>
      </c>
      <c r="R121" s="1">
        <f t="shared" si="9"/>
        <v>49.531164302113226</v>
      </c>
      <c r="S121" s="5">
        <f t="shared" si="10"/>
        <v>0.16440250313471502</v>
      </c>
      <c r="T121" s="5">
        <f t="shared" si="11"/>
        <v>0.12831907850288402</v>
      </c>
    </row>
    <row r="122" spans="1:20">
      <c r="A122" s="1">
        <v>121</v>
      </c>
      <c r="B122" s="2">
        <f>DATE(Sintesi!$C$4-1,12,31)+A122</f>
        <v>44317</v>
      </c>
      <c r="C122" s="1">
        <f>'Paste cell here'!T122</f>
        <v>9.1499999999999998E-2</v>
      </c>
      <c r="D122" s="1">
        <f>'Paste cell here'!AC122</f>
        <v>0</v>
      </c>
      <c r="E122" s="1">
        <f>'Paste cell here'!Y122</f>
        <v>0.25045899599999999</v>
      </c>
      <c r="F122" s="1">
        <f>'Paste cell here'!AD122</f>
        <v>1.9099999999999999E-2</v>
      </c>
      <c r="G122" s="1">
        <f>'Paste cell here'!W122</f>
        <v>0</v>
      </c>
      <c r="H122" s="1">
        <f>'Paste cell here'!AE122</f>
        <v>64.660266070000006</v>
      </c>
      <c r="I122" s="1">
        <f>'Paste cell here'!AF122</f>
        <v>64.838338210000003</v>
      </c>
      <c r="J122" s="1">
        <f t="shared" si="6"/>
        <v>1.3143999993303623E-5</v>
      </c>
      <c r="K122" s="1" t="str">
        <f>IF('Bilancio primo strato'!D122&gt;0,1,"")</f>
        <v/>
      </c>
      <c r="L122" s="7">
        <f>Sintesi!$C$34</f>
        <v>9.0200000000000002E-2</v>
      </c>
      <c r="M122" s="7">
        <f>Sintesi!$C$33</f>
        <v>0.196996</v>
      </c>
      <c r="N122" s="1">
        <f>'Paste cell here'!AA122</f>
        <v>0.39300000000000002</v>
      </c>
      <c r="O122" s="1">
        <f>'Paste cell here'!H122</f>
        <v>0.60138808799999999</v>
      </c>
      <c r="P122" s="1">
        <f t="shared" si="7"/>
        <v>41.970828000000004</v>
      </c>
      <c r="Q122" s="1">
        <f t="shared" si="8"/>
        <v>25.240756002696866</v>
      </c>
      <c r="R122" s="1">
        <f t="shared" si="9"/>
        <v>52.178671997303127</v>
      </c>
      <c r="S122" s="5">
        <f t="shared" si="10"/>
        <v>0.16452993910941477</v>
      </c>
      <c r="T122" s="5">
        <f t="shared" si="11"/>
        <v>0.13277015775395198</v>
      </c>
    </row>
    <row r="123" spans="1:20">
      <c r="A123" s="1">
        <v>122</v>
      </c>
      <c r="B123" s="2">
        <f>DATE(Sintesi!$C$4-1,12,31)+A123</f>
        <v>44318</v>
      </c>
      <c r="C123" s="1">
        <f>'Paste cell here'!T123</f>
        <v>0.29945190799999999</v>
      </c>
      <c r="D123" s="1">
        <f>'Paste cell here'!AC123</f>
        <v>0</v>
      </c>
      <c r="E123" s="1">
        <f>'Paste cell here'!Y123</f>
        <v>0.62769823400000002</v>
      </c>
      <c r="F123" s="1">
        <f>'Paste cell here'!AD123</f>
        <v>1.9300000000000001E-2</v>
      </c>
      <c r="G123" s="1">
        <f>'Paste cell here'!W123</f>
        <v>0</v>
      </c>
      <c r="H123" s="1">
        <f>'Paste cell here'!AE123</f>
        <v>65.691667109999997</v>
      </c>
      <c r="I123" s="1">
        <f>'Paste cell here'!AF123</f>
        <v>66.039238069999996</v>
      </c>
      <c r="J123" s="1">
        <f t="shared" si="6"/>
        <v>2.4633999998968648E-5</v>
      </c>
      <c r="K123" s="1" t="str">
        <f>IF('Bilancio primo strato'!D123&gt;0,1,"")</f>
        <v/>
      </c>
      <c r="L123" s="7">
        <f>Sintesi!$C$34</f>
        <v>9.0200000000000002E-2</v>
      </c>
      <c r="M123" s="7">
        <f>Sintesi!$C$33</f>
        <v>0.196996</v>
      </c>
      <c r="N123" s="1">
        <f>'Paste cell here'!AA123</f>
        <v>0.4</v>
      </c>
      <c r="O123" s="1">
        <f>'Paste cell here'!H123</f>
        <v>0.62557286400000001</v>
      </c>
      <c r="P123" s="1">
        <f t="shared" si="7"/>
        <v>42.718400000000003</v>
      </c>
      <c r="Q123" s="1">
        <f t="shared" si="8"/>
        <v>26.723471833497602</v>
      </c>
      <c r="R123" s="1">
        <f t="shared" si="9"/>
        <v>52.074928166502403</v>
      </c>
      <c r="S123" s="5">
        <f t="shared" si="10"/>
        <v>0.16422916777499999</v>
      </c>
      <c r="T123" s="5">
        <f t="shared" si="11"/>
        <v>0.130187320416256</v>
      </c>
    </row>
    <row r="124" spans="1:20">
      <c r="A124" s="1">
        <v>123</v>
      </c>
      <c r="B124" s="2">
        <f>DATE(Sintesi!$C$4-1,12,31)+A124</f>
        <v>44319</v>
      </c>
      <c r="C124" s="1">
        <f>'Paste cell here'!T124</f>
        <v>3.1899999999999998E-2</v>
      </c>
      <c r="D124" s="1">
        <f>'Paste cell here'!AC124</f>
        <v>0</v>
      </c>
      <c r="E124" s="1">
        <f>'Paste cell here'!Y124</f>
        <v>0.69590760399999996</v>
      </c>
      <c r="F124" s="1">
        <f>'Paste cell here'!AD124</f>
        <v>1.8100000000000002E-2</v>
      </c>
      <c r="G124" s="1">
        <f>'Paste cell here'!W124</f>
        <v>0</v>
      </c>
      <c r="H124" s="1">
        <f>'Paste cell here'!AE124</f>
        <v>66.585509119999998</v>
      </c>
      <c r="I124" s="1">
        <f>'Paste cell here'!AF124</f>
        <v>67.267635110000001</v>
      </c>
      <c r="J124" s="1">
        <f t="shared" si="6"/>
        <v>1.8385999993597579E-5</v>
      </c>
      <c r="K124" s="1" t="str">
        <f>IF('Bilancio primo strato'!D124&gt;0,1,"")</f>
        <v/>
      </c>
      <c r="L124" s="7">
        <f>Sintesi!$C$34</f>
        <v>9.0200000000000002E-2</v>
      </c>
      <c r="M124" s="7">
        <f>Sintesi!$C$33</f>
        <v>0.196996</v>
      </c>
      <c r="N124" s="1">
        <f>'Paste cell here'!AA124</f>
        <v>0.40799999999999997</v>
      </c>
      <c r="O124" s="1">
        <f>'Paste cell here'!H124</f>
        <v>0.49678371999999998</v>
      </c>
      <c r="P124" s="1">
        <f t="shared" si="7"/>
        <v>43.572767999999996</v>
      </c>
      <c r="Q124" s="1">
        <f t="shared" si="8"/>
        <v>21.646241777736957</v>
      </c>
      <c r="R124" s="1">
        <f t="shared" si="9"/>
        <v>58.728126222263043</v>
      </c>
      <c r="S124" s="5">
        <f t="shared" si="10"/>
        <v>0.16319977725490195</v>
      </c>
      <c r="T124" s="5">
        <f t="shared" si="11"/>
        <v>0.14394148583888</v>
      </c>
    </row>
    <row r="125" spans="1:20">
      <c r="A125" s="1">
        <v>124</v>
      </c>
      <c r="B125" s="2">
        <f>DATE(Sintesi!$C$4-1,12,31)+A125</f>
        <v>44320</v>
      </c>
      <c r="C125" s="1">
        <f>'Paste cell here'!T125</f>
        <v>1.7899999999999999E-3</v>
      </c>
      <c r="D125" s="1">
        <f>'Paste cell here'!AC125</f>
        <v>0</v>
      </c>
      <c r="E125" s="1">
        <f>'Paste cell here'!Y125</f>
        <v>0.81803172599999996</v>
      </c>
      <c r="F125" s="1">
        <f>'Paste cell here'!AD125</f>
        <v>1.6400000000000001E-2</v>
      </c>
      <c r="G125" s="1">
        <f>'Paste cell here'!W125</f>
        <v>0</v>
      </c>
      <c r="H125" s="1">
        <f>'Paste cell here'!AE125</f>
        <v>67.328836800000005</v>
      </c>
      <c r="I125" s="1">
        <f>'Paste cell here'!AF125</f>
        <v>68.161477120000001</v>
      </c>
      <c r="J125" s="1">
        <f t="shared" si="6"/>
        <v>1.4060000097515513E-6</v>
      </c>
      <c r="K125" s="1" t="str">
        <f>IF('Bilancio primo strato'!D125&gt;0,1,"")</f>
        <v/>
      </c>
      <c r="L125" s="7">
        <f>Sintesi!$C$34</f>
        <v>9.0200000000000002E-2</v>
      </c>
      <c r="M125" s="7">
        <f>Sintesi!$C$33</f>
        <v>0.196996</v>
      </c>
      <c r="N125" s="1">
        <f>'Paste cell here'!AA125</f>
        <v>0.41599999999999998</v>
      </c>
      <c r="O125" s="1">
        <f>'Paste cell here'!H125</f>
        <v>0.50316416200000003</v>
      </c>
      <c r="P125" s="1">
        <f t="shared" si="7"/>
        <v>44.427135999999997</v>
      </c>
      <c r="Q125" s="1">
        <f t="shared" si="8"/>
        <v>22.354142655500031</v>
      </c>
      <c r="R125" s="1">
        <f t="shared" si="9"/>
        <v>59.596193344499966</v>
      </c>
      <c r="S125" s="5">
        <f t="shared" si="10"/>
        <v>0.16184816538461538</v>
      </c>
      <c r="T125" s="5">
        <f t="shared" si="11"/>
        <v>0.14326008015504799</v>
      </c>
    </row>
    <row r="126" spans="1:20">
      <c r="A126" s="1">
        <v>125</v>
      </c>
      <c r="B126" s="2">
        <f>DATE(Sintesi!$C$4-1,12,31)+A126</f>
        <v>44321</v>
      </c>
      <c r="C126" s="1">
        <f>'Paste cell here'!T126</f>
        <v>4.71E-5</v>
      </c>
      <c r="D126" s="1">
        <f>'Paste cell here'!AC126</f>
        <v>0</v>
      </c>
      <c r="E126" s="1">
        <f>'Paste cell here'!Y126</f>
        <v>0.74185946700000005</v>
      </c>
      <c r="F126" s="1">
        <f>'Paste cell here'!AD126</f>
        <v>1.47E-2</v>
      </c>
      <c r="G126" s="1">
        <f>'Paste cell here'!W126</f>
        <v>0</v>
      </c>
      <c r="H126" s="1">
        <f>'Paste cell here'!AE126</f>
        <v>68.148254320000007</v>
      </c>
      <c r="I126" s="1">
        <f>'Paste cell here'!AF126</f>
        <v>68.904804799999994</v>
      </c>
      <c r="J126" s="1">
        <f t="shared" si="6"/>
        <v>3.8112999988015872E-5</v>
      </c>
      <c r="K126" s="1" t="str">
        <f>IF('Bilancio primo strato'!D126&gt;0,1,"")</f>
        <v/>
      </c>
      <c r="L126" s="7">
        <f>Sintesi!$C$34</f>
        <v>9.0200000000000002E-2</v>
      </c>
      <c r="M126" s="7">
        <f>Sintesi!$C$33</f>
        <v>0.196996</v>
      </c>
      <c r="N126" s="1">
        <f>'Paste cell here'!AA126</f>
        <v>0.42399999999999999</v>
      </c>
      <c r="O126" s="1">
        <f>'Paste cell here'!H126</f>
        <v>0.49341180299999998</v>
      </c>
      <c r="P126" s="1">
        <f t="shared" si="7"/>
        <v>45.281503999999998</v>
      </c>
      <c r="Q126" s="1">
        <f t="shared" si="8"/>
        <v>22.342428531191711</v>
      </c>
      <c r="R126" s="1">
        <f t="shared" si="9"/>
        <v>61.183875468808282</v>
      </c>
      <c r="S126" s="5">
        <f t="shared" si="10"/>
        <v>0.16072701490566038</v>
      </c>
      <c r="T126" s="5">
        <f t="shared" si="11"/>
        <v>0.14430159308681198</v>
      </c>
    </row>
    <row r="127" spans="1:20">
      <c r="A127" s="1">
        <v>126</v>
      </c>
      <c r="B127" s="2">
        <f>DATE(Sintesi!$C$4-1,12,31)+A127</f>
        <v>44322</v>
      </c>
      <c r="C127" s="1">
        <f>'Paste cell here'!T127</f>
        <v>2.4700000000000001E-6</v>
      </c>
      <c r="D127" s="1">
        <f>'Paste cell here'!AC127</f>
        <v>0</v>
      </c>
      <c r="E127" s="1">
        <f>'Paste cell here'!Y127</f>
        <v>0.87853900100000004</v>
      </c>
      <c r="F127" s="1">
        <f>'Paste cell here'!AD127</f>
        <v>1.3299999999999999E-2</v>
      </c>
      <c r="G127" s="1">
        <f>'Paste cell here'!W127</f>
        <v>0</v>
      </c>
      <c r="H127" s="1">
        <f>'Paste cell here'!AE127</f>
        <v>69.029358160000001</v>
      </c>
      <c r="I127" s="1">
        <f>'Paste cell here'!AF127</f>
        <v>69.921218319999994</v>
      </c>
      <c r="J127" s="1">
        <f t="shared" si="6"/>
        <v>2.3628999997526989E-5</v>
      </c>
      <c r="K127" s="1" t="str">
        <f>IF('Bilancio primo strato'!D127&gt;0,1,"")</f>
        <v/>
      </c>
      <c r="L127" s="7">
        <f>Sintesi!$C$34</f>
        <v>9.0200000000000002E-2</v>
      </c>
      <c r="M127" s="7">
        <f>Sintesi!$C$33</f>
        <v>0.196996</v>
      </c>
      <c r="N127" s="1">
        <f>'Paste cell here'!AA127</f>
        <v>0.433</v>
      </c>
      <c r="O127" s="1">
        <f>'Paste cell here'!H127</f>
        <v>0.53861633200000003</v>
      </c>
      <c r="P127" s="1">
        <f t="shared" si="7"/>
        <v>46.242668000000002</v>
      </c>
      <c r="Q127" s="1">
        <f t="shared" si="8"/>
        <v>24.907056220053779</v>
      </c>
      <c r="R127" s="1">
        <f t="shared" si="9"/>
        <v>60.392211779946223</v>
      </c>
      <c r="S127" s="5">
        <f t="shared" si="10"/>
        <v>0.15942115048498845</v>
      </c>
      <c r="T127" s="5">
        <f t="shared" si="11"/>
        <v>0.139473930207728</v>
      </c>
    </row>
    <row r="128" spans="1:20">
      <c r="A128" s="1">
        <v>127</v>
      </c>
      <c r="B128" s="2">
        <f>DATE(Sintesi!$C$4-1,12,31)+A128</f>
        <v>44323</v>
      </c>
      <c r="C128" s="1">
        <f>'Paste cell here'!T128</f>
        <v>8.4400000000000001E-8</v>
      </c>
      <c r="D128" s="1">
        <f>'Paste cell here'!AC128</f>
        <v>0</v>
      </c>
      <c r="E128" s="1">
        <f>'Paste cell here'!Y128</f>
        <v>1.2902375180000001</v>
      </c>
      <c r="F128" s="1">
        <f>'Paste cell here'!AD128</f>
        <v>1.14E-2</v>
      </c>
      <c r="G128" s="1">
        <f>'Paste cell here'!W128</f>
        <v>0</v>
      </c>
      <c r="H128" s="1">
        <f>'Paste cell here'!AE128</f>
        <v>69.303709889999993</v>
      </c>
      <c r="I128" s="1">
        <f>'Paste cell here'!AF128</f>
        <v>70.605326160000004</v>
      </c>
      <c r="J128" s="1">
        <f t="shared" si="6"/>
        <v>2.1163599981832704E-5</v>
      </c>
      <c r="K128" s="1" t="str">
        <f>IF('Bilancio primo strato'!D128&gt;0,1,"")</f>
        <v/>
      </c>
      <c r="L128" s="7">
        <f>Sintesi!$C$34</f>
        <v>9.0200000000000002E-2</v>
      </c>
      <c r="M128" s="7">
        <f>Sintesi!$C$33</f>
        <v>0.196996</v>
      </c>
      <c r="N128" s="1">
        <f>'Paste cell here'!AA128</f>
        <v>0.441</v>
      </c>
      <c r="O128" s="1">
        <f>'Paste cell here'!H128</f>
        <v>0.52275306300000002</v>
      </c>
      <c r="P128" s="1">
        <f t="shared" si="7"/>
        <v>47.097036000000003</v>
      </c>
      <c r="Q128" s="1">
        <f t="shared" si="8"/>
        <v>24.62011982722127</v>
      </c>
      <c r="R128" s="1">
        <f t="shared" si="9"/>
        <v>62.255116172778742</v>
      </c>
      <c r="S128" s="5">
        <f t="shared" si="10"/>
        <v>0.15715126959183673</v>
      </c>
      <c r="T128" s="5">
        <f t="shared" si="11"/>
        <v>0.14116806388385203</v>
      </c>
    </row>
    <row r="129" spans="1:20">
      <c r="A129" s="1">
        <v>128</v>
      </c>
      <c r="B129" s="2">
        <f>DATE(Sintesi!$C$4-1,12,31)+A129</f>
        <v>44324</v>
      </c>
      <c r="C129" s="1">
        <f>'Paste cell here'!T129</f>
        <v>6.6499999999999998E-10</v>
      </c>
      <c r="D129" s="1">
        <f>'Paste cell here'!AC129</f>
        <v>0</v>
      </c>
      <c r="E129" s="1">
        <f>'Paste cell here'!Y129</f>
        <v>1.1455726980000001</v>
      </c>
      <c r="F129" s="1">
        <f>'Paste cell here'!AD129</f>
        <v>9.4400000000000005E-3</v>
      </c>
      <c r="G129" s="1">
        <f>'Paste cell here'!W129</f>
        <v>0</v>
      </c>
      <c r="H129" s="1">
        <f>'Paste cell here'!AE129</f>
        <v>69.724667240000002</v>
      </c>
      <c r="I129" s="1">
        <f>'Paste cell here'!AF129</f>
        <v>70.879677889999996</v>
      </c>
      <c r="J129" s="1">
        <f t="shared" si="6"/>
        <v>2.0473350019756253E-6</v>
      </c>
      <c r="K129" s="1" t="str">
        <f>IF('Bilancio primo strato'!D129&gt;0,1,"")</f>
        <v/>
      </c>
      <c r="L129" s="7">
        <f>Sintesi!$C$34</f>
        <v>9.0200000000000002E-2</v>
      </c>
      <c r="M129" s="7">
        <f>Sintesi!$C$33</f>
        <v>0.196996</v>
      </c>
      <c r="N129" s="1">
        <f>'Paste cell here'!AA129</f>
        <v>0.44900000000000001</v>
      </c>
      <c r="O129" s="1">
        <f>'Paste cell here'!H129</f>
        <v>0.448058715</v>
      </c>
      <c r="P129" s="1">
        <f t="shared" si="7"/>
        <v>47.951404000000004</v>
      </c>
      <c r="Q129" s="1">
        <f t="shared" si="8"/>
        <v>21.485044458685863</v>
      </c>
      <c r="R129" s="1">
        <f t="shared" si="9"/>
        <v>66.966159541314141</v>
      </c>
      <c r="S129" s="5">
        <f t="shared" si="10"/>
        <v>0.1552887911804009</v>
      </c>
      <c r="T129" s="5">
        <f t="shared" si="11"/>
        <v>0.14914512147285999</v>
      </c>
    </row>
    <row r="130" spans="1:20">
      <c r="A130" s="1">
        <v>129</v>
      </c>
      <c r="B130" s="2">
        <f>DATE(Sintesi!$C$4-1,12,31)+A130</f>
        <v>44325</v>
      </c>
      <c r="C130" s="1">
        <f>'Paste cell here'!T130</f>
        <v>1.1500000000000001E-11</v>
      </c>
      <c r="D130" s="1">
        <f>'Paste cell here'!AC130</f>
        <v>0</v>
      </c>
      <c r="E130" s="1">
        <f>'Paste cell here'!Y130</f>
        <v>1.222724285</v>
      </c>
      <c r="F130" s="1">
        <f>'Paste cell here'!AD130</f>
        <v>7.92E-3</v>
      </c>
      <c r="G130" s="1">
        <f>'Paste cell here'!W130</f>
        <v>0</v>
      </c>
      <c r="H130" s="1">
        <f>'Paste cell here'!AE130</f>
        <v>70.069988550000005</v>
      </c>
      <c r="I130" s="1">
        <f>'Paste cell here'!AF130</f>
        <v>71.300635240000005</v>
      </c>
      <c r="J130" s="1">
        <f t="shared" ref="J130:J193" si="12">ABS(I130+C130+D130-E130-F130-G130-H130)</f>
        <v>2.4050115001728045E-6</v>
      </c>
      <c r="K130" s="1" t="str">
        <f>IF('Bilancio primo strato'!D130&gt;0,1,"")</f>
        <v/>
      </c>
      <c r="L130" s="7">
        <f>Sintesi!$C$34</f>
        <v>9.0200000000000002E-2</v>
      </c>
      <c r="M130" s="7">
        <f>Sintesi!$C$33</f>
        <v>0.196996</v>
      </c>
      <c r="N130" s="1">
        <f>'Paste cell here'!AA130</f>
        <v>0.45700000000000002</v>
      </c>
      <c r="O130" s="1">
        <f>'Paste cell here'!H130</f>
        <v>0.50547790999999997</v>
      </c>
      <c r="P130" s="1">
        <f t="shared" ref="P130:P193" si="13">(M130-L130)*N130*1000</f>
        <v>48.805772000000005</v>
      </c>
      <c r="Q130" s="1">
        <f t="shared" ref="Q130:Q193" si="14">P130*O130</f>
        <v>24.670239626496521</v>
      </c>
      <c r="R130" s="1">
        <f t="shared" ref="R130:R193" si="15">M130*N130*1000-Q130</f>
        <v>65.356932373503483</v>
      </c>
      <c r="S130" s="5">
        <f t="shared" ref="S130:S193" si="16">H130/($N130*1000)</f>
        <v>0.15332601433260395</v>
      </c>
      <c r="T130" s="5">
        <f t="shared" ref="T130:T193" si="17">R130/($N130*1000)</f>
        <v>0.14301298112364</v>
      </c>
    </row>
    <row r="131" spans="1:20">
      <c r="A131" s="1">
        <v>130</v>
      </c>
      <c r="B131" s="2">
        <f>DATE(Sintesi!$C$4-1,12,31)+A131</f>
        <v>44326</v>
      </c>
      <c r="C131" s="1">
        <f>'Paste cell here'!T131</f>
        <v>9.4999999999999999E-13</v>
      </c>
      <c r="D131" s="1">
        <f>'Paste cell here'!AC131</f>
        <v>0</v>
      </c>
      <c r="E131" s="1">
        <f>'Paste cell here'!Y131</f>
        <v>1.221459716</v>
      </c>
      <c r="F131" s="1">
        <f>'Paste cell here'!AD131</f>
        <v>6.6100000000000004E-3</v>
      </c>
      <c r="G131" s="1">
        <f>'Paste cell here'!W131</f>
        <v>0</v>
      </c>
      <c r="H131" s="1">
        <f>'Paste cell here'!AE131</f>
        <v>70.417885069999997</v>
      </c>
      <c r="I131" s="1">
        <f>'Paste cell here'!AF131</f>
        <v>71.645956549999994</v>
      </c>
      <c r="J131" s="1">
        <f t="shared" si="12"/>
        <v>1.7640009559727332E-6</v>
      </c>
      <c r="K131" s="1" t="str">
        <f>IF('Bilancio primo strato'!D131&gt;0,1,"")</f>
        <v/>
      </c>
      <c r="L131" s="7">
        <f>Sintesi!$C$34</f>
        <v>9.0200000000000002E-2</v>
      </c>
      <c r="M131" s="7">
        <f>Sintesi!$C$33</f>
        <v>0.196996</v>
      </c>
      <c r="N131" s="1">
        <f>'Paste cell here'!AA131</f>
        <v>0.46500000000000002</v>
      </c>
      <c r="O131" s="1">
        <f>'Paste cell here'!H131</f>
        <v>0.50931767900000002</v>
      </c>
      <c r="P131" s="1">
        <f t="shared" si="13"/>
        <v>49.660140000000006</v>
      </c>
      <c r="Q131" s="1">
        <f t="shared" si="14"/>
        <v>25.292787243615063</v>
      </c>
      <c r="R131" s="1">
        <f t="shared" si="15"/>
        <v>66.310352756384944</v>
      </c>
      <c r="S131" s="5">
        <f t="shared" si="16"/>
        <v>0.15143631197849461</v>
      </c>
      <c r="T131" s="5">
        <f t="shared" si="17"/>
        <v>0.14260290915351601</v>
      </c>
    </row>
    <row r="132" spans="1:20">
      <c r="A132" s="1">
        <v>131</v>
      </c>
      <c r="B132" s="2">
        <f>DATE(Sintesi!$C$4-1,12,31)+A132</f>
        <v>44327</v>
      </c>
      <c r="C132" s="1">
        <f>'Paste cell here'!T132</f>
        <v>7.9500000000000001E-7</v>
      </c>
      <c r="D132" s="1">
        <f>'Paste cell here'!AC132</f>
        <v>0</v>
      </c>
      <c r="E132" s="1">
        <f>'Paste cell here'!Y132</f>
        <v>0.58770122999999996</v>
      </c>
      <c r="F132" s="1">
        <f>'Paste cell here'!AD132</f>
        <v>5.8700000000000002E-3</v>
      </c>
      <c r="G132" s="1">
        <f>'Paste cell here'!W132</f>
        <v>0</v>
      </c>
      <c r="H132" s="1">
        <f>'Paste cell here'!AE132</f>
        <v>71.400278880000002</v>
      </c>
      <c r="I132" s="1">
        <f>'Paste cell here'!AF132</f>
        <v>71.99385307</v>
      </c>
      <c r="J132" s="1">
        <f t="shared" si="12"/>
        <v>3.7550000087094304E-6</v>
      </c>
      <c r="K132" s="1" t="str">
        <f>IF('Bilancio primo strato'!D132&gt;0,1,"")</f>
        <v/>
      </c>
      <c r="L132" s="7">
        <f>Sintesi!$C$34</f>
        <v>9.0200000000000002E-2</v>
      </c>
      <c r="M132" s="7">
        <f>Sintesi!$C$33</f>
        <v>0.196996</v>
      </c>
      <c r="N132" s="1">
        <f>'Paste cell here'!AA132</f>
        <v>0.47299999999999998</v>
      </c>
      <c r="O132" s="1">
        <f>'Paste cell here'!H132</f>
        <v>0.52007051299999996</v>
      </c>
      <c r="P132" s="1">
        <f t="shared" si="13"/>
        <v>50.514507999999999</v>
      </c>
      <c r="Q132" s="1">
        <f t="shared" si="14"/>
        <v>26.271106089502602</v>
      </c>
      <c r="R132" s="1">
        <f t="shared" si="15"/>
        <v>66.908001910497404</v>
      </c>
      <c r="S132" s="5">
        <f t="shared" si="16"/>
        <v>0.15095196380549683</v>
      </c>
      <c r="T132" s="5">
        <f t="shared" si="17"/>
        <v>0.14145454949365202</v>
      </c>
    </row>
    <row r="133" spans="1:20">
      <c r="A133" s="1">
        <v>132</v>
      </c>
      <c r="B133" s="2">
        <f>DATE(Sintesi!$C$4-1,12,31)+A133</f>
        <v>44328</v>
      </c>
      <c r="C133" s="1">
        <f>'Paste cell here'!T133</f>
        <v>4.5800000000000002E-5</v>
      </c>
      <c r="D133" s="1">
        <f>'Paste cell here'!AC133</f>
        <v>0</v>
      </c>
      <c r="E133" s="1">
        <f>'Paste cell here'!Y133</f>
        <v>1.567219278</v>
      </c>
      <c r="F133" s="1">
        <f>'Paste cell here'!AD133</f>
        <v>5.1200000000000004E-3</v>
      </c>
      <c r="G133" s="1">
        <f>'Paste cell here'!W133</f>
        <v>0</v>
      </c>
      <c r="H133" s="1">
        <f>'Paste cell here'!AE133</f>
        <v>71.403951370000001</v>
      </c>
      <c r="I133" s="1">
        <f>'Paste cell here'!AF133</f>
        <v>72.976246880000005</v>
      </c>
      <c r="J133" s="1">
        <f t="shared" si="12"/>
        <v>2.0319999975981773E-6</v>
      </c>
      <c r="K133" s="1" t="str">
        <f>IF('Bilancio primo strato'!D133&gt;0,1,"")</f>
        <v/>
      </c>
      <c r="L133" s="7">
        <f>Sintesi!$C$34</f>
        <v>9.0200000000000002E-2</v>
      </c>
      <c r="M133" s="7">
        <f>Sintesi!$C$33</f>
        <v>0.196996</v>
      </c>
      <c r="N133" s="1">
        <f>'Paste cell here'!AA133</f>
        <v>0.48099999999999998</v>
      </c>
      <c r="O133" s="1">
        <f>'Paste cell here'!H133</f>
        <v>0.623766826</v>
      </c>
      <c r="P133" s="1">
        <f t="shared" si="13"/>
        <v>51.368876</v>
      </c>
      <c r="Q133" s="1">
        <f t="shared" si="14"/>
        <v>32.042200737707574</v>
      </c>
      <c r="R133" s="1">
        <f t="shared" si="15"/>
        <v>62.712875262292414</v>
      </c>
      <c r="S133" s="5">
        <f t="shared" si="16"/>
        <v>0.14844896334719335</v>
      </c>
      <c r="T133" s="5">
        <f t="shared" si="17"/>
        <v>0.13038019805050399</v>
      </c>
    </row>
    <row r="134" spans="1:20">
      <c r="A134" s="1">
        <v>133</v>
      </c>
      <c r="B134" s="2">
        <f>DATE(Sintesi!$C$4-1,12,31)+A134</f>
        <v>44329</v>
      </c>
      <c r="C134" s="1">
        <f>'Paste cell here'!T134</f>
        <v>7.1400000000000001E-5</v>
      </c>
      <c r="D134" s="1">
        <f>'Paste cell here'!AC134</f>
        <v>0</v>
      </c>
      <c r="E134" s="1">
        <f>'Paste cell here'!Y134</f>
        <v>1.6315323269999999</v>
      </c>
      <c r="F134" s="1">
        <f>'Paste cell here'!AD134</f>
        <v>4.0299999999999997E-3</v>
      </c>
      <c r="G134" s="1">
        <f>'Paste cell here'!W134</f>
        <v>0</v>
      </c>
      <c r="H134" s="1">
        <f>'Paste cell here'!AE134</f>
        <v>71.541424809999995</v>
      </c>
      <c r="I134" s="1">
        <f>'Paste cell here'!AF134</f>
        <v>73.176915370000003</v>
      </c>
      <c r="J134" s="1">
        <f t="shared" si="12"/>
        <v>3.6699999839129305E-7</v>
      </c>
      <c r="K134" s="1" t="str">
        <f>IF('Bilancio primo strato'!D134&gt;0,1,"")</f>
        <v/>
      </c>
      <c r="L134" s="7">
        <f>Sintesi!$C$34</f>
        <v>9.0200000000000002E-2</v>
      </c>
      <c r="M134" s="7">
        <f>Sintesi!$C$33</f>
        <v>0.196996</v>
      </c>
      <c r="N134" s="1">
        <f>'Paste cell here'!AA134</f>
        <v>0.49</v>
      </c>
      <c r="O134" s="1">
        <f>'Paste cell here'!H134</f>
        <v>0.50064729699999999</v>
      </c>
      <c r="P134" s="1">
        <f t="shared" si="13"/>
        <v>52.330040000000004</v>
      </c>
      <c r="Q134" s="1">
        <f t="shared" si="14"/>
        <v>26.198893077901882</v>
      </c>
      <c r="R134" s="1">
        <f t="shared" si="15"/>
        <v>70.329146922098104</v>
      </c>
      <c r="S134" s="5">
        <f t="shared" si="16"/>
        <v>0.1460029077755102</v>
      </c>
      <c r="T134" s="5">
        <f t="shared" si="17"/>
        <v>0.14352887126958797</v>
      </c>
    </row>
    <row r="135" spans="1:20">
      <c r="A135" s="1">
        <v>134</v>
      </c>
      <c r="B135" s="2">
        <f>DATE(Sintesi!$C$4-1,12,31)+A135</f>
        <v>44330</v>
      </c>
      <c r="C135" s="1">
        <f>'Paste cell here'!T135</f>
        <v>1.98E-5</v>
      </c>
      <c r="D135" s="1">
        <f>'Paste cell here'!AC135</f>
        <v>0</v>
      </c>
      <c r="E135" s="1">
        <f>'Paste cell here'!Y135</f>
        <v>1.407662757</v>
      </c>
      <c r="F135" s="1">
        <f>'Paste cell here'!AD135</f>
        <v>3.1800000000000001E-3</v>
      </c>
      <c r="G135" s="1">
        <f>'Paste cell here'!W135</f>
        <v>0</v>
      </c>
      <c r="H135" s="1">
        <f>'Paste cell here'!AE135</f>
        <v>71.706565609999998</v>
      </c>
      <c r="I135" s="1">
        <f>'Paste cell here'!AF135</f>
        <v>73.117392809999998</v>
      </c>
      <c r="J135" s="1">
        <f t="shared" si="12"/>
        <v>4.2430000064541673E-6</v>
      </c>
      <c r="K135" s="1" t="str">
        <f>IF('Bilancio primo strato'!D135&gt;0,1,"")</f>
        <v/>
      </c>
      <c r="L135" s="7">
        <f>Sintesi!$C$34</f>
        <v>9.0200000000000002E-2</v>
      </c>
      <c r="M135" s="7">
        <f>Sintesi!$C$33</f>
        <v>0.196996</v>
      </c>
      <c r="N135" s="1">
        <f>'Paste cell here'!AA135</f>
        <v>0.498</v>
      </c>
      <c r="O135" s="1">
        <f>'Paste cell here'!H135</f>
        <v>0.50411939500000003</v>
      </c>
      <c r="P135" s="1">
        <f t="shared" si="13"/>
        <v>53.184408000000005</v>
      </c>
      <c r="Q135" s="1">
        <f t="shared" si="14"/>
        <v>26.811291584393164</v>
      </c>
      <c r="R135" s="1">
        <f t="shared" si="15"/>
        <v>71.292716415606847</v>
      </c>
      <c r="S135" s="5">
        <f t="shared" si="16"/>
        <v>0.14398908757028112</v>
      </c>
      <c r="T135" s="5">
        <f t="shared" si="17"/>
        <v>0.14315806509158002</v>
      </c>
    </row>
    <row r="136" spans="1:20">
      <c r="A136" s="1">
        <v>135</v>
      </c>
      <c r="B136" s="2">
        <f>DATE(Sintesi!$C$4-1,12,31)+A136</f>
        <v>44331</v>
      </c>
      <c r="C136" s="1">
        <f>'Paste cell here'!T136</f>
        <v>2.0999999999999999E-5</v>
      </c>
      <c r="D136" s="1">
        <f>'Paste cell here'!AC136</f>
        <v>0</v>
      </c>
      <c r="E136" s="1">
        <f>'Paste cell here'!Y136</f>
        <v>1.2790918899999999</v>
      </c>
      <c r="F136" s="1">
        <f>'Paste cell here'!AD136</f>
        <v>2.6199999999999999E-3</v>
      </c>
      <c r="G136" s="1">
        <f>'Paste cell here'!W136</f>
        <v>0</v>
      </c>
      <c r="H136" s="1">
        <f>'Paste cell here'!AE136</f>
        <v>72.000845010000006</v>
      </c>
      <c r="I136" s="1">
        <f>'Paste cell here'!AF136</f>
        <v>73.282533610000002</v>
      </c>
      <c r="J136" s="1">
        <f t="shared" si="12"/>
        <v>2.2899999976289109E-6</v>
      </c>
      <c r="K136" s="1" t="str">
        <f>IF('Bilancio primo strato'!D136&gt;0,1,"")</f>
        <v/>
      </c>
      <c r="L136" s="7">
        <f>Sintesi!$C$34</f>
        <v>9.0200000000000002E-2</v>
      </c>
      <c r="M136" s="7">
        <f>Sintesi!$C$33</f>
        <v>0.196996</v>
      </c>
      <c r="N136" s="1">
        <f>'Paste cell here'!AA136</f>
        <v>0.50600000000000001</v>
      </c>
      <c r="O136" s="1">
        <f>'Paste cell here'!H136</f>
        <v>0.54272808500000003</v>
      </c>
      <c r="P136" s="1">
        <f t="shared" si="13"/>
        <v>54.038776000000006</v>
      </c>
      <c r="Q136" s="1">
        <f t="shared" si="14"/>
        <v>29.328361414223963</v>
      </c>
      <c r="R136" s="1">
        <f t="shared" si="15"/>
        <v>70.351614585776048</v>
      </c>
      <c r="S136" s="5">
        <f t="shared" si="16"/>
        <v>0.14229416009881424</v>
      </c>
      <c r="T136" s="5">
        <f t="shared" si="17"/>
        <v>0.13903481143434002</v>
      </c>
    </row>
    <row r="137" spans="1:20">
      <c r="A137" s="1">
        <v>136</v>
      </c>
      <c r="B137" s="2">
        <f>DATE(Sintesi!$C$4-1,12,31)+A137</f>
        <v>44332</v>
      </c>
      <c r="C137" s="1">
        <f>'Paste cell here'!T137</f>
        <v>184.00463110000001</v>
      </c>
      <c r="D137" s="1">
        <f>'Paste cell here'!AC137</f>
        <v>0</v>
      </c>
      <c r="E137" s="1">
        <f>'Paste cell here'!Y137</f>
        <v>0.84471360699999998</v>
      </c>
      <c r="F137" s="1">
        <f>'Paste cell here'!AD137</f>
        <v>116.62494220000001</v>
      </c>
      <c r="G137" s="1">
        <f>'Paste cell here'!W137</f>
        <v>0</v>
      </c>
      <c r="H137" s="1">
        <f>'Paste cell here'!AE137</f>
        <v>140.1117883</v>
      </c>
      <c r="I137" s="1">
        <f>'Paste cell here'!AF137</f>
        <v>73.576813009999995</v>
      </c>
      <c r="J137" s="1">
        <f t="shared" si="12"/>
        <v>2.9999682737980038E-9</v>
      </c>
      <c r="K137" s="1">
        <f>IF('Bilancio primo strato'!D137&gt;0,1,"")</f>
        <v>1</v>
      </c>
      <c r="L137" s="7">
        <f>Sintesi!$C$34</f>
        <v>9.0200000000000002E-2</v>
      </c>
      <c r="M137" s="7">
        <f>Sintesi!$C$33</f>
        <v>0.196996</v>
      </c>
      <c r="N137" s="1">
        <f>'Paste cell here'!AA137</f>
        <v>0.51400000000000001</v>
      </c>
      <c r="O137" s="1">
        <f>'Paste cell here'!H137</f>
        <v>0.56843002099999995</v>
      </c>
      <c r="P137" s="1">
        <f t="shared" si="13"/>
        <v>54.893144000000007</v>
      </c>
      <c r="Q137" s="1">
        <f t="shared" si="14"/>
        <v>31.202910996676025</v>
      </c>
      <c r="R137" s="1">
        <f t="shared" si="15"/>
        <v>70.053033003323975</v>
      </c>
      <c r="S137" s="5">
        <f t="shared" si="16"/>
        <v>0.27259102782101169</v>
      </c>
      <c r="T137" s="5">
        <f t="shared" si="17"/>
        <v>0.13628994747728398</v>
      </c>
    </row>
    <row r="138" spans="1:20">
      <c r="A138" s="1">
        <v>137</v>
      </c>
      <c r="B138" s="2">
        <f>DATE(Sintesi!$C$4-1,12,31)+A138</f>
        <v>44333</v>
      </c>
      <c r="C138" s="1">
        <f>'Paste cell here'!T138</f>
        <v>2.5842767740000001</v>
      </c>
      <c r="D138" s="1">
        <f>'Paste cell here'!AC138</f>
        <v>0</v>
      </c>
      <c r="E138" s="1">
        <f>'Paste cell here'!Y138</f>
        <v>2.496589046</v>
      </c>
      <c r="F138" s="1">
        <f>'Paste cell here'!AD138</f>
        <v>17.655449019999999</v>
      </c>
      <c r="G138" s="1">
        <f>'Paste cell here'!W138</f>
        <v>0</v>
      </c>
      <c r="H138" s="1">
        <f>'Paste cell here'!AE138</f>
        <v>124.119995</v>
      </c>
      <c r="I138" s="1">
        <f>'Paste cell here'!AF138</f>
        <v>141.68775629999999</v>
      </c>
      <c r="J138" s="1">
        <f t="shared" si="12"/>
        <v>7.9999864510682528E-9</v>
      </c>
      <c r="K138" s="1" t="str">
        <f>IF('Bilancio primo strato'!D138&gt;0,1,"")</f>
        <v/>
      </c>
      <c r="L138" s="7">
        <f>Sintesi!$C$34</f>
        <v>9.0200000000000002E-2</v>
      </c>
      <c r="M138" s="7">
        <f>Sintesi!$C$33</f>
        <v>0.196996</v>
      </c>
      <c r="N138" s="1">
        <f>'Paste cell here'!AA138</f>
        <v>0.52200000000000002</v>
      </c>
      <c r="O138" s="1">
        <f>'Paste cell here'!H138</f>
        <v>0.62115246199999996</v>
      </c>
      <c r="P138" s="1">
        <f t="shared" si="13"/>
        <v>55.747512000000008</v>
      </c>
      <c r="Q138" s="1">
        <f t="shared" si="14"/>
        <v>34.627704329174549</v>
      </c>
      <c r="R138" s="1">
        <f t="shared" si="15"/>
        <v>68.204207670825468</v>
      </c>
      <c r="S138" s="5">
        <f t="shared" si="16"/>
        <v>0.23777776819923371</v>
      </c>
      <c r="T138" s="5">
        <f t="shared" si="17"/>
        <v>0.13065940166824802</v>
      </c>
    </row>
    <row r="139" spans="1:20">
      <c r="A139" s="1">
        <v>138</v>
      </c>
      <c r="B139" s="2">
        <f>DATE(Sintesi!$C$4-1,12,31)+A139</f>
        <v>44334</v>
      </c>
      <c r="C139" s="1">
        <f>'Paste cell here'!T139</f>
        <v>0.25880229999999999</v>
      </c>
      <c r="D139" s="1">
        <f>'Paste cell here'!AC139</f>
        <v>0</v>
      </c>
      <c r="E139" s="1">
        <f>'Paste cell here'!Y139</f>
        <v>2.272061168</v>
      </c>
      <c r="F139" s="1">
        <f>'Paste cell here'!AD139</f>
        <v>3.8793340160000001</v>
      </c>
      <c r="G139" s="1">
        <f>'Paste cell here'!W139</f>
        <v>0</v>
      </c>
      <c r="H139" s="1">
        <f>'Paste cell here'!AE139</f>
        <v>119.8033701</v>
      </c>
      <c r="I139" s="1">
        <f>'Paste cell here'!AF139</f>
        <v>125.69596300000001</v>
      </c>
      <c r="J139" s="1">
        <f t="shared" si="12"/>
        <v>1.6000015534700651E-8</v>
      </c>
      <c r="K139" s="1" t="str">
        <f>IF('Bilancio primo strato'!D139&gt;0,1,"")</f>
        <v/>
      </c>
      <c r="L139" s="7">
        <f>Sintesi!$C$34</f>
        <v>9.0200000000000002E-2</v>
      </c>
      <c r="M139" s="7">
        <f>Sintesi!$C$33</f>
        <v>0.196996</v>
      </c>
      <c r="N139" s="1">
        <f>'Paste cell here'!AA139</f>
        <v>0.53</v>
      </c>
      <c r="O139" s="1">
        <f>'Paste cell here'!H139</f>
        <v>0.44401443499999999</v>
      </c>
      <c r="P139" s="1">
        <f t="shared" si="13"/>
        <v>56.601880000000008</v>
      </c>
      <c r="Q139" s="1">
        <f t="shared" si="14"/>
        <v>25.132051768137803</v>
      </c>
      <c r="R139" s="1">
        <f t="shared" si="15"/>
        <v>79.275828231862207</v>
      </c>
      <c r="S139" s="5">
        <f t="shared" si="16"/>
        <v>0.22604409452830188</v>
      </c>
      <c r="T139" s="5">
        <f t="shared" si="17"/>
        <v>0.14957703439974002</v>
      </c>
    </row>
    <row r="140" spans="1:20">
      <c r="A140" s="1">
        <v>139</v>
      </c>
      <c r="B140" s="2">
        <f>DATE(Sintesi!$C$4-1,12,31)+A140</f>
        <v>44335</v>
      </c>
      <c r="C140" s="1">
        <f>'Paste cell here'!T140</f>
        <v>5.1700000000000003E-2</v>
      </c>
      <c r="D140" s="1">
        <f>'Paste cell here'!AC140</f>
        <v>0</v>
      </c>
      <c r="E140" s="1">
        <f>'Paste cell here'!Y140</f>
        <v>2.4791876720000001</v>
      </c>
      <c r="F140" s="1">
        <f>'Paste cell here'!AD140</f>
        <v>1.6123672920000001</v>
      </c>
      <c r="G140" s="1">
        <f>'Paste cell here'!W140</f>
        <v>0</v>
      </c>
      <c r="H140" s="1">
        <f>'Paste cell here'!AE140</f>
        <v>117.3394784</v>
      </c>
      <c r="I140" s="1">
        <f>'Paste cell here'!AF140</f>
        <v>121.3793381</v>
      </c>
      <c r="J140" s="1">
        <f t="shared" si="12"/>
        <v>4.735999993954465E-6</v>
      </c>
      <c r="K140" s="1" t="str">
        <f>IF('Bilancio primo strato'!D140&gt;0,1,"")</f>
        <v/>
      </c>
      <c r="L140" s="7">
        <f>Sintesi!$C$34</f>
        <v>9.0200000000000002E-2</v>
      </c>
      <c r="M140" s="7">
        <f>Sintesi!$C$33</f>
        <v>0.196996</v>
      </c>
      <c r="N140" s="1">
        <f>'Paste cell here'!AA140</f>
        <v>0.53800000000000003</v>
      </c>
      <c r="O140" s="1">
        <f>'Paste cell here'!H140</f>
        <v>0.48179197299999998</v>
      </c>
      <c r="P140" s="1">
        <f t="shared" si="13"/>
        <v>57.456248000000002</v>
      </c>
      <c r="Q140" s="1">
        <f t="shared" si="14"/>
        <v>27.681959085097304</v>
      </c>
      <c r="R140" s="1">
        <f t="shared" si="15"/>
        <v>78.301888914902705</v>
      </c>
      <c r="S140" s="5">
        <f t="shared" si="16"/>
        <v>0.21810311970260224</v>
      </c>
      <c r="T140" s="5">
        <f t="shared" si="17"/>
        <v>0.14554254445149201</v>
      </c>
    </row>
    <row r="141" spans="1:20">
      <c r="A141" s="1">
        <v>140</v>
      </c>
      <c r="B141" s="2">
        <f>DATE(Sintesi!$C$4-1,12,31)+A141</f>
        <v>44336</v>
      </c>
      <c r="C141" s="1">
        <f>'Paste cell here'!T141</f>
        <v>4.3899999999999998E-3</v>
      </c>
      <c r="D141" s="1">
        <f>'Paste cell here'!AC141</f>
        <v>0</v>
      </c>
      <c r="E141" s="1">
        <f>'Paste cell here'!Y141</f>
        <v>2.6450491739999999</v>
      </c>
      <c r="F141" s="1">
        <f>'Paste cell here'!AD141</f>
        <v>0.83222302500000001</v>
      </c>
      <c r="G141" s="1">
        <f>'Paste cell here'!W141</f>
        <v>0</v>
      </c>
      <c r="H141" s="1">
        <f>'Paste cell here'!AE141</f>
        <v>115.6395567</v>
      </c>
      <c r="I141" s="1">
        <f>'Paste cell here'!AF141</f>
        <v>119.11244240000001</v>
      </c>
      <c r="J141" s="1">
        <f t="shared" si="12"/>
        <v>3.5010000090096582E-6</v>
      </c>
      <c r="K141" s="1" t="str">
        <f>IF('Bilancio primo strato'!D141&gt;0,1,"")</f>
        <v/>
      </c>
      <c r="L141" s="7">
        <f>Sintesi!$C$34</f>
        <v>9.0200000000000002E-2</v>
      </c>
      <c r="M141" s="7">
        <f>Sintesi!$C$33</f>
        <v>0.196996</v>
      </c>
      <c r="N141" s="1">
        <f>'Paste cell here'!AA141</f>
        <v>0.54700000000000004</v>
      </c>
      <c r="O141" s="1">
        <f>'Paste cell here'!H141</f>
        <v>0.47116348000000002</v>
      </c>
      <c r="P141" s="1">
        <f t="shared" si="13"/>
        <v>58.417412000000006</v>
      </c>
      <c r="Q141" s="1">
        <f t="shared" si="14"/>
        <v>27.524151130513765</v>
      </c>
      <c r="R141" s="1">
        <f t="shared" si="15"/>
        <v>80.232660869486239</v>
      </c>
      <c r="S141" s="5">
        <f t="shared" si="16"/>
        <v>0.21140686782449725</v>
      </c>
      <c r="T141" s="5">
        <f t="shared" si="17"/>
        <v>0.14667762498991999</v>
      </c>
    </row>
    <row r="142" spans="1:20">
      <c r="A142" s="1">
        <v>141</v>
      </c>
      <c r="B142" s="2">
        <f>DATE(Sintesi!$C$4-1,12,31)+A142</f>
        <v>44337</v>
      </c>
      <c r="C142" s="1">
        <f>'Paste cell here'!T142</f>
        <v>2.6200000000000003E-4</v>
      </c>
      <c r="D142" s="1">
        <f>'Paste cell here'!AC142</f>
        <v>0</v>
      </c>
      <c r="E142" s="1">
        <f>'Paste cell here'!Y142</f>
        <v>2.4767134519999998</v>
      </c>
      <c r="F142" s="1">
        <f>'Paste cell here'!AD142</f>
        <v>0.49818955399999998</v>
      </c>
      <c r="G142" s="1">
        <f>'Paste cell here'!W142</f>
        <v>0</v>
      </c>
      <c r="H142" s="1">
        <f>'Paste cell here'!AE142</f>
        <v>114.2408841</v>
      </c>
      <c r="I142" s="1">
        <f>'Paste cell here'!AF142</f>
        <v>117.2155247</v>
      </c>
      <c r="J142" s="1">
        <f t="shared" si="12"/>
        <v>4.0599999806545384E-7</v>
      </c>
      <c r="K142" s="1" t="str">
        <f>IF('Bilancio primo strato'!D142&gt;0,1,"")</f>
        <v/>
      </c>
      <c r="L142" s="7">
        <f>Sintesi!$C$34</f>
        <v>9.0200000000000002E-2</v>
      </c>
      <c r="M142" s="7">
        <f>Sintesi!$C$33</f>
        <v>0.196996</v>
      </c>
      <c r="N142" s="1">
        <f>'Paste cell here'!AA142</f>
        <v>0.55500000000000005</v>
      </c>
      <c r="O142" s="1">
        <f>'Paste cell here'!H142</f>
        <v>0.46347471899999998</v>
      </c>
      <c r="P142" s="1">
        <f t="shared" si="13"/>
        <v>59.27178</v>
      </c>
      <c r="Q142" s="1">
        <f t="shared" si="14"/>
        <v>27.47097158012982</v>
      </c>
      <c r="R142" s="1">
        <f t="shared" si="15"/>
        <v>81.861808419870187</v>
      </c>
      <c r="S142" s="5">
        <f t="shared" si="16"/>
        <v>0.20583943081081083</v>
      </c>
      <c r="T142" s="5">
        <f t="shared" si="17"/>
        <v>0.14749875390967601</v>
      </c>
    </row>
    <row r="143" spans="1:20">
      <c r="A143" s="1">
        <v>142</v>
      </c>
      <c r="B143" s="2">
        <f>DATE(Sintesi!$C$4-1,12,31)+A143</f>
        <v>44338</v>
      </c>
      <c r="C143" s="1">
        <f>'Paste cell here'!T143</f>
        <v>4.6199999999999998E-5</v>
      </c>
      <c r="D143" s="1">
        <f>'Paste cell here'!AC143</f>
        <v>0</v>
      </c>
      <c r="E143" s="1">
        <f>'Paste cell here'!Y143</f>
        <v>1.7513530420000001</v>
      </c>
      <c r="F143" s="1">
        <f>'Paste cell here'!AD143</f>
        <v>0.34267482199999999</v>
      </c>
      <c r="G143" s="1">
        <f>'Paste cell here'!W143</f>
        <v>0</v>
      </c>
      <c r="H143" s="1">
        <f>'Paste cell here'!AE143</f>
        <v>113.72287040000001</v>
      </c>
      <c r="I143" s="1">
        <f>'Paste cell here'!AF143</f>
        <v>115.81685210000001</v>
      </c>
      <c r="J143" s="1">
        <f t="shared" si="12"/>
        <v>3.5999988767798641E-8</v>
      </c>
      <c r="K143" s="1" t="str">
        <f>IF('Bilancio primo strato'!D143&gt;0,1,"")</f>
        <v/>
      </c>
      <c r="L143" s="7">
        <f>Sintesi!$C$34</f>
        <v>9.0200000000000002E-2</v>
      </c>
      <c r="M143" s="7">
        <f>Sintesi!$C$33</f>
        <v>0.196996</v>
      </c>
      <c r="N143" s="1">
        <f>'Paste cell here'!AA143</f>
        <v>0.56299999999999994</v>
      </c>
      <c r="O143" s="1">
        <f>'Paste cell here'!H143</f>
        <v>0.49435206700000001</v>
      </c>
      <c r="P143" s="1">
        <f t="shared" si="13"/>
        <v>60.126148000000001</v>
      </c>
      <c r="Q143" s="1">
        <f t="shared" si="14"/>
        <v>29.723485544547916</v>
      </c>
      <c r="R143" s="1">
        <f t="shared" si="15"/>
        <v>81.185262455452076</v>
      </c>
      <c r="S143" s="5">
        <f t="shared" si="16"/>
        <v>0.20199444120781529</v>
      </c>
      <c r="T143" s="5">
        <f t="shared" si="17"/>
        <v>0.14420117665266799</v>
      </c>
    </row>
    <row r="144" spans="1:20">
      <c r="A144" s="1">
        <v>143</v>
      </c>
      <c r="B144" s="2">
        <f>DATE(Sintesi!$C$4-1,12,31)+A144</f>
        <v>44339</v>
      </c>
      <c r="C144" s="1">
        <f>'Paste cell here'!T144</f>
        <v>1.8700000000000001E-5</v>
      </c>
      <c r="D144" s="1">
        <f>'Paste cell here'!AC144</f>
        <v>0</v>
      </c>
      <c r="E144" s="1">
        <f>'Paste cell here'!Y144</f>
        <v>2.9076535899999998</v>
      </c>
      <c r="F144" s="1">
        <f>'Paste cell here'!AD144</f>
        <v>0.24510511600000001</v>
      </c>
      <c r="G144" s="1">
        <f>'Paste cell here'!W144</f>
        <v>0</v>
      </c>
      <c r="H144" s="1">
        <f>'Paste cell here'!AE144</f>
        <v>112.1460984</v>
      </c>
      <c r="I144" s="1">
        <f>'Paste cell here'!AF144</f>
        <v>115.29883839999999</v>
      </c>
      <c r="J144" s="1">
        <f t="shared" si="12"/>
        <v>6.0000076018695836E-9</v>
      </c>
      <c r="K144" s="1" t="str">
        <f>IF('Bilancio primo strato'!D144&gt;0,1,"")</f>
        <v/>
      </c>
      <c r="L144" s="7">
        <f>Sintesi!$C$34</f>
        <v>9.0200000000000002E-2</v>
      </c>
      <c r="M144" s="7">
        <f>Sintesi!$C$33</f>
        <v>0.196996</v>
      </c>
      <c r="N144" s="1">
        <f>'Paste cell here'!AA144</f>
        <v>0.57099999999999995</v>
      </c>
      <c r="O144" s="1">
        <f>'Paste cell here'!H144</f>
        <v>0.56935075300000004</v>
      </c>
      <c r="P144" s="1">
        <f t="shared" si="13"/>
        <v>60.980516000000001</v>
      </c>
      <c r="Q144" s="1">
        <f t="shared" si="14"/>
        <v>34.719302702928552</v>
      </c>
      <c r="R144" s="1">
        <f t="shared" si="15"/>
        <v>77.765413297071433</v>
      </c>
      <c r="S144" s="5">
        <f t="shared" si="16"/>
        <v>0.19640297443082311</v>
      </c>
      <c r="T144" s="5">
        <f t="shared" si="17"/>
        <v>0.13619161698261198</v>
      </c>
    </row>
    <row r="145" spans="1:20">
      <c r="A145" s="1">
        <v>144</v>
      </c>
      <c r="B145" s="2">
        <f>DATE(Sintesi!$C$4-1,12,31)+A145</f>
        <v>44340</v>
      </c>
      <c r="C145" s="1">
        <f>'Paste cell here'!T145</f>
        <v>3.271689399</v>
      </c>
      <c r="D145" s="1">
        <f>'Paste cell here'!AC145</f>
        <v>0</v>
      </c>
      <c r="E145" s="1">
        <f>'Paste cell here'!Y145</f>
        <v>0.79068431900000002</v>
      </c>
      <c r="F145" s="1">
        <f>'Paste cell here'!AD145</f>
        <v>0.19749999500000001</v>
      </c>
      <c r="G145" s="1">
        <f>'Paste cell here'!W145</f>
        <v>0</v>
      </c>
      <c r="H145" s="1">
        <f>'Paste cell here'!AE145</f>
        <v>116.0055715</v>
      </c>
      <c r="I145" s="1">
        <f>'Paste cell here'!AF145</f>
        <v>113.7220664</v>
      </c>
      <c r="J145" s="1">
        <f t="shared" si="12"/>
        <v>1.4999997688391886E-8</v>
      </c>
      <c r="K145" s="1" t="str">
        <f>IF('Bilancio primo strato'!D145&gt;0,1,"")</f>
        <v/>
      </c>
      <c r="L145" s="7">
        <f>Sintesi!$C$34</f>
        <v>9.0200000000000002E-2</v>
      </c>
      <c r="M145" s="7">
        <f>Sintesi!$C$33</f>
        <v>0.196996</v>
      </c>
      <c r="N145" s="1">
        <f>'Paste cell here'!AA145</f>
        <v>0.57899999999999996</v>
      </c>
      <c r="O145" s="1">
        <f>'Paste cell here'!H145</f>
        <v>0.475784926</v>
      </c>
      <c r="P145" s="1">
        <f t="shared" si="13"/>
        <v>61.834884000000002</v>
      </c>
      <c r="Q145" s="1">
        <f t="shared" si="14"/>
        <v>29.420105708158584</v>
      </c>
      <c r="R145" s="1">
        <f t="shared" si="15"/>
        <v>84.640578291841408</v>
      </c>
      <c r="S145" s="5">
        <f t="shared" si="16"/>
        <v>0.2003550457685665</v>
      </c>
      <c r="T145" s="5">
        <f t="shared" si="17"/>
        <v>0.14618407304290398</v>
      </c>
    </row>
    <row r="146" spans="1:20">
      <c r="A146" s="1">
        <v>145</v>
      </c>
      <c r="B146" s="2">
        <f>DATE(Sintesi!$C$4-1,12,31)+A146</f>
        <v>44341</v>
      </c>
      <c r="C146" s="1">
        <f>'Paste cell here'!T146</f>
        <v>4.8972187790000001</v>
      </c>
      <c r="D146" s="1">
        <f>'Paste cell here'!AC146</f>
        <v>0</v>
      </c>
      <c r="E146" s="1">
        <f>'Paste cell here'!Y146</f>
        <v>3.3116179209999999</v>
      </c>
      <c r="F146" s="1">
        <f>'Paste cell here'!AD146</f>
        <v>0.300764741</v>
      </c>
      <c r="G146" s="1">
        <f>'Paste cell here'!W146</f>
        <v>0</v>
      </c>
      <c r="H146" s="1">
        <f>'Paste cell here'!AE146</f>
        <v>118.8663756</v>
      </c>
      <c r="I146" s="1">
        <f>'Paste cell here'!AF146</f>
        <v>117.58153950000001</v>
      </c>
      <c r="J146" s="1">
        <f t="shared" si="12"/>
        <v>1.7000019170154701E-8</v>
      </c>
      <c r="K146" s="1" t="str">
        <f>IF('Bilancio primo strato'!D146&gt;0,1,"")</f>
        <v/>
      </c>
      <c r="L146" s="7">
        <f>Sintesi!$C$34</f>
        <v>9.0200000000000002E-2</v>
      </c>
      <c r="M146" s="7">
        <f>Sintesi!$C$33</f>
        <v>0.196996</v>
      </c>
      <c r="N146" s="1">
        <f>'Paste cell here'!AA146</f>
        <v>0.58699999999999997</v>
      </c>
      <c r="O146" s="1">
        <f>'Paste cell here'!H146</f>
        <v>0.64951742000000001</v>
      </c>
      <c r="P146" s="1">
        <f t="shared" si="13"/>
        <v>62.689252000000003</v>
      </c>
      <c r="Q146" s="1">
        <f t="shared" si="14"/>
        <v>40.717761220769844</v>
      </c>
      <c r="R146" s="1">
        <f t="shared" si="15"/>
        <v>74.918890779230153</v>
      </c>
      <c r="S146" s="5">
        <f t="shared" si="16"/>
        <v>0.20249808449744464</v>
      </c>
      <c r="T146" s="5">
        <f t="shared" si="17"/>
        <v>0.12763013761368</v>
      </c>
    </row>
    <row r="147" spans="1:20">
      <c r="A147" s="1">
        <v>146</v>
      </c>
      <c r="B147" s="2">
        <f>DATE(Sintesi!$C$4-1,12,31)+A147</f>
        <v>44342</v>
      </c>
      <c r="C147" s="1">
        <f>'Paste cell here'!T147</f>
        <v>0.72964129499999997</v>
      </c>
      <c r="D147" s="1">
        <f>'Paste cell here'!AC147</f>
        <v>0</v>
      </c>
      <c r="E147" s="1">
        <f>'Paste cell here'!Y147</f>
        <v>3.0877015989999999</v>
      </c>
      <c r="F147" s="1">
        <f>'Paste cell here'!AD147</f>
        <v>0.25101911500000001</v>
      </c>
      <c r="G147" s="1">
        <f>'Paste cell here'!W147</f>
        <v>0</v>
      </c>
      <c r="H147" s="1">
        <f>'Paste cell here'!AE147</f>
        <v>117.8332642</v>
      </c>
      <c r="I147" s="1">
        <f>'Paste cell here'!AF147</f>
        <v>120.4423436</v>
      </c>
      <c r="J147" s="1">
        <f t="shared" si="12"/>
        <v>1.9000012230208085E-8</v>
      </c>
      <c r="K147" s="1" t="str">
        <f>IF('Bilancio primo strato'!D147&gt;0,1,"")</f>
        <v/>
      </c>
      <c r="L147" s="7">
        <f>Sintesi!$C$34</f>
        <v>9.0200000000000002E-2</v>
      </c>
      <c r="M147" s="7">
        <f>Sintesi!$C$33</f>
        <v>0.196996</v>
      </c>
      <c r="N147" s="1">
        <f>'Paste cell here'!AA147</f>
        <v>0.59499999999999997</v>
      </c>
      <c r="O147" s="1">
        <f>'Paste cell here'!H147</f>
        <v>0.45789801699999999</v>
      </c>
      <c r="P147" s="1">
        <f t="shared" si="13"/>
        <v>63.543619999999997</v>
      </c>
      <c r="Q147" s="1">
        <f t="shared" si="14"/>
        <v>29.096497591001537</v>
      </c>
      <c r="R147" s="1">
        <f t="shared" si="15"/>
        <v>88.116122408998464</v>
      </c>
      <c r="S147" s="5">
        <f t="shared" si="16"/>
        <v>0.19803909949579832</v>
      </c>
      <c r="T147" s="5">
        <f t="shared" si="17"/>
        <v>0.148094323376468</v>
      </c>
    </row>
    <row r="148" spans="1:20">
      <c r="A148" s="1">
        <v>147</v>
      </c>
      <c r="B148" s="2">
        <f>DATE(Sintesi!$C$4-1,12,31)+A148</f>
        <v>44343</v>
      </c>
      <c r="C148" s="1">
        <f>'Paste cell here'!T148</f>
        <v>0.22948601199999999</v>
      </c>
      <c r="D148" s="1">
        <f>'Paste cell here'!AC148</f>
        <v>0</v>
      </c>
      <c r="E148" s="1">
        <f>'Paste cell here'!Y148</f>
        <v>3.3991905149999999</v>
      </c>
      <c r="F148" s="1">
        <f>'Paste cell here'!AD148</f>
        <v>0.182454004</v>
      </c>
      <c r="G148" s="1">
        <f>'Paste cell here'!W148</f>
        <v>0</v>
      </c>
      <c r="H148" s="1">
        <f>'Paste cell here'!AE148</f>
        <v>116.0570737</v>
      </c>
      <c r="I148" s="1">
        <f>'Paste cell here'!AF148</f>
        <v>119.40923220000001</v>
      </c>
      <c r="J148" s="1">
        <f t="shared" si="12"/>
        <v>6.9999970264689182E-9</v>
      </c>
      <c r="K148" s="1" t="str">
        <f>IF('Bilancio primo strato'!D148&gt;0,1,"")</f>
        <v/>
      </c>
      <c r="L148" s="7">
        <f>Sintesi!$C$34</f>
        <v>9.0200000000000002E-2</v>
      </c>
      <c r="M148" s="7">
        <f>Sintesi!$C$33</f>
        <v>0.196996</v>
      </c>
      <c r="N148" s="1">
        <f>'Paste cell here'!AA148</f>
        <v>0.60299999999999998</v>
      </c>
      <c r="O148" s="1">
        <f>'Paste cell here'!H148</f>
        <v>0.49595820699999998</v>
      </c>
      <c r="P148" s="1">
        <f t="shared" si="13"/>
        <v>64.397987999999998</v>
      </c>
      <c r="Q148" s="1">
        <f t="shared" si="14"/>
        <v>31.938710662887512</v>
      </c>
      <c r="R148" s="1">
        <f t="shared" si="15"/>
        <v>86.849877337112488</v>
      </c>
      <c r="S148" s="5">
        <f t="shared" si="16"/>
        <v>0.19246612553897183</v>
      </c>
      <c r="T148" s="5">
        <f t="shared" si="17"/>
        <v>0.14402964732522799</v>
      </c>
    </row>
    <row r="149" spans="1:20">
      <c r="A149" s="1">
        <v>148</v>
      </c>
      <c r="B149" s="2">
        <f>DATE(Sintesi!$C$4-1,12,31)+A149</f>
        <v>44344</v>
      </c>
      <c r="C149" s="1">
        <f>'Paste cell here'!T149</f>
        <v>7.3899999999999993E-2</v>
      </c>
      <c r="D149" s="1">
        <f>'Paste cell here'!AC149</f>
        <v>0</v>
      </c>
      <c r="E149" s="1">
        <f>'Paste cell here'!Y149</f>
        <v>3.5274499860000001</v>
      </c>
      <c r="F149" s="1">
        <f>'Paste cell here'!AD149</f>
        <v>0.125803147</v>
      </c>
      <c r="G149" s="1">
        <f>'Paste cell here'!W149</f>
        <v>0</v>
      </c>
      <c r="H149" s="1">
        <f>'Paste cell here'!AE149</f>
        <v>114.2507239</v>
      </c>
      <c r="I149" s="1">
        <f>'Paste cell here'!AF149</f>
        <v>117.83003770000001</v>
      </c>
      <c r="J149" s="1">
        <f t="shared" si="12"/>
        <v>3.9332999989483142E-5</v>
      </c>
      <c r="K149" s="1" t="str">
        <f>IF('Bilancio primo strato'!D149&gt;0,1,"")</f>
        <v/>
      </c>
      <c r="L149" s="7">
        <f>Sintesi!$C$34</f>
        <v>9.0200000000000002E-2</v>
      </c>
      <c r="M149" s="7">
        <f>Sintesi!$C$33</f>
        <v>0.196996</v>
      </c>
      <c r="N149" s="1">
        <f>'Paste cell here'!AA149</f>
        <v>0.61199999999999999</v>
      </c>
      <c r="O149" s="1">
        <f>'Paste cell here'!H149</f>
        <v>0.47956109699999999</v>
      </c>
      <c r="P149" s="1">
        <f t="shared" si="13"/>
        <v>65.359152000000009</v>
      </c>
      <c r="Q149" s="1">
        <f t="shared" si="14"/>
        <v>31.343706632109747</v>
      </c>
      <c r="R149" s="1">
        <f t="shared" si="15"/>
        <v>89.217845367890263</v>
      </c>
      <c r="S149" s="5">
        <f t="shared" si="16"/>
        <v>0.18668418937908496</v>
      </c>
      <c r="T149" s="5">
        <f t="shared" si="17"/>
        <v>0.145780793084788</v>
      </c>
    </row>
    <row r="150" spans="1:20">
      <c r="A150" s="1">
        <v>149</v>
      </c>
      <c r="B150" s="2">
        <f>DATE(Sintesi!$C$4-1,12,31)+A150</f>
        <v>44345</v>
      </c>
      <c r="C150" s="1">
        <f>'Paste cell here'!T150</f>
        <v>2.3300000000000001E-2</v>
      </c>
      <c r="D150" s="1">
        <f>'Paste cell here'!AC150</f>
        <v>0</v>
      </c>
      <c r="E150" s="1">
        <f>'Paste cell here'!Y150</f>
        <v>3.6603602899999998</v>
      </c>
      <c r="F150" s="1">
        <f>'Paste cell here'!AD150</f>
        <v>8.4500000000000006E-2</v>
      </c>
      <c r="G150" s="1">
        <f>'Paste cell here'!W150</f>
        <v>0</v>
      </c>
      <c r="H150" s="1">
        <f>'Paste cell here'!AE150</f>
        <v>112.10509500000001</v>
      </c>
      <c r="I150" s="1">
        <f>'Paste cell here'!AF150</f>
        <v>115.8266919</v>
      </c>
      <c r="J150" s="1">
        <f t="shared" si="12"/>
        <v>3.6609999995107501E-5</v>
      </c>
      <c r="K150" s="1" t="str">
        <f>IF('Bilancio primo strato'!D150&gt;0,1,"")</f>
        <v/>
      </c>
      <c r="L150" s="7">
        <f>Sintesi!$C$34</f>
        <v>9.0200000000000002E-2</v>
      </c>
      <c r="M150" s="7">
        <f>Sintesi!$C$33</f>
        <v>0.196996</v>
      </c>
      <c r="N150" s="1">
        <f>'Paste cell here'!AA150</f>
        <v>0.62</v>
      </c>
      <c r="O150" s="1">
        <f>'Paste cell here'!H150</f>
        <v>0.48332370899999999</v>
      </c>
      <c r="P150" s="1">
        <f t="shared" si="13"/>
        <v>66.213520000000003</v>
      </c>
      <c r="Q150" s="1">
        <f t="shared" si="14"/>
        <v>32.002564072345677</v>
      </c>
      <c r="R150" s="1">
        <f t="shared" si="15"/>
        <v>90.134955927654318</v>
      </c>
      <c r="S150" s="5">
        <f t="shared" si="16"/>
        <v>0.18081466935483873</v>
      </c>
      <c r="T150" s="5">
        <f t="shared" si="17"/>
        <v>0.145378961173636</v>
      </c>
    </row>
    <row r="151" spans="1:20">
      <c r="A151" s="1">
        <v>150</v>
      </c>
      <c r="B151" s="2">
        <f>DATE(Sintesi!$C$4-1,12,31)+A151</f>
        <v>44346</v>
      </c>
      <c r="C151" s="1">
        <f>'Paste cell here'!T151</f>
        <v>6.0699999999999999E-3</v>
      </c>
      <c r="D151" s="1">
        <f>'Paste cell here'!AC151</f>
        <v>0</v>
      </c>
      <c r="E151" s="1">
        <f>'Paste cell here'!Y151</f>
        <v>4.0273808149999999</v>
      </c>
      <c r="F151" s="1">
        <f>'Paste cell here'!AD151</f>
        <v>5.4800000000000001E-2</v>
      </c>
      <c r="G151" s="1">
        <f>'Paste cell here'!W151</f>
        <v>0</v>
      </c>
      <c r="H151" s="1">
        <f>'Paste cell here'!AE151</f>
        <v>109.6049027</v>
      </c>
      <c r="I151" s="1">
        <f>'Paste cell here'!AF151</f>
        <v>113.68106299999999</v>
      </c>
      <c r="J151" s="1">
        <f t="shared" si="12"/>
        <v>4.948499999102296E-5</v>
      </c>
      <c r="K151" s="1" t="str">
        <f>IF('Bilancio primo strato'!D151&gt;0,1,"")</f>
        <v/>
      </c>
      <c r="L151" s="7">
        <f>Sintesi!$C$34</f>
        <v>9.0200000000000002E-2</v>
      </c>
      <c r="M151" s="7">
        <f>Sintesi!$C$33</f>
        <v>0.196996</v>
      </c>
      <c r="N151" s="1">
        <f>'Paste cell here'!AA151</f>
        <v>0.628</v>
      </c>
      <c r="O151" s="1">
        <f>'Paste cell here'!H151</f>
        <v>0.47466608100000002</v>
      </c>
      <c r="P151" s="1">
        <f t="shared" si="13"/>
        <v>67.067888000000011</v>
      </c>
      <c r="Q151" s="1">
        <f t="shared" si="14"/>
        <v>31.834851557906934</v>
      </c>
      <c r="R151" s="1">
        <f t="shared" si="15"/>
        <v>91.878636442093068</v>
      </c>
      <c r="S151" s="5">
        <f t="shared" si="16"/>
        <v>0.17453009984076431</v>
      </c>
      <c r="T151" s="5">
        <f t="shared" si="17"/>
        <v>0.146303561213524</v>
      </c>
    </row>
    <row r="152" spans="1:20">
      <c r="A152" s="1">
        <v>151</v>
      </c>
      <c r="B152" s="2">
        <f>DATE(Sintesi!$C$4-1,12,31)+A152</f>
        <v>44347</v>
      </c>
      <c r="C152" s="1">
        <f>'Paste cell here'!T152</f>
        <v>1.3699999999999999E-3</v>
      </c>
      <c r="D152" s="1">
        <f>'Paste cell here'!AC152</f>
        <v>0</v>
      </c>
      <c r="E152" s="1">
        <f>'Paste cell here'!Y152</f>
        <v>3.6417304349999999</v>
      </c>
      <c r="F152" s="1">
        <f>'Paste cell here'!AD152</f>
        <v>3.5000000000000003E-2</v>
      </c>
      <c r="G152" s="1">
        <f>'Paste cell here'!W152</f>
        <v>0</v>
      </c>
      <c r="H152" s="1">
        <f>'Paste cell here'!AE152</f>
        <v>107.5054887</v>
      </c>
      <c r="I152" s="1">
        <f>'Paste cell here'!AF152</f>
        <v>111.1808707</v>
      </c>
      <c r="J152" s="1">
        <f t="shared" si="12"/>
        <v>2.156499999728112E-5</v>
      </c>
      <c r="K152" s="1" t="str">
        <f>IF('Bilancio primo strato'!D152&gt;0,1,"")</f>
        <v/>
      </c>
      <c r="L152" s="7">
        <f>Sintesi!$C$34</f>
        <v>9.0200000000000002E-2</v>
      </c>
      <c r="M152" s="7">
        <f>Sintesi!$C$33</f>
        <v>0.196996</v>
      </c>
      <c r="N152" s="1">
        <f>'Paste cell here'!AA152</f>
        <v>0.63600000000000001</v>
      </c>
      <c r="O152" s="1">
        <f>'Paste cell here'!H152</f>
        <v>0.45864286500000001</v>
      </c>
      <c r="P152" s="1">
        <f t="shared" si="13"/>
        <v>67.922256000000004</v>
      </c>
      <c r="Q152" s="1">
        <f t="shared" si="14"/>
        <v>31.152058089103441</v>
      </c>
      <c r="R152" s="1">
        <f t="shared" si="15"/>
        <v>94.137397910896539</v>
      </c>
      <c r="S152" s="5">
        <f t="shared" si="16"/>
        <v>0.16903378726415094</v>
      </c>
      <c r="T152" s="5">
        <f t="shared" si="17"/>
        <v>0.14801477658945997</v>
      </c>
    </row>
    <row r="153" spans="1:20">
      <c r="A153" s="1">
        <v>152</v>
      </c>
      <c r="B153" s="2">
        <f>DATE(Sintesi!$C$4-1,12,31)+A153</f>
        <v>44348</v>
      </c>
      <c r="C153" s="1">
        <f>'Paste cell here'!T153</f>
        <v>3.4000000000000002E-4</v>
      </c>
      <c r="D153" s="1">
        <f>'Paste cell here'!AC153</f>
        <v>0</v>
      </c>
      <c r="E153" s="1">
        <f>'Paste cell here'!Y153</f>
        <v>4.1701628380000004</v>
      </c>
      <c r="F153" s="1">
        <f>'Paste cell here'!AD153</f>
        <v>2.2100000000000002E-2</v>
      </c>
      <c r="G153" s="1">
        <f>'Paste cell here'!W153</f>
        <v>0</v>
      </c>
      <c r="H153" s="1">
        <f>'Paste cell here'!AE153</f>
        <v>104.8895091</v>
      </c>
      <c r="I153" s="1">
        <f>'Paste cell here'!AF153</f>
        <v>109.0814567</v>
      </c>
      <c r="J153" s="1">
        <f t="shared" si="12"/>
        <v>2.4762000009559415E-5</v>
      </c>
      <c r="K153" s="1" t="str">
        <f>IF('Bilancio primo strato'!D153&gt;0,1,"")</f>
        <v/>
      </c>
      <c r="L153" s="7">
        <f>Sintesi!$C$34</f>
        <v>9.0200000000000002E-2</v>
      </c>
      <c r="M153" s="7">
        <f>Sintesi!$C$33</f>
        <v>0.196996</v>
      </c>
      <c r="N153" s="1">
        <f>'Paste cell here'!AA153</f>
        <v>0.64400000000000002</v>
      </c>
      <c r="O153" s="1">
        <f>'Paste cell here'!H153</f>
        <v>0.49019503399999997</v>
      </c>
      <c r="P153" s="1">
        <f t="shared" si="13"/>
        <v>68.776624000000012</v>
      </c>
      <c r="Q153" s="1">
        <f t="shared" si="14"/>
        <v>33.71395954008522</v>
      </c>
      <c r="R153" s="1">
        <f t="shared" si="15"/>
        <v>93.151464459914791</v>
      </c>
      <c r="S153" s="5">
        <f t="shared" si="16"/>
        <v>0.16287190854037267</v>
      </c>
      <c r="T153" s="5">
        <f t="shared" si="17"/>
        <v>0.14464513114893601</v>
      </c>
    </row>
    <row r="154" spans="1:20">
      <c r="A154" s="1">
        <v>153</v>
      </c>
      <c r="B154" s="2">
        <f>DATE(Sintesi!$C$4-1,12,31)+A154</f>
        <v>44349</v>
      </c>
      <c r="C154" s="1">
        <f>'Paste cell here'!T154</f>
        <v>8.7600000000000002E-5</v>
      </c>
      <c r="D154" s="1">
        <f>'Paste cell here'!AC154</f>
        <v>0</v>
      </c>
      <c r="E154" s="1">
        <f>'Paste cell here'!Y154</f>
        <v>3.715766055</v>
      </c>
      <c r="F154" s="1">
        <f>'Paste cell here'!AD154</f>
        <v>1.3599999999999999E-2</v>
      </c>
      <c r="G154" s="1">
        <f>'Paste cell here'!W154</f>
        <v>0</v>
      </c>
      <c r="H154" s="1">
        <f>'Paste cell here'!AE154</f>
        <v>102.736227</v>
      </c>
      <c r="I154" s="1">
        <f>'Paste cell here'!AF154</f>
        <v>106.4654771</v>
      </c>
      <c r="J154" s="1">
        <f t="shared" si="12"/>
        <v>2.8354999997759478E-5</v>
      </c>
      <c r="K154" s="1" t="str">
        <f>IF('Bilancio primo strato'!D154&gt;0,1,"")</f>
        <v/>
      </c>
      <c r="L154" s="7">
        <f>Sintesi!$C$34</f>
        <v>9.0200000000000002E-2</v>
      </c>
      <c r="M154" s="7">
        <f>Sintesi!$C$33</f>
        <v>0.196996</v>
      </c>
      <c r="N154" s="1">
        <f>'Paste cell here'!AA154</f>
        <v>0.65200000000000002</v>
      </c>
      <c r="O154" s="1">
        <f>'Paste cell here'!H154</f>
        <v>0.467084844</v>
      </c>
      <c r="P154" s="1">
        <f t="shared" si="13"/>
        <v>69.630992000000006</v>
      </c>
      <c r="Q154" s="1">
        <f t="shared" si="14"/>
        <v>32.52358103588525</v>
      </c>
      <c r="R154" s="1">
        <f t="shared" si="15"/>
        <v>95.91781096411475</v>
      </c>
      <c r="S154" s="5">
        <f t="shared" si="16"/>
        <v>0.15757090030674847</v>
      </c>
      <c r="T154" s="5">
        <f t="shared" si="17"/>
        <v>0.14711320700017599</v>
      </c>
    </row>
    <row r="155" spans="1:20">
      <c r="A155" s="1">
        <v>154</v>
      </c>
      <c r="B155" s="2">
        <f>DATE(Sintesi!$C$4-1,12,31)+A155</f>
        <v>44350</v>
      </c>
      <c r="C155" s="1">
        <f>'Paste cell here'!T155</f>
        <v>181.28002079999999</v>
      </c>
      <c r="D155" s="1">
        <f>'Paste cell here'!AC155</f>
        <v>0</v>
      </c>
      <c r="E155" s="1">
        <f>'Paste cell here'!Y155</f>
        <v>4.570619636</v>
      </c>
      <c r="F155" s="1">
        <f>'Paste cell here'!AD155</f>
        <v>98.198508709999999</v>
      </c>
      <c r="G155" s="1">
        <f>'Paste cell here'!W155</f>
        <v>0</v>
      </c>
      <c r="H155" s="1">
        <f>'Paste cell here'!AE155</f>
        <v>182.82308750000001</v>
      </c>
      <c r="I155" s="1">
        <f>'Paste cell here'!AF155</f>
        <v>104.312195</v>
      </c>
      <c r="J155" s="1">
        <f t="shared" si="12"/>
        <v>4.6000053544048569E-8</v>
      </c>
      <c r="K155" s="1">
        <f>IF('Bilancio primo strato'!D155&gt;0,1,"")</f>
        <v>1</v>
      </c>
      <c r="L155" s="7">
        <f>Sintesi!$C$34</f>
        <v>9.0200000000000002E-2</v>
      </c>
      <c r="M155" s="7">
        <f>Sintesi!$C$33</f>
        <v>0.196996</v>
      </c>
      <c r="N155" s="1">
        <f>'Paste cell here'!AA155</f>
        <v>0.66</v>
      </c>
      <c r="O155" s="1">
        <f>'Paste cell here'!H155</f>
        <v>0.49767569</v>
      </c>
      <c r="P155" s="1">
        <f t="shared" si="13"/>
        <v>70.485360000000014</v>
      </c>
      <c r="Q155" s="1">
        <f t="shared" si="14"/>
        <v>35.078850172898406</v>
      </c>
      <c r="R155" s="1">
        <f t="shared" si="15"/>
        <v>94.938509827101598</v>
      </c>
      <c r="S155" s="5">
        <f t="shared" si="16"/>
        <v>0.27700467803030304</v>
      </c>
      <c r="T155" s="5">
        <f t="shared" si="17"/>
        <v>0.14384622701076</v>
      </c>
    </row>
    <row r="156" spans="1:20">
      <c r="A156" s="1">
        <v>155</v>
      </c>
      <c r="B156" s="2">
        <f>DATE(Sintesi!$C$4-1,12,31)+A156</f>
        <v>44351</v>
      </c>
      <c r="C156" s="1">
        <f>'Paste cell here'!T156</f>
        <v>2.623251292</v>
      </c>
      <c r="D156" s="1">
        <f>'Paste cell here'!AC156</f>
        <v>0</v>
      </c>
      <c r="E156" s="1">
        <f>'Paste cell here'!Y156</f>
        <v>4.660419611</v>
      </c>
      <c r="F156" s="1">
        <f>'Paste cell here'!AD156</f>
        <v>21.00079689</v>
      </c>
      <c r="G156" s="1">
        <f>'Paste cell here'!W156</f>
        <v>0</v>
      </c>
      <c r="H156" s="1">
        <f>'Paste cell here'!AE156</f>
        <v>161.55808630000001</v>
      </c>
      <c r="I156" s="1">
        <f>'Paste cell here'!AF156</f>
        <v>184.59605149999999</v>
      </c>
      <c r="J156" s="1">
        <f t="shared" si="12"/>
        <v>9.0000469299411634E-9</v>
      </c>
      <c r="K156" s="1" t="str">
        <f>IF('Bilancio primo strato'!D156&gt;0,1,"")</f>
        <v/>
      </c>
      <c r="L156" s="7">
        <f>Sintesi!$C$34</f>
        <v>9.0200000000000002E-2</v>
      </c>
      <c r="M156" s="7">
        <f>Sintesi!$C$33</f>
        <v>0.196996</v>
      </c>
      <c r="N156" s="1">
        <f>'Paste cell here'!AA156</f>
        <v>0.66900000000000004</v>
      </c>
      <c r="O156" s="1">
        <f>'Paste cell here'!H156</f>
        <v>0.455912543</v>
      </c>
      <c r="P156" s="1">
        <f t="shared" si="13"/>
        <v>71.446524000000011</v>
      </c>
      <c r="Q156" s="1">
        <f t="shared" si="14"/>
        <v>32.573366445350537</v>
      </c>
      <c r="R156" s="1">
        <f t="shared" si="15"/>
        <v>99.216957554649497</v>
      </c>
      <c r="S156" s="5">
        <f t="shared" si="16"/>
        <v>0.24149190777279525</v>
      </c>
      <c r="T156" s="5">
        <f t="shared" si="17"/>
        <v>0.14830636405777203</v>
      </c>
    </row>
    <row r="157" spans="1:20">
      <c r="A157" s="1">
        <v>156</v>
      </c>
      <c r="B157" s="2">
        <f>DATE(Sintesi!$C$4-1,12,31)+A157</f>
        <v>44352</v>
      </c>
      <c r="C157" s="1">
        <f>'Paste cell here'!T157</f>
        <v>0.47990958500000003</v>
      </c>
      <c r="D157" s="1">
        <f>'Paste cell here'!AC157</f>
        <v>0</v>
      </c>
      <c r="E157" s="1">
        <f>'Paste cell here'!Y157</f>
        <v>3.5594267749999999</v>
      </c>
      <c r="F157" s="1">
        <f>'Paste cell here'!AD157</f>
        <v>4.6562754450000003</v>
      </c>
      <c r="G157" s="1">
        <f>'Paste cell here'!W157</f>
        <v>0</v>
      </c>
      <c r="H157" s="1">
        <f>'Paste cell here'!AE157</f>
        <v>155.39826170000001</v>
      </c>
      <c r="I157" s="1">
        <f>'Paste cell here'!AF157</f>
        <v>163.1340543</v>
      </c>
      <c r="J157" s="1">
        <f t="shared" si="12"/>
        <v>3.4999999343199306E-8</v>
      </c>
      <c r="K157" s="1" t="str">
        <f>IF('Bilancio primo strato'!D157&gt;0,1,"")</f>
        <v/>
      </c>
      <c r="L157" s="7">
        <f>Sintesi!$C$34</f>
        <v>9.0200000000000002E-2</v>
      </c>
      <c r="M157" s="7">
        <f>Sintesi!$C$33</f>
        <v>0.196996</v>
      </c>
      <c r="N157" s="1">
        <f>'Paste cell here'!AA157</f>
        <v>0.67700000000000005</v>
      </c>
      <c r="O157" s="1">
        <f>'Paste cell here'!H157</f>
        <v>0.45719237000000001</v>
      </c>
      <c r="P157" s="1">
        <f t="shared" si="13"/>
        <v>72.300892000000005</v>
      </c>
      <c r="Q157" s="1">
        <f t="shared" si="14"/>
        <v>33.055416166594043</v>
      </c>
      <c r="R157" s="1">
        <f t="shared" si="15"/>
        <v>100.31087583340597</v>
      </c>
      <c r="S157" s="5">
        <f t="shared" si="16"/>
        <v>0.22953952983751846</v>
      </c>
      <c r="T157" s="5">
        <f t="shared" si="17"/>
        <v>0.14816968365348002</v>
      </c>
    </row>
    <row r="158" spans="1:20">
      <c r="A158" s="1">
        <v>157</v>
      </c>
      <c r="B158" s="2">
        <f>DATE(Sintesi!$C$4-1,12,31)+A158</f>
        <v>44353</v>
      </c>
      <c r="C158" s="1">
        <f>'Paste cell here'!T158</f>
        <v>0.66360114800000003</v>
      </c>
      <c r="D158" s="1">
        <f>'Paste cell here'!AC158</f>
        <v>0</v>
      </c>
      <c r="E158" s="1">
        <f>'Paste cell here'!Y158</f>
        <v>4.8478678329999996</v>
      </c>
      <c r="F158" s="1">
        <f>'Paste cell here'!AD158</f>
        <v>1.871800366</v>
      </c>
      <c r="G158" s="1">
        <f>'Paste cell here'!W158</f>
        <v>0</v>
      </c>
      <c r="H158" s="1">
        <f>'Paste cell here'!AE158</f>
        <v>150.91816259999999</v>
      </c>
      <c r="I158" s="1">
        <f>'Paste cell here'!AF158</f>
        <v>156.9742297</v>
      </c>
      <c r="J158" s="1">
        <f t="shared" si="12"/>
        <v>4.8999993396137143E-8</v>
      </c>
      <c r="K158" s="1" t="str">
        <f>IF('Bilancio primo strato'!D158&gt;0,1,"")</f>
        <v/>
      </c>
      <c r="L158" s="7">
        <f>Sintesi!$C$34</f>
        <v>9.0200000000000002E-2</v>
      </c>
      <c r="M158" s="7">
        <f>Sintesi!$C$33</f>
        <v>0.196996</v>
      </c>
      <c r="N158" s="1">
        <f>'Paste cell here'!AA158</f>
        <v>0.68500000000000005</v>
      </c>
      <c r="O158" s="1">
        <f>'Paste cell here'!H158</f>
        <v>0.52573825699999999</v>
      </c>
      <c r="P158" s="1">
        <f t="shared" si="13"/>
        <v>73.155260000000013</v>
      </c>
      <c r="Q158" s="1">
        <f t="shared" si="14"/>
        <v>38.460518882781827</v>
      </c>
      <c r="R158" s="1">
        <f t="shared" si="15"/>
        <v>96.481741117218178</v>
      </c>
      <c r="S158" s="5">
        <f t="shared" si="16"/>
        <v>0.22031848554744524</v>
      </c>
      <c r="T158" s="5">
        <f t="shared" si="17"/>
        <v>0.14084925710542801</v>
      </c>
    </row>
    <row r="159" spans="1:20">
      <c r="A159" s="1">
        <v>158</v>
      </c>
      <c r="B159" s="2">
        <f>DATE(Sintesi!$C$4-1,12,31)+A159</f>
        <v>44354</v>
      </c>
      <c r="C159" s="1">
        <f>'Paste cell here'!T159</f>
        <v>0.78253888299999996</v>
      </c>
      <c r="D159" s="1">
        <f>'Paste cell here'!AC159</f>
        <v>0</v>
      </c>
      <c r="E159" s="1">
        <f>'Paste cell here'!Y159</f>
        <v>3.5643057649999998</v>
      </c>
      <c r="F159" s="1">
        <f>'Paste cell here'!AD159</f>
        <v>0.97155812200000002</v>
      </c>
      <c r="G159" s="1">
        <f>'Paste cell here'!W159</f>
        <v>0</v>
      </c>
      <c r="H159" s="1">
        <f>'Paste cell here'!AE159</f>
        <v>148.74080559999999</v>
      </c>
      <c r="I159" s="1">
        <f>'Paste cell here'!AF159</f>
        <v>152.49413060000001</v>
      </c>
      <c r="J159" s="1">
        <f t="shared" si="12"/>
        <v>3.9999861201067688E-9</v>
      </c>
      <c r="K159" s="1" t="str">
        <f>IF('Bilancio primo strato'!D159&gt;0,1,"")</f>
        <v/>
      </c>
      <c r="L159" s="7">
        <f>Sintesi!$C$34</f>
        <v>9.0200000000000002E-2</v>
      </c>
      <c r="M159" s="7">
        <f>Sintesi!$C$33</f>
        <v>0.196996</v>
      </c>
      <c r="N159" s="1">
        <f>'Paste cell here'!AA159</f>
        <v>0.69299999999999995</v>
      </c>
      <c r="O159" s="1">
        <f>'Paste cell here'!H159</f>
        <v>0.46391966699999998</v>
      </c>
      <c r="P159" s="1">
        <f t="shared" si="13"/>
        <v>74.009627999999992</v>
      </c>
      <c r="Q159" s="1">
        <f t="shared" si="14"/>
        <v>34.334521976553873</v>
      </c>
      <c r="R159" s="1">
        <f t="shared" si="15"/>
        <v>102.18370602344612</v>
      </c>
      <c r="S159" s="5">
        <f t="shared" si="16"/>
        <v>0.21463319711399709</v>
      </c>
      <c r="T159" s="5">
        <f t="shared" si="17"/>
        <v>0.147451235243068</v>
      </c>
    </row>
    <row r="160" spans="1:20">
      <c r="A160" s="1">
        <v>159</v>
      </c>
      <c r="B160" s="2">
        <f>DATE(Sintesi!$C$4-1,12,31)+A160</f>
        <v>44355</v>
      </c>
      <c r="C160" s="1">
        <f>'Paste cell here'!T160</f>
        <v>0.41132971200000001</v>
      </c>
      <c r="D160" s="1">
        <f>'Paste cell here'!AC160</f>
        <v>0</v>
      </c>
      <c r="E160" s="1">
        <f>'Paste cell here'!Y160</f>
        <v>3.9006313889999999</v>
      </c>
      <c r="F160" s="1">
        <f>'Paste cell here'!AD160</f>
        <v>0.59371114000000003</v>
      </c>
      <c r="G160" s="1">
        <f>'Paste cell here'!W160</f>
        <v>0</v>
      </c>
      <c r="H160" s="1">
        <f>'Paste cell here'!AE160</f>
        <v>146.2337608</v>
      </c>
      <c r="I160" s="1">
        <f>'Paste cell here'!AF160</f>
        <v>150.3167736</v>
      </c>
      <c r="J160" s="1">
        <f t="shared" si="12"/>
        <v>1.7000019170154701E-8</v>
      </c>
      <c r="K160" s="1" t="str">
        <f>IF('Bilancio primo strato'!D160&gt;0,1,"")</f>
        <v/>
      </c>
      <c r="L160" s="7">
        <f>Sintesi!$C$34</f>
        <v>9.0200000000000002E-2</v>
      </c>
      <c r="M160" s="7">
        <f>Sintesi!$C$33</f>
        <v>0.196996</v>
      </c>
      <c r="N160" s="1">
        <f>'Paste cell here'!AA160</f>
        <v>0.70099999999999996</v>
      </c>
      <c r="O160" s="1">
        <f>'Paste cell here'!H160</f>
        <v>0.53823837399999996</v>
      </c>
      <c r="P160" s="1">
        <f t="shared" si="13"/>
        <v>74.863996</v>
      </c>
      <c r="Q160" s="1">
        <f t="shared" si="14"/>
        <v>40.294675478182505</v>
      </c>
      <c r="R160" s="1">
        <f t="shared" si="15"/>
        <v>97.799520521817499</v>
      </c>
      <c r="S160" s="5">
        <f t="shared" si="16"/>
        <v>0.20860736205420827</v>
      </c>
      <c r="T160" s="5">
        <f t="shared" si="17"/>
        <v>0.13951429461029599</v>
      </c>
    </row>
    <row r="161" spans="1:20">
      <c r="A161" s="1">
        <v>160</v>
      </c>
      <c r="B161" s="2">
        <f>DATE(Sintesi!$C$4-1,12,31)+A161</f>
        <v>44356</v>
      </c>
      <c r="C161" s="1">
        <f>'Paste cell here'!T161</f>
        <v>0.242868791</v>
      </c>
      <c r="D161" s="1">
        <f>'Paste cell here'!AC161</f>
        <v>0</v>
      </c>
      <c r="E161" s="1">
        <f>'Paste cell here'!Y161</f>
        <v>5.1543956499999997</v>
      </c>
      <c r="F161" s="1">
        <f>'Paste cell here'!AD161</f>
        <v>0.36568105400000001</v>
      </c>
      <c r="G161" s="1">
        <f>'Paste cell here'!W161</f>
        <v>0</v>
      </c>
      <c r="H161" s="1">
        <f>'Paste cell here'!AE161</f>
        <v>142.53252090000001</v>
      </c>
      <c r="I161" s="1">
        <f>'Paste cell here'!AF161</f>
        <v>147.80972879999999</v>
      </c>
      <c r="J161" s="1">
        <f t="shared" si="12"/>
        <v>1.3000004628338502E-8</v>
      </c>
      <c r="K161" s="1" t="str">
        <f>IF('Bilancio primo strato'!D161&gt;0,1,"")</f>
        <v/>
      </c>
      <c r="L161" s="7">
        <f>Sintesi!$C$34</f>
        <v>9.0200000000000002E-2</v>
      </c>
      <c r="M161" s="7">
        <f>Sintesi!$C$33</f>
        <v>0.196996</v>
      </c>
      <c r="N161" s="1">
        <f>'Paste cell here'!AA161</f>
        <v>0.70899999999999996</v>
      </c>
      <c r="O161" s="1">
        <f>'Paste cell here'!H161</f>
        <v>0.52645755000000005</v>
      </c>
      <c r="P161" s="1">
        <f t="shared" si="13"/>
        <v>75.718363999999994</v>
      </c>
      <c r="Q161" s="1">
        <f t="shared" si="14"/>
        <v>39.862504401448199</v>
      </c>
      <c r="R161" s="1">
        <f t="shared" si="15"/>
        <v>99.807659598551794</v>
      </c>
      <c r="S161" s="5">
        <f t="shared" si="16"/>
        <v>0.2010331747531735</v>
      </c>
      <c r="T161" s="5">
        <f t="shared" si="17"/>
        <v>0.14077243949019999</v>
      </c>
    </row>
    <row r="162" spans="1:20">
      <c r="A162" s="1">
        <v>161</v>
      </c>
      <c r="B162" s="2">
        <f>DATE(Sintesi!$C$4-1,12,31)+A162</f>
        <v>44357</v>
      </c>
      <c r="C162" s="1">
        <f>'Paste cell here'!T162</f>
        <v>0.14870599000000001</v>
      </c>
      <c r="D162" s="1">
        <f>'Paste cell here'!AC162</f>
        <v>0</v>
      </c>
      <c r="E162" s="1">
        <f>'Paste cell here'!Y162</f>
        <v>5.3613830179999997</v>
      </c>
      <c r="F162" s="1">
        <f>'Paste cell here'!AD162</f>
        <v>0.21866049100000001</v>
      </c>
      <c r="G162" s="1">
        <f>'Paste cell here'!W162</f>
        <v>0</v>
      </c>
      <c r="H162" s="1">
        <f>'Paste cell here'!AE162</f>
        <v>138.67715140000001</v>
      </c>
      <c r="I162" s="1">
        <f>'Paste cell here'!AF162</f>
        <v>144.1084889</v>
      </c>
      <c r="J162" s="1">
        <f t="shared" si="12"/>
        <v>1.9000026441062801E-8</v>
      </c>
      <c r="K162" s="1" t="str">
        <f>IF('Bilancio primo strato'!D162&gt;0,1,"")</f>
        <v/>
      </c>
      <c r="L162" s="7">
        <f>Sintesi!$C$34</f>
        <v>9.0200000000000002E-2</v>
      </c>
      <c r="M162" s="7">
        <f>Sintesi!$C$33</f>
        <v>0.196996</v>
      </c>
      <c r="N162" s="1">
        <f>'Paste cell here'!AA162</f>
        <v>0.71699999999999997</v>
      </c>
      <c r="O162" s="1">
        <f>'Paste cell here'!H162</f>
        <v>0.46434161200000001</v>
      </c>
      <c r="P162" s="1">
        <f t="shared" si="13"/>
        <v>76.572732000000002</v>
      </c>
      <c r="Q162" s="1">
        <f t="shared" si="14"/>
        <v>35.555905812123989</v>
      </c>
      <c r="R162" s="1">
        <f t="shared" si="15"/>
        <v>105.69022618787599</v>
      </c>
      <c r="S162" s="5">
        <f t="shared" si="16"/>
        <v>0.19341304239888427</v>
      </c>
      <c r="T162" s="5">
        <f t="shared" si="17"/>
        <v>0.14740617320484797</v>
      </c>
    </row>
    <row r="163" spans="1:20">
      <c r="A163" s="1">
        <v>162</v>
      </c>
      <c r="B163" s="2">
        <f>DATE(Sintesi!$C$4-1,12,31)+A163</f>
        <v>44358</v>
      </c>
      <c r="C163" s="1">
        <f>'Paste cell here'!T163</f>
        <v>0.171775172</v>
      </c>
      <c r="D163" s="1">
        <f>'Paste cell here'!AC163</f>
        <v>0</v>
      </c>
      <c r="E163" s="1">
        <f>'Paste cell here'!Y163</f>
        <v>5.4757376579999999</v>
      </c>
      <c r="F163" s="1">
        <f>'Paste cell here'!AD163</f>
        <v>0.13111977499999999</v>
      </c>
      <c r="G163" s="1">
        <f>'Paste cell here'!W163</f>
        <v>0</v>
      </c>
      <c r="H163" s="1">
        <f>'Paste cell here'!AE163</f>
        <v>135.01503310000001</v>
      </c>
      <c r="I163" s="1">
        <f>'Paste cell here'!AF163</f>
        <v>140.45011539999999</v>
      </c>
      <c r="J163" s="1">
        <f t="shared" si="12"/>
        <v>3.8999957041596645E-8</v>
      </c>
      <c r="K163" s="1" t="str">
        <f>IF('Bilancio primo strato'!D163&gt;0,1,"")</f>
        <v/>
      </c>
      <c r="L163" s="7">
        <f>Sintesi!$C$34</f>
        <v>9.0200000000000002E-2</v>
      </c>
      <c r="M163" s="7">
        <f>Sintesi!$C$33</f>
        <v>0.196996</v>
      </c>
      <c r="N163" s="1">
        <f>'Paste cell here'!AA163</f>
        <v>0.72599999999999998</v>
      </c>
      <c r="O163" s="1">
        <f>'Paste cell here'!H163</f>
        <v>0.461446933</v>
      </c>
      <c r="P163" s="1">
        <f t="shared" si="13"/>
        <v>77.533895999999999</v>
      </c>
      <c r="Q163" s="1">
        <f t="shared" si="14"/>
        <v>35.777778512740966</v>
      </c>
      <c r="R163" s="1">
        <f t="shared" si="15"/>
        <v>107.24131748725905</v>
      </c>
      <c r="S163" s="5">
        <f t="shared" si="16"/>
        <v>0.1859711199724518</v>
      </c>
      <c r="T163" s="5">
        <f t="shared" si="17"/>
        <v>0.14771531334333202</v>
      </c>
    </row>
    <row r="164" spans="1:20">
      <c r="A164" s="1">
        <v>163</v>
      </c>
      <c r="B164" s="2">
        <f>DATE(Sintesi!$C$4-1,12,31)+A164</f>
        <v>44359</v>
      </c>
      <c r="C164" s="1">
        <f>'Paste cell here'!T164</f>
        <v>0.20300343600000001</v>
      </c>
      <c r="D164" s="1">
        <f>'Paste cell here'!AC164</f>
        <v>0</v>
      </c>
      <c r="E164" s="1">
        <f>'Paste cell here'!Y164</f>
        <v>5.8946794960000002</v>
      </c>
      <c r="F164" s="1">
        <f>'Paste cell here'!AD164</f>
        <v>7.7200000000000005E-2</v>
      </c>
      <c r="G164" s="1">
        <f>'Paste cell here'!W164</f>
        <v>0</v>
      </c>
      <c r="H164" s="1">
        <f>'Paste cell here'!AE164</f>
        <v>130.82212899999999</v>
      </c>
      <c r="I164" s="1">
        <f>'Paste cell here'!AF164</f>
        <v>136.5910011</v>
      </c>
      <c r="J164" s="1">
        <f t="shared" si="12"/>
        <v>3.9600000150130654E-6</v>
      </c>
      <c r="K164" s="1" t="str">
        <f>IF('Bilancio primo strato'!D164&gt;0,1,"")</f>
        <v/>
      </c>
      <c r="L164" s="7">
        <f>Sintesi!$C$34</f>
        <v>9.0200000000000002E-2</v>
      </c>
      <c r="M164" s="7">
        <f>Sintesi!$C$33</f>
        <v>0.196996</v>
      </c>
      <c r="N164" s="1">
        <f>'Paste cell here'!AA164</f>
        <v>0.73399999999999999</v>
      </c>
      <c r="O164" s="1">
        <f>'Paste cell here'!H164</f>
        <v>0.45840970800000003</v>
      </c>
      <c r="P164" s="1">
        <f t="shared" si="13"/>
        <v>78.388263999999992</v>
      </c>
      <c r="Q164" s="1">
        <f t="shared" si="14"/>
        <v>35.933941210866912</v>
      </c>
      <c r="R164" s="1">
        <f t="shared" si="15"/>
        <v>108.66112278913309</v>
      </c>
      <c r="S164" s="5">
        <f t="shared" si="16"/>
        <v>0.17823178337874657</v>
      </c>
      <c r="T164" s="5">
        <f t="shared" si="17"/>
        <v>0.148039676824432</v>
      </c>
    </row>
    <row r="165" spans="1:20" ht="0.95" customHeight="1">
      <c r="A165" s="1">
        <v>164</v>
      </c>
      <c r="B165" s="2">
        <f>DATE(Sintesi!$C$4-1,12,31)+A165</f>
        <v>44360</v>
      </c>
      <c r="C165" s="1">
        <f>'Paste cell here'!T165</f>
        <v>0.139253243</v>
      </c>
      <c r="D165" s="1">
        <f>'Paste cell here'!AC165</f>
        <v>0</v>
      </c>
      <c r="E165" s="1">
        <f>'Paste cell here'!Y165</f>
        <v>7.0181787599999996</v>
      </c>
      <c r="F165" s="1">
        <f>'Paste cell here'!AD165</f>
        <v>4.1799999999999997E-2</v>
      </c>
      <c r="G165" s="1">
        <f>'Paste cell here'!W165</f>
        <v>0</v>
      </c>
      <c r="H165" s="1">
        <f>'Paste cell here'!AE165</f>
        <v>125.4773331</v>
      </c>
      <c r="I165" s="1">
        <f>'Paste cell here'!AF165</f>
        <v>132.39809700000001</v>
      </c>
      <c r="J165" s="1">
        <f t="shared" si="12"/>
        <v>3.8383000031672054E-5</v>
      </c>
      <c r="K165" s="1" t="str">
        <f>IF('Bilancio primo strato'!D165&gt;0,1,"")</f>
        <v/>
      </c>
      <c r="L165" s="7">
        <f>Sintesi!$C$34</f>
        <v>9.0200000000000002E-2</v>
      </c>
      <c r="M165" s="7">
        <f>Sintesi!$C$33</f>
        <v>0.196996</v>
      </c>
      <c r="N165" s="1">
        <f>'Paste cell here'!AA165</f>
        <v>0.74199999999999999</v>
      </c>
      <c r="O165" s="1">
        <f>'Paste cell here'!H165</f>
        <v>0.44493228000000001</v>
      </c>
      <c r="P165" s="1">
        <f t="shared" si="13"/>
        <v>79.242632</v>
      </c>
      <c r="Q165" s="1">
        <f t="shared" si="14"/>
        <v>35.257604928960959</v>
      </c>
      <c r="R165" s="1">
        <f t="shared" si="15"/>
        <v>110.91342707103904</v>
      </c>
      <c r="S165" s="5">
        <f t="shared" si="16"/>
        <v>0.16910691792452828</v>
      </c>
      <c r="T165" s="5">
        <f t="shared" si="17"/>
        <v>0.14947901222512</v>
      </c>
    </row>
    <row r="166" spans="1:20">
      <c r="A166" s="1">
        <v>165</v>
      </c>
      <c r="B166" s="2">
        <f>DATE(Sintesi!$C$4-1,12,31)+A166</f>
        <v>44361</v>
      </c>
      <c r="C166" s="1">
        <f>'Paste cell here'!T166</f>
        <v>0.1</v>
      </c>
      <c r="D166" s="1">
        <f>'Paste cell here'!AC166</f>
        <v>0</v>
      </c>
      <c r="E166" s="1">
        <f>'Paste cell here'!Y166</f>
        <v>6.525348492</v>
      </c>
      <c r="F166" s="1">
        <f>'Paste cell here'!AD166</f>
        <v>2.0799999999999999E-2</v>
      </c>
      <c r="G166" s="1">
        <f>'Paste cell here'!W166</f>
        <v>0</v>
      </c>
      <c r="H166" s="1">
        <f>'Paste cell here'!AE166</f>
        <v>120.607133</v>
      </c>
      <c r="I166" s="1">
        <f>'Paste cell here'!AF166</f>
        <v>127.0533011</v>
      </c>
      <c r="J166" s="1">
        <f t="shared" si="12"/>
        <v>1.9607999988124902E-5</v>
      </c>
      <c r="K166" s="1" t="str">
        <f>IF('Bilancio primo strato'!D166&gt;0,1,"")</f>
        <v/>
      </c>
      <c r="L166" s="7">
        <f>Sintesi!$C$34</f>
        <v>9.0200000000000002E-2</v>
      </c>
      <c r="M166" s="7">
        <f>Sintesi!$C$33</f>
        <v>0.196996</v>
      </c>
      <c r="N166" s="1">
        <f>'Paste cell here'!AA166</f>
        <v>0.75</v>
      </c>
      <c r="O166" s="1">
        <f>'Paste cell here'!H166</f>
        <v>0.39353662</v>
      </c>
      <c r="P166" s="1">
        <f t="shared" si="13"/>
        <v>80.097000000000008</v>
      </c>
      <c r="Q166" s="1">
        <f t="shared" si="14"/>
        <v>31.521102652140005</v>
      </c>
      <c r="R166" s="1">
        <f t="shared" si="15"/>
        <v>116.22589734786001</v>
      </c>
      <c r="S166" s="5">
        <f t="shared" si="16"/>
        <v>0.16080951066666668</v>
      </c>
      <c r="T166" s="5">
        <f t="shared" si="17"/>
        <v>0.15496786313048003</v>
      </c>
    </row>
    <row r="167" spans="1:20">
      <c r="A167" s="1">
        <v>166</v>
      </c>
      <c r="B167" s="2">
        <f>DATE(Sintesi!$C$4-1,12,31)+A167</f>
        <v>44362</v>
      </c>
      <c r="C167" s="1">
        <f>'Paste cell here'!T167</f>
        <v>190.74193690000001</v>
      </c>
      <c r="D167" s="1">
        <f>'Paste cell here'!AC167</f>
        <v>0</v>
      </c>
      <c r="E167" s="1">
        <f>'Paste cell here'!Y167</f>
        <v>6.3542109880000002</v>
      </c>
      <c r="F167" s="1">
        <f>'Paste cell here'!AD167</f>
        <v>92.11217388</v>
      </c>
      <c r="G167" s="1">
        <f>'Paste cell here'!W167</f>
        <v>0</v>
      </c>
      <c r="H167" s="1">
        <f>'Paste cell here'!AE167</f>
        <v>212.88268500000001</v>
      </c>
      <c r="I167" s="1">
        <f>'Paste cell here'!AF167</f>
        <v>120.607133</v>
      </c>
      <c r="J167" s="1">
        <f t="shared" si="12"/>
        <v>3.2000031069401302E-8</v>
      </c>
      <c r="K167" s="1">
        <f>IF('Bilancio primo strato'!D167&gt;0,1,"")</f>
        <v>1</v>
      </c>
      <c r="L167" s="7">
        <f>Sintesi!$C$34</f>
        <v>9.0200000000000002E-2</v>
      </c>
      <c r="M167" s="7">
        <f>Sintesi!$C$33</f>
        <v>0.196996</v>
      </c>
      <c r="N167" s="1">
        <f>'Paste cell here'!AA167</f>
        <v>0.75</v>
      </c>
      <c r="O167" s="1">
        <f>'Paste cell here'!H167</f>
        <v>0.42615770600000002</v>
      </c>
      <c r="P167" s="1">
        <f t="shared" si="13"/>
        <v>80.097000000000008</v>
      </c>
      <c r="Q167" s="1">
        <f t="shared" si="14"/>
        <v>34.133953777482006</v>
      </c>
      <c r="R167" s="1">
        <f t="shared" si="15"/>
        <v>113.61304622251801</v>
      </c>
      <c r="S167" s="5">
        <f t="shared" si="16"/>
        <v>0.28384358000000004</v>
      </c>
      <c r="T167" s="5">
        <f t="shared" si="17"/>
        <v>0.15148406163002401</v>
      </c>
    </row>
    <row r="168" spans="1:20">
      <c r="A168" s="1">
        <v>167</v>
      </c>
      <c r="B168" s="2">
        <f>DATE(Sintesi!$C$4-1,12,31)+A168</f>
        <v>44363</v>
      </c>
      <c r="C168" s="1">
        <f>'Paste cell here'!T168</f>
        <v>3.7098002110000001</v>
      </c>
      <c r="D168" s="1">
        <f>'Paste cell here'!AC168</f>
        <v>0</v>
      </c>
      <c r="E168" s="1">
        <f>'Paste cell here'!Y168</f>
        <v>5.0529989649999996</v>
      </c>
      <c r="F168" s="1">
        <f>'Paste cell here'!AD168</f>
        <v>26.92252701</v>
      </c>
      <c r="G168" s="1">
        <f>'Paste cell here'!W168</f>
        <v>0</v>
      </c>
      <c r="H168" s="1">
        <f>'Paste cell here'!AE168</f>
        <v>184.61695929999999</v>
      </c>
      <c r="I168" s="1">
        <f>'Paste cell here'!AF168</f>
        <v>212.88268500000001</v>
      </c>
      <c r="J168" s="1">
        <f t="shared" si="12"/>
        <v>6.4000005295383744E-8</v>
      </c>
      <c r="K168" s="1" t="str">
        <f>IF('Bilancio primo strato'!D168&gt;0,1,"")</f>
        <v/>
      </c>
      <c r="L168" s="7">
        <f>Sintesi!$C$34</f>
        <v>9.0200000000000002E-2</v>
      </c>
      <c r="M168" s="7">
        <f>Sintesi!$C$33</f>
        <v>0.196996</v>
      </c>
      <c r="N168" s="1">
        <f>'Paste cell here'!AA168</f>
        <v>0.75</v>
      </c>
      <c r="O168" s="1">
        <f>'Paste cell here'!H168</f>
        <v>0.43064845299999999</v>
      </c>
      <c r="P168" s="1">
        <f t="shared" si="13"/>
        <v>80.097000000000008</v>
      </c>
      <c r="Q168" s="1">
        <f t="shared" si="14"/>
        <v>34.493649139941006</v>
      </c>
      <c r="R168" s="1">
        <f t="shared" si="15"/>
        <v>113.25335086005902</v>
      </c>
      <c r="S168" s="5">
        <f t="shared" si="16"/>
        <v>0.24615594573333333</v>
      </c>
      <c r="T168" s="5">
        <f t="shared" si="17"/>
        <v>0.15100446781341201</v>
      </c>
    </row>
    <row r="169" spans="1:20">
      <c r="A169" s="1">
        <v>168</v>
      </c>
      <c r="B169" s="2">
        <f>DATE(Sintesi!$C$4-1,12,31)+A169</f>
        <v>44364</v>
      </c>
      <c r="C169" s="1">
        <f>'Paste cell here'!T169</f>
        <v>0.83254679200000004</v>
      </c>
      <c r="D169" s="1">
        <f>'Paste cell here'!AC169</f>
        <v>0</v>
      </c>
      <c r="E169" s="1">
        <f>'Paste cell here'!Y169</f>
        <v>5.7091906799999999</v>
      </c>
      <c r="F169" s="1">
        <f>'Paste cell here'!AD169</f>
        <v>5.640942935</v>
      </c>
      <c r="G169" s="1">
        <f>'Paste cell here'!W169</f>
        <v>0</v>
      </c>
      <c r="H169" s="1">
        <f>'Paste cell here'!AE169</f>
        <v>174.09937249999999</v>
      </c>
      <c r="I169" s="1">
        <f>'Paste cell here'!AF169</f>
        <v>184.61695929999999</v>
      </c>
      <c r="J169" s="1">
        <f t="shared" si="12"/>
        <v>2.3000012561169569E-8</v>
      </c>
      <c r="K169" s="1" t="str">
        <f>IF('Bilancio primo strato'!D169&gt;0,1,"")</f>
        <v/>
      </c>
      <c r="L169" s="7">
        <f>Sintesi!$C$34</f>
        <v>9.0200000000000002E-2</v>
      </c>
      <c r="M169" s="7">
        <f>Sintesi!$C$33</f>
        <v>0.196996</v>
      </c>
      <c r="N169" s="1">
        <f>'Paste cell here'!AA169</f>
        <v>0.75</v>
      </c>
      <c r="O169" s="1">
        <f>'Paste cell here'!H169</f>
        <v>0.48941982299999998</v>
      </c>
      <c r="P169" s="1">
        <f t="shared" si="13"/>
        <v>80.097000000000008</v>
      </c>
      <c r="Q169" s="1">
        <f t="shared" si="14"/>
        <v>39.201059562831006</v>
      </c>
      <c r="R169" s="1">
        <f t="shared" si="15"/>
        <v>108.54594043716901</v>
      </c>
      <c r="S169" s="5">
        <f t="shared" si="16"/>
        <v>0.23213249666666666</v>
      </c>
      <c r="T169" s="5">
        <f t="shared" si="17"/>
        <v>0.14472792058289202</v>
      </c>
    </row>
    <row r="170" spans="1:20">
      <c r="A170" s="1">
        <v>169</v>
      </c>
      <c r="B170" s="2">
        <f>DATE(Sintesi!$C$4-1,12,31)+A170</f>
        <v>44365</v>
      </c>
      <c r="C170" s="1">
        <f>'Paste cell here'!T170</f>
        <v>0.37465030999999999</v>
      </c>
      <c r="D170" s="1">
        <f>'Paste cell here'!AC170</f>
        <v>0</v>
      </c>
      <c r="E170" s="1">
        <f>'Paste cell here'!Y170</f>
        <v>6.2696103909999996</v>
      </c>
      <c r="F170" s="1">
        <f>'Paste cell here'!AD170</f>
        <v>2.1072383260000001</v>
      </c>
      <c r="G170" s="1">
        <f>'Paste cell here'!W170</f>
        <v>0</v>
      </c>
      <c r="H170" s="1">
        <f>'Paste cell here'!AE170</f>
        <v>166.097174</v>
      </c>
      <c r="I170" s="1">
        <f>'Paste cell here'!AF170</f>
        <v>174.09937249999999</v>
      </c>
      <c r="J170" s="1">
        <f t="shared" si="12"/>
        <v>9.3000011247568182E-8</v>
      </c>
      <c r="K170" s="1" t="str">
        <f>IF('Bilancio primo strato'!D170&gt;0,1,"")</f>
        <v/>
      </c>
      <c r="L170" s="7">
        <f>Sintesi!$C$34</f>
        <v>9.0200000000000002E-2</v>
      </c>
      <c r="M170" s="7">
        <f>Sintesi!$C$33</f>
        <v>0.196996</v>
      </c>
      <c r="N170" s="1">
        <f>'Paste cell here'!AA170</f>
        <v>0.75</v>
      </c>
      <c r="O170" s="1">
        <f>'Paste cell here'!H170</f>
        <v>0.46374942600000002</v>
      </c>
      <c r="P170" s="1">
        <f t="shared" si="13"/>
        <v>80.097000000000008</v>
      </c>
      <c r="Q170" s="1">
        <f t="shared" si="14"/>
        <v>37.144937774322003</v>
      </c>
      <c r="R170" s="1">
        <f t="shared" si="15"/>
        <v>110.60206222567801</v>
      </c>
      <c r="S170" s="5">
        <f t="shared" si="16"/>
        <v>0.22146289866666666</v>
      </c>
      <c r="T170" s="5">
        <f t="shared" si="17"/>
        <v>0.14746941630090402</v>
      </c>
    </row>
    <row r="171" spans="1:20">
      <c r="A171" s="1">
        <v>170</v>
      </c>
      <c r="B171" s="2">
        <f>DATE(Sintesi!$C$4-1,12,31)+A171</f>
        <v>44366</v>
      </c>
      <c r="C171" s="1">
        <f>'Paste cell here'!T171</f>
        <v>0.21007849000000001</v>
      </c>
      <c r="D171" s="1">
        <f>'Paste cell here'!AC171</f>
        <v>0</v>
      </c>
      <c r="E171" s="1">
        <f>'Paste cell here'!Y171</f>
        <v>5.4561342750000001</v>
      </c>
      <c r="F171" s="1">
        <f>'Paste cell here'!AD171</f>
        <v>0.97430496499999997</v>
      </c>
      <c r="G171" s="1">
        <f>'Paste cell here'!W171</f>
        <v>0</v>
      </c>
      <c r="H171" s="1">
        <f>'Paste cell here'!AE171</f>
        <v>159.87681330000001</v>
      </c>
      <c r="I171" s="1">
        <f>'Paste cell here'!AF171</f>
        <v>166.097174</v>
      </c>
      <c r="J171" s="1">
        <f t="shared" si="12"/>
        <v>5.0000011242445908E-8</v>
      </c>
      <c r="K171" s="1" t="str">
        <f>IF('Bilancio primo strato'!D171&gt;0,1,"")</f>
        <v/>
      </c>
      <c r="L171" s="7">
        <f>Sintesi!$C$34</f>
        <v>9.0200000000000002E-2</v>
      </c>
      <c r="M171" s="7">
        <f>Sintesi!$C$33</f>
        <v>0.196996</v>
      </c>
      <c r="N171" s="1">
        <f>'Paste cell here'!AA171</f>
        <v>0.75</v>
      </c>
      <c r="O171" s="1">
        <f>'Paste cell here'!H171</f>
        <v>0.435382673</v>
      </c>
      <c r="P171" s="1">
        <f t="shared" si="13"/>
        <v>80.097000000000008</v>
      </c>
      <c r="Q171" s="1">
        <f t="shared" si="14"/>
        <v>34.872845959281001</v>
      </c>
      <c r="R171" s="1">
        <f t="shared" si="15"/>
        <v>112.87415404071902</v>
      </c>
      <c r="S171" s="5">
        <f t="shared" si="16"/>
        <v>0.21316908440000001</v>
      </c>
      <c r="T171" s="5">
        <f t="shared" si="17"/>
        <v>0.15049887205429202</v>
      </c>
    </row>
    <row r="172" spans="1:20">
      <c r="A172" s="1">
        <v>171</v>
      </c>
      <c r="B172" s="2">
        <f>DATE(Sintesi!$C$4-1,12,31)+A172</f>
        <v>44367</v>
      </c>
      <c r="C172" s="1">
        <f>'Paste cell here'!T172</f>
        <v>0.14306771400000001</v>
      </c>
      <c r="D172" s="1">
        <f>'Paste cell here'!AC172</f>
        <v>0</v>
      </c>
      <c r="E172" s="1">
        <f>'Paste cell here'!Y172</f>
        <v>4.4279737060000004</v>
      </c>
      <c r="F172" s="1">
        <f>'Paste cell here'!AD172</f>
        <v>0.54302982499999997</v>
      </c>
      <c r="G172" s="1">
        <f>'Paste cell here'!W172</f>
        <v>0</v>
      </c>
      <c r="H172" s="1">
        <f>'Paste cell here'!AE172</f>
        <v>155.0488775</v>
      </c>
      <c r="I172" s="1">
        <f>'Paste cell here'!AF172</f>
        <v>159.87681330000001</v>
      </c>
      <c r="J172" s="1">
        <f t="shared" si="12"/>
        <v>1.699996232673584E-8</v>
      </c>
      <c r="K172" s="1" t="str">
        <f>IF('Bilancio primo strato'!D172&gt;0,1,"")</f>
        <v/>
      </c>
      <c r="L172" s="7">
        <f>Sintesi!$C$34</f>
        <v>9.0200000000000002E-2</v>
      </c>
      <c r="M172" s="7">
        <f>Sintesi!$C$33</f>
        <v>0.196996</v>
      </c>
      <c r="N172" s="1">
        <f>'Paste cell here'!AA172</f>
        <v>0.75</v>
      </c>
      <c r="O172" s="1">
        <f>'Paste cell here'!H172</f>
        <v>0.46915378899999999</v>
      </c>
      <c r="P172" s="1">
        <f t="shared" si="13"/>
        <v>80.097000000000008</v>
      </c>
      <c r="Q172" s="1">
        <f t="shared" si="14"/>
        <v>37.577811037533003</v>
      </c>
      <c r="R172" s="1">
        <f t="shared" si="15"/>
        <v>110.16918896246702</v>
      </c>
      <c r="S172" s="5">
        <f t="shared" si="16"/>
        <v>0.20673183666666667</v>
      </c>
      <c r="T172" s="5">
        <f t="shared" si="17"/>
        <v>0.14689225194995603</v>
      </c>
    </row>
    <row r="173" spans="1:20">
      <c r="A173" s="1">
        <v>172</v>
      </c>
      <c r="B173" s="2">
        <f>DATE(Sintesi!$C$4-1,12,31)+A173</f>
        <v>44368</v>
      </c>
      <c r="C173" s="1">
        <f>'Paste cell here'!T173</f>
        <v>0.107167076</v>
      </c>
      <c r="D173" s="1">
        <f>'Paste cell here'!AC173</f>
        <v>0</v>
      </c>
      <c r="E173" s="1">
        <f>'Paste cell here'!Y173</f>
        <v>5.9045215200000003</v>
      </c>
      <c r="F173" s="1">
        <f>'Paste cell here'!AD173</f>
        <v>0.32302766100000002</v>
      </c>
      <c r="G173" s="1">
        <f>'Paste cell here'!W173</f>
        <v>0</v>
      </c>
      <c r="H173" s="1">
        <f>'Paste cell here'!AE173</f>
        <v>148.9284954</v>
      </c>
      <c r="I173" s="1">
        <f>'Paste cell here'!AF173</f>
        <v>155.0488775</v>
      </c>
      <c r="J173" s="1">
        <f t="shared" si="12"/>
        <v>5.0000039664155338E-9</v>
      </c>
      <c r="K173" s="1" t="str">
        <f>IF('Bilancio primo strato'!D173&gt;0,1,"")</f>
        <v/>
      </c>
      <c r="L173" s="7">
        <f>Sintesi!$C$34</f>
        <v>9.0200000000000002E-2</v>
      </c>
      <c r="M173" s="7">
        <f>Sintesi!$C$33</f>
        <v>0.196996</v>
      </c>
      <c r="N173" s="1">
        <f>'Paste cell here'!AA173</f>
        <v>0.75</v>
      </c>
      <c r="O173" s="1">
        <f>'Paste cell here'!H173</f>
        <v>0.51619117999999997</v>
      </c>
      <c r="P173" s="1">
        <f t="shared" si="13"/>
        <v>80.097000000000008</v>
      </c>
      <c r="Q173" s="1">
        <f t="shared" si="14"/>
        <v>41.345364944460002</v>
      </c>
      <c r="R173" s="1">
        <f t="shared" si="15"/>
        <v>106.40163505554001</v>
      </c>
      <c r="S173" s="5">
        <f t="shared" si="16"/>
        <v>0.19857132720000001</v>
      </c>
      <c r="T173" s="5">
        <f t="shared" si="17"/>
        <v>0.14186884674072001</v>
      </c>
    </row>
    <row r="174" spans="1:20">
      <c r="A174" s="1">
        <v>173</v>
      </c>
      <c r="B174" s="2">
        <f>DATE(Sintesi!$C$4-1,12,31)+A174</f>
        <v>44369</v>
      </c>
      <c r="C174" s="1">
        <f>'Paste cell here'!T174</f>
        <v>8.0500000000000002E-2</v>
      </c>
      <c r="D174" s="1">
        <f>'Paste cell here'!AC174</f>
        <v>0</v>
      </c>
      <c r="E174" s="1">
        <f>'Paste cell here'!Y174</f>
        <v>6.1817437850000001</v>
      </c>
      <c r="F174" s="1">
        <f>'Paste cell here'!AD174</f>
        <v>0.183447569</v>
      </c>
      <c r="G174" s="1">
        <f>'Paste cell here'!W174</f>
        <v>0</v>
      </c>
      <c r="H174" s="1">
        <f>'Paste cell here'!AE174</f>
        <v>142.64383549999999</v>
      </c>
      <c r="I174" s="1">
        <f>'Paste cell here'!AF174</f>
        <v>148.9284954</v>
      </c>
      <c r="J174" s="1">
        <f t="shared" si="12"/>
        <v>3.1454000009034644E-5</v>
      </c>
      <c r="K174" s="1" t="str">
        <f>IF('Bilancio primo strato'!D174&gt;0,1,"")</f>
        <v/>
      </c>
      <c r="L174" s="7">
        <f>Sintesi!$C$34</f>
        <v>9.0200000000000002E-2</v>
      </c>
      <c r="M174" s="7">
        <f>Sintesi!$C$33</f>
        <v>0.196996</v>
      </c>
      <c r="N174" s="1">
        <f>'Paste cell here'!AA174</f>
        <v>0.75</v>
      </c>
      <c r="O174" s="1">
        <f>'Paste cell here'!H174</f>
        <v>0.45087348900000002</v>
      </c>
      <c r="P174" s="1">
        <f t="shared" si="13"/>
        <v>80.097000000000008</v>
      </c>
      <c r="Q174" s="1">
        <f t="shared" si="14"/>
        <v>36.113613848433005</v>
      </c>
      <c r="R174" s="1">
        <f t="shared" si="15"/>
        <v>111.63338615156701</v>
      </c>
      <c r="S174" s="5">
        <f t="shared" si="16"/>
        <v>0.19019178066666667</v>
      </c>
      <c r="T174" s="5">
        <f t="shared" si="17"/>
        <v>0.14884451486875602</v>
      </c>
    </row>
    <row r="175" spans="1:20">
      <c r="A175" s="1">
        <v>174</v>
      </c>
      <c r="B175" s="2">
        <f>DATE(Sintesi!$C$4-1,12,31)+A175</f>
        <v>44370</v>
      </c>
      <c r="C175" s="1">
        <f>'Paste cell here'!T175</f>
        <v>0.21727454900000001</v>
      </c>
      <c r="D175" s="1">
        <f>'Paste cell here'!AC175</f>
        <v>0</v>
      </c>
      <c r="E175" s="1">
        <f>'Paste cell here'!Y175</f>
        <v>5.5225318220000004</v>
      </c>
      <c r="F175" s="1">
        <f>'Paste cell here'!AD175</f>
        <v>0.105761012</v>
      </c>
      <c r="G175" s="1">
        <f>'Paste cell here'!W175</f>
        <v>0</v>
      </c>
      <c r="H175" s="1">
        <f>'Paste cell here'!AE175</f>
        <v>137.2328172</v>
      </c>
      <c r="I175" s="1">
        <f>'Paste cell here'!AF175</f>
        <v>142.64383549999999</v>
      </c>
      <c r="J175" s="1">
        <f t="shared" si="12"/>
        <v>1.5000011899246601E-8</v>
      </c>
      <c r="K175" s="1" t="str">
        <f>IF('Bilancio primo strato'!D175&gt;0,1,"")</f>
        <v/>
      </c>
      <c r="L175" s="7">
        <f>Sintesi!$C$34</f>
        <v>9.0200000000000002E-2</v>
      </c>
      <c r="M175" s="7">
        <f>Sintesi!$C$33</f>
        <v>0.196996</v>
      </c>
      <c r="N175" s="1">
        <f>'Paste cell here'!AA175</f>
        <v>0.75</v>
      </c>
      <c r="O175" s="1">
        <f>'Paste cell here'!H175</f>
        <v>0.43874706499999999</v>
      </c>
      <c r="P175" s="1">
        <f t="shared" si="13"/>
        <v>80.097000000000008</v>
      </c>
      <c r="Q175" s="1">
        <f t="shared" si="14"/>
        <v>35.142323665305</v>
      </c>
      <c r="R175" s="1">
        <f t="shared" si="15"/>
        <v>112.60467633469501</v>
      </c>
      <c r="S175" s="5">
        <f t="shared" si="16"/>
        <v>0.1829770896</v>
      </c>
      <c r="T175" s="5">
        <f t="shared" si="17"/>
        <v>0.15013956844626003</v>
      </c>
    </row>
    <row r="176" spans="1:20">
      <c r="A176" s="1">
        <v>175</v>
      </c>
      <c r="B176" s="2">
        <f>DATE(Sintesi!$C$4-1,12,31)+A176</f>
        <v>44371</v>
      </c>
      <c r="C176" s="1">
        <f>'Paste cell here'!T176</f>
        <v>0.39471735800000002</v>
      </c>
      <c r="D176" s="1">
        <f>'Paste cell here'!AC176</f>
        <v>0</v>
      </c>
      <c r="E176" s="1">
        <f>'Paste cell here'!Y176</f>
        <v>5.8308096010000003</v>
      </c>
      <c r="F176" s="1">
        <f>'Paste cell here'!AD176</f>
        <v>6.2700000000000006E-2</v>
      </c>
      <c r="G176" s="1">
        <f>'Paste cell here'!W176</f>
        <v>0</v>
      </c>
      <c r="H176" s="1">
        <f>'Paste cell here'!AE176</f>
        <v>131.73398109999999</v>
      </c>
      <c r="I176" s="1">
        <f>'Paste cell here'!AF176</f>
        <v>137.2328172</v>
      </c>
      <c r="J176" s="1">
        <f t="shared" si="12"/>
        <v>4.3857000008529212E-5</v>
      </c>
      <c r="K176" s="1" t="str">
        <f>IF('Bilancio primo strato'!D176&gt;0,1,"")</f>
        <v/>
      </c>
      <c r="L176" s="7">
        <f>Sintesi!$C$34</f>
        <v>9.0200000000000002E-2</v>
      </c>
      <c r="M176" s="7">
        <f>Sintesi!$C$33</f>
        <v>0.196996</v>
      </c>
      <c r="N176" s="1">
        <f>'Paste cell here'!AA176</f>
        <v>0.75</v>
      </c>
      <c r="O176" s="1">
        <f>'Paste cell here'!H176</f>
        <v>0.46898410200000001</v>
      </c>
      <c r="P176" s="1">
        <f t="shared" si="13"/>
        <v>80.097000000000008</v>
      </c>
      <c r="Q176" s="1">
        <f t="shared" si="14"/>
        <v>37.564219617894004</v>
      </c>
      <c r="R176" s="1">
        <f t="shared" si="15"/>
        <v>110.18278038210602</v>
      </c>
      <c r="S176" s="5">
        <f t="shared" si="16"/>
        <v>0.17564530813333332</v>
      </c>
      <c r="T176" s="5">
        <f t="shared" si="17"/>
        <v>0.14691037384280803</v>
      </c>
    </row>
    <row r="177" spans="1:20">
      <c r="A177" s="1">
        <v>176</v>
      </c>
      <c r="B177" s="2">
        <f>DATE(Sintesi!$C$4-1,12,31)+A177</f>
        <v>44372</v>
      </c>
      <c r="C177" s="1">
        <f>'Paste cell here'!T177</f>
        <v>0.27850675699999999</v>
      </c>
      <c r="D177" s="1">
        <f>'Paste cell here'!AC177</f>
        <v>0</v>
      </c>
      <c r="E177" s="1">
        <f>'Paste cell here'!Y177</f>
        <v>6.4929064800000003</v>
      </c>
      <c r="F177" s="1">
        <f>'Paste cell here'!AD177</f>
        <v>3.4799999999999998E-2</v>
      </c>
      <c r="G177" s="1">
        <f>'Paste cell here'!W177</f>
        <v>0</v>
      </c>
      <c r="H177" s="1">
        <f>'Paste cell here'!AE177</f>
        <v>125.48478679999999</v>
      </c>
      <c r="I177" s="1">
        <f>'Paste cell here'!AF177</f>
        <v>131.73398109999999</v>
      </c>
      <c r="J177" s="1">
        <f t="shared" si="12"/>
        <v>5.4230000046118221E-6</v>
      </c>
      <c r="K177" s="1" t="str">
        <f>IF('Bilancio primo strato'!D177&gt;0,1,"")</f>
        <v/>
      </c>
      <c r="L177" s="7">
        <f>Sintesi!$C$34</f>
        <v>9.0200000000000002E-2</v>
      </c>
      <c r="M177" s="7">
        <f>Sintesi!$C$33</f>
        <v>0.196996</v>
      </c>
      <c r="N177" s="1">
        <f>'Paste cell here'!AA177</f>
        <v>0.75</v>
      </c>
      <c r="O177" s="1">
        <f>'Paste cell here'!H177</f>
        <v>0.45434077899999997</v>
      </c>
      <c r="P177" s="1">
        <f t="shared" si="13"/>
        <v>80.097000000000008</v>
      </c>
      <c r="Q177" s="1">
        <f t="shared" si="14"/>
        <v>36.391333375563001</v>
      </c>
      <c r="R177" s="1">
        <f t="shared" si="15"/>
        <v>111.35566662443702</v>
      </c>
      <c r="S177" s="5">
        <f t="shared" si="16"/>
        <v>0.16731304906666666</v>
      </c>
      <c r="T177" s="5">
        <f t="shared" si="17"/>
        <v>0.14847422216591602</v>
      </c>
    </row>
    <row r="178" spans="1:20">
      <c r="A178" s="1">
        <v>177</v>
      </c>
      <c r="B178" s="2">
        <f>DATE(Sintesi!$C$4-1,12,31)+A178</f>
        <v>44373</v>
      </c>
      <c r="C178" s="1">
        <f>'Paste cell here'!T178</f>
        <v>0.20308817400000001</v>
      </c>
      <c r="D178" s="1">
        <f>'Paste cell here'!AC178</f>
        <v>0</v>
      </c>
      <c r="E178" s="1">
        <f>'Paste cell here'!Y178</f>
        <v>6.0216938280000001</v>
      </c>
      <c r="F178" s="1">
        <f>'Paste cell here'!AD178</f>
        <v>1.7899999999999999E-2</v>
      </c>
      <c r="G178" s="1">
        <f>'Paste cell here'!W178</f>
        <v>0</v>
      </c>
      <c r="H178" s="1">
        <f>'Paste cell here'!AE178</f>
        <v>119.6482381</v>
      </c>
      <c r="I178" s="1">
        <f>'Paste cell here'!AF178</f>
        <v>125.48478679999999</v>
      </c>
      <c r="J178" s="1">
        <f t="shared" si="12"/>
        <v>4.3046000001822904E-5</v>
      </c>
      <c r="K178" s="1" t="str">
        <f>IF('Bilancio primo strato'!D178&gt;0,1,"")</f>
        <v/>
      </c>
      <c r="L178" s="7">
        <f>Sintesi!$C$34</f>
        <v>9.0200000000000002E-2</v>
      </c>
      <c r="M178" s="7">
        <f>Sintesi!$C$33</f>
        <v>0.196996</v>
      </c>
      <c r="N178" s="1">
        <f>'Paste cell here'!AA178</f>
        <v>0.75</v>
      </c>
      <c r="O178" s="1">
        <f>'Paste cell here'!H178</f>
        <v>0.42129175000000002</v>
      </c>
      <c r="P178" s="1">
        <f t="shared" si="13"/>
        <v>80.097000000000008</v>
      </c>
      <c r="Q178" s="1">
        <f t="shared" si="14"/>
        <v>33.744205299750007</v>
      </c>
      <c r="R178" s="1">
        <f t="shared" si="15"/>
        <v>114.00279470025001</v>
      </c>
      <c r="S178" s="5">
        <f t="shared" si="16"/>
        <v>0.15953098413333333</v>
      </c>
      <c r="T178" s="5">
        <f t="shared" si="17"/>
        <v>0.15200372626700001</v>
      </c>
    </row>
    <row r="179" spans="1:20">
      <c r="A179" s="1">
        <v>178</v>
      </c>
      <c r="B179" s="2">
        <f>DATE(Sintesi!$C$4-1,12,31)+A179</f>
        <v>44374</v>
      </c>
      <c r="C179" s="1">
        <f>'Paste cell here'!T179</f>
        <v>192.10943349999999</v>
      </c>
      <c r="D179" s="1">
        <f>'Paste cell here'!AC179</f>
        <v>0</v>
      </c>
      <c r="E179" s="1">
        <f>'Paste cell here'!Y179</f>
        <v>5.9061703320000003</v>
      </c>
      <c r="F179" s="1">
        <f>'Paste cell here'!AD179</f>
        <v>92.849348590000005</v>
      </c>
      <c r="G179" s="1">
        <f>'Paste cell here'!W179</f>
        <v>0</v>
      </c>
      <c r="H179" s="1">
        <f>'Paste cell here'!AE179</f>
        <v>213.00215270000001</v>
      </c>
      <c r="I179" s="1">
        <f>'Paste cell here'!AF179</f>
        <v>119.6482381</v>
      </c>
      <c r="J179" s="1">
        <f t="shared" si="12"/>
        <v>2.2000023136570235E-8</v>
      </c>
      <c r="K179" s="1">
        <f>IF('Bilancio primo strato'!D179&gt;0,1,"")</f>
        <v>1</v>
      </c>
      <c r="L179" s="7">
        <f>Sintesi!$C$34</f>
        <v>9.0200000000000002E-2</v>
      </c>
      <c r="M179" s="7">
        <f>Sintesi!$C$33</f>
        <v>0.196996</v>
      </c>
      <c r="N179" s="1">
        <f>'Paste cell here'!AA179</f>
        <v>0.75</v>
      </c>
      <c r="O179" s="1">
        <f>'Paste cell here'!H179</f>
        <v>0.44699193199999998</v>
      </c>
      <c r="P179" s="1">
        <f t="shared" si="13"/>
        <v>80.097000000000008</v>
      </c>
      <c r="Q179" s="1">
        <f t="shared" si="14"/>
        <v>35.802712777404004</v>
      </c>
      <c r="R179" s="1">
        <f t="shared" si="15"/>
        <v>111.94428722259602</v>
      </c>
      <c r="S179" s="5">
        <f t="shared" si="16"/>
        <v>0.28400287026666671</v>
      </c>
      <c r="T179" s="5">
        <f t="shared" si="17"/>
        <v>0.14925904963012801</v>
      </c>
    </row>
    <row r="180" spans="1:20">
      <c r="A180" s="1">
        <v>179</v>
      </c>
      <c r="B180" s="2">
        <f>DATE(Sintesi!$C$4-1,12,31)+A180</f>
        <v>44375</v>
      </c>
      <c r="C180" s="1">
        <f>'Paste cell here'!T180</f>
        <v>3.6691797149999998</v>
      </c>
      <c r="D180" s="1">
        <f>'Paste cell here'!AC180</f>
        <v>0</v>
      </c>
      <c r="E180" s="1">
        <f>'Paste cell here'!Y180</f>
        <v>6.4323040450000004</v>
      </c>
      <c r="F180" s="1">
        <f>'Paste cell here'!AD180</f>
        <v>26.495321879999999</v>
      </c>
      <c r="G180" s="1">
        <f>'Paste cell here'!W180</f>
        <v>0</v>
      </c>
      <c r="H180" s="1">
        <f>'Paste cell here'!AE180</f>
        <v>183.7437065</v>
      </c>
      <c r="I180" s="1">
        <f>'Paste cell here'!AF180</f>
        <v>213.00215270000001</v>
      </c>
      <c r="J180" s="1">
        <f t="shared" si="12"/>
        <v>9.9999795111216372E-9</v>
      </c>
      <c r="K180" s="1" t="str">
        <f>IF('Bilancio primo strato'!D180&gt;0,1,"")</f>
        <v/>
      </c>
      <c r="L180" s="7">
        <f>Sintesi!$C$34</f>
        <v>9.0200000000000002E-2</v>
      </c>
      <c r="M180" s="7">
        <f>Sintesi!$C$33</f>
        <v>0.196996</v>
      </c>
      <c r="N180" s="1">
        <f>'Paste cell here'!AA180</f>
        <v>0.75</v>
      </c>
      <c r="O180" s="1">
        <f>'Paste cell here'!H180</f>
        <v>0.451930367</v>
      </c>
      <c r="P180" s="1">
        <f t="shared" si="13"/>
        <v>80.097000000000008</v>
      </c>
      <c r="Q180" s="1">
        <f t="shared" si="14"/>
        <v>36.198266605599002</v>
      </c>
      <c r="R180" s="1">
        <f t="shared" si="15"/>
        <v>111.54873339440101</v>
      </c>
      <c r="S180" s="5">
        <f t="shared" si="16"/>
        <v>0.24499160866666667</v>
      </c>
      <c r="T180" s="5">
        <f t="shared" si="17"/>
        <v>0.14873164452586801</v>
      </c>
    </row>
    <row r="181" spans="1:20">
      <c r="A181" s="1">
        <v>180</v>
      </c>
      <c r="B181" s="2">
        <f>DATE(Sintesi!$C$4-1,12,31)+A181</f>
        <v>44376</v>
      </c>
      <c r="C181" s="1">
        <f>'Paste cell here'!T181</f>
        <v>0.76676903799999996</v>
      </c>
      <c r="D181" s="1">
        <f>'Paste cell here'!AC181</f>
        <v>0</v>
      </c>
      <c r="E181" s="1">
        <f>'Paste cell here'!Y181</f>
        <v>6.5365984839999998</v>
      </c>
      <c r="F181" s="1">
        <f>'Paste cell here'!AD181</f>
        <v>5.266533269</v>
      </c>
      <c r="G181" s="1">
        <f>'Paste cell here'!W181</f>
        <v>0</v>
      </c>
      <c r="H181" s="1">
        <f>'Paste cell here'!AE181</f>
        <v>172.70734379999999</v>
      </c>
      <c r="I181" s="1">
        <f>'Paste cell here'!AF181</f>
        <v>183.7437065</v>
      </c>
      <c r="J181" s="1">
        <f t="shared" si="12"/>
        <v>1.4999983477537171E-8</v>
      </c>
      <c r="K181" s="1" t="str">
        <f>IF('Bilancio primo strato'!D181&gt;0,1,"")</f>
        <v/>
      </c>
      <c r="L181" s="7">
        <f>Sintesi!$C$34</f>
        <v>9.0200000000000002E-2</v>
      </c>
      <c r="M181" s="7">
        <f>Sintesi!$C$33</f>
        <v>0.196996</v>
      </c>
      <c r="N181" s="1">
        <f>'Paste cell here'!AA181</f>
        <v>0.75</v>
      </c>
      <c r="O181" s="1">
        <f>'Paste cell here'!H181</f>
        <v>0.42713853899999998</v>
      </c>
      <c r="P181" s="1">
        <f t="shared" si="13"/>
        <v>80.097000000000008</v>
      </c>
      <c r="Q181" s="1">
        <f t="shared" si="14"/>
        <v>34.212515558283002</v>
      </c>
      <c r="R181" s="1">
        <f t="shared" si="15"/>
        <v>113.53448444171701</v>
      </c>
      <c r="S181" s="5">
        <f t="shared" si="16"/>
        <v>0.23027645839999999</v>
      </c>
      <c r="T181" s="5">
        <f t="shared" si="17"/>
        <v>0.15137931258895601</v>
      </c>
    </row>
    <row r="182" spans="1:20">
      <c r="A182" s="1">
        <v>181</v>
      </c>
      <c r="B182" s="2">
        <f>DATE(Sintesi!$C$4-1,12,31)+A182</f>
        <v>44377</v>
      </c>
      <c r="C182" s="1">
        <f>'Paste cell here'!T182</f>
        <v>0.32950549499999998</v>
      </c>
      <c r="D182" s="1">
        <f>'Paste cell here'!AC182</f>
        <v>0</v>
      </c>
      <c r="E182" s="1">
        <f>'Paste cell here'!Y182</f>
        <v>6.0648813879999999</v>
      </c>
      <c r="F182" s="1">
        <f>'Paste cell here'!AD182</f>
        <v>1.9349842530000001</v>
      </c>
      <c r="G182" s="1">
        <f>'Paste cell here'!W182</f>
        <v>0</v>
      </c>
      <c r="H182" s="1">
        <f>'Paste cell here'!AE182</f>
        <v>165.03698370000001</v>
      </c>
      <c r="I182" s="1">
        <f>'Paste cell here'!AF182</f>
        <v>172.70734379999999</v>
      </c>
      <c r="J182" s="1">
        <f t="shared" si="12"/>
        <v>4.6000025122339139E-8</v>
      </c>
      <c r="K182" s="1" t="str">
        <f>IF('Bilancio primo strato'!D182&gt;0,1,"")</f>
        <v/>
      </c>
      <c r="L182" s="7">
        <f>Sintesi!$C$34</f>
        <v>9.0200000000000002E-2</v>
      </c>
      <c r="M182" s="7">
        <f>Sintesi!$C$33</f>
        <v>0.196996</v>
      </c>
      <c r="N182" s="1">
        <f>'Paste cell here'!AA182</f>
        <v>0.75</v>
      </c>
      <c r="O182" s="1">
        <f>'Paste cell here'!H182</f>
        <v>0.42177057200000001</v>
      </c>
      <c r="P182" s="1">
        <f t="shared" si="13"/>
        <v>80.097000000000008</v>
      </c>
      <c r="Q182" s="1">
        <f t="shared" si="14"/>
        <v>33.782557505484007</v>
      </c>
      <c r="R182" s="1">
        <f t="shared" si="15"/>
        <v>113.96444249451601</v>
      </c>
      <c r="S182" s="5">
        <f t="shared" si="16"/>
        <v>0.22004931160000002</v>
      </c>
      <c r="T182" s="5">
        <f t="shared" si="17"/>
        <v>0.15195258999268801</v>
      </c>
    </row>
    <row r="183" spans="1:20">
      <c r="A183" s="1">
        <v>182</v>
      </c>
      <c r="B183" s="2">
        <f>DATE(Sintesi!$C$4-1,12,31)+A183</f>
        <v>44378</v>
      </c>
      <c r="C183" s="1">
        <f>'Paste cell here'!T183</f>
        <v>0.174794372</v>
      </c>
      <c r="D183" s="1">
        <f>'Paste cell here'!AC183</f>
        <v>0</v>
      </c>
      <c r="E183" s="1">
        <f>'Paste cell here'!Y183</f>
        <v>6.7789353869999998</v>
      </c>
      <c r="F183" s="1">
        <f>'Paste cell here'!AD183</f>
        <v>0.86674633599999995</v>
      </c>
      <c r="G183" s="1">
        <f>'Paste cell here'!W183</f>
        <v>0</v>
      </c>
      <c r="H183" s="1">
        <f>'Paste cell here'!AE183</f>
        <v>157.5660963</v>
      </c>
      <c r="I183" s="1">
        <f>'Paste cell here'!AF183</f>
        <v>165.03698370000001</v>
      </c>
      <c r="J183" s="1">
        <f t="shared" si="12"/>
        <v>4.9000021817846573E-8</v>
      </c>
      <c r="K183" s="1" t="str">
        <f>IF('Bilancio primo strato'!D183&gt;0,1,"")</f>
        <v/>
      </c>
      <c r="L183" s="7">
        <f>Sintesi!$C$34</f>
        <v>9.0200000000000002E-2</v>
      </c>
      <c r="M183" s="7">
        <f>Sintesi!$C$33</f>
        <v>0.196996</v>
      </c>
      <c r="N183" s="1">
        <f>'Paste cell here'!AA183</f>
        <v>0.75</v>
      </c>
      <c r="O183" s="1">
        <f>'Paste cell here'!H183</f>
        <v>0.44164506999999997</v>
      </c>
      <c r="P183" s="1">
        <f t="shared" si="13"/>
        <v>80.097000000000008</v>
      </c>
      <c r="Q183" s="1">
        <f t="shared" si="14"/>
        <v>35.374445171790001</v>
      </c>
      <c r="R183" s="1">
        <f t="shared" si="15"/>
        <v>112.37255482821001</v>
      </c>
      <c r="S183" s="5">
        <f t="shared" si="16"/>
        <v>0.21008812839999999</v>
      </c>
      <c r="T183" s="5">
        <f t="shared" si="17"/>
        <v>0.14983007310428001</v>
      </c>
    </row>
    <row r="184" spans="1:20">
      <c r="A184" s="1">
        <v>183</v>
      </c>
      <c r="B184" s="2">
        <f>DATE(Sintesi!$C$4-1,12,31)+A184</f>
        <v>44379</v>
      </c>
      <c r="C184" s="1">
        <f>'Paste cell here'!T184</f>
        <v>0.106256762</v>
      </c>
      <c r="D184" s="1">
        <f>'Paste cell here'!AC184</f>
        <v>0</v>
      </c>
      <c r="E184" s="1">
        <f>'Paste cell here'!Y184</f>
        <v>6.2143034669999997</v>
      </c>
      <c r="F184" s="1">
        <f>'Paste cell here'!AD184</f>
        <v>0.42837043400000002</v>
      </c>
      <c r="G184" s="1">
        <f>'Paste cell here'!W184</f>
        <v>0</v>
      </c>
      <c r="H184" s="1">
        <f>'Paste cell here'!AE184</f>
        <v>151.0296792</v>
      </c>
      <c r="I184" s="1">
        <f>'Paste cell here'!AF184</f>
        <v>157.5660963</v>
      </c>
      <c r="J184" s="1">
        <f t="shared" si="12"/>
        <v>3.9000013885015505E-8</v>
      </c>
      <c r="K184" s="1" t="str">
        <f>IF('Bilancio primo strato'!D184&gt;0,1,"")</f>
        <v/>
      </c>
      <c r="L184" s="7">
        <f>Sintesi!$C$34</f>
        <v>9.0200000000000002E-2</v>
      </c>
      <c r="M184" s="7">
        <f>Sintesi!$C$33</f>
        <v>0.196996</v>
      </c>
      <c r="N184" s="1">
        <f>'Paste cell here'!AA184</f>
        <v>0.75</v>
      </c>
      <c r="O184" s="1">
        <f>'Paste cell here'!H184</f>
        <v>0.40659864400000001</v>
      </c>
      <c r="P184" s="1">
        <f t="shared" si="13"/>
        <v>80.097000000000008</v>
      </c>
      <c r="Q184" s="1">
        <f t="shared" si="14"/>
        <v>32.567331588468001</v>
      </c>
      <c r="R184" s="1">
        <f t="shared" si="15"/>
        <v>115.17966841153202</v>
      </c>
      <c r="S184" s="5">
        <f t="shared" si="16"/>
        <v>0.20137290560000001</v>
      </c>
      <c r="T184" s="5">
        <f t="shared" si="17"/>
        <v>0.15357289121537604</v>
      </c>
    </row>
    <row r="185" spans="1:20">
      <c r="A185" s="1">
        <v>184</v>
      </c>
      <c r="B185" s="2">
        <f>DATE(Sintesi!$C$4-1,12,31)+A185</f>
        <v>44380</v>
      </c>
      <c r="C185" s="1">
        <f>'Paste cell here'!T185</f>
        <v>7.7600000000000002E-2</v>
      </c>
      <c r="D185" s="1">
        <f>'Paste cell here'!AC185</f>
        <v>0</v>
      </c>
      <c r="E185" s="1">
        <f>'Paste cell here'!Y185</f>
        <v>4.8944455769999999</v>
      </c>
      <c r="F185" s="1">
        <f>'Paste cell here'!AD185</f>
        <v>0.24133587400000001</v>
      </c>
      <c r="G185" s="1">
        <f>'Paste cell here'!W185</f>
        <v>0</v>
      </c>
      <c r="H185" s="1">
        <f>'Paste cell here'!AE185</f>
        <v>145.97149469999999</v>
      </c>
      <c r="I185" s="1">
        <f>'Paste cell here'!AF185</f>
        <v>151.0296792</v>
      </c>
      <c r="J185" s="1">
        <f t="shared" si="12"/>
        <v>3.0490000142435747E-6</v>
      </c>
      <c r="K185" s="1" t="str">
        <f>IF('Bilancio primo strato'!D185&gt;0,1,"")</f>
        <v/>
      </c>
      <c r="L185" s="7">
        <f>Sintesi!$C$34</f>
        <v>9.0200000000000002E-2</v>
      </c>
      <c r="M185" s="7">
        <f>Sintesi!$C$33</f>
        <v>0.196996</v>
      </c>
      <c r="N185" s="1">
        <f>'Paste cell here'!AA185</f>
        <v>0.75</v>
      </c>
      <c r="O185" s="1">
        <f>'Paste cell here'!H185</f>
        <v>0.43579671599999997</v>
      </c>
      <c r="P185" s="1">
        <f t="shared" si="13"/>
        <v>80.097000000000008</v>
      </c>
      <c r="Q185" s="1">
        <f t="shared" si="14"/>
        <v>34.906009561452002</v>
      </c>
      <c r="R185" s="1">
        <f t="shared" si="15"/>
        <v>112.840990438548</v>
      </c>
      <c r="S185" s="5">
        <f t="shared" si="16"/>
        <v>0.1946286596</v>
      </c>
      <c r="T185" s="5">
        <f t="shared" si="17"/>
        <v>0.15045465391806401</v>
      </c>
    </row>
    <row r="186" spans="1:20">
      <c r="A186" s="1">
        <v>185</v>
      </c>
      <c r="B186" s="2">
        <f>DATE(Sintesi!$C$4-1,12,31)+A186</f>
        <v>44381</v>
      </c>
      <c r="C186" s="1">
        <f>'Paste cell here'!T186</f>
        <v>0.1075812</v>
      </c>
      <c r="D186" s="1">
        <f>'Paste cell here'!AC186</f>
        <v>0</v>
      </c>
      <c r="E186" s="1">
        <f>'Paste cell here'!Y186</f>
        <v>2.611030371</v>
      </c>
      <c r="F186" s="1">
        <f>'Paste cell here'!AD186</f>
        <v>0.163036613</v>
      </c>
      <c r="G186" s="1">
        <f>'Paste cell here'!W186</f>
        <v>0</v>
      </c>
      <c r="H186" s="1">
        <f>'Paste cell here'!AE186</f>
        <v>143.30500889999999</v>
      </c>
      <c r="I186" s="1">
        <f>'Paste cell here'!AF186</f>
        <v>145.97149469999999</v>
      </c>
      <c r="J186" s="1">
        <f t="shared" si="12"/>
        <v>1.6000001323845936E-8</v>
      </c>
      <c r="K186" s="1" t="str">
        <f>IF('Bilancio primo strato'!D186&gt;0,1,"")</f>
        <v/>
      </c>
      <c r="L186" s="7">
        <f>Sintesi!$C$34</f>
        <v>9.0200000000000002E-2</v>
      </c>
      <c r="M186" s="7">
        <f>Sintesi!$C$33</f>
        <v>0.196996</v>
      </c>
      <c r="N186" s="1">
        <f>'Paste cell here'!AA186</f>
        <v>0.75</v>
      </c>
      <c r="O186" s="1">
        <f>'Paste cell here'!H186</f>
        <v>0.49578180199999999</v>
      </c>
      <c r="P186" s="1">
        <f t="shared" si="13"/>
        <v>80.097000000000008</v>
      </c>
      <c r="Q186" s="1">
        <f t="shared" si="14"/>
        <v>39.710634994794006</v>
      </c>
      <c r="R186" s="1">
        <f t="shared" si="15"/>
        <v>108.03636500520601</v>
      </c>
      <c r="S186" s="5">
        <f t="shared" si="16"/>
        <v>0.19107334519999999</v>
      </c>
      <c r="T186" s="5">
        <f t="shared" si="17"/>
        <v>0.14404848667360801</v>
      </c>
    </row>
    <row r="187" spans="1:20">
      <c r="A187" s="1">
        <v>186</v>
      </c>
      <c r="B187" s="2">
        <f>DATE(Sintesi!$C$4-1,12,31)+A187</f>
        <v>44382</v>
      </c>
      <c r="C187" s="1">
        <f>'Paste cell here'!T187</f>
        <v>0.14176034600000001</v>
      </c>
      <c r="D187" s="1">
        <f>'Paste cell here'!AC187</f>
        <v>0</v>
      </c>
      <c r="E187" s="1">
        <f>'Paste cell here'!Y187</f>
        <v>5.2367410230000004</v>
      </c>
      <c r="F187" s="1">
        <f>'Paste cell here'!AD187</f>
        <v>0.113507656</v>
      </c>
      <c r="G187" s="1">
        <f>'Paste cell here'!W187</f>
        <v>0</v>
      </c>
      <c r="H187" s="1">
        <f>'Paste cell here'!AE187</f>
        <v>138.0965205</v>
      </c>
      <c r="I187" s="1">
        <f>'Paste cell here'!AF187</f>
        <v>143.30500889999999</v>
      </c>
      <c r="J187" s="1">
        <f t="shared" si="12"/>
        <v>6.7000001990891178E-8</v>
      </c>
      <c r="K187" s="1" t="str">
        <f>IF('Bilancio primo strato'!D187&gt;0,1,"")</f>
        <v/>
      </c>
      <c r="L187" s="7">
        <f>Sintesi!$C$34</f>
        <v>9.0200000000000002E-2</v>
      </c>
      <c r="M187" s="7">
        <f>Sintesi!$C$33</f>
        <v>0.196996</v>
      </c>
      <c r="N187" s="1">
        <f>'Paste cell here'!AA187</f>
        <v>0.75</v>
      </c>
      <c r="O187" s="1">
        <f>'Paste cell here'!H187</f>
        <v>0.59490854000000004</v>
      </c>
      <c r="P187" s="1">
        <f t="shared" si="13"/>
        <v>80.097000000000008</v>
      </c>
      <c r="Q187" s="1">
        <f t="shared" si="14"/>
        <v>47.650389328380008</v>
      </c>
      <c r="R187" s="1">
        <f t="shared" si="15"/>
        <v>100.09661067162</v>
      </c>
      <c r="S187" s="5">
        <f t="shared" si="16"/>
        <v>0.18412869400000001</v>
      </c>
      <c r="T187" s="5">
        <f t="shared" si="17"/>
        <v>0.13346214756215999</v>
      </c>
    </row>
    <row r="188" spans="1:20">
      <c r="A188" s="1">
        <v>187</v>
      </c>
      <c r="B188" s="2">
        <f>DATE(Sintesi!$C$4-1,12,31)+A188</f>
        <v>44383</v>
      </c>
      <c r="C188" s="1">
        <f>'Paste cell here'!T188</f>
        <v>0.11466722999999999</v>
      </c>
      <c r="D188" s="1">
        <f>'Paste cell here'!AC188</f>
        <v>0</v>
      </c>
      <c r="E188" s="1">
        <f>'Paste cell here'!Y188</f>
        <v>5.9136541840000003</v>
      </c>
      <c r="F188" s="1">
        <f>'Paste cell here'!AD188</f>
        <v>6.7100000000000007E-2</v>
      </c>
      <c r="G188" s="1">
        <f>'Paste cell here'!W188</f>
        <v>0</v>
      </c>
      <c r="H188" s="1">
        <f>'Paste cell here'!AE188</f>
        <v>132.2304177</v>
      </c>
      <c r="I188" s="1">
        <f>'Paste cell here'!AF188</f>
        <v>138.0965205</v>
      </c>
      <c r="J188" s="1">
        <f t="shared" si="12"/>
        <v>1.5845999996599858E-5</v>
      </c>
      <c r="K188" s="1" t="str">
        <f>IF('Bilancio primo strato'!D188&gt;0,1,"")</f>
        <v/>
      </c>
      <c r="L188" s="7">
        <f>Sintesi!$C$34</f>
        <v>9.0200000000000002E-2</v>
      </c>
      <c r="M188" s="7">
        <f>Sintesi!$C$33</f>
        <v>0.196996</v>
      </c>
      <c r="N188" s="1">
        <f>'Paste cell here'!AA188</f>
        <v>0.75</v>
      </c>
      <c r="O188" s="1">
        <f>'Paste cell here'!H188</f>
        <v>0.48114584300000002</v>
      </c>
      <c r="P188" s="1">
        <f t="shared" si="13"/>
        <v>80.097000000000008</v>
      </c>
      <c r="Q188" s="1">
        <f t="shared" si="14"/>
        <v>38.538338586771005</v>
      </c>
      <c r="R188" s="1">
        <f t="shared" si="15"/>
        <v>109.20866141322901</v>
      </c>
      <c r="S188" s="5">
        <f t="shared" si="16"/>
        <v>0.17630722360000001</v>
      </c>
      <c r="T188" s="5">
        <f t="shared" si="17"/>
        <v>0.14561154855097203</v>
      </c>
    </row>
    <row r="189" spans="1:20">
      <c r="A189" s="1">
        <v>188</v>
      </c>
      <c r="B189" s="2">
        <f>DATE(Sintesi!$C$4-1,12,31)+A189</f>
        <v>44384</v>
      </c>
      <c r="C189" s="1">
        <f>'Paste cell here'!T189</f>
        <v>0.45376509399999998</v>
      </c>
      <c r="D189" s="1">
        <f>'Paste cell here'!AC189</f>
        <v>0</v>
      </c>
      <c r="E189" s="1">
        <f>'Paste cell here'!Y189</f>
        <v>6.1810769609999996</v>
      </c>
      <c r="F189" s="1">
        <f>'Paste cell here'!AD189</f>
        <v>3.7100000000000001E-2</v>
      </c>
      <c r="G189" s="1">
        <f>'Paste cell here'!W189</f>
        <v>0</v>
      </c>
      <c r="H189" s="1">
        <f>'Paste cell here'!AE189</f>
        <v>126.4660525</v>
      </c>
      <c r="I189" s="1">
        <f>'Paste cell here'!AF189</f>
        <v>132.2304177</v>
      </c>
      <c r="J189" s="1">
        <f t="shared" si="12"/>
        <v>4.6666999992339697E-5</v>
      </c>
      <c r="K189" s="1" t="str">
        <f>IF('Bilancio primo strato'!D189&gt;0,1,"")</f>
        <v/>
      </c>
      <c r="L189" s="7">
        <f>Sintesi!$C$34</f>
        <v>9.0200000000000002E-2</v>
      </c>
      <c r="M189" s="7">
        <f>Sintesi!$C$33</f>
        <v>0.196996</v>
      </c>
      <c r="N189" s="1">
        <f>'Paste cell here'!AA189</f>
        <v>0.75</v>
      </c>
      <c r="O189" s="1">
        <f>'Paste cell here'!H189</f>
        <v>0.45285147999999997</v>
      </c>
      <c r="P189" s="1">
        <f t="shared" si="13"/>
        <v>80.097000000000008</v>
      </c>
      <c r="Q189" s="1">
        <f t="shared" si="14"/>
        <v>36.272044993560002</v>
      </c>
      <c r="R189" s="1">
        <f t="shared" si="15"/>
        <v>111.47495500644001</v>
      </c>
      <c r="S189" s="5">
        <f t="shared" si="16"/>
        <v>0.16862140333333334</v>
      </c>
      <c r="T189" s="5">
        <f t="shared" si="17"/>
        <v>0.14863327334192003</v>
      </c>
    </row>
    <row r="190" spans="1:20">
      <c r="A190" s="1">
        <v>189</v>
      </c>
      <c r="B190" s="2">
        <f>DATE(Sintesi!$C$4-1,12,31)+A190</f>
        <v>44385</v>
      </c>
      <c r="C190" s="1">
        <f>'Paste cell here'!T190</f>
        <v>12.94869231</v>
      </c>
      <c r="D190" s="1">
        <f>'Paste cell here'!AC190</f>
        <v>0</v>
      </c>
      <c r="E190" s="1">
        <f>'Paste cell here'!Y190</f>
        <v>4.5067480040000003</v>
      </c>
      <c r="F190" s="1">
        <f>'Paste cell here'!AD190</f>
        <v>3.4200000000000001E-2</v>
      </c>
      <c r="G190" s="1">
        <f>'Paste cell here'!W190</f>
        <v>0</v>
      </c>
      <c r="H190" s="1">
        <f>'Paste cell here'!AE190</f>
        <v>134.87378649999999</v>
      </c>
      <c r="I190" s="1">
        <f>'Paste cell here'!AF190</f>
        <v>126.4660525</v>
      </c>
      <c r="J190" s="1">
        <f t="shared" si="12"/>
        <v>1.0306000007176408E-5</v>
      </c>
      <c r="K190" s="1" t="str">
        <f>IF('Bilancio primo strato'!D190&gt;0,1,"")</f>
        <v/>
      </c>
      <c r="L190" s="7">
        <f>Sintesi!$C$34</f>
        <v>9.0200000000000002E-2</v>
      </c>
      <c r="M190" s="7">
        <f>Sintesi!$C$33</f>
        <v>0.196996</v>
      </c>
      <c r="N190" s="1">
        <f>'Paste cell here'!AA190</f>
        <v>0.75</v>
      </c>
      <c r="O190" s="1">
        <f>'Paste cell here'!H190</f>
        <v>0.439847025</v>
      </c>
      <c r="P190" s="1">
        <f t="shared" si="13"/>
        <v>80.097000000000008</v>
      </c>
      <c r="Q190" s="1">
        <f t="shared" si="14"/>
        <v>35.230427161425006</v>
      </c>
      <c r="R190" s="1">
        <f t="shared" si="15"/>
        <v>112.516572838575</v>
      </c>
      <c r="S190" s="5">
        <f t="shared" si="16"/>
        <v>0.17983171533333334</v>
      </c>
      <c r="T190" s="5">
        <f t="shared" si="17"/>
        <v>0.1500220971181</v>
      </c>
    </row>
    <row r="191" spans="1:20">
      <c r="A191" s="1">
        <v>190</v>
      </c>
      <c r="B191" s="2">
        <f>DATE(Sintesi!$C$4-1,12,31)+A191</f>
        <v>44386</v>
      </c>
      <c r="C191" s="1">
        <f>'Paste cell here'!T191</f>
        <v>6.0979857439999998</v>
      </c>
      <c r="D191" s="1">
        <f>'Paste cell here'!AC191</f>
        <v>0</v>
      </c>
      <c r="E191" s="1">
        <f>'Paste cell here'!Y191</f>
        <v>6.4741226999999997</v>
      </c>
      <c r="F191" s="1">
        <f>'Paste cell here'!AD191</f>
        <v>6.8599999999999994E-2</v>
      </c>
      <c r="G191" s="1">
        <f>'Paste cell here'!W191</f>
        <v>0</v>
      </c>
      <c r="H191" s="1">
        <f>'Paste cell here'!AE191</f>
        <v>134.4290733</v>
      </c>
      <c r="I191" s="1">
        <f>'Paste cell here'!AF191</f>
        <v>134.87378649999999</v>
      </c>
      <c r="J191" s="1">
        <f t="shared" si="12"/>
        <v>2.3756000018693157E-5</v>
      </c>
      <c r="K191" s="1" t="str">
        <f>IF('Bilancio primo strato'!D191&gt;0,1,"")</f>
        <v/>
      </c>
      <c r="L191" s="7">
        <f>Sintesi!$C$34</f>
        <v>9.0200000000000002E-2</v>
      </c>
      <c r="M191" s="7">
        <f>Sintesi!$C$33</f>
        <v>0.196996</v>
      </c>
      <c r="N191" s="1">
        <f>'Paste cell here'!AA191</f>
        <v>0.75</v>
      </c>
      <c r="O191" s="1">
        <f>'Paste cell here'!H191</f>
        <v>0.51351890700000002</v>
      </c>
      <c r="P191" s="1">
        <f t="shared" si="13"/>
        <v>80.097000000000008</v>
      </c>
      <c r="Q191" s="1">
        <f t="shared" si="14"/>
        <v>41.131323893979008</v>
      </c>
      <c r="R191" s="1">
        <f t="shared" si="15"/>
        <v>106.615676106021</v>
      </c>
      <c r="S191" s="5">
        <f t="shared" si="16"/>
        <v>0.1792387644</v>
      </c>
      <c r="T191" s="5">
        <f t="shared" si="17"/>
        <v>0.142154234808028</v>
      </c>
    </row>
    <row r="192" spans="1:20">
      <c r="A192" s="1">
        <v>191</v>
      </c>
      <c r="B192" s="2">
        <f>DATE(Sintesi!$C$4-1,12,31)+A192</f>
        <v>44387</v>
      </c>
      <c r="C192" s="1">
        <f>'Paste cell here'!T192</f>
        <v>1.5810272780000001</v>
      </c>
      <c r="D192" s="1">
        <f>'Paste cell here'!AC192</f>
        <v>0</v>
      </c>
      <c r="E192" s="1">
        <f>'Paste cell here'!Y192</f>
        <v>5.9633796769999998</v>
      </c>
      <c r="F192" s="1">
        <f>'Paste cell here'!AD192</f>
        <v>4.9599999999999998E-2</v>
      </c>
      <c r="G192" s="1">
        <f>'Paste cell here'!W192</f>
        <v>0</v>
      </c>
      <c r="H192" s="1">
        <f>'Paste cell here'!AE192</f>
        <v>129.99709730000001</v>
      </c>
      <c r="I192" s="1">
        <f>'Paste cell here'!AF192</f>
        <v>134.4290733</v>
      </c>
      <c r="J192" s="1">
        <f t="shared" si="12"/>
        <v>2.3600999980999404E-5</v>
      </c>
      <c r="K192" s="1" t="str">
        <f>IF('Bilancio primo strato'!D192&gt;0,1,"")</f>
        <v/>
      </c>
      <c r="L192" s="7">
        <f>Sintesi!$C$34</f>
        <v>9.0200000000000002E-2</v>
      </c>
      <c r="M192" s="7">
        <f>Sintesi!$C$33</f>
        <v>0.196996</v>
      </c>
      <c r="N192" s="1">
        <f>'Paste cell here'!AA192</f>
        <v>0.75</v>
      </c>
      <c r="O192" s="1">
        <f>'Paste cell here'!H192</f>
        <v>0.42147475600000001</v>
      </c>
      <c r="P192" s="1">
        <f t="shared" si="13"/>
        <v>80.097000000000008</v>
      </c>
      <c r="Q192" s="1">
        <f t="shared" si="14"/>
        <v>33.758863531332004</v>
      </c>
      <c r="R192" s="1">
        <f t="shared" si="15"/>
        <v>113.98813646866802</v>
      </c>
      <c r="S192" s="5">
        <f t="shared" si="16"/>
        <v>0.17332946306666669</v>
      </c>
      <c r="T192" s="5">
        <f t="shared" si="17"/>
        <v>0.15198418195822402</v>
      </c>
    </row>
    <row r="193" spans="1:20">
      <c r="A193" s="1">
        <v>192</v>
      </c>
      <c r="B193" s="2">
        <f>DATE(Sintesi!$C$4-1,12,31)+A193</f>
        <v>44388</v>
      </c>
      <c r="C193" s="1">
        <f>'Paste cell here'!T193</f>
        <v>0.85959179799999996</v>
      </c>
      <c r="D193" s="1">
        <f>'Paste cell here'!AC193</f>
        <v>0</v>
      </c>
      <c r="E193" s="1">
        <f>'Paste cell here'!Y193</f>
        <v>6.3114070299999998</v>
      </c>
      <c r="F193" s="1">
        <f>'Paste cell here'!AD193</f>
        <v>2.9899999999999999E-2</v>
      </c>
      <c r="G193" s="1">
        <f>'Paste cell here'!W193</f>
        <v>0</v>
      </c>
      <c r="H193" s="1">
        <f>'Paste cell here'!AE193</f>
        <v>124.5153882</v>
      </c>
      <c r="I193" s="1">
        <f>'Paste cell here'!AF193</f>
        <v>129.99709730000001</v>
      </c>
      <c r="J193" s="1">
        <f t="shared" si="12"/>
        <v>6.1319999957731852E-6</v>
      </c>
      <c r="K193" s="1" t="str">
        <f>IF('Bilancio primo strato'!D193&gt;0,1,"")</f>
        <v/>
      </c>
      <c r="L193" s="7">
        <f>Sintesi!$C$34</f>
        <v>9.0200000000000002E-2</v>
      </c>
      <c r="M193" s="7">
        <f>Sintesi!$C$33</f>
        <v>0.196996</v>
      </c>
      <c r="N193" s="1">
        <f>'Paste cell here'!AA193</f>
        <v>0.75</v>
      </c>
      <c r="O193" s="1">
        <f>'Paste cell here'!H193</f>
        <v>0.44746443899999999</v>
      </c>
      <c r="P193" s="1">
        <f t="shared" si="13"/>
        <v>80.097000000000008</v>
      </c>
      <c r="Q193" s="1">
        <f t="shared" si="14"/>
        <v>35.840559170583006</v>
      </c>
      <c r="R193" s="1">
        <f t="shared" si="15"/>
        <v>111.90644082941701</v>
      </c>
      <c r="S193" s="5">
        <f t="shared" si="16"/>
        <v>0.1660205176</v>
      </c>
      <c r="T193" s="5">
        <f t="shared" si="17"/>
        <v>0.14920858777255602</v>
      </c>
    </row>
    <row r="194" spans="1:20">
      <c r="A194" s="1">
        <v>193</v>
      </c>
      <c r="B194" s="2">
        <f>DATE(Sintesi!$C$4-1,12,31)+A194</f>
        <v>44389</v>
      </c>
      <c r="C194" s="1">
        <f>'Paste cell here'!T194</f>
        <v>0.55442686500000005</v>
      </c>
      <c r="D194" s="1">
        <f>'Paste cell here'!AC194</f>
        <v>0</v>
      </c>
      <c r="E194" s="1">
        <f>'Paste cell here'!Y194</f>
        <v>5.546185833</v>
      </c>
      <c r="F194" s="1">
        <f>'Paste cell here'!AD194</f>
        <v>1.67E-2</v>
      </c>
      <c r="G194" s="1">
        <f>'Paste cell here'!W194</f>
        <v>0</v>
      </c>
      <c r="H194" s="1">
        <f>'Paste cell here'!AE194</f>
        <v>119.5069561</v>
      </c>
      <c r="I194" s="1">
        <f>'Paste cell here'!AF194</f>
        <v>124.5153882</v>
      </c>
      <c r="J194" s="1">
        <f t="shared" ref="J194:J257" si="18">ABS(I194+C194+D194-E194-F194-G194-H194)</f>
        <v>2.6867999991964098E-5</v>
      </c>
      <c r="K194" s="1" t="str">
        <f>IF('Bilancio primo strato'!D194&gt;0,1,"")</f>
        <v/>
      </c>
      <c r="L194" s="7">
        <f>Sintesi!$C$34</f>
        <v>9.0200000000000002E-2</v>
      </c>
      <c r="M194" s="7">
        <f>Sintesi!$C$33</f>
        <v>0.196996</v>
      </c>
      <c r="N194" s="1">
        <f>'Paste cell here'!AA194</f>
        <v>0.75</v>
      </c>
      <c r="O194" s="1">
        <f>'Paste cell here'!H194</f>
        <v>0.43102393999999999</v>
      </c>
      <c r="P194" s="1">
        <f t="shared" ref="P194:P257" si="19">(M194-L194)*N194*1000</f>
        <v>80.097000000000008</v>
      </c>
      <c r="Q194" s="1">
        <f t="shared" ref="Q194:Q257" si="20">P194*O194</f>
        <v>34.523724522180004</v>
      </c>
      <c r="R194" s="1">
        <f t="shared" ref="R194:R257" si="21">M194*N194*1000-Q194</f>
        <v>113.22327547782001</v>
      </c>
      <c r="S194" s="5">
        <f t="shared" ref="S194:S257" si="22">H194/($N194*1000)</f>
        <v>0.15934260813333334</v>
      </c>
      <c r="T194" s="5">
        <f t="shared" ref="T194:T257" si="23">R194/($N194*1000)</f>
        <v>0.15096436730376001</v>
      </c>
    </row>
    <row r="195" spans="1:20">
      <c r="A195" s="1">
        <v>194</v>
      </c>
      <c r="B195" s="2">
        <f>DATE(Sintesi!$C$4-1,12,31)+A195</f>
        <v>44390</v>
      </c>
      <c r="C195" s="1">
        <f>'Paste cell here'!T195</f>
        <v>194.82813949999999</v>
      </c>
      <c r="D195" s="1">
        <f>'Paste cell here'!AC195</f>
        <v>0</v>
      </c>
      <c r="E195" s="1">
        <f>'Paste cell here'!Y195</f>
        <v>5.2546949859999996</v>
      </c>
      <c r="F195" s="1">
        <f>'Paste cell here'!AD195</f>
        <v>98.300018620000003</v>
      </c>
      <c r="G195" s="1">
        <f>'Paste cell here'!W195</f>
        <v>0</v>
      </c>
      <c r="H195" s="1">
        <f>'Paste cell here'!AE195</f>
        <v>210.780382</v>
      </c>
      <c r="I195" s="1">
        <f>'Paste cell here'!AF195</f>
        <v>119.5069561</v>
      </c>
      <c r="J195" s="1">
        <f t="shared" si="18"/>
        <v>6.0000218127242988E-9</v>
      </c>
      <c r="K195" s="1">
        <f>IF('Bilancio primo strato'!D195&gt;0,1,"")</f>
        <v>1</v>
      </c>
      <c r="L195" s="7">
        <f>Sintesi!$C$34</f>
        <v>9.0200000000000002E-2</v>
      </c>
      <c r="M195" s="7">
        <f>Sintesi!$C$33</f>
        <v>0.196996</v>
      </c>
      <c r="N195" s="1">
        <f>'Paste cell here'!AA195</f>
        <v>0.75</v>
      </c>
      <c r="O195" s="1">
        <f>'Paste cell here'!H195</f>
        <v>0.47025924000000002</v>
      </c>
      <c r="P195" s="1">
        <f t="shared" si="19"/>
        <v>80.097000000000008</v>
      </c>
      <c r="Q195" s="1">
        <f t="shared" si="20"/>
        <v>37.666354346280009</v>
      </c>
      <c r="R195" s="1">
        <f t="shared" si="21"/>
        <v>110.08064565372001</v>
      </c>
      <c r="S195" s="5">
        <f t="shared" si="22"/>
        <v>0.28104050933333335</v>
      </c>
      <c r="T195" s="5">
        <f t="shared" si="23"/>
        <v>0.14677419420496002</v>
      </c>
    </row>
    <row r="196" spans="1:20">
      <c r="A196" s="1">
        <v>195</v>
      </c>
      <c r="B196" s="2">
        <f>DATE(Sintesi!$C$4-1,12,31)+A196</f>
        <v>44391</v>
      </c>
      <c r="C196" s="1">
        <f>'Paste cell here'!T196</f>
        <v>3.1469870879999999</v>
      </c>
      <c r="D196" s="1">
        <f>'Paste cell here'!AC196</f>
        <v>0</v>
      </c>
      <c r="E196" s="1">
        <f>'Paste cell here'!Y196</f>
        <v>4.4950180279999996</v>
      </c>
      <c r="F196" s="1">
        <f>'Paste cell here'!AD196</f>
        <v>25.197789780000001</v>
      </c>
      <c r="G196" s="1">
        <f>'Paste cell here'!W196</f>
        <v>0</v>
      </c>
      <c r="H196" s="1">
        <f>'Paste cell here'!AE196</f>
        <v>184.2345613</v>
      </c>
      <c r="I196" s="1">
        <f>'Paste cell here'!AF196</f>
        <v>210.780382</v>
      </c>
      <c r="J196" s="1">
        <f t="shared" si="18"/>
        <v>1.9999987443952705E-8</v>
      </c>
      <c r="K196" s="1" t="str">
        <f>IF('Bilancio primo strato'!D196&gt;0,1,"")</f>
        <v/>
      </c>
      <c r="L196" s="7">
        <f>Sintesi!$C$34</f>
        <v>9.0200000000000002E-2</v>
      </c>
      <c r="M196" s="7">
        <f>Sintesi!$C$33</f>
        <v>0.196996</v>
      </c>
      <c r="N196" s="1">
        <f>'Paste cell here'!AA196</f>
        <v>0.75</v>
      </c>
      <c r="O196" s="1">
        <f>'Paste cell here'!H196</f>
        <v>0.47293405199999999</v>
      </c>
      <c r="P196" s="1">
        <f t="shared" si="19"/>
        <v>80.097000000000008</v>
      </c>
      <c r="Q196" s="1">
        <f t="shared" si="20"/>
        <v>37.880598763044006</v>
      </c>
      <c r="R196" s="1">
        <f t="shared" si="21"/>
        <v>109.86640123695601</v>
      </c>
      <c r="S196" s="5">
        <f t="shared" si="22"/>
        <v>0.24564608173333333</v>
      </c>
      <c r="T196" s="5">
        <f t="shared" si="23"/>
        <v>0.146488534982608</v>
      </c>
    </row>
    <row r="197" spans="1:20">
      <c r="A197" s="1">
        <v>196</v>
      </c>
      <c r="B197" s="2">
        <f>DATE(Sintesi!$C$4-1,12,31)+A197</f>
        <v>44392</v>
      </c>
      <c r="C197" s="1">
        <f>'Paste cell here'!T197</f>
        <v>0.80841734600000004</v>
      </c>
      <c r="D197" s="1">
        <f>'Paste cell here'!AC197</f>
        <v>0</v>
      </c>
      <c r="E197" s="1">
        <f>'Paste cell here'!Y197</f>
        <v>4.1544099430000001</v>
      </c>
      <c r="F197" s="1">
        <f>'Paste cell here'!AD197</f>
        <v>5.7379971940000001</v>
      </c>
      <c r="G197" s="1">
        <f>'Paste cell here'!W197</f>
        <v>0</v>
      </c>
      <c r="H197" s="1">
        <f>'Paste cell here'!AE197</f>
        <v>175.15057150000001</v>
      </c>
      <c r="I197" s="1">
        <f>'Paste cell here'!AF197</f>
        <v>184.2345613</v>
      </c>
      <c r="J197" s="1">
        <f t="shared" si="18"/>
        <v>8.9999900865223026E-9</v>
      </c>
      <c r="K197" s="1" t="str">
        <f>IF('Bilancio primo strato'!D197&gt;0,1,"")</f>
        <v/>
      </c>
      <c r="L197" s="7">
        <f>Sintesi!$C$34</f>
        <v>9.0200000000000002E-2</v>
      </c>
      <c r="M197" s="7">
        <f>Sintesi!$C$33</f>
        <v>0.196996</v>
      </c>
      <c r="N197" s="1">
        <f>'Paste cell here'!AA197</f>
        <v>0.75</v>
      </c>
      <c r="O197" s="1">
        <f>'Paste cell here'!H197</f>
        <v>0.51466131699999995</v>
      </c>
      <c r="P197" s="1">
        <f t="shared" si="19"/>
        <v>80.097000000000008</v>
      </c>
      <c r="Q197" s="1">
        <f t="shared" si="20"/>
        <v>41.222827507749003</v>
      </c>
      <c r="R197" s="1">
        <f t="shared" si="21"/>
        <v>106.52417249225101</v>
      </c>
      <c r="S197" s="5">
        <f t="shared" si="22"/>
        <v>0.23353409533333336</v>
      </c>
      <c r="T197" s="5">
        <f t="shared" si="23"/>
        <v>0.14203222998966802</v>
      </c>
    </row>
    <row r="198" spans="1:20">
      <c r="A198" s="1">
        <v>197</v>
      </c>
      <c r="B198" s="2">
        <f>DATE(Sintesi!$C$4-1,12,31)+A198</f>
        <v>44393</v>
      </c>
      <c r="C198" s="1">
        <f>'Paste cell here'!T198</f>
        <v>3.6927511669999999</v>
      </c>
      <c r="D198" s="1">
        <f>'Paste cell here'!AC198</f>
        <v>0</v>
      </c>
      <c r="E198" s="1">
        <f>'Paste cell here'!Y198</f>
        <v>5.1360562959999996</v>
      </c>
      <c r="F198" s="1">
        <f>'Paste cell here'!AD198</f>
        <v>2.4561189699999999</v>
      </c>
      <c r="G198" s="1">
        <f>'Paste cell here'!W198</f>
        <v>0</v>
      </c>
      <c r="H198" s="1">
        <f>'Paste cell here'!AE198</f>
        <v>171.25114740000001</v>
      </c>
      <c r="I198" s="1">
        <f>'Paste cell here'!AF198</f>
        <v>175.15057150000001</v>
      </c>
      <c r="J198" s="1">
        <f t="shared" si="18"/>
        <v>1.000017846308765E-9</v>
      </c>
      <c r="K198" s="1" t="str">
        <f>IF('Bilancio primo strato'!D198&gt;0,1,"")</f>
        <v/>
      </c>
      <c r="L198" s="7">
        <f>Sintesi!$C$34</f>
        <v>9.0200000000000002E-2</v>
      </c>
      <c r="M198" s="7">
        <f>Sintesi!$C$33</f>
        <v>0.196996</v>
      </c>
      <c r="N198" s="1">
        <f>'Paste cell here'!AA198</f>
        <v>0.75</v>
      </c>
      <c r="O198" s="1">
        <f>'Paste cell here'!H198</f>
        <v>0.52889613700000004</v>
      </c>
      <c r="P198" s="1">
        <f t="shared" si="19"/>
        <v>80.097000000000008</v>
      </c>
      <c r="Q198" s="1">
        <f t="shared" si="20"/>
        <v>42.362993885289008</v>
      </c>
      <c r="R198" s="1">
        <f t="shared" si="21"/>
        <v>105.38400611471101</v>
      </c>
      <c r="S198" s="5">
        <f t="shared" si="22"/>
        <v>0.22833486320000002</v>
      </c>
      <c r="T198" s="5">
        <f t="shared" si="23"/>
        <v>0.14051200815294801</v>
      </c>
    </row>
    <row r="199" spans="1:20">
      <c r="A199" s="1">
        <v>198</v>
      </c>
      <c r="B199" s="2">
        <f>DATE(Sintesi!$C$4-1,12,31)+A199</f>
        <v>44394</v>
      </c>
      <c r="C199" s="1">
        <f>'Paste cell here'!T199</f>
        <v>3.1951406960000002</v>
      </c>
      <c r="D199" s="1">
        <f>'Paste cell here'!AC199</f>
        <v>0</v>
      </c>
      <c r="E199" s="1">
        <f>'Paste cell here'!Y199</f>
        <v>4.9609220010000001</v>
      </c>
      <c r="F199" s="1">
        <f>'Paste cell here'!AD199</f>
        <v>1.579729309</v>
      </c>
      <c r="G199" s="1">
        <f>'Paste cell here'!W199</f>
        <v>0</v>
      </c>
      <c r="H199" s="1">
        <f>'Paste cell here'!AE199</f>
        <v>167.9056368</v>
      </c>
      <c r="I199" s="1">
        <f>'Paste cell here'!AF199</f>
        <v>171.25114740000001</v>
      </c>
      <c r="J199" s="1">
        <f t="shared" si="18"/>
        <v>1.3999965631228406E-8</v>
      </c>
      <c r="K199" s="1" t="str">
        <f>IF('Bilancio primo strato'!D199&gt;0,1,"")</f>
        <v/>
      </c>
      <c r="L199" s="7">
        <f>Sintesi!$C$34</f>
        <v>9.0200000000000002E-2</v>
      </c>
      <c r="M199" s="7">
        <f>Sintesi!$C$33</f>
        <v>0.196996</v>
      </c>
      <c r="N199" s="1">
        <f>'Paste cell here'!AA199</f>
        <v>0.75</v>
      </c>
      <c r="O199" s="1">
        <f>'Paste cell here'!H199</f>
        <v>0.48633705500000002</v>
      </c>
      <c r="P199" s="1">
        <f t="shared" si="19"/>
        <v>80.097000000000008</v>
      </c>
      <c r="Q199" s="1">
        <f t="shared" si="20"/>
        <v>38.954139094335005</v>
      </c>
      <c r="R199" s="1">
        <f t="shared" si="21"/>
        <v>108.79286090566501</v>
      </c>
      <c r="S199" s="5">
        <f t="shared" si="22"/>
        <v>0.22387418239999998</v>
      </c>
      <c r="T199" s="5">
        <f t="shared" si="23"/>
        <v>0.14505714787422</v>
      </c>
    </row>
    <row r="200" spans="1:20">
      <c r="A200" s="1">
        <v>199</v>
      </c>
      <c r="B200" s="2">
        <f>DATE(Sintesi!$C$4-1,12,31)+A200</f>
        <v>44395</v>
      </c>
      <c r="C200" s="1">
        <f>'Paste cell here'!T200</f>
        <v>1.1322118619999999</v>
      </c>
      <c r="D200" s="1">
        <f>'Paste cell here'!AC200</f>
        <v>0</v>
      </c>
      <c r="E200" s="1">
        <f>'Paste cell here'!Y200</f>
        <v>5.0624594749999998</v>
      </c>
      <c r="F200" s="1">
        <f>'Paste cell here'!AD200</f>
        <v>0.98425306899999998</v>
      </c>
      <c r="G200" s="1">
        <f>'Paste cell here'!W200</f>
        <v>0</v>
      </c>
      <c r="H200" s="1">
        <f>'Paste cell here'!AE200</f>
        <v>162.99113610000001</v>
      </c>
      <c r="I200" s="1">
        <f>'Paste cell here'!AF200</f>
        <v>167.9056368</v>
      </c>
      <c r="J200" s="1">
        <f t="shared" si="18"/>
        <v>1.7999980173044605E-8</v>
      </c>
      <c r="K200" s="1" t="str">
        <f>IF('Bilancio primo strato'!D200&gt;0,1,"")</f>
        <v/>
      </c>
      <c r="L200" s="7">
        <f>Sintesi!$C$34</f>
        <v>9.0200000000000002E-2</v>
      </c>
      <c r="M200" s="7">
        <f>Sintesi!$C$33</f>
        <v>0.196996</v>
      </c>
      <c r="N200" s="1">
        <f>'Paste cell here'!AA200</f>
        <v>0.75</v>
      </c>
      <c r="O200" s="1">
        <f>'Paste cell here'!H200</f>
        <v>0.495476843</v>
      </c>
      <c r="P200" s="1">
        <f t="shared" si="19"/>
        <v>80.097000000000008</v>
      </c>
      <c r="Q200" s="1">
        <f t="shared" si="20"/>
        <v>39.686208693771007</v>
      </c>
      <c r="R200" s="1">
        <f t="shared" si="21"/>
        <v>108.06079130622901</v>
      </c>
      <c r="S200" s="5">
        <f t="shared" si="22"/>
        <v>0.2173215148</v>
      </c>
      <c r="T200" s="5">
        <f t="shared" si="23"/>
        <v>0.14408105507497201</v>
      </c>
    </row>
    <row r="201" spans="1:20">
      <c r="A201" s="1">
        <v>200</v>
      </c>
      <c r="B201" s="2">
        <f>DATE(Sintesi!$C$4-1,12,31)+A201</f>
        <v>44396</v>
      </c>
      <c r="C201" s="1">
        <f>'Paste cell here'!T201</f>
        <v>0.61898325499999995</v>
      </c>
      <c r="D201" s="1">
        <f>'Paste cell here'!AC201</f>
        <v>0</v>
      </c>
      <c r="E201" s="1">
        <f>'Paste cell here'!Y201</f>
        <v>6.4846660849999997</v>
      </c>
      <c r="F201" s="1">
        <f>'Paste cell here'!AD201</f>
        <v>0.59289477099999999</v>
      </c>
      <c r="G201" s="1">
        <f>'Paste cell here'!W201</f>
        <v>0</v>
      </c>
      <c r="H201" s="1">
        <f>'Paste cell here'!AE201</f>
        <v>156.53255849999999</v>
      </c>
      <c r="I201" s="1">
        <f>'Paste cell here'!AF201</f>
        <v>162.99113610000001</v>
      </c>
      <c r="J201" s="1">
        <f t="shared" si="18"/>
        <v>9.999894245993346E-10</v>
      </c>
      <c r="K201" s="1" t="str">
        <f>IF('Bilancio primo strato'!D201&gt;0,1,"")</f>
        <v/>
      </c>
      <c r="L201" s="7">
        <f>Sintesi!$C$34</f>
        <v>9.0200000000000002E-2</v>
      </c>
      <c r="M201" s="7">
        <f>Sintesi!$C$33</f>
        <v>0.196996</v>
      </c>
      <c r="N201" s="1">
        <f>'Paste cell here'!AA201</f>
        <v>0.75</v>
      </c>
      <c r="O201" s="1">
        <f>'Paste cell here'!H201</f>
        <v>0.49053740299999998</v>
      </c>
      <c r="P201" s="1">
        <f t="shared" si="19"/>
        <v>80.097000000000008</v>
      </c>
      <c r="Q201" s="1">
        <f t="shared" si="20"/>
        <v>39.290574368091001</v>
      </c>
      <c r="R201" s="1">
        <f t="shared" si="21"/>
        <v>108.45642563190901</v>
      </c>
      <c r="S201" s="5">
        <f t="shared" si="22"/>
        <v>0.20871007799999999</v>
      </c>
      <c r="T201" s="5">
        <f t="shared" si="23"/>
        <v>0.14460856750921203</v>
      </c>
    </row>
    <row r="202" spans="1:20">
      <c r="A202" s="1">
        <v>201</v>
      </c>
      <c r="B202" s="2">
        <f>DATE(Sintesi!$C$4-1,12,31)+A202</f>
        <v>44397</v>
      </c>
      <c r="C202" s="1">
        <f>'Paste cell here'!T202</f>
        <v>0.38852796499999998</v>
      </c>
      <c r="D202" s="1">
        <f>'Paste cell here'!AC202</f>
        <v>0</v>
      </c>
      <c r="E202" s="1">
        <f>'Paste cell here'!Y202</f>
        <v>6.3575892520000004</v>
      </c>
      <c r="F202" s="1">
        <f>'Paste cell here'!AD202</f>
        <v>0.343240669</v>
      </c>
      <c r="G202" s="1">
        <f>'Paste cell here'!W202</f>
        <v>0</v>
      </c>
      <c r="H202" s="1">
        <f>'Paste cell here'!AE202</f>
        <v>150.2202565</v>
      </c>
      <c r="I202" s="1">
        <f>'Paste cell here'!AF202</f>
        <v>156.53255849999999</v>
      </c>
      <c r="J202" s="1">
        <f t="shared" si="18"/>
        <v>4.3999989429721609E-8</v>
      </c>
      <c r="K202" s="1" t="str">
        <f>IF('Bilancio primo strato'!D202&gt;0,1,"")</f>
        <v/>
      </c>
      <c r="L202" s="7">
        <f>Sintesi!$C$34</f>
        <v>9.0200000000000002E-2</v>
      </c>
      <c r="M202" s="7">
        <f>Sintesi!$C$33</f>
        <v>0.196996</v>
      </c>
      <c r="N202" s="1">
        <f>'Paste cell here'!AA202</f>
        <v>0.75</v>
      </c>
      <c r="O202" s="1">
        <f>'Paste cell here'!H202</f>
        <v>0.42153205199999999</v>
      </c>
      <c r="P202" s="1">
        <f t="shared" si="19"/>
        <v>80.097000000000008</v>
      </c>
      <c r="Q202" s="1">
        <f t="shared" si="20"/>
        <v>33.763452769044001</v>
      </c>
      <c r="R202" s="1">
        <f t="shared" si="21"/>
        <v>113.98354723095602</v>
      </c>
      <c r="S202" s="5">
        <f t="shared" si="22"/>
        <v>0.20029367533333334</v>
      </c>
      <c r="T202" s="5">
        <f t="shared" si="23"/>
        <v>0.15197806297460803</v>
      </c>
    </row>
    <row r="203" spans="1:20">
      <c r="A203" s="1">
        <v>202</v>
      </c>
      <c r="B203" s="2">
        <f>DATE(Sintesi!$C$4-1,12,31)+A203</f>
        <v>44398</v>
      </c>
      <c r="C203" s="1">
        <f>'Paste cell here'!T203</f>
        <v>0.28035468099999999</v>
      </c>
      <c r="D203" s="1">
        <f>'Paste cell here'!AC203</f>
        <v>0</v>
      </c>
      <c r="E203" s="1">
        <f>'Paste cell here'!Y203</f>
        <v>5.9071549860000001</v>
      </c>
      <c r="F203" s="1">
        <f>'Paste cell here'!AD203</f>
        <v>0.20258562199999999</v>
      </c>
      <c r="G203" s="1">
        <f>'Paste cell here'!W203</f>
        <v>0</v>
      </c>
      <c r="H203" s="1">
        <f>'Paste cell here'!AE203</f>
        <v>144.3908706</v>
      </c>
      <c r="I203" s="1">
        <f>'Paste cell here'!AF203</f>
        <v>150.2202565</v>
      </c>
      <c r="J203" s="1">
        <f t="shared" si="18"/>
        <v>2.6999970259566908E-8</v>
      </c>
      <c r="K203" s="1" t="str">
        <f>IF('Bilancio primo strato'!D203&gt;0,1,"")</f>
        <v/>
      </c>
      <c r="L203" s="7">
        <f>Sintesi!$C$34</f>
        <v>9.0200000000000002E-2</v>
      </c>
      <c r="M203" s="7">
        <f>Sintesi!$C$33</f>
        <v>0.196996</v>
      </c>
      <c r="N203" s="1">
        <f>'Paste cell here'!AA203</f>
        <v>0.75</v>
      </c>
      <c r="O203" s="1">
        <f>'Paste cell here'!H203</f>
        <v>0.43190673699999999</v>
      </c>
      <c r="P203" s="1">
        <f t="shared" si="19"/>
        <v>80.097000000000008</v>
      </c>
      <c r="Q203" s="1">
        <f t="shared" si="20"/>
        <v>34.594433913489006</v>
      </c>
      <c r="R203" s="1">
        <f t="shared" si="21"/>
        <v>113.152566086511</v>
      </c>
      <c r="S203" s="5">
        <f t="shared" si="22"/>
        <v>0.19252116080000001</v>
      </c>
      <c r="T203" s="5">
        <f t="shared" si="23"/>
        <v>0.15087008811534799</v>
      </c>
    </row>
    <row r="204" spans="1:20">
      <c r="A204" s="1">
        <v>203</v>
      </c>
      <c r="B204" s="2">
        <f>DATE(Sintesi!$C$4-1,12,31)+A204</f>
        <v>44399</v>
      </c>
      <c r="C204" s="1">
        <f>'Paste cell here'!T204</f>
        <v>0.21623052500000001</v>
      </c>
      <c r="D204" s="1">
        <f>'Paste cell here'!AC204</f>
        <v>0</v>
      </c>
      <c r="E204" s="1">
        <f>'Paste cell here'!Y204</f>
        <v>6.0080598360000002</v>
      </c>
      <c r="F204" s="1">
        <f>'Paste cell here'!AD204</f>
        <v>0.120278577</v>
      </c>
      <c r="G204" s="1">
        <f>'Paste cell here'!W204</f>
        <v>0</v>
      </c>
      <c r="H204" s="1">
        <f>'Paste cell here'!AE204</f>
        <v>138.4787627</v>
      </c>
      <c r="I204" s="1">
        <f>'Paste cell here'!AF204</f>
        <v>144.3908706</v>
      </c>
      <c r="J204" s="1">
        <f t="shared" si="18"/>
        <v>1.1999986782029737E-8</v>
      </c>
      <c r="K204" s="1" t="str">
        <f>IF('Bilancio primo strato'!D204&gt;0,1,"")</f>
        <v/>
      </c>
      <c r="L204" s="7">
        <f>Sintesi!$C$34</f>
        <v>9.0200000000000002E-2</v>
      </c>
      <c r="M204" s="7">
        <f>Sintesi!$C$33</f>
        <v>0.196996</v>
      </c>
      <c r="N204" s="1">
        <f>'Paste cell here'!AA204</f>
        <v>0.75</v>
      </c>
      <c r="O204" s="1">
        <f>'Paste cell here'!H204</f>
        <v>0.45374349200000003</v>
      </c>
      <c r="P204" s="1">
        <f t="shared" si="19"/>
        <v>80.097000000000008</v>
      </c>
      <c r="Q204" s="1">
        <f t="shared" si="20"/>
        <v>36.343492478724009</v>
      </c>
      <c r="R204" s="1">
        <f t="shared" si="21"/>
        <v>111.403507521276</v>
      </c>
      <c r="S204" s="5">
        <f t="shared" si="22"/>
        <v>0.18463835026666667</v>
      </c>
      <c r="T204" s="5">
        <f t="shared" si="23"/>
        <v>0.148538010028368</v>
      </c>
    </row>
    <row r="205" spans="1:20">
      <c r="A205" s="1">
        <v>204</v>
      </c>
      <c r="B205" s="2">
        <f>DATE(Sintesi!$C$4-1,12,31)+A205</f>
        <v>44400</v>
      </c>
      <c r="C205" s="1">
        <f>'Paste cell here'!T205</f>
        <v>0.17433636399999999</v>
      </c>
      <c r="D205" s="1">
        <f>'Paste cell here'!AC205</f>
        <v>0</v>
      </c>
      <c r="E205" s="1">
        <f>'Paste cell here'!Y205</f>
        <v>5.5002328580000004</v>
      </c>
      <c r="F205" s="1">
        <f>'Paste cell here'!AD205</f>
        <v>7.0400000000000004E-2</v>
      </c>
      <c r="G205" s="1">
        <f>'Paste cell here'!W205</f>
        <v>0</v>
      </c>
      <c r="H205" s="1">
        <f>'Paste cell here'!AE205</f>
        <v>133.08244429999999</v>
      </c>
      <c r="I205" s="1">
        <f>'Paste cell here'!AF205</f>
        <v>138.4787627</v>
      </c>
      <c r="J205" s="1">
        <f t="shared" si="18"/>
        <v>2.1906000000626591E-5</v>
      </c>
      <c r="K205" s="1" t="str">
        <f>IF('Bilancio primo strato'!D205&gt;0,1,"")</f>
        <v/>
      </c>
      <c r="L205" s="7">
        <f>Sintesi!$C$34</f>
        <v>9.0200000000000002E-2</v>
      </c>
      <c r="M205" s="7">
        <f>Sintesi!$C$33</f>
        <v>0.196996</v>
      </c>
      <c r="N205" s="1">
        <f>'Paste cell here'!AA205</f>
        <v>0.75</v>
      </c>
      <c r="O205" s="1">
        <f>'Paste cell here'!H205</f>
        <v>0.44926735600000001</v>
      </c>
      <c r="P205" s="1">
        <f t="shared" si="19"/>
        <v>80.097000000000008</v>
      </c>
      <c r="Q205" s="1">
        <f t="shared" si="20"/>
        <v>35.984967413532004</v>
      </c>
      <c r="R205" s="1">
        <f t="shared" si="21"/>
        <v>111.76203258646801</v>
      </c>
      <c r="S205" s="5">
        <f t="shared" si="22"/>
        <v>0.17744325906666666</v>
      </c>
      <c r="T205" s="5">
        <f t="shared" si="23"/>
        <v>0.14901604344862401</v>
      </c>
    </row>
    <row r="206" spans="1:20">
      <c r="A206" s="1">
        <v>205</v>
      </c>
      <c r="B206" s="2">
        <f>DATE(Sintesi!$C$4-1,12,31)+A206</f>
        <v>44401</v>
      </c>
      <c r="C206" s="1">
        <f>'Paste cell here'!T206</f>
        <v>0.14638000700000001</v>
      </c>
      <c r="D206" s="1">
        <f>'Paste cell here'!AC206</f>
        <v>0</v>
      </c>
      <c r="E206" s="1">
        <f>'Paste cell here'!Y206</f>
        <v>5.3457732030000003</v>
      </c>
      <c r="F206" s="1">
        <f>'Paste cell here'!AD206</f>
        <v>4.1500000000000002E-2</v>
      </c>
      <c r="G206" s="1">
        <f>'Paste cell here'!W206</f>
        <v>0</v>
      </c>
      <c r="H206" s="1">
        <f>'Paste cell here'!AE206</f>
        <v>127.84158909999999</v>
      </c>
      <c r="I206" s="1">
        <f>'Paste cell here'!AF206</f>
        <v>133.08244429999999</v>
      </c>
      <c r="J206" s="1">
        <f t="shared" si="18"/>
        <v>3.799599998899339E-5</v>
      </c>
      <c r="K206" s="1" t="str">
        <f>IF('Bilancio primo strato'!D206&gt;0,1,"")</f>
        <v/>
      </c>
      <c r="L206" s="7">
        <f>Sintesi!$C$34</f>
        <v>9.0200000000000002E-2</v>
      </c>
      <c r="M206" s="7">
        <f>Sintesi!$C$33</f>
        <v>0.196996</v>
      </c>
      <c r="N206" s="1">
        <f>'Paste cell here'!AA206</f>
        <v>0.75</v>
      </c>
      <c r="O206" s="1">
        <f>'Paste cell here'!H206</f>
        <v>0.47301410500000002</v>
      </c>
      <c r="P206" s="1">
        <f t="shared" si="19"/>
        <v>80.097000000000008</v>
      </c>
      <c r="Q206" s="1">
        <f t="shared" si="20"/>
        <v>37.887010768185007</v>
      </c>
      <c r="R206" s="1">
        <f t="shared" si="21"/>
        <v>109.85998923181501</v>
      </c>
      <c r="S206" s="5">
        <f t="shared" si="22"/>
        <v>0.17045545213333332</v>
      </c>
      <c r="T206" s="5">
        <f t="shared" si="23"/>
        <v>0.14647998564242001</v>
      </c>
    </row>
    <row r="207" spans="1:20">
      <c r="A207" s="1">
        <v>206</v>
      </c>
      <c r="B207" s="2">
        <f>DATE(Sintesi!$C$4-1,12,31)+A207</f>
        <v>44402</v>
      </c>
      <c r="C207" s="1">
        <f>'Paste cell here'!T207</f>
        <v>0.124017842</v>
      </c>
      <c r="D207" s="1">
        <f>'Paste cell here'!AC207</f>
        <v>0</v>
      </c>
      <c r="E207" s="1">
        <f>'Paste cell here'!Y207</f>
        <v>4.9571197480000002</v>
      </c>
      <c r="F207" s="1">
        <f>'Paste cell here'!AD207</f>
        <v>2.4299999999999999E-2</v>
      </c>
      <c r="G207" s="1">
        <f>'Paste cell here'!W207</f>
        <v>0</v>
      </c>
      <c r="H207" s="1">
        <f>'Paste cell here'!AE207</f>
        <v>122.98423680000001</v>
      </c>
      <c r="I207" s="1">
        <f>'Paste cell here'!AF207</f>
        <v>127.84158909999999</v>
      </c>
      <c r="J207" s="1">
        <f t="shared" si="18"/>
        <v>4.9606000004587258E-5</v>
      </c>
      <c r="K207" s="1" t="str">
        <f>IF('Bilancio primo strato'!D207&gt;0,1,"")</f>
        <v/>
      </c>
      <c r="L207" s="7">
        <f>Sintesi!$C$34</f>
        <v>9.0200000000000002E-2</v>
      </c>
      <c r="M207" s="7">
        <f>Sintesi!$C$33</f>
        <v>0.196996</v>
      </c>
      <c r="N207" s="1">
        <f>'Paste cell here'!AA207</f>
        <v>0.75</v>
      </c>
      <c r="O207" s="1">
        <f>'Paste cell here'!H207</f>
        <v>0.47928367700000002</v>
      </c>
      <c r="P207" s="1">
        <f t="shared" si="19"/>
        <v>80.097000000000008</v>
      </c>
      <c r="Q207" s="1">
        <f t="shared" si="20"/>
        <v>38.389184676669004</v>
      </c>
      <c r="R207" s="1">
        <f t="shared" si="21"/>
        <v>109.35781532333101</v>
      </c>
      <c r="S207" s="5">
        <f t="shared" si="22"/>
        <v>0.1639789824</v>
      </c>
      <c r="T207" s="5">
        <f t="shared" si="23"/>
        <v>0.14581042043110801</v>
      </c>
    </row>
    <row r="208" spans="1:20">
      <c r="A208" s="1">
        <v>207</v>
      </c>
      <c r="B208" s="2">
        <f>DATE(Sintesi!$C$4-1,12,31)+A208</f>
        <v>44403</v>
      </c>
      <c r="C208" s="1">
        <f>'Paste cell here'!T208</f>
        <v>31.649921419999998</v>
      </c>
      <c r="D208" s="1">
        <f>'Paste cell here'!AC208</f>
        <v>0</v>
      </c>
      <c r="E208" s="1">
        <f>'Paste cell here'!Y208</f>
        <v>3.995774328</v>
      </c>
      <c r="F208" s="1">
        <f>'Paste cell here'!AD208</f>
        <v>6.4399999999999999E-2</v>
      </c>
      <c r="G208" s="1">
        <f>'Paste cell here'!W208</f>
        <v>0</v>
      </c>
      <c r="H208" s="1">
        <f>'Paste cell here'!AE208</f>
        <v>150.57394500000001</v>
      </c>
      <c r="I208" s="1">
        <f>'Paste cell here'!AF208</f>
        <v>122.98423680000001</v>
      </c>
      <c r="J208" s="1">
        <f t="shared" si="18"/>
        <v>3.8891999992074489E-5</v>
      </c>
      <c r="K208" s="1" t="str">
        <f>IF('Bilancio primo strato'!D208&gt;0,1,"")</f>
        <v/>
      </c>
      <c r="L208" s="7">
        <f>Sintesi!$C$34</f>
        <v>9.0200000000000002E-2</v>
      </c>
      <c r="M208" s="7">
        <f>Sintesi!$C$33</f>
        <v>0.196996</v>
      </c>
      <c r="N208" s="1">
        <f>'Paste cell here'!AA208</f>
        <v>0.75</v>
      </c>
      <c r="O208" s="1">
        <f>'Paste cell here'!H208</f>
        <v>0.49430722199999999</v>
      </c>
      <c r="P208" s="1">
        <f t="shared" si="19"/>
        <v>80.097000000000008</v>
      </c>
      <c r="Q208" s="1">
        <f t="shared" si="20"/>
        <v>39.592525560534</v>
      </c>
      <c r="R208" s="1">
        <f t="shared" si="21"/>
        <v>108.15447443946601</v>
      </c>
      <c r="S208" s="5">
        <f t="shared" si="22"/>
        <v>0.20076526</v>
      </c>
      <c r="T208" s="5">
        <f t="shared" si="23"/>
        <v>0.14420596591928803</v>
      </c>
    </row>
    <row r="209" spans="1:20">
      <c r="A209" s="1">
        <v>208</v>
      </c>
      <c r="B209" s="2">
        <f>DATE(Sintesi!$C$4-1,12,31)+A209</f>
        <v>44404</v>
      </c>
      <c r="C209" s="1">
        <f>'Paste cell here'!T209</f>
        <v>8.8890208919999996</v>
      </c>
      <c r="D209" s="1">
        <f>'Paste cell here'!AC209</f>
        <v>0</v>
      </c>
      <c r="E209" s="1">
        <f>'Paste cell here'!Y209</f>
        <v>4.3255331369999999</v>
      </c>
      <c r="F209" s="1">
        <f>'Paste cell here'!AD209</f>
        <v>0.35157248200000002</v>
      </c>
      <c r="G209" s="1">
        <f>'Paste cell here'!W209</f>
        <v>0</v>
      </c>
      <c r="H209" s="1">
        <f>'Paste cell here'!AE209</f>
        <v>154.7858603</v>
      </c>
      <c r="I209" s="1">
        <f>'Paste cell here'!AF209</f>
        <v>150.57394500000001</v>
      </c>
      <c r="J209" s="1">
        <f t="shared" si="18"/>
        <v>2.6999998681276338E-8</v>
      </c>
      <c r="K209" s="1" t="str">
        <f>IF('Bilancio primo strato'!D209&gt;0,1,"")</f>
        <v/>
      </c>
      <c r="L209" s="7">
        <f>Sintesi!$C$34</f>
        <v>9.0200000000000002E-2</v>
      </c>
      <c r="M209" s="7">
        <f>Sintesi!$C$33</f>
        <v>0.196996</v>
      </c>
      <c r="N209" s="1">
        <f>'Paste cell here'!AA209</f>
        <v>0.75</v>
      </c>
      <c r="O209" s="1">
        <f>'Paste cell here'!H209</f>
        <v>0.53679848399999996</v>
      </c>
      <c r="P209" s="1">
        <f t="shared" si="19"/>
        <v>80.097000000000008</v>
      </c>
      <c r="Q209" s="1">
        <f t="shared" si="20"/>
        <v>42.995948172948005</v>
      </c>
      <c r="R209" s="1">
        <f t="shared" si="21"/>
        <v>104.75105182705201</v>
      </c>
      <c r="S209" s="5">
        <f t="shared" si="22"/>
        <v>0.20638114706666666</v>
      </c>
      <c r="T209" s="5">
        <f t="shared" si="23"/>
        <v>0.13966806910273602</v>
      </c>
    </row>
    <row r="210" spans="1:20">
      <c r="A210" s="1">
        <v>209</v>
      </c>
      <c r="B210" s="2">
        <f>DATE(Sintesi!$C$4-1,12,31)+A210</f>
        <v>44405</v>
      </c>
      <c r="C210" s="1">
        <f>'Paste cell here'!T210</f>
        <v>1.832274363</v>
      </c>
      <c r="D210" s="1">
        <f>'Paste cell here'!AC210</f>
        <v>0</v>
      </c>
      <c r="E210" s="1">
        <f>'Paste cell here'!Y210</f>
        <v>4.1823244720000003</v>
      </c>
      <c r="F210" s="1">
        <f>'Paste cell here'!AD210</f>
        <v>0.32420576499999998</v>
      </c>
      <c r="G210" s="1">
        <f>'Paste cell here'!W210</f>
        <v>0</v>
      </c>
      <c r="H210" s="1">
        <f>'Paste cell here'!AE210</f>
        <v>152.1116044</v>
      </c>
      <c r="I210" s="1">
        <f>'Paste cell here'!AF210</f>
        <v>154.7858603</v>
      </c>
      <c r="J210" s="1">
        <f t="shared" si="18"/>
        <v>2.6000009256677004E-8</v>
      </c>
      <c r="K210" s="1" t="str">
        <f>IF('Bilancio primo strato'!D210&gt;0,1,"")</f>
        <v/>
      </c>
      <c r="L210" s="7">
        <f>Sintesi!$C$34</f>
        <v>9.0200000000000002E-2</v>
      </c>
      <c r="M210" s="7">
        <f>Sintesi!$C$33</f>
        <v>0.196996</v>
      </c>
      <c r="N210" s="1">
        <f>'Paste cell here'!AA210</f>
        <v>0.75</v>
      </c>
      <c r="O210" s="1">
        <f>'Paste cell here'!H210</f>
        <v>0.52314351199999998</v>
      </c>
      <c r="P210" s="1">
        <f t="shared" si="19"/>
        <v>80.097000000000008</v>
      </c>
      <c r="Q210" s="1">
        <f t="shared" si="20"/>
        <v>41.902225880664005</v>
      </c>
      <c r="R210" s="1">
        <f t="shared" si="21"/>
        <v>105.84477411933601</v>
      </c>
      <c r="S210" s="5">
        <f t="shared" si="22"/>
        <v>0.20281547253333335</v>
      </c>
      <c r="T210" s="5">
        <f t="shared" si="23"/>
        <v>0.141126365492448</v>
      </c>
    </row>
    <row r="211" spans="1:20">
      <c r="A211" s="1">
        <v>210</v>
      </c>
      <c r="B211" s="2">
        <f>DATE(Sintesi!$C$4-1,12,31)+A211</f>
        <v>44406</v>
      </c>
      <c r="C211" s="1">
        <f>'Paste cell here'!T211</f>
        <v>0.98167921899999999</v>
      </c>
      <c r="D211" s="1">
        <f>'Paste cell here'!AC211</f>
        <v>0</v>
      </c>
      <c r="E211" s="1">
        <f>'Paste cell here'!Y211</f>
        <v>5.7060371910000001</v>
      </c>
      <c r="F211" s="1">
        <f>'Paste cell here'!AD211</f>
        <v>0.23869363699999999</v>
      </c>
      <c r="G211" s="1">
        <f>'Paste cell here'!W211</f>
        <v>0</v>
      </c>
      <c r="H211" s="1">
        <f>'Paste cell here'!AE211</f>
        <v>147.1485528</v>
      </c>
      <c r="I211" s="1">
        <f>'Paste cell here'!AF211</f>
        <v>152.1116044</v>
      </c>
      <c r="J211" s="1">
        <f t="shared" si="18"/>
        <v>9.000018508231733E-9</v>
      </c>
      <c r="K211" s="1" t="str">
        <f>IF('Bilancio primo strato'!D211&gt;0,1,"")</f>
        <v/>
      </c>
      <c r="L211" s="7">
        <f>Sintesi!$C$34</f>
        <v>9.0200000000000002E-2</v>
      </c>
      <c r="M211" s="7">
        <f>Sintesi!$C$33</f>
        <v>0.196996</v>
      </c>
      <c r="N211" s="1">
        <f>'Paste cell here'!AA211</f>
        <v>0.75</v>
      </c>
      <c r="O211" s="1">
        <f>'Paste cell here'!H211</f>
        <v>0.52967285900000005</v>
      </c>
      <c r="P211" s="1">
        <f t="shared" si="19"/>
        <v>80.097000000000008</v>
      </c>
      <c r="Q211" s="1">
        <f t="shared" si="20"/>
        <v>42.425206987323008</v>
      </c>
      <c r="R211" s="1">
        <f t="shared" si="21"/>
        <v>105.32179301267701</v>
      </c>
      <c r="S211" s="5">
        <f t="shared" si="22"/>
        <v>0.19619807040000001</v>
      </c>
      <c r="T211" s="5">
        <f t="shared" si="23"/>
        <v>0.140429057350236</v>
      </c>
    </row>
    <row r="212" spans="1:20">
      <c r="A212" s="1">
        <v>211</v>
      </c>
      <c r="B212" s="2">
        <f>DATE(Sintesi!$C$4-1,12,31)+A212</f>
        <v>44407</v>
      </c>
      <c r="C212" s="1">
        <f>'Paste cell here'!T212</f>
        <v>0.63750952299999997</v>
      </c>
      <c r="D212" s="1">
        <f>'Paste cell here'!AC212</f>
        <v>0</v>
      </c>
      <c r="E212" s="1">
        <f>'Paste cell here'!Y212</f>
        <v>4.926541812</v>
      </c>
      <c r="F212" s="1">
        <f>'Paste cell here'!AD212</f>
        <v>0.159836172</v>
      </c>
      <c r="G212" s="1">
        <f>'Paste cell here'!W212</f>
        <v>0</v>
      </c>
      <c r="H212" s="1">
        <f>'Paste cell here'!AE212</f>
        <v>142.6996844</v>
      </c>
      <c r="I212" s="1">
        <f>'Paste cell here'!AF212</f>
        <v>147.1485528</v>
      </c>
      <c r="J212" s="1">
        <f t="shared" si="18"/>
        <v>6.100000859987631E-8</v>
      </c>
      <c r="K212" s="1" t="str">
        <f>IF('Bilancio primo strato'!D212&gt;0,1,"")</f>
        <v/>
      </c>
      <c r="L212" s="7">
        <f>Sintesi!$C$34</f>
        <v>9.0200000000000002E-2</v>
      </c>
      <c r="M212" s="7">
        <f>Sintesi!$C$33</f>
        <v>0.196996</v>
      </c>
      <c r="N212" s="1">
        <f>'Paste cell here'!AA212</f>
        <v>0.75</v>
      </c>
      <c r="O212" s="1">
        <f>'Paste cell here'!H212</f>
        <v>0.460949516</v>
      </c>
      <c r="P212" s="1">
        <f t="shared" si="19"/>
        <v>80.097000000000008</v>
      </c>
      <c r="Q212" s="1">
        <f t="shared" si="20"/>
        <v>36.920673383052005</v>
      </c>
      <c r="R212" s="1">
        <f t="shared" si="21"/>
        <v>110.82632661694801</v>
      </c>
      <c r="S212" s="5">
        <f t="shared" si="22"/>
        <v>0.19026624586666666</v>
      </c>
      <c r="T212" s="5">
        <f t="shared" si="23"/>
        <v>0.14776843548926402</v>
      </c>
    </row>
    <row r="213" spans="1:20">
      <c r="A213" s="1">
        <v>212</v>
      </c>
      <c r="B213" s="2">
        <f>DATE(Sintesi!$C$4-1,12,31)+A213</f>
        <v>44408</v>
      </c>
      <c r="C213" s="1">
        <f>'Paste cell here'!T213</f>
        <v>0.46210205900000001</v>
      </c>
      <c r="D213" s="1">
        <f>'Paste cell here'!AC213</f>
        <v>0</v>
      </c>
      <c r="E213" s="1">
        <f>'Paste cell here'!Y213</f>
        <v>4.9695316119999999</v>
      </c>
      <c r="F213" s="1">
        <f>'Paste cell here'!AD213</f>
        <v>0.106949528</v>
      </c>
      <c r="G213" s="1">
        <f>'Paste cell here'!W213</f>
        <v>0</v>
      </c>
      <c r="H213" s="1">
        <f>'Paste cell here'!AE213</f>
        <v>138.08530529999999</v>
      </c>
      <c r="I213" s="1">
        <f>'Paste cell here'!AF213</f>
        <v>142.6996844</v>
      </c>
      <c r="J213" s="1">
        <f t="shared" si="18"/>
        <v>1.899999801935337E-8</v>
      </c>
      <c r="K213" s="1" t="str">
        <f>IF('Bilancio primo strato'!D213&gt;0,1,"")</f>
        <v/>
      </c>
      <c r="L213" s="7">
        <f>Sintesi!$C$34</f>
        <v>9.0200000000000002E-2</v>
      </c>
      <c r="M213" s="7">
        <f>Sintesi!$C$33</f>
        <v>0.196996</v>
      </c>
      <c r="N213" s="1">
        <f>'Paste cell here'!AA213</f>
        <v>0.75</v>
      </c>
      <c r="O213" s="1">
        <f>'Paste cell here'!H213</f>
        <v>0.497305212</v>
      </c>
      <c r="P213" s="1">
        <f t="shared" si="19"/>
        <v>80.097000000000008</v>
      </c>
      <c r="Q213" s="1">
        <f t="shared" si="20"/>
        <v>39.832655565564004</v>
      </c>
      <c r="R213" s="1">
        <f t="shared" si="21"/>
        <v>107.914344434436</v>
      </c>
      <c r="S213" s="5">
        <f t="shared" si="22"/>
        <v>0.18411374039999998</v>
      </c>
      <c r="T213" s="5">
        <f t="shared" si="23"/>
        <v>0.143885792579248</v>
      </c>
    </row>
    <row r="214" spans="1:20">
      <c r="A214" s="1">
        <v>213</v>
      </c>
      <c r="B214" s="2">
        <f>DATE(Sintesi!$C$4-1,12,31)+A214</f>
        <v>44409</v>
      </c>
      <c r="C214" s="1">
        <f>'Paste cell here'!T214</f>
        <v>0.42384114299999998</v>
      </c>
      <c r="D214" s="1">
        <f>'Paste cell here'!AC214</f>
        <v>0</v>
      </c>
      <c r="E214" s="1">
        <f>'Paste cell here'!Y214</f>
        <v>3.9240481859999998</v>
      </c>
      <c r="F214" s="1">
        <f>'Paste cell here'!AD214</f>
        <v>7.2400000000000006E-2</v>
      </c>
      <c r="G214" s="1">
        <f>'Paste cell here'!W214</f>
        <v>0</v>
      </c>
      <c r="H214" s="1">
        <f>'Paste cell here'!AE214</f>
        <v>134.5126544</v>
      </c>
      <c r="I214" s="1">
        <f>'Paste cell here'!AF214</f>
        <v>138.08530529999999</v>
      </c>
      <c r="J214" s="1">
        <f t="shared" si="18"/>
        <v>4.3857000008529212E-5</v>
      </c>
      <c r="K214" s="1" t="str">
        <f>IF('Bilancio primo strato'!D214&gt;0,1,"")</f>
        <v/>
      </c>
      <c r="L214" s="7">
        <f>Sintesi!$C$34</f>
        <v>9.0200000000000002E-2</v>
      </c>
      <c r="M214" s="7">
        <f>Sintesi!$C$33</f>
        <v>0.196996</v>
      </c>
      <c r="N214" s="1">
        <f>'Paste cell here'!AA214</f>
        <v>0.75</v>
      </c>
      <c r="O214" s="1">
        <f>'Paste cell here'!H214</f>
        <v>0.49287287000000002</v>
      </c>
      <c r="P214" s="1">
        <f t="shared" si="19"/>
        <v>80.097000000000008</v>
      </c>
      <c r="Q214" s="1">
        <f t="shared" si="20"/>
        <v>39.477638268390002</v>
      </c>
      <c r="R214" s="1">
        <f t="shared" si="21"/>
        <v>108.26936173161002</v>
      </c>
      <c r="S214" s="5">
        <f t="shared" si="22"/>
        <v>0.17935020586666667</v>
      </c>
      <c r="T214" s="5">
        <f t="shared" si="23"/>
        <v>0.14435914897548002</v>
      </c>
    </row>
    <row r="215" spans="1:20">
      <c r="A215" s="1">
        <v>214</v>
      </c>
      <c r="B215" s="2">
        <f>DATE(Sintesi!$C$4-1,12,31)+A215</f>
        <v>44410</v>
      </c>
      <c r="C215" s="1">
        <f>'Paste cell here'!T215</f>
        <v>0.39642161199999998</v>
      </c>
      <c r="D215" s="1">
        <f>'Paste cell here'!AC215</f>
        <v>0</v>
      </c>
      <c r="E215" s="1">
        <f>'Paste cell here'!Y215</f>
        <v>4.8172697810000003</v>
      </c>
      <c r="F215" s="1">
        <f>'Paste cell here'!AD215</f>
        <v>4.9299999999999997E-2</v>
      </c>
      <c r="G215" s="1">
        <f>'Paste cell here'!W215</f>
        <v>0</v>
      </c>
      <c r="H215" s="1">
        <f>'Paste cell here'!AE215</f>
        <v>130.04247090000001</v>
      </c>
      <c r="I215" s="1">
        <f>'Paste cell here'!AF215</f>
        <v>134.5126544</v>
      </c>
      <c r="J215" s="1">
        <f t="shared" si="18"/>
        <v>3.5331000020732972E-5</v>
      </c>
      <c r="K215" s="1" t="str">
        <f>IF('Bilancio primo strato'!D215&gt;0,1,"")</f>
        <v/>
      </c>
      <c r="L215" s="7">
        <f>Sintesi!$C$34</f>
        <v>9.0200000000000002E-2</v>
      </c>
      <c r="M215" s="7">
        <f>Sintesi!$C$33</f>
        <v>0.196996</v>
      </c>
      <c r="N215" s="1">
        <f>'Paste cell here'!AA215</f>
        <v>0.75</v>
      </c>
      <c r="O215" s="1">
        <f>'Paste cell here'!H215</f>
        <v>0.53935402499999996</v>
      </c>
      <c r="P215" s="1">
        <f t="shared" si="19"/>
        <v>80.097000000000008</v>
      </c>
      <c r="Q215" s="1">
        <f t="shared" si="20"/>
        <v>43.200639340424999</v>
      </c>
      <c r="R215" s="1">
        <f t="shared" si="21"/>
        <v>104.54636065957502</v>
      </c>
      <c r="S215" s="5">
        <f t="shared" si="22"/>
        <v>0.17338996120000003</v>
      </c>
      <c r="T215" s="5">
        <f t="shared" si="23"/>
        <v>0.13939514754610002</v>
      </c>
    </row>
    <row r="216" spans="1:20">
      <c r="A216" s="1">
        <v>215</v>
      </c>
      <c r="B216" s="2">
        <f>DATE(Sintesi!$C$4-1,12,31)+A216</f>
        <v>44411</v>
      </c>
      <c r="C216" s="1">
        <f>'Paste cell here'!T216</f>
        <v>0.30163519</v>
      </c>
      <c r="D216" s="1">
        <f>'Paste cell here'!AC216</f>
        <v>0</v>
      </c>
      <c r="E216" s="1">
        <f>'Paste cell here'!Y216</f>
        <v>4.3388084720000002</v>
      </c>
      <c r="F216" s="1">
        <f>'Paste cell here'!AD216</f>
        <v>3.1699999999999999E-2</v>
      </c>
      <c r="G216" s="1">
        <f>'Paste cell here'!W216</f>
        <v>0</v>
      </c>
      <c r="H216" s="1">
        <f>'Paste cell here'!AE216</f>
        <v>125.9735512</v>
      </c>
      <c r="I216" s="1">
        <f>'Paste cell here'!AF216</f>
        <v>130.04247090000001</v>
      </c>
      <c r="J216" s="1">
        <f t="shared" si="18"/>
        <v>4.641800002502805E-5</v>
      </c>
      <c r="K216" s="1" t="str">
        <f>IF('Bilancio primo strato'!D216&gt;0,1,"")</f>
        <v/>
      </c>
      <c r="L216" s="7">
        <f>Sintesi!$C$34</f>
        <v>9.0200000000000002E-2</v>
      </c>
      <c r="M216" s="7">
        <f>Sintesi!$C$33</f>
        <v>0.196996</v>
      </c>
      <c r="N216" s="1">
        <f>'Paste cell here'!AA216</f>
        <v>0.75</v>
      </c>
      <c r="O216" s="1">
        <f>'Paste cell here'!H216</f>
        <v>0.49974689300000003</v>
      </c>
      <c r="P216" s="1">
        <f t="shared" si="19"/>
        <v>80.097000000000008</v>
      </c>
      <c r="Q216" s="1">
        <f t="shared" si="20"/>
        <v>40.028226888621006</v>
      </c>
      <c r="R216" s="1">
        <f t="shared" si="21"/>
        <v>107.71877311137901</v>
      </c>
      <c r="S216" s="5">
        <f t="shared" si="22"/>
        <v>0.16796473493333333</v>
      </c>
      <c r="T216" s="5">
        <f t="shared" si="23"/>
        <v>0.143625030815172</v>
      </c>
    </row>
    <row r="217" spans="1:20">
      <c r="A217" s="1">
        <v>216</v>
      </c>
      <c r="B217" s="2">
        <f>DATE(Sintesi!$C$4-1,12,31)+A217</f>
        <v>44412</v>
      </c>
      <c r="C217" s="1">
        <f>'Paste cell here'!T217</f>
        <v>0.58456375800000004</v>
      </c>
      <c r="D217" s="1">
        <f>'Paste cell here'!AC217</f>
        <v>0</v>
      </c>
      <c r="E217" s="1">
        <f>'Paste cell here'!Y217</f>
        <v>2.2292075140000001</v>
      </c>
      <c r="F217" s="1">
        <f>'Paste cell here'!AD217</f>
        <v>2.2800000000000001E-2</v>
      </c>
      <c r="G217" s="1">
        <f>'Paste cell here'!W217</f>
        <v>0</v>
      </c>
      <c r="H217" s="1">
        <f>'Paste cell here'!AE217</f>
        <v>124.30610040000001</v>
      </c>
      <c r="I217" s="1">
        <f>'Paste cell here'!AF217</f>
        <v>125.9735512</v>
      </c>
      <c r="J217" s="1">
        <f t="shared" si="18"/>
        <v>7.04400000017813E-6</v>
      </c>
      <c r="K217" s="1" t="str">
        <f>IF('Bilancio primo strato'!D217&gt;0,1,"")</f>
        <v/>
      </c>
      <c r="L217" s="7">
        <f>Sintesi!$C$34</f>
        <v>9.0200000000000002E-2</v>
      </c>
      <c r="M217" s="7">
        <f>Sintesi!$C$33</f>
        <v>0.196996</v>
      </c>
      <c r="N217" s="1">
        <f>'Paste cell here'!AA217</f>
        <v>0.75</v>
      </c>
      <c r="O217" s="1">
        <f>'Paste cell here'!H217</f>
        <v>0.51534457199999995</v>
      </c>
      <c r="P217" s="1">
        <f t="shared" si="19"/>
        <v>80.097000000000008</v>
      </c>
      <c r="Q217" s="1">
        <f t="shared" si="20"/>
        <v>41.277554183484</v>
      </c>
      <c r="R217" s="1">
        <f t="shared" si="21"/>
        <v>106.46944581651601</v>
      </c>
      <c r="S217" s="5">
        <f t="shared" si="22"/>
        <v>0.16574146720000002</v>
      </c>
      <c r="T217" s="5">
        <f t="shared" si="23"/>
        <v>0.14195926108868803</v>
      </c>
    </row>
    <row r="218" spans="1:20">
      <c r="A218" s="1">
        <v>217</v>
      </c>
      <c r="B218" s="2">
        <f>DATE(Sintesi!$C$4-1,12,31)+A218</f>
        <v>44413</v>
      </c>
      <c r="C218" s="1">
        <f>'Paste cell here'!T218</f>
        <v>0.708531358</v>
      </c>
      <c r="D218" s="1">
        <f>'Paste cell here'!AC218</f>
        <v>0</v>
      </c>
      <c r="E218" s="1">
        <f>'Paste cell here'!Y218</f>
        <v>5.2077278649999998</v>
      </c>
      <c r="F218" s="1">
        <f>'Paste cell here'!AD218</f>
        <v>1.67E-2</v>
      </c>
      <c r="G218" s="1">
        <f>'Paste cell here'!W218</f>
        <v>0</v>
      </c>
      <c r="H218" s="1">
        <f>'Paste cell here'!AE218</f>
        <v>119.7901616</v>
      </c>
      <c r="I218" s="1">
        <f>'Paste cell here'!AF218</f>
        <v>124.30610040000001</v>
      </c>
      <c r="J218" s="1">
        <f t="shared" si="18"/>
        <v>4.2293000007020964E-5</v>
      </c>
      <c r="K218" s="1" t="str">
        <f>IF('Bilancio primo strato'!D218&gt;0,1,"")</f>
        <v/>
      </c>
      <c r="L218" s="7">
        <f>Sintesi!$C$34</f>
        <v>9.0200000000000002E-2</v>
      </c>
      <c r="M218" s="7">
        <f>Sintesi!$C$33</f>
        <v>0.196996</v>
      </c>
      <c r="N218" s="1">
        <f>'Paste cell here'!AA218</f>
        <v>0.75</v>
      </c>
      <c r="O218" s="1">
        <f>'Paste cell here'!H218</f>
        <v>0.60665560799999996</v>
      </c>
      <c r="P218" s="1">
        <f t="shared" si="19"/>
        <v>80.097000000000008</v>
      </c>
      <c r="Q218" s="1">
        <f t="shared" si="20"/>
        <v>48.591294233976001</v>
      </c>
      <c r="R218" s="1">
        <f t="shared" si="21"/>
        <v>99.155705766024013</v>
      </c>
      <c r="S218" s="5">
        <f t="shared" si="22"/>
        <v>0.15972021546666668</v>
      </c>
      <c r="T218" s="5">
        <f t="shared" si="23"/>
        <v>0.13220760768803203</v>
      </c>
    </row>
    <row r="219" spans="1:20">
      <c r="A219" s="1">
        <v>218</v>
      </c>
      <c r="B219" s="2">
        <f>DATE(Sintesi!$C$4-1,12,31)+A219</f>
        <v>44414</v>
      </c>
      <c r="C219" s="1">
        <f>'Paste cell here'!T219</f>
        <v>193.46627430000001</v>
      </c>
      <c r="D219" s="1">
        <f>'Paste cell here'!AC219</f>
        <v>0</v>
      </c>
      <c r="E219" s="1">
        <f>'Paste cell here'!Y219</f>
        <v>4.497225963</v>
      </c>
      <c r="F219" s="1">
        <f>'Paste cell here'!AD219</f>
        <v>95.680020159999998</v>
      </c>
      <c r="G219" s="1">
        <f>'Paste cell here'!W219</f>
        <v>0</v>
      </c>
      <c r="H219" s="1">
        <f>'Paste cell here'!AE219</f>
        <v>213.07918979999999</v>
      </c>
      <c r="I219" s="1">
        <f>'Paste cell here'!AF219</f>
        <v>119.7901616</v>
      </c>
      <c r="J219" s="1">
        <f t="shared" si="18"/>
        <v>2.2999955717750709E-8</v>
      </c>
      <c r="K219" s="1">
        <f>IF('Bilancio primo strato'!D219&gt;0,1,"")</f>
        <v>1</v>
      </c>
      <c r="L219" s="7">
        <f>Sintesi!$C$34</f>
        <v>9.0200000000000002E-2</v>
      </c>
      <c r="M219" s="7">
        <f>Sintesi!$C$33</f>
        <v>0.196996</v>
      </c>
      <c r="N219" s="1">
        <f>'Paste cell here'!AA219</f>
        <v>0.75</v>
      </c>
      <c r="O219" s="1">
        <f>'Paste cell here'!H219</f>
        <v>0.44777028299999999</v>
      </c>
      <c r="P219" s="1">
        <f t="shared" si="19"/>
        <v>80.097000000000008</v>
      </c>
      <c r="Q219" s="1">
        <f t="shared" si="20"/>
        <v>35.865056357451003</v>
      </c>
      <c r="R219" s="1">
        <f t="shared" si="21"/>
        <v>111.881943642549</v>
      </c>
      <c r="S219" s="5">
        <f t="shared" si="22"/>
        <v>0.2841055864</v>
      </c>
      <c r="T219" s="5">
        <f t="shared" si="23"/>
        <v>0.14917592485673201</v>
      </c>
    </row>
    <row r="220" spans="1:20">
      <c r="A220" s="1">
        <v>219</v>
      </c>
      <c r="B220" s="2">
        <f>DATE(Sintesi!$C$4-1,12,31)+A220</f>
        <v>44415</v>
      </c>
      <c r="C220" s="1">
        <f>'Paste cell here'!T220</f>
        <v>3.5371748790000002</v>
      </c>
      <c r="D220" s="1">
        <f>'Paste cell here'!AC220</f>
        <v>0</v>
      </c>
      <c r="E220" s="1">
        <f>'Paste cell here'!Y220</f>
        <v>3.1786573460000001</v>
      </c>
      <c r="F220" s="1">
        <f>'Paste cell here'!AD220</f>
        <v>27.777503070000002</v>
      </c>
      <c r="G220" s="1">
        <f>'Paste cell here'!W220</f>
        <v>0</v>
      </c>
      <c r="H220" s="1">
        <f>'Paste cell here'!AE220</f>
        <v>185.6602043</v>
      </c>
      <c r="I220" s="1">
        <f>'Paste cell here'!AF220</f>
        <v>213.07918979999999</v>
      </c>
      <c r="J220" s="1">
        <f t="shared" si="18"/>
        <v>3.7000006614107406E-8</v>
      </c>
      <c r="K220" s="1" t="str">
        <f>IF('Bilancio primo strato'!D220&gt;0,1,"")</f>
        <v/>
      </c>
      <c r="L220" s="7">
        <f>Sintesi!$C$34</f>
        <v>9.0200000000000002E-2</v>
      </c>
      <c r="M220" s="7">
        <f>Sintesi!$C$33</f>
        <v>0.196996</v>
      </c>
      <c r="N220" s="1">
        <f>'Paste cell here'!AA220</f>
        <v>0.75</v>
      </c>
      <c r="O220" s="1">
        <f>'Paste cell here'!H220</f>
        <v>0.48199793299999999</v>
      </c>
      <c r="P220" s="1">
        <f t="shared" si="19"/>
        <v>80.097000000000008</v>
      </c>
      <c r="Q220" s="1">
        <f t="shared" si="20"/>
        <v>38.606588439501003</v>
      </c>
      <c r="R220" s="1">
        <f t="shared" si="21"/>
        <v>109.14041156049902</v>
      </c>
      <c r="S220" s="5">
        <f t="shared" si="22"/>
        <v>0.24754693906666667</v>
      </c>
      <c r="T220" s="5">
        <f t="shared" si="23"/>
        <v>0.14552054874733203</v>
      </c>
    </row>
    <row r="221" spans="1:20">
      <c r="A221" s="1">
        <v>220</v>
      </c>
      <c r="B221" s="2">
        <f>DATE(Sintesi!$C$4-1,12,31)+A221</f>
        <v>44416</v>
      </c>
      <c r="C221" s="1">
        <f>'Paste cell here'!T221</f>
        <v>0.60191498499999996</v>
      </c>
      <c r="D221" s="1">
        <f>'Paste cell here'!AC221</f>
        <v>0</v>
      </c>
      <c r="E221" s="1">
        <f>'Paste cell here'!Y221</f>
        <v>3.5746012970000001</v>
      </c>
      <c r="F221" s="1">
        <f>'Paste cell here'!AD221</f>
        <v>6.2520909519999996</v>
      </c>
      <c r="G221" s="1">
        <f>'Paste cell here'!W221</f>
        <v>0</v>
      </c>
      <c r="H221" s="1">
        <f>'Paste cell here'!AE221</f>
        <v>176.435427</v>
      </c>
      <c r="I221" s="1">
        <f>'Paste cell here'!AF221</f>
        <v>185.6602043</v>
      </c>
      <c r="J221" s="1">
        <f t="shared" si="18"/>
        <v>3.6000017189508071E-8</v>
      </c>
      <c r="K221" s="1" t="str">
        <f>IF('Bilancio primo strato'!D221&gt;0,1,"")</f>
        <v/>
      </c>
      <c r="L221" s="7">
        <f>Sintesi!$C$34</f>
        <v>9.0200000000000002E-2</v>
      </c>
      <c r="M221" s="7">
        <f>Sintesi!$C$33</f>
        <v>0.196996</v>
      </c>
      <c r="N221" s="1">
        <f>'Paste cell here'!AA221</f>
        <v>0.75</v>
      </c>
      <c r="O221" s="1">
        <f>'Paste cell here'!H221</f>
        <v>0.54314061599999996</v>
      </c>
      <c r="P221" s="1">
        <f t="shared" si="19"/>
        <v>80.097000000000008</v>
      </c>
      <c r="Q221" s="1">
        <f t="shared" si="20"/>
        <v>43.503933919752001</v>
      </c>
      <c r="R221" s="1">
        <f t="shared" si="21"/>
        <v>104.24306608024801</v>
      </c>
      <c r="S221" s="5">
        <f t="shared" si="22"/>
        <v>0.235247236</v>
      </c>
      <c r="T221" s="5">
        <f t="shared" si="23"/>
        <v>0.13899075477366402</v>
      </c>
    </row>
    <row r="222" spans="1:20">
      <c r="A222" s="1">
        <v>221</v>
      </c>
      <c r="B222" s="2">
        <f>DATE(Sintesi!$C$4-1,12,31)+A222</f>
        <v>44417</v>
      </c>
      <c r="C222" s="1">
        <f>'Paste cell here'!T222</f>
        <v>0.16342395600000001</v>
      </c>
      <c r="D222" s="1">
        <f>'Paste cell here'!AC222</f>
        <v>0</v>
      </c>
      <c r="E222" s="1">
        <f>'Paste cell here'!Y222</f>
        <v>3.8166372179999999</v>
      </c>
      <c r="F222" s="1">
        <f>'Paste cell here'!AD222</f>
        <v>2.5995860569999998</v>
      </c>
      <c r="G222" s="1">
        <f>'Paste cell here'!W222</f>
        <v>0</v>
      </c>
      <c r="H222" s="1">
        <f>'Paste cell here'!AE222</f>
        <v>170.18262770000001</v>
      </c>
      <c r="I222" s="1">
        <f>'Paste cell here'!AF222</f>
        <v>176.435427</v>
      </c>
      <c r="J222" s="1">
        <f t="shared" si="18"/>
        <v>1.9000026441062801E-8</v>
      </c>
      <c r="K222" s="1" t="str">
        <f>IF('Bilancio primo strato'!D222&gt;0,1,"")</f>
        <v/>
      </c>
      <c r="L222" s="7">
        <f>Sintesi!$C$34</f>
        <v>9.0200000000000002E-2</v>
      </c>
      <c r="M222" s="7">
        <f>Sintesi!$C$33</f>
        <v>0.196996</v>
      </c>
      <c r="N222" s="1">
        <f>'Paste cell here'!AA222</f>
        <v>0.75</v>
      </c>
      <c r="O222" s="1">
        <f>'Paste cell here'!H222</f>
        <v>0.50714193100000005</v>
      </c>
      <c r="P222" s="1">
        <f t="shared" si="19"/>
        <v>80.097000000000008</v>
      </c>
      <c r="Q222" s="1">
        <f t="shared" si="20"/>
        <v>40.620547247307009</v>
      </c>
      <c r="R222" s="1">
        <f t="shared" si="21"/>
        <v>107.12645275269301</v>
      </c>
      <c r="S222" s="5">
        <f t="shared" si="22"/>
        <v>0.22691017026666668</v>
      </c>
      <c r="T222" s="5">
        <f t="shared" si="23"/>
        <v>0.142835270336924</v>
      </c>
    </row>
    <row r="223" spans="1:20">
      <c r="A223" s="1">
        <v>222</v>
      </c>
      <c r="B223" s="2">
        <f>DATE(Sintesi!$C$4-1,12,31)+A223</f>
        <v>44418</v>
      </c>
      <c r="C223" s="1">
        <f>'Paste cell here'!T223</f>
        <v>4.3400000000000001E-2</v>
      </c>
      <c r="D223" s="1">
        <f>'Paste cell here'!AC223</f>
        <v>0</v>
      </c>
      <c r="E223" s="1">
        <f>'Paste cell here'!Y223</f>
        <v>3.428478165</v>
      </c>
      <c r="F223" s="1">
        <f>'Paste cell here'!AD223</f>
        <v>1.3666259080000001</v>
      </c>
      <c r="G223" s="1">
        <f>'Paste cell here'!W223</f>
        <v>0</v>
      </c>
      <c r="H223" s="1">
        <f>'Paste cell here'!AE223</f>
        <v>165.43091430000001</v>
      </c>
      <c r="I223" s="1">
        <f>'Paste cell here'!AF223</f>
        <v>170.18262770000001</v>
      </c>
      <c r="J223" s="1">
        <f t="shared" si="18"/>
        <v>9.3269999865697173E-6</v>
      </c>
      <c r="K223" s="1" t="str">
        <f>IF('Bilancio primo strato'!D223&gt;0,1,"")</f>
        <v/>
      </c>
      <c r="L223" s="7">
        <f>Sintesi!$C$34</f>
        <v>9.0200000000000002E-2</v>
      </c>
      <c r="M223" s="7">
        <f>Sintesi!$C$33</f>
        <v>0.196996</v>
      </c>
      <c r="N223" s="1">
        <f>'Paste cell here'!AA223</f>
        <v>0.75</v>
      </c>
      <c r="O223" s="1">
        <f>'Paste cell here'!H223</f>
        <v>0.47977815200000001</v>
      </c>
      <c r="P223" s="1">
        <f t="shared" si="19"/>
        <v>80.097000000000008</v>
      </c>
      <c r="Q223" s="1">
        <f t="shared" si="20"/>
        <v>38.428790640744005</v>
      </c>
      <c r="R223" s="1">
        <f t="shared" si="21"/>
        <v>109.318209359256</v>
      </c>
      <c r="S223" s="5">
        <f t="shared" si="22"/>
        <v>0.22057455240000001</v>
      </c>
      <c r="T223" s="5">
        <f t="shared" si="23"/>
        <v>0.14575761247900801</v>
      </c>
    </row>
    <row r="224" spans="1:20">
      <c r="A224" s="1">
        <v>223</v>
      </c>
      <c r="B224" s="2">
        <f>DATE(Sintesi!$C$4-1,12,31)+A224</f>
        <v>44419</v>
      </c>
      <c r="C224" s="1">
        <f>'Paste cell here'!T224</f>
        <v>9.75E-3</v>
      </c>
      <c r="D224" s="1">
        <f>'Paste cell here'!AC224</f>
        <v>0</v>
      </c>
      <c r="E224" s="1">
        <f>'Paste cell here'!Y224</f>
        <v>3.4235361800000002</v>
      </c>
      <c r="F224" s="1">
        <f>'Paste cell here'!AD224</f>
        <v>0.83811051599999997</v>
      </c>
      <c r="G224" s="1">
        <f>'Paste cell here'!W224</f>
        <v>0</v>
      </c>
      <c r="H224" s="1">
        <f>'Paste cell here'!AE224</f>
        <v>161.1790173</v>
      </c>
      <c r="I224" s="1">
        <f>'Paste cell here'!AF224</f>
        <v>165.43091430000001</v>
      </c>
      <c r="J224" s="1">
        <f t="shared" si="18"/>
        <v>3.0399999673136335E-7</v>
      </c>
      <c r="K224" s="1" t="str">
        <f>IF('Bilancio primo strato'!D224&gt;0,1,"")</f>
        <v/>
      </c>
      <c r="L224" s="7">
        <f>Sintesi!$C$34</f>
        <v>9.0200000000000002E-2</v>
      </c>
      <c r="M224" s="7">
        <f>Sintesi!$C$33</f>
        <v>0.196996</v>
      </c>
      <c r="N224" s="1">
        <f>'Paste cell here'!AA224</f>
        <v>0.75</v>
      </c>
      <c r="O224" s="1">
        <f>'Paste cell here'!H224</f>
        <v>0.48688042599999998</v>
      </c>
      <c r="P224" s="1">
        <f t="shared" si="19"/>
        <v>80.097000000000008</v>
      </c>
      <c r="Q224" s="1">
        <f t="shared" si="20"/>
        <v>38.997661481322005</v>
      </c>
      <c r="R224" s="1">
        <f t="shared" si="21"/>
        <v>108.749338518678</v>
      </c>
      <c r="S224" s="5">
        <f t="shared" si="22"/>
        <v>0.2149053564</v>
      </c>
      <c r="T224" s="5">
        <f t="shared" si="23"/>
        <v>0.14499911802490401</v>
      </c>
    </row>
    <row r="225" spans="1:20">
      <c r="A225" s="1">
        <v>224</v>
      </c>
      <c r="B225" s="2">
        <f>DATE(Sintesi!$C$4-1,12,31)+A225</f>
        <v>44420</v>
      </c>
      <c r="C225" s="1">
        <f>'Paste cell here'!T225</f>
        <v>1.41E-3</v>
      </c>
      <c r="D225" s="1">
        <f>'Paste cell here'!AC225</f>
        <v>0</v>
      </c>
      <c r="E225" s="1">
        <f>'Paste cell here'!Y225</f>
        <v>3.4027765400000001</v>
      </c>
      <c r="F225" s="1">
        <f>'Paste cell here'!AD225</f>
        <v>0.56098945300000003</v>
      </c>
      <c r="G225" s="1">
        <f>'Paste cell here'!W225</f>
        <v>0</v>
      </c>
      <c r="H225" s="1">
        <f>'Paste cell here'!AE225</f>
        <v>157.2166593</v>
      </c>
      <c r="I225" s="1">
        <f>'Paste cell here'!AF225</f>
        <v>161.1790173</v>
      </c>
      <c r="J225" s="1">
        <f t="shared" si="18"/>
        <v>2.007000006187809E-6</v>
      </c>
      <c r="K225" s="1" t="str">
        <f>IF('Bilancio primo strato'!D225&gt;0,1,"")</f>
        <v/>
      </c>
      <c r="L225" s="7">
        <f>Sintesi!$C$34</f>
        <v>9.0200000000000002E-2</v>
      </c>
      <c r="M225" s="7">
        <f>Sintesi!$C$33</f>
        <v>0.196996</v>
      </c>
      <c r="N225" s="1">
        <f>'Paste cell here'!AA225</f>
        <v>0.75</v>
      </c>
      <c r="O225" s="1">
        <f>'Paste cell here'!H225</f>
        <v>0.47095257899999998</v>
      </c>
      <c r="P225" s="1">
        <f t="shared" si="19"/>
        <v>80.097000000000008</v>
      </c>
      <c r="Q225" s="1">
        <f t="shared" si="20"/>
        <v>37.721888720163001</v>
      </c>
      <c r="R225" s="1">
        <f t="shared" si="21"/>
        <v>110.02511127983701</v>
      </c>
      <c r="S225" s="5">
        <f t="shared" si="22"/>
        <v>0.20962221240000001</v>
      </c>
      <c r="T225" s="5">
        <f t="shared" si="23"/>
        <v>0.14670014837311601</v>
      </c>
    </row>
    <row r="226" spans="1:20">
      <c r="A226" s="1">
        <v>225</v>
      </c>
      <c r="B226" s="2">
        <f>DATE(Sintesi!$C$4-1,12,31)+A226</f>
        <v>44421</v>
      </c>
      <c r="C226" s="1">
        <f>'Paste cell here'!T226</f>
        <v>1.17E-4</v>
      </c>
      <c r="D226" s="1">
        <f>'Paste cell here'!AC226</f>
        <v>0</v>
      </c>
      <c r="E226" s="1">
        <f>'Paste cell here'!Y226</f>
        <v>3.0946625700000001</v>
      </c>
      <c r="F226" s="1">
        <f>'Paste cell here'!AD226</f>
        <v>0.39923397399999999</v>
      </c>
      <c r="G226" s="1">
        <f>'Paste cell here'!W226</f>
        <v>0</v>
      </c>
      <c r="H226" s="1">
        <f>'Paste cell here'!AE226</f>
        <v>153.72287979999999</v>
      </c>
      <c r="I226" s="1">
        <f>'Paste cell here'!AF226</f>
        <v>157.2166593</v>
      </c>
      <c r="J226" s="1">
        <f t="shared" si="18"/>
        <v>4.3999989429721609E-8</v>
      </c>
      <c r="K226" s="1" t="str">
        <f>IF('Bilancio primo strato'!D226&gt;0,1,"")</f>
        <v/>
      </c>
      <c r="L226" s="7">
        <f>Sintesi!$C$34</f>
        <v>9.0200000000000002E-2</v>
      </c>
      <c r="M226" s="7">
        <f>Sintesi!$C$33</f>
        <v>0.196996</v>
      </c>
      <c r="N226" s="1">
        <f>'Paste cell here'!AA226</f>
        <v>0.75</v>
      </c>
      <c r="O226" s="1">
        <f>'Paste cell here'!H226</f>
        <v>0.45153630900000002</v>
      </c>
      <c r="P226" s="1">
        <f t="shared" si="19"/>
        <v>80.097000000000008</v>
      </c>
      <c r="Q226" s="1">
        <f t="shared" si="20"/>
        <v>36.166703741973009</v>
      </c>
      <c r="R226" s="1">
        <f t="shared" si="21"/>
        <v>111.580296258027</v>
      </c>
      <c r="S226" s="5">
        <f t="shared" si="22"/>
        <v>0.20496383973333332</v>
      </c>
      <c r="T226" s="5">
        <f t="shared" si="23"/>
        <v>0.14877372834403602</v>
      </c>
    </row>
    <row r="227" spans="1:20">
      <c r="A227" s="1">
        <v>226</v>
      </c>
      <c r="B227" s="2">
        <f>DATE(Sintesi!$C$4-1,12,31)+A227</f>
        <v>44422</v>
      </c>
      <c r="C227" s="1">
        <f>'Paste cell here'!T227</f>
        <v>8.2700000000000004E-6</v>
      </c>
      <c r="D227" s="1">
        <f>'Paste cell here'!AC227</f>
        <v>0</v>
      </c>
      <c r="E227" s="1">
        <f>'Paste cell here'!Y227</f>
        <v>2.8097949259999999</v>
      </c>
      <c r="F227" s="1">
        <f>'Paste cell here'!AD227</f>
        <v>0.29861177900000002</v>
      </c>
      <c r="G227" s="1">
        <f>'Paste cell here'!W227</f>
        <v>0</v>
      </c>
      <c r="H227" s="1">
        <f>'Paste cell here'!AE227</f>
        <v>150.61448139999999</v>
      </c>
      <c r="I227" s="1">
        <f>'Paste cell here'!AF227</f>
        <v>153.72287979999999</v>
      </c>
      <c r="J227" s="1">
        <f t="shared" si="18"/>
        <v>3.4999999343199306E-8</v>
      </c>
      <c r="K227" s="1" t="str">
        <f>IF('Bilancio primo strato'!D227&gt;0,1,"")</f>
        <v/>
      </c>
      <c r="L227" s="7">
        <f>Sintesi!$C$34</f>
        <v>9.0200000000000002E-2</v>
      </c>
      <c r="M227" s="7">
        <f>Sintesi!$C$33</f>
        <v>0.196996</v>
      </c>
      <c r="N227" s="1">
        <f>'Paste cell here'!AA227</f>
        <v>0.75</v>
      </c>
      <c r="O227" s="1">
        <f>'Paste cell here'!H227</f>
        <v>0.45824873300000002</v>
      </c>
      <c r="P227" s="1">
        <f t="shared" si="19"/>
        <v>80.097000000000008</v>
      </c>
      <c r="Q227" s="1">
        <f t="shared" si="20"/>
        <v>36.704348767101003</v>
      </c>
      <c r="R227" s="1">
        <f t="shared" si="21"/>
        <v>111.042651232899</v>
      </c>
      <c r="S227" s="5">
        <f t="shared" si="22"/>
        <v>0.20081930853333332</v>
      </c>
      <c r="T227" s="5">
        <f t="shared" si="23"/>
        <v>0.148056868310532</v>
      </c>
    </row>
    <row r="228" spans="1:20">
      <c r="A228" s="1">
        <v>227</v>
      </c>
      <c r="B228" s="2">
        <f>DATE(Sintesi!$C$4-1,12,31)+A228</f>
        <v>44423</v>
      </c>
      <c r="C228" s="1">
        <f>'Paste cell here'!T228</f>
        <v>4.2199999999999999E-7</v>
      </c>
      <c r="D228" s="1">
        <f>'Paste cell here'!AC228</f>
        <v>0</v>
      </c>
      <c r="E228" s="1">
        <f>'Paste cell here'!Y228</f>
        <v>2.7123723160000002</v>
      </c>
      <c r="F228" s="1">
        <f>'Paste cell here'!AD228</f>
        <v>0.22975807100000001</v>
      </c>
      <c r="G228" s="1">
        <f>'Paste cell here'!W228</f>
        <v>0</v>
      </c>
      <c r="H228" s="1">
        <f>'Paste cell here'!AE228</f>
        <v>147.6723514</v>
      </c>
      <c r="I228" s="1">
        <f>'Paste cell here'!AF228</f>
        <v>150.61448139999999</v>
      </c>
      <c r="J228" s="1">
        <f t="shared" si="18"/>
        <v>3.4999999343199306E-8</v>
      </c>
      <c r="K228" s="1" t="str">
        <f>IF('Bilancio primo strato'!D228&gt;0,1,"")</f>
        <v/>
      </c>
      <c r="L228" s="7">
        <f>Sintesi!$C$34</f>
        <v>9.0200000000000002E-2</v>
      </c>
      <c r="M228" s="7">
        <f>Sintesi!$C$33</f>
        <v>0.196996</v>
      </c>
      <c r="N228" s="1">
        <f>'Paste cell here'!AA228</f>
        <v>0.75</v>
      </c>
      <c r="O228" s="1">
        <f>'Paste cell here'!H228</f>
        <v>0.45890659499999997</v>
      </c>
      <c r="P228" s="1">
        <f t="shared" si="19"/>
        <v>80.097000000000008</v>
      </c>
      <c r="Q228" s="1">
        <f t="shared" si="20"/>
        <v>36.757041539715004</v>
      </c>
      <c r="R228" s="1">
        <f t="shared" si="21"/>
        <v>110.98995846028501</v>
      </c>
      <c r="S228" s="5">
        <f t="shared" si="22"/>
        <v>0.19689646853333334</v>
      </c>
      <c r="T228" s="5">
        <f t="shared" si="23"/>
        <v>0.14798661128038001</v>
      </c>
    </row>
    <row r="229" spans="1:20">
      <c r="A229" s="1">
        <v>228</v>
      </c>
      <c r="B229" s="2">
        <f>DATE(Sintesi!$C$4-1,12,31)+A229</f>
        <v>44424</v>
      </c>
      <c r="C229" s="1">
        <f>'Paste cell here'!T229</f>
        <v>0.16837371400000001</v>
      </c>
      <c r="D229" s="1">
        <f>'Paste cell here'!AC229</f>
        <v>0</v>
      </c>
      <c r="E229" s="1">
        <f>'Paste cell here'!Y229</f>
        <v>2.3579612659999998</v>
      </c>
      <c r="F229" s="1">
        <f>'Paste cell here'!AD229</f>
        <v>0.18094164600000001</v>
      </c>
      <c r="G229" s="1">
        <f>'Paste cell here'!W229</f>
        <v>0</v>
      </c>
      <c r="H229" s="1">
        <f>'Paste cell here'!AE229</f>
        <v>145.3018222</v>
      </c>
      <c r="I229" s="1">
        <f>'Paste cell here'!AF229</f>
        <v>147.6723514</v>
      </c>
      <c r="J229" s="1">
        <f t="shared" si="18"/>
        <v>2.0000072709080996E-9</v>
      </c>
      <c r="K229" s="1" t="str">
        <f>IF('Bilancio primo strato'!D229&gt;0,1,"")</f>
        <v/>
      </c>
      <c r="L229" s="7">
        <f>Sintesi!$C$34</f>
        <v>9.0200000000000002E-2</v>
      </c>
      <c r="M229" s="7">
        <f>Sintesi!$C$33</f>
        <v>0.196996</v>
      </c>
      <c r="N229" s="1">
        <f>'Paste cell here'!AA229</f>
        <v>0.75</v>
      </c>
      <c r="O229" s="1">
        <f>'Paste cell here'!H229</f>
        <v>0.441851622</v>
      </c>
      <c r="P229" s="1">
        <f t="shared" si="19"/>
        <v>80.097000000000008</v>
      </c>
      <c r="Q229" s="1">
        <f t="shared" si="20"/>
        <v>35.390989367334001</v>
      </c>
      <c r="R229" s="1">
        <f t="shared" si="21"/>
        <v>112.35601063266601</v>
      </c>
      <c r="S229" s="5">
        <f t="shared" si="22"/>
        <v>0.19373576293333333</v>
      </c>
      <c r="T229" s="5">
        <f t="shared" si="23"/>
        <v>0.14980801417688802</v>
      </c>
    </row>
    <row r="230" spans="1:20">
      <c r="A230" s="1">
        <v>229</v>
      </c>
      <c r="B230" s="2">
        <f>DATE(Sintesi!$C$4-1,12,31)+A230</f>
        <v>44425</v>
      </c>
      <c r="C230" s="1">
        <f>'Paste cell here'!T230</f>
        <v>0.76314210699999996</v>
      </c>
      <c r="D230" s="1">
        <f>'Paste cell here'!AC230</f>
        <v>0</v>
      </c>
      <c r="E230" s="1">
        <f>'Paste cell here'!Y230</f>
        <v>2.0647048379999999</v>
      </c>
      <c r="F230" s="1">
        <f>'Paste cell here'!AD230</f>
        <v>0.15540115099999999</v>
      </c>
      <c r="G230" s="1">
        <f>'Paste cell here'!W230</f>
        <v>0</v>
      </c>
      <c r="H230" s="1">
        <f>'Paste cell here'!AE230</f>
        <v>143.84485839999999</v>
      </c>
      <c r="I230" s="1">
        <f>'Paste cell here'!AF230</f>
        <v>145.3018222</v>
      </c>
      <c r="J230" s="1">
        <f t="shared" si="18"/>
        <v>8.200001389013778E-8</v>
      </c>
      <c r="K230" s="1" t="str">
        <f>IF('Bilancio primo strato'!D230&gt;0,1,"")</f>
        <v/>
      </c>
      <c r="L230" s="7">
        <f>Sintesi!$C$34</f>
        <v>9.0200000000000002E-2</v>
      </c>
      <c r="M230" s="7">
        <f>Sintesi!$C$33</f>
        <v>0.196996</v>
      </c>
      <c r="N230" s="1">
        <f>'Paste cell here'!AA230</f>
        <v>0.75</v>
      </c>
      <c r="O230" s="1">
        <f>'Paste cell here'!H230</f>
        <v>0.45401891700000002</v>
      </c>
      <c r="P230" s="1">
        <f t="shared" si="19"/>
        <v>80.097000000000008</v>
      </c>
      <c r="Q230" s="1">
        <f t="shared" si="20"/>
        <v>36.365553194949008</v>
      </c>
      <c r="R230" s="1">
        <f t="shared" si="21"/>
        <v>111.38144680505101</v>
      </c>
      <c r="S230" s="5">
        <f t="shared" si="22"/>
        <v>0.19179314453333332</v>
      </c>
      <c r="T230" s="5">
        <f t="shared" si="23"/>
        <v>0.14850859574006803</v>
      </c>
    </row>
    <row r="231" spans="1:20">
      <c r="A231" s="1">
        <v>230</v>
      </c>
      <c r="B231" s="2">
        <f>DATE(Sintesi!$C$4-1,12,31)+A231</f>
        <v>44426</v>
      </c>
      <c r="C231" s="1">
        <f>'Paste cell here'!T231</f>
        <v>9.1800000000000007E-2</v>
      </c>
      <c r="D231" s="1">
        <f>'Paste cell here'!AC231</f>
        <v>0</v>
      </c>
      <c r="E231" s="1">
        <f>'Paste cell here'!Y231</f>
        <v>1.83306627</v>
      </c>
      <c r="F231" s="1">
        <f>'Paste cell here'!AD231</f>
        <v>0.13248932399999999</v>
      </c>
      <c r="G231" s="1">
        <f>'Paste cell here'!W231</f>
        <v>0</v>
      </c>
      <c r="H231" s="1">
        <f>'Paste cell here'!AE231</f>
        <v>141.97108589999999</v>
      </c>
      <c r="I231" s="1">
        <f>'Paste cell here'!AF231</f>
        <v>143.84485839999999</v>
      </c>
      <c r="J231" s="1">
        <f t="shared" si="18"/>
        <v>1.6906000013250377E-5</v>
      </c>
      <c r="K231" s="1" t="str">
        <f>IF('Bilancio primo strato'!D231&gt;0,1,"")</f>
        <v/>
      </c>
      <c r="L231" s="7">
        <f>Sintesi!$C$34</f>
        <v>9.0200000000000002E-2</v>
      </c>
      <c r="M231" s="7">
        <f>Sintesi!$C$33</f>
        <v>0.196996</v>
      </c>
      <c r="N231" s="1">
        <f>'Paste cell here'!AA231</f>
        <v>0.75</v>
      </c>
      <c r="O231" s="1">
        <f>'Paste cell here'!H231</f>
        <v>0.45484985300000003</v>
      </c>
      <c r="P231" s="1">
        <f t="shared" si="19"/>
        <v>80.097000000000008</v>
      </c>
      <c r="Q231" s="1">
        <f t="shared" si="20"/>
        <v>36.432108675741006</v>
      </c>
      <c r="R231" s="1">
        <f t="shared" si="21"/>
        <v>111.31489132425901</v>
      </c>
      <c r="S231" s="5">
        <f t="shared" si="22"/>
        <v>0.18929478119999998</v>
      </c>
      <c r="T231" s="5">
        <f t="shared" si="23"/>
        <v>0.14841985509901201</v>
      </c>
    </row>
    <row r="232" spans="1:20">
      <c r="A232" s="1">
        <v>231</v>
      </c>
      <c r="B232" s="2">
        <f>DATE(Sintesi!$C$4-1,12,31)+A232</f>
        <v>44427</v>
      </c>
      <c r="C232" s="1">
        <f>'Paste cell here'!T232</f>
        <v>7.3699999999999998E-3</v>
      </c>
      <c r="D232" s="1">
        <f>'Paste cell here'!AC232</f>
        <v>0</v>
      </c>
      <c r="E232" s="1">
        <f>'Paste cell here'!Y232</f>
        <v>1.4598659730000001</v>
      </c>
      <c r="F232" s="1">
        <f>'Paste cell here'!AD232</f>
        <v>0.11315864</v>
      </c>
      <c r="G232" s="1">
        <f>'Paste cell here'!W232</f>
        <v>0</v>
      </c>
      <c r="H232" s="1">
        <f>'Paste cell here'!AE232</f>
        <v>140.40542640000001</v>
      </c>
      <c r="I232" s="1">
        <f>'Paste cell here'!AF232</f>
        <v>141.97108589999999</v>
      </c>
      <c r="J232" s="1">
        <f t="shared" si="18"/>
        <v>4.8869999886846927E-6</v>
      </c>
      <c r="K232" s="1" t="str">
        <f>IF('Bilancio primo strato'!D232&gt;0,1,"")</f>
        <v/>
      </c>
      <c r="L232" s="7">
        <f>Sintesi!$C$34</f>
        <v>9.0200000000000002E-2</v>
      </c>
      <c r="M232" s="7">
        <f>Sintesi!$C$33</f>
        <v>0.196996</v>
      </c>
      <c r="N232" s="1">
        <f>'Paste cell here'!AA232</f>
        <v>0.75</v>
      </c>
      <c r="O232" s="1">
        <f>'Paste cell here'!H232</f>
        <v>0.45781029899999998</v>
      </c>
      <c r="P232" s="1">
        <f t="shared" si="19"/>
        <v>80.097000000000008</v>
      </c>
      <c r="Q232" s="1">
        <f t="shared" si="20"/>
        <v>36.669231519002999</v>
      </c>
      <c r="R232" s="1">
        <f t="shared" si="21"/>
        <v>111.07776848099701</v>
      </c>
      <c r="S232" s="5">
        <f t="shared" si="22"/>
        <v>0.18720723520000002</v>
      </c>
      <c r="T232" s="5">
        <f t="shared" si="23"/>
        <v>0.148103691307996</v>
      </c>
    </row>
    <row r="233" spans="1:20">
      <c r="A233" s="1">
        <v>232</v>
      </c>
      <c r="B233" s="2">
        <f>DATE(Sintesi!$C$4-1,12,31)+A233</f>
        <v>44428</v>
      </c>
      <c r="C233" s="1">
        <f>'Paste cell here'!T233</f>
        <v>3.0200000000000002E-4</v>
      </c>
      <c r="D233" s="1">
        <f>'Paste cell here'!AC233</f>
        <v>0</v>
      </c>
      <c r="E233" s="1">
        <f>'Paste cell here'!Y233</f>
        <v>1.299160184</v>
      </c>
      <c r="F233" s="1">
        <f>'Paste cell here'!AD233</f>
        <v>9.8699999999999996E-2</v>
      </c>
      <c r="G233" s="1">
        <f>'Paste cell here'!W233</f>
        <v>0</v>
      </c>
      <c r="H233" s="1">
        <f>'Paste cell here'!AE233</f>
        <v>139.0078211</v>
      </c>
      <c r="I233" s="1">
        <f>'Paste cell here'!AF233</f>
        <v>140.40542640000001</v>
      </c>
      <c r="J233" s="1">
        <f t="shared" si="18"/>
        <v>4.7116000018831983E-5</v>
      </c>
      <c r="K233" s="1" t="str">
        <f>IF('Bilancio primo strato'!D233&gt;0,1,"")</f>
        <v/>
      </c>
      <c r="L233" s="7">
        <f>Sintesi!$C$34</f>
        <v>9.0200000000000002E-2</v>
      </c>
      <c r="M233" s="7">
        <f>Sintesi!$C$33</f>
        <v>0.196996</v>
      </c>
      <c r="N233" s="1">
        <f>'Paste cell here'!AA233</f>
        <v>0.75</v>
      </c>
      <c r="O233" s="1">
        <f>'Paste cell here'!H233</f>
        <v>0.48194378199999999</v>
      </c>
      <c r="P233" s="1">
        <f t="shared" si="19"/>
        <v>80.097000000000008</v>
      </c>
      <c r="Q233" s="1">
        <f t="shared" si="20"/>
        <v>38.602251106854006</v>
      </c>
      <c r="R233" s="1">
        <f t="shared" si="21"/>
        <v>109.14474889314602</v>
      </c>
      <c r="S233" s="5">
        <f t="shared" si="22"/>
        <v>0.18534376146666667</v>
      </c>
      <c r="T233" s="5">
        <f t="shared" si="23"/>
        <v>0.14552633185752803</v>
      </c>
    </row>
    <row r="234" spans="1:20">
      <c r="A234" s="1">
        <v>233</v>
      </c>
      <c r="B234" s="2">
        <f>DATE(Sintesi!$C$4-1,12,31)+A234</f>
        <v>44429</v>
      </c>
      <c r="C234" s="1">
        <f>'Paste cell here'!T234</f>
        <v>6.5699999999999998E-6</v>
      </c>
      <c r="D234" s="1">
        <f>'Paste cell here'!AC234</f>
        <v>0</v>
      </c>
      <c r="E234" s="1">
        <f>'Paste cell here'!Y234</f>
        <v>1.1360793979999999</v>
      </c>
      <c r="F234" s="1">
        <f>'Paste cell here'!AD234</f>
        <v>8.7400000000000005E-2</v>
      </c>
      <c r="G234" s="1">
        <f>'Paste cell here'!W234</f>
        <v>0</v>
      </c>
      <c r="H234" s="1">
        <f>'Paste cell here'!AE234</f>
        <v>137.78435099999999</v>
      </c>
      <c r="I234" s="1">
        <f>'Paste cell here'!AF234</f>
        <v>139.0078211</v>
      </c>
      <c r="J234" s="1">
        <f t="shared" si="18"/>
        <v>2.7279999699203472E-6</v>
      </c>
      <c r="K234" s="1" t="str">
        <f>IF('Bilancio primo strato'!D234&gt;0,1,"")</f>
        <v/>
      </c>
      <c r="L234" s="7">
        <f>Sintesi!$C$34</f>
        <v>9.0200000000000002E-2</v>
      </c>
      <c r="M234" s="7">
        <f>Sintesi!$C$33</f>
        <v>0.196996</v>
      </c>
      <c r="N234" s="1">
        <f>'Paste cell here'!AA234</f>
        <v>0.75</v>
      </c>
      <c r="O234" s="1">
        <f>'Paste cell here'!H234</f>
        <v>0.47404623600000001</v>
      </c>
      <c r="P234" s="1">
        <f t="shared" si="19"/>
        <v>80.097000000000008</v>
      </c>
      <c r="Q234" s="1">
        <f t="shared" si="20"/>
        <v>37.969681364892004</v>
      </c>
      <c r="R234" s="1">
        <f t="shared" si="21"/>
        <v>109.777318635108</v>
      </c>
      <c r="S234" s="5">
        <f t="shared" si="22"/>
        <v>0.18371246799999999</v>
      </c>
      <c r="T234" s="5">
        <f t="shared" si="23"/>
        <v>0.146369758180144</v>
      </c>
    </row>
    <row r="235" spans="1:20">
      <c r="A235" s="1">
        <v>234</v>
      </c>
      <c r="B235" s="2">
        <f>DATE(Sintesi!$C$4-1,12,31)+A235</f>
        <v>44430</v>
      </c>
      <c r="C235" s="1">
        <f>'Paste cell here'!T235</f>
        <v>8.9900000000000004E-8</v>
      </c>
      <c r="D235" s="1">
        <f>'Paste cell here'!AC235</f>
        <v>0</v>
      </c>
      <c r="E235" s="1">
        <f>'Paste cell here'!Y235</f>
        <v>0.90581480700000006</v>
      </c>
      <c r="F235" s="1">
        <f>'Paste cell here'!AD235</f>
        <v>7.8700000000000006E-2</v>
      </c>
      <c r="G235" s="1">
        <f>'Paste cell here'!W235</f>
        <v>0</v>
      </c>
      <c r="H235" s="1">
        <f>'Paste cell here'!AE235</f>
        <v>136.79979990000001</v>
      </c>
      <c r="I235" s="1">
        <f>'Paste cell here'!AF235</f>
        <v>137.78435099999999</v>
      </c>
      <c r="J235" s="1">
        <f t="shared" si="18"/>
        <v>3.6382899963882664E-5</v>
      </c>
      <c r="K235" s="1" t="str">
        <f>IF('Bilancio primo strato'!D235&gt;0,1,"")</f>
        <v/>
      </c>
      <c r="L235" s="7">
        <f>Sintesi!$C$34</f>
        <v>9.0200000000000002E-2</v>
      </c>
      <c r="M235" s="7">
        <f>Sintesi!$C$33</f>
        <v>0.196996</v>
      </c>
      <c r="N235" s="1">
        <f>'Paste cell here'!AA235</f>
        <v>0.75</v>
      </c>
      <c r="O235" s="1">
        <f>'Paste cell here'!H235</f>
        <v>0.466665092</v>
      </c>
      <c r="P235" s="1">
        <f t="shared" si="19"/>
        <v>80.097000000000008</v>
      </c>
      <c r="Q235" s="1">
        <f t="shared" si="20"/>
        <v>37.378473873924001</v>
      </c>
      <c r="R235" s="1">
        <f t="shared" si="21"/>
        <v>110.36852612607601</v>
      </c>
      <c r="S235" s="5">
        <f t="shared" si="22"/>
        <v>0.18239973320000002</v>
      </c>
      <c r="T235" s="5">
        <f t="shared" si="23"/>
        <v>0.147158034834768</v>
      </c>
    </row>
    <row r="236" spans="1:20">
      <c r="A236" s="1">
        <v>235</v>
      </c>
      <c r="B236" s="2">
        <f>DATE(Sintesi!$C$4-1,12,31)+A236</f>
        <v>44431</v>
      </c>
      <c r="C236" s="1">
        <f>'Paste cell here'!T236</f>
        <v>9.29E-10</v>
      </c>
      <c r="D236" s="1">
        <f>'Paste cell here'!AC236</f>
        <v>0</v>
      </c>
      <c r="E236" s="1">
        <f>'Paste cell here'!Y236</f>
        <v>0.69091425299999998</v>
      </c>
      <c r="F236" s="1">
        <f>'Paste cell here'!AD236</f>
        <v>7.2400000000000006E-2</v>
      </c>
      <c r="G236" s="1">
        <f>'Paste cell here'!W236</f>
        <v>0</v>
      </c>
      <c r="H236" s="1">
        <f>'Paste cell here'!AE236</f>
        <v>136.0364587</v>
      </c>
      <c r="I236" s="1">
        <f>'Paste cell here'!AF236</f>
        <v>136.79979990000001</v>
      </c>
      <c r="J236" s="1">
        <f t="shared" si="18"/>
        <v>2.694792902957488E-5</v>
      </c>
      <c r="K236" s="1" t="str">
        <f>IF('Bilancio primo strato'!D236&gt;0,1,"")</f>
        <v/>
      </c>
      <c r="L236" s="7">
        <f>Sintesi!$C$34</f>
        <v>9.0200000000000002E-2</v>
      </c>
      <c r="M236" s="7">
        <f>Sintesi!$C$33</f>
        <v>0.196996</v>
      </c>
      <c r="N236" s="1">
        <f>'Paste cell here'!AA236</f>
        <v>0.75</v>
      </c>
      <c r="O236" s="1">
        <f>'Paste cell here'!H236</f>
        <v>0.47232333700000001</v>
      </c>
      <c r="P236" s="1">
        <f t="shared" si="19"/>
        <v>80.097000000000008</v>
      </c>
      <c r="Q236" s="1">
        <f t="shared" si="20"/>
        <v>37.831682323689002</v>
      </c>
      <c r="R236" s="1">
        <f t="shared" si="21"/>
        <v>109.91531767631102</v>
      </c>
      <c r="S236" s="5">
        <f t="shared" si="22"/>
        <v>0.18138194493333332</v>
      </c>
      <c r="T236" s="5">
        <f t="shared" si="23"/>
        <v>0.14655375690174802</v>
      </c>
    </row>
    <row r="237" spans="1:20">
      <c r="A237" s="1">
        <v>236</v>
      </c>
      <c r="B237" s="2">
        <f>DATE(Sintesi!$C$4-1,12,31)+A237</f>
        <v>44432</v>
      </c>
      <c r="C237" s="1">
        <f>'Paste cell here'!T237</f>
        <v>9.2899999999999994E-12</v>
      </c>
      <c r="D237" s="1">
        <f>'Paste cell here'!AC237</f>
        <v>0</v>
      </c>
      <c r="E237" s="1">
        <f>'Paste cell here'!Y237</f>
        <v>0</v>
      </c>
      <c r="F237" s="1">
        <f>'Paste cell here'!AD237</f>
        <v>6.8900000000000003E-2</v>
      </c>
      <c r="G237" s="1">
        <f>'Paste cell here'!W237</f>
        <v>0</v>
      </c>
      <c r="H237" s="1">
        <f>'Paste cell here'!AE237</f>
        <v>36.207481899999998</v>
      </c>
      <c r="I237" s="1">
        <f>'Paste cell here'!AF237</f>
        <v>36.27638898</v>
      </c>
      <c r="J237" s="1">
        <f t="shared" si="18"/>
        <v>7.0800092899503397E-6</v>
      </c>
      <c r="K237" s="1" t="str">
        <f>IF('Bilancio primo strato'!D237&gt;0,1,"")</f>
        <v/>
      </c>
      <c r="L237" s="7">
        <f>Sintesi!$C$34</f>
        <v>9.0200000000000002E-2</v>
      </c>
      <c r="M237" s="7">
        <f>Sintesi!$C$33</f>
        <v>0.196996</v>
      </c>
      <c r="N237" s="1">
        <f>'Paste cell here'!AA237</f>
        <v>0.2</v>
      </c>
      <c r="O237" s="1">
        <f>'Paste cell here'!H237</f>
        <v>0.47906573099999999</v>
      </c>
      <c r="P237" s="1">
        <f t="shared" si="19"/>
        <v>21.359200000000001</v>
      </c>
      <c r="Q237" s="1">
        <f t="shared" si="20"/>
        <v>10.232460761575201</v>
      </c>
      <c r="R237" s="1">
        <f t="shared" si="21"/>
        <v>29.1667392384248</v>
      </c>
      <c r="S237" s="5">
        <f t="shared" si="22"/>
        <v>0.1810374095</v>
      </c>
      <c r="T237" s="5">
        <f t="shared" si="23"/>
        <v>0.145833696192124</v>
      </c>
    </row>
    <row r="238" spans="1:20">
      <c r="A238" s="1">
        <v>237</v>
      </c>
      <c r="B238" s="2">
        <f>DATE(Sintesi!$C$4-1,12,31)+A238</f>
        <v>44433</v>
      </c>
      <c r="C238" s="1">
        <f>'Paste cell here'!T238</f>
        <v>1.23E-14</v>
      </c>
      <c r="D238" s="1">
        <f>'Paste cell here'!AC238</f>
        <v>0</v>
      </c>
      <c r="E238" s="1">
        <f>'Paste cell here'!Y238</f>
        <v>0</v>
      </c>
      <c r="F238" s="1">
        <f>'Paste cell here'!AD238</f>
        <v>6.7199999999999996E-2</v>
      </c>
      <c r="G238" s="1">
        <f>'Paste cell here'!W238</f>
        <v>0</v>
      </c>
      <c r="H238" s="1">
        <f>'Paste cell here'!AE238</f>
        <v>36.140247070000001</v>
      </c>
      <c r="I238" s="1">
        <f>'Paste cell here'!AF238</f>
        <v>36.207481899999998</v>
      </c>
      <c r="J238" s="1">
        <f t="shared" si="18"/>
        <v>3.4830000011254469E-5</v>
      </c>
      <c r="K238" s="1" t="str">
        <f>IF('Bilancio primo strato'!D238&gt;0,1,"")</f>
        <v/>
      </c>
      <c r="L238" s="7">
        <f>Sintesi!$C$34</f>
        <v>9.0200000000000002E-2</v>
      </c>
      <c r="M238" s="7">
        <f>Sintesi!$C$33</f>
        <v>0.196996</v>
      </c>
      <c r="N238" s="1">
        <f>'Paste cell here'!AA238</f>
        <v>0.2</v>
      </c>
      <c r="O238" s="1">
        <f>'Paste cell here'!H238</f>
        <v>0.49625845600000001</v>
      </c>
      <c r="P238" s="1">
        <f t="shared" si="19"/>
        <v>21.359200000000001</v>
      </c>
      <c r="Q238" s="1">
        <f t="shared" si="20"/>
        <v>10.5996836133952</v>
      </c>
      <c r="R238" s="1">
        <f t="shared" si="21"/>
        <v>28.7995163866048</v>
      </c>
      <c r="S238" s="5">
        <f t="shared" si="22"/>
        <v>0.18070123535000002</v>
      </c>
      <c r="T238" s="5">
        <f t="shared" si="23"/>
        <v>0.143997581933024</v>
      </c>
    </row>
    <row r="239" spans="1:20">
      <c r="A239" s="1">
        <v>238</v>
      </c>
      <c r="B239" s="2">
        <f>DATE(Sintesi!$C$4-1,12,31)+A239</f>
        <v>44434</v>
      </c>
      <c r="C239" s="1">
        <f>'Paste cell here'!T239</f>
        <v>1.2500000000000001E-19</v>
      </c>
      <c r="D239" s="1">
        <f>'Paste cell here'!AC239</f>
        <v>0</v>
      </c>
      <c r="E239" s="1">
        <f>'Paste cell here'!Y239</f>
        <v>0</v>
      </c>
      <c r="F239" s="1">
        <f>'Paste cell here'!AD239</f>
        <v>6.5600000000000006E-2</v>
      </c>
      <c r="G239" s="1">
        <f>'Paste cell here'!W239</f>
        <v>0</v>
      </c>
      <c r="H239" s="1">
        <f>'Paste cell here'!AE239</f>
        <v>36.074609279999997</v>
      </c>
      <c r="I239" s="1">
        <f>'Paste cell here'!AF239</f>
        <v>36.140247070000001</v>
      </c>
      <c r="J239" s="1">
        <f t="shared" si="18"/>
        <v>3.7790000000370583E-5</v>
      </c>
      <c r="K239" s="1" t="str">
        <f>IF('Bilancio primo strato'!D239&gt;0,1,"")</f>
        <v/>
      </c>
      <c r="L239" s="7">
        <f>Sintesi!$C$34</f>
        <v>9.0200000000000002E-2</v>
      </c>
      <c r="M239" s="7">
        <f>Sintesi!$C$33</f>
        <v>0.196996</v>
      </c>
      <c r="N239" s="1">
        <f>'Paste cell here'!AA239</f>
        <v>0.2</v>
      </c>
      <c r="O239" s="1">
        <f>'Paste cell here'!H239</f>
        <v>0.48899911299999999</v>
      </c>
      <c r="P239" s="1">
        <f t="shared" si="19"/>
        <v>21.359200000000001</v>
      </c>
      <c r="Q239" s="1">
        <f t="shared" si="20"/>
        <v>10.4446298543896</v>
      </c>
      <c r="R239" s="1">
        <f t="shared" si="21"/>
        <v>28.954570145610401</v>
      </c>
      <c r="S239" s="5">
        <f t="shared" si="22"/>
        <v>0.18037304639999999</v>
      </c>
      <c r="T239" s="5">
        <f t="shared" si="23"/>
        <v>0.14477285072805202</v>
      </c>
    </row>
    <row r="240" spans="1:20">
      <c r="A240" s="1">
        <v>239</v>
      </c>
      <c r="B240" s="2">
        <f>DATE(Sintesi!$C$4-1,12,31)+A240</f>
        <v>44435</v>
      </c>
      <c r="C240" s="1">
        <f>'Paste cell here'!T240</f>
        <v>0</v>
      </c>
      <c r="D240" s="1">
        <f>'Paste cell here'!AC240</f>
        <v>0</v>
      </c>
      <c r="E240" s="1">
        <f>'Paste cell here'!Y240</f>
        <v>0</v>
      </c>
      <c r="F240" s="1">
        <f>'Paste cell here'!AD240</f>
        <v>6.4100000000000004E-2</v>
      </c>
      <c r="G240" s="1">
        <f>'Paste cell here'!W240</f>
        <v>0</v>
      </c>
      <c r="H240" s="1">
        <f>'Paste cell here'!AE240</f>
        <v>36.010498679999998</v>
      </c>
      <c r="I240" s="1">
        <f>'Paste cell here'!AF240</f>
        <v>36.074609279999997</v>
      </c>
      <c r="J240" s="1">
        <f t="shared" si="18"/>
        <v>1.059999999597494E-5</v>
      </c>
      <c r="K240" s="1" t="str">
        <f>IF('Bilancio primo strato'!D240&gt;0,1,"")</f>
        <v/>
      </c>
      <c r="L240" s="7">
        <f>Sintesi!$C$34</f>
        <v>9.0200000000000002E-2</v>
      </c>
      <c r="M240" s="7">
        <f>Sintesi!$C$33</f>
        <v>0.196996</v>
      </c>
      <c r="N240" s="1">
        <f>'Paste cell here'!AA240</f>
        <v>0.2</v>
      </c>
      <c r="O240" s="1">
        <f>'Paste cell here'!H240</f>
        <v>0.47397038499999999</v>
      </c>
      <c r="P240" s="1">
        <f t="shared" si="19"/>
        <v>21.359200000000001</v>
      </c>
      <c r="Q240" s="1">
        <f t="shared" si="20"/>
        <v>10.123628247292</v>
      </c>
      <c r="R240" s="1">
        <f t="shared" si="21"/>
        <v>29.275571752708</v>
      </c>
      <c r="S240" s="5">
        <f t="shared" si="22"/>
        <v>0.18005249339999999</v>
      </c>
      <c r="T240" s="5">
        <f t="shared" si="23"/>
        <v>0.14637785876354001</v>
      </c>
    </row>
    <row r="241" spans="1:20">
      <c r="A241" s="1">
        <v>240</v>
      </c>
      <c r="B241" s="2">
        <f>DATE(Sintesi!$C$4-1,12,31)+A241</f>
        <v>44436</v>
      </c>
      <c r="C241" s="1">
        <f>'Paste cell here'!T241</f>
        <v>2.28E-9</v>
      </c>
      <c r="D241" s="1">
        <f>'Paste cell here'!AC241</f>
        <v>0</v>
      </c>
      <c r="E241" s="1">
        <f>'Paste cell here'!Y241</f>
        <v>0</v>
      </c>
      <c r="F241" s="1">
        <f>'Paste cell here'!AD241</f>
        <v>6.2600000000000003E-2</v>
      </c>
      <c r="G241" s="1">
        <f>'Paste cell here'!W241</f>
        <v>0</v>
      </c>
      <c r="H241" s="1">
        <f>'Paste cell here'!AE241</f>
        <v>35.947849290000001</v>
      </c>
      <c r="I241" s="1">
        <f>'Paste cell here'!AF241</f>
        <v>36.010498679999998</v>
      </c>
      <c r="J241" s="1">
        <f t="shared" si="18"/>
        <v>4.93922799904567E-5</v>
      </c>
      <c r="K241" s="1" t="str">
        <f>IF('Bilancio primo strato'!D241&gt;0,1,"")</f>
        <v/>
      </c>
      <c r="L241" s="7">
        <f>Sintesi!$C$34</f>
        <v>9.0200000000000002E-2</v>
      </c>
      <c r="M241" s="7">
        <f>Sintesi!$C$33</f>
        <v>0.196996</v>
      </c>
      <c r="N241" s="1">
        <f>'Paste cell here'!AA241</f>
        <v>0.2</v>
      </c>
      <c r="O241" s="1">
        <f>'Paste cell here'!H241</f>
        <v>0.54516039299999997</v>
      </c>
      <c r="P241" s="1">
        <f t="shared" si="19"/>
        <v>21.359200000000001</v>
      </c>
      <c r="Q241" s="1">
        <f t="shared" si="20"/>
        <v>11.6441898661656</v>
      </c>
      <c r="R241" s="1">
        <f t="shared" si="21"/>
        <v>27.7550101338344</v>
      </c>
      <c r="S241" s="5">
        <f t="shared" si="22"/>
        <v>0.17973924645</v>
      </c>
      <c r="T241" s="5">
        <f t="shared" si="23"/>
        <v>0.13877505066917201</v>
      </c>
    </row>
    <row r="242" spans="1:20">
      <c r="A242" s="1">
        <v>241</v>
      </c>
      <c r="B242" s="2">
        <f>DATE(Sintesi!$C$4-1,12,31)+A242</f>
        <v>44437</v>
      </c>
      <c r="C242" s="1">
        <f>'Paste cell here'!T242</f>
        <v>1.4100000000000001E-8</v>
      </c>
      <c r="D242" s="1">
        <f>'Paste cell here'!AC242</f>
        <v>0</v>
      </c>
      <c r="E242" s="1">
        <f>'Paste cell here'!Y242</f>
        <v>0</v>
      </c>
      <c r="F242" s="1">
        <f>'Paste cell here'!AD242</f>
        <v>6.1199999999999997E-2</v>
      </c>
      <c r="G242" s="1">
        <f>'Paste cell here'!W242</f>
        <v>0</v>
      </c>
      <c r="H242" s="1">
        <f>'Paste cell here'!AE242</f>
        <v>35.88659972</v>
      </c>
      <c r="I242" s="1">
        <f>'Paste cell here'!AF242</f>
        <v>35.947849290000001</v>
      </c>
      <c r="J242" s="1">
        <f t="shared" si="18"/>
        <v>4.9584100004551601E-5</v>
      </c>
      <c r="K242" s="1" t="str">
        <f>IF('Bilancio primo strato'!D242&gt;0,1,"")</f>
        <v/>
      </c>
      <c r="L242" s="7">
        <f>Sintesi!$C$34</f>
        <v>9.0200000000000002E-2</v>
      </c>
      <c r="M242" s="7">
        <f>Sintesi!$C$33</f>
        <v>0.196996</v>
      </c>
      <c r="N242" s="1">
        <f>'Paste cell here'!AA242</f>
        <v>0.2</v>
      </c>
      <c r="O242" s="1">
        <f>'Paste cell here'!H242</f>
        <v>0.497126754</v>
      </c>
      <c r="P242" s="1">
        <f t="shared" si="19"/>
        <v>21.359200000000001</v>
      </c>
      <c r="Q242" s="1">
        <f t="shared" si="20"/>
        <v>10.618229764036801</v>
      </c>
      <c r="R242" s="1">
        <f t="shared" si="21"/>
        <v>28.780970235963199</v>
      </c>
      <c r="S242" s="5">
        <f t="shared" si="22"/>
        <v>0.1794329986</v>
      </c>
      <c r="T242" s="5">
        <f t="shared" si="23"/>
        <v>0.143904851179816</v>
      </c>
    </row>
    <row r="243" spans="1:20">
      <c r="A243" s="1">
        <v>242</v>
      </c>
      <c r="B243" s="2">
        <f>DATE(Sintesi!$C$4-1,12,31)+A243</f>
        <v>44438</v>
      </c>
      <c r="C243" s="1">
        <f>'Paste cell here'!T243</f>
        <v>7.3599999999999997E-11</v>
      </c>
      <c r="D243" s="1">
        <f>'Paste cell here'!AC243</f>
        <v>0</v>
      </c>
      <c r="E243" s="1">
        <f>'Paste cell here'!Y243</f>
        <v>0</v>
      </c>
      <c r="F243" s="1">
        <f>'Paste cell here'!AD243</f>
        <v>5.9900000000000002E-2</v>
      </c>
      <c r="G243" s="1">
        <f>'Paste cell here'!W243</f>
        <v>0</v>
      </c>
      <c r="H243" s="1">
        <f>'Paste cell here'!AE243</f>
        <v>35.826692270000002</v>
      </c>
      <c r="I243" s="1">
        <f>'Paste cell here'!AF243</f>
        <v>35.88659972</v>
      </c>
      <c r="J243" s="1">
        <f t="shared" si="18"/>
        <v>7.4500735962601539E-6</v>
      </c>
      <c r="K243" s="1" t="str">
        <f>IF('Bilancio primo strato'!D243&gt;0,1,"")</f>
        <v/>
      </c>
      <c r="L243" s="7">
        <f>Sintesi!$C$34</f>
        <v>9.0200000000000002E-2</v>
      </c>
      <c r="M243" s="7">
        <f>Sintesi!$C$33</f>
        <v>0.196996</v>
      </c>
      <c r="N243" s="1">
        <f>'Paste cell here'!AA243</f>
        <v>0.2</v>
      </c>
      <c r="O243" s="1">
        <f>'Paste cell here'!H243</f>
        <v>0.49493200900000001</v>
      </c>
      <c r="P243" s="1">
        <f t="shared" si="19"/>
        <v>21.359200000000001</v>
      </c>
      <c r="Q243" s="1">
        <f t="shared" si="20"/>
        <v>10.571351766632802</v>
      </c>
      <c r="R243" s="1">
        <f t="shared" si="21"/>
        <v>28.827848233367199</v>
      </c>
      <c r="S243" s="5">
        <f t="shared" si="22"/>
        <v>0.17913346135000002</v>
      </c>
      <c r="T243" s="5">
        <f t="shared" si="23"/>
        <v>0.14413924116683599</v>
      </c>
    </row>
    <row r="244" spans="1:20">
      <c r="A244" s="1">
        <v>243</v>
      </c>
      <c r="B244" s="2">
        <f>DATE(Sintesi!$C$4-1,12,31)+A244</f>
        <v>44439</v>
      </c>
      <c r="C244" s="1">
        <f>'Paste cell here'!T244</f>
        <v>3.2900000000000001E-13</v>
      </c>
      <c r="D244" s="1">
        <f>'Paste cell here'!AC244</f>
        <v>0</v>
      </c>
      <c r="E244" s="1">
        <f>'Paste cell here'!Y244</f>
        <v>0</v>
      </c>
      <c r="F244" s="1">
        <f>'Paste cell here'!AD244</f>
        <v>5.8599999999999999E-2</v>
      </c>
      <c r="G244" s="1">
        <f>'Paste cell here'!W244</f>
        <v>0</v>
      </c>
      <c r="H244" s="1">
        <f>'Paste cell here'!AE244</f>
        <v>35.768072699999998</v>
      </c>
      <c r="I244" s="1">
        <f>'Paste cell here'!AF244</f>
        <v>35.826692270000002</v>
      </c>
      <c r="J244" s="1">
        <f t="shared" si="18"/>
        <v>1.9570000333146709E-5</v>
      </c>
      <c r="K244" s="1" t="str">
        <f>IF('Bilancio primo strato'!D244&gt;0,1,"")</f>
        <v/>
      </c>
      <c r="L244" s="7">
        <f>Sintesi!$C$34</f>
        <v>9.0200000000000002E-2</v>
      </c>
      <c r="M244" s="7">
        <f>Sintesi!$C$33</f>
        <v>0.196996</v>
      </c>
      <c r="N244" s="1">
        <f>'Paste cell here'!AA244</f>
        <v>0.2</v>
      </c>
      <c r="O244" s="1">
        <f>'Paste cell here'!H244</f>
        <v>0.49714773600000001</v>
      </c>
      <c r="P244" s="1">
        <f t="shared" si="19"/>
        <v>21.359200000000001</v>
      </c>
      <c r="Q244" s="1">
        <f t="shared" si="20"/>
        <v>10.618677922771202</v>
      </c>
      <c r="R244" s="1">
        <f t="shared" si="21"/>
        <v>28.780522077228799</v>
      </c>
      <c r="S244" s="5">
        <f t="shared" si="22"/>
        <v>0.17884036349999999</v>
      </c>
      <c r="T244" s="5">
        <f t="shared" si="23"/>
        <v>0.14390261038614399</v>
      </c>
    </row>
    <row r="245" spans="1:20">
      <c r="A245" s="1">
        <v>244</v>
      </c>
      <c r="B245" s="2">
        <f>DATE(Sintesi!$C$4-1,12,31)+A245</f>
        <v>44440</v>
      </c>
      <c r="C245" s="1">
        <f>'Paste cell here'!T245</f>
        <v>1.0099999999999999E-14</v>
      </c>
      <c r="D245" s="1">
        <f>'Paste cell here'!AC245</f>
        <v>0</v>
      </c>
      <c r="E245" s="1">
        <f>'Paste cell here'!Y245</f>
        <v>0</v>
      </c>
      <c r="F245" s="1">
        <f>'Paste cell here'!AD245</f>
        <v>5.74E-2</v>
      </c>
      <c r="G245" s="1">
        <f>'Paste cell here'!W245</f>
        <v>0</v>
      </c>
      <c r="H245" s="1">
        <f>'Paste cell here'!AE245</f>
        <v>35.710689909999999</v>
      </c>
      <c r="I245" s="1">
        <f>'Paste cell here'!AF245</f>
        <v>35.768072699999998</v>
      </c>
      <c r="J245" s="1">
        <f t="shared" si="18"/>
        <v>1.7209999995770886E-5</v>
      </c>
      <c r="K245" s="1" t="str">
        <f>IF('Bilancio primo strato'!D245&gt;0,1,"")</f>
        <v/>
      </c>
      <c r="L245" s="7">
        <f>Sintesi!$C$34</f>
        <v>9.0200000000000002E-2</v>
      </c>
      <c r="M245" s="7">
        <f>Sintesi!$C$33</f>
        <v>0.196996</v>
      </c>
      <c r="N245" s="1">
        <f>'Paste cell here'!AA245</f>
        <v>0.2</v>
      </c>
      <c r="O245" s="1">
        <f>'Paste cell here'!H245</f>
        <v>0.50825581500000006</v>
      </c>
      <c r="P245" s="1">
        <f t="shared" si="19"/>
        <v>21.359200000000001</v>
      </c>
      <c r="Q245" s="1">
        <f t="shared" si="20"/>
        <v>10.855937603748002</v>
      </c>
      <c r="R245" s="1">
        <f t="shared" si="21"/>
        <v>28.543262396251997</v>
      </c>
      <c r="S245" s="5">
        <f t="shared" si="22"/>
        <v>0.17855344954999999</v>
      </c>
      <c r="T245" s="5">
        <f t="shared" si="23"/>
        <v>0.14271631198125997</v>
      </c>
    </row>
    <row r="246" spans="1:20">
      <c r="A246" s="1">
        <v>245</v>
      </c>
      <c r="B246" s="2">
        <f>DATE(Sintesi!$C$4-1,12,31)+A246</f>
        <v>44441</v>
      </c>
      <c r="C246" s="1">
        <f>'Paste cell here'!T246</f>
        <v>2.2800000000000001E-19</v>
      </c>
      <c r="D246" s="1">
        <f>'Paste cell here'!AC246</f>
        <v>0</v>
      </c>
      <c r="E246" s="1">
        <f>'Paste cell here'!Y246</f>
        <v>0</v>
      </c>
      <c r="F246" s="1">
        <f>'Paste cell here'!AD246</f>
        <v>5.62E-2</v>
      </c>
      <c r="G246" s="1">
        <f>'Paste cell here'!W246</f>
        <v>0</v>
      </c>
      <c r="H246" s="1">
        <f>'Paste cell here'!AE246</f>
        <v>35.65449572</v>
      </c>
      <c r="I246" s="1">
        <f>'Paste cell here'!AF246</f>
        <v>35.710689909999999</v>
      </c>
      <c r="J246" s="1">
        <f t="shared" si="18"/>
        <v>5.8099999975524952E-6</v>
      </c>
      <c r="K246" s="1" t="str">
        <f>IF('Bilancio primo strato'!D246&gt;0,1,"")</f>
        <v/>
      </c>
      <c r="L246" s="7">
        <f>Sintesi!$C$34</f>
        <v>9.0200000000000002E-2</v>
      </c>
      <c r="M246" s="7">
        <f>Sintesi!$C$33</f>
        <v>0.196996</v>
      </c>
      <c r="N246" s="1">
        <f>'Paste cell here'!AA246</f>
        <v>0.2</v>
      </c>
      <c r="O246" s="1">
        <f>'Paste cell here'!H246</f>
        <v>0.49433848600000002</v>
      </c>
      <c r="P246" s="1">
        <f t="shared" si="19"/>
        <v>21.359200000000001</v>
      </c>
      <c r="Q246" s="1">
        <f t="shared" si="20"/>
        <v>10.558674590171201</v>
      </c>
      <c r="R246" s="1">
        <f t="shared" si="21"/>
        <v>28.8405254098288</v>
      </c>
      <c r="S246" s="5">
        <f t="shared" si="22"/>
        <v>0.17827247860000001</v>
      </c>
      <c r="T246" s="5">
        <f t="shared" si="23"/>
        <v>0.14420262704914399</v>
      </c>
    </row>
    <row r="247" spans="1:20">
      <c r="A247" s="1">
        <v>246</v>
      </c>
      <c r="B247" s="2">
        <f>DATE(Sintesi!$C$4-1,12,31)+A247</f>
        <v>44442</v>
      </c>
      <c r="C247" s="1">
        <f>'Paste cell here'!T247</f>
        <v>0</v>
      </c>
      <c r="D247" s="1">
        <f>'Paste cell here'!AC247</f>
        <v>0</v>
      </c>
      <c r="E247" s="1">
        <f>'Paste cell here'!Y247</f>
        <v>0</v>
      </c>
      <c r="F247" s="1">
        <f>'Paste cell here'!AD247</f>
        <v>5.5100000000000003E-2</v>
      </c>
      <c r="G247" s="1">
        <f>'Paste cell here'!W247</f>
        <v>0</v>
      </c>
      <c r="H247" s="1">
        <f>'Paste cell here'!AE247</f>
        <v>35.599444679999998</v>
      </c>
      <c r="I247" s="1">
        <f>'Paste cell here'!AF247</f>
        <v>35.65449572</v>
      </c>
      <c r="J247" s="1">
        <f t="shared" si="18"/>
        <v>4.896000000087497E-5</v>
      </c>
      <c r="K247" s="1" t="str">
        <f>IF('Bilancio primo strato'!D247&gt;0,1,"")</f>
        <v/>
      </c>
      <c r="L247" s="7">
        <f>Sintesi!$C$34</f>
        <v>9.0200000000000002E-2</v>
      </c>
      <c r="M247" s="7">
        <f>Sintesi!$C$33</f>
        <v>0.196996</v>
      </c>
      <c r="N247" s="1">
        <f>'Paste cell here'!AA247</f>
        <v>0.2</v>
      </c>
      <c r="O247" s="1">
        <f>'Paste cell here'!H247</f>
        <v>0.47906383600000002</v>
      </c>
      <c r="P247" s="1">
        <f t="shared" si="19"/>
        <v>21.359200000000001</v>
      </c>
      <c r="Q247" s="1">
        <f t="shared" si="20"/>
        <v>10.232420285891202</v>
      </c>
      <c r="R247" s="1">
        <f t="shared" si="21"/>
        <v>29.166779714108799</v>
      </c>
      <c r="S247" s="5">
        <f t="shared" si="22"/>
        <v>0.17799722339999999</v>
      </c>
      <c r="T247" s="5">
        <f t="shared" si="23"/>
        <v>0.14583389857054399</v>
      </c>
    </row>
    <row r="248" spans="1:20">
      <c r="A248" s="1">
        <v>247</v>
      </c>
      <c r="B248" s="2">
        <f>DATE(Sintesi!$C$4-1,12,31)+A248</f>
        <v>44443</v>
      </c>
      <c r="C248" s="1">
        <f>'Paste cell here'!T248</f>
        <v>0</v>
      </c>
      <c r="D248" s="1">
        <f>'Paste cell here'!AC248</f>
        <v>0</v>
      </c>
      <c r="E248" s="1">
        <f>'Paste cell here'!Y248</f>
        <v>0</v>
      </c>
      <c r="F248" s="1">
        <f>'Paste cell here'!AD248</f>
        <v>5.3999999999999999E-2</v>
      </c>
      <c r="G248" s="1">
        <f>'Paste cell here'!W248</f>
        <v>0</v>
      </c>
      <c r="H248" s="1">
        <f>'Paste cell here'!AE248</f>
        <v>35.545493819999997</v>
      </c>
      <c r="I248" s="1">
        <f>'Paste cell here'!AF248</f>
        <v>35.599444679999998</v>
      </c>
      <c r="J248" s="1">
        <f t="shared" si="18"/>
        <v>4.9140000001557382E-5</v>
      </c>
      <c r="K248" s="1" t="str">
        <f>IF('Bilancio primo strato'!D248&gt;0,1,"")</f>
        <v/>
      </c>
      <c r="L248" s="7">
        <f>Sintesi!$C$34</f>
        <v>9.0200000000000002E-2</v>
      </c>
      <c r="M248" s="7">
        <f>Sintesi!$C$33</f>
        <v>0.196996</v>
      </c>
      <c r="N248" s="1">
        <f>'Paste cell here'!AA248</f>
        <v>0.2</v>
      </c>
      <c r="O248" s="1">
        <f>'Paste cell here'!H248</f>
        <v>0.50372451100000004</v>
      </c>
      <c r="P248" s="1">
        <f t="shared" si="19"/>
        <v>21.359200000000001</v>
      </c>
      <c r="Q248" s="1">
        <f t="shared" si="20"/>
        <v>10.759152575351202</v>
      </c>
      <c r="R248" s="1">
        <f t="shared" si="21"/>
        <v>28.640047424648799</v>
      </c>
      <c r="S248" s="5">
        <f t="shared" si="22"/>
        <v>0.17772746909999998</v>
      </c>
      <c r="T248" s="5">
        <f t="shared" si="23"/>
        <v>0.14320023712324401</v>
      </c>
    </row>
    <row r="249" spans="1:20">
      <c r="A249" s="1">
        <v>248</v>
      </c>
      <c r="B249" s="2">
        <f>DATE(Sintesi!$C$4-1,12,31)+A249</f>
        <v>44444</v>
      </c>
      <c r="C249" s="1">
        <f>'Paste cell here'!T249</f>
        <v>0</v>
      </c>
      <c r="D249" s="1">
        <f>'Paste cell here'!AC249</f>
        <v>0</v>
      </c>
      <c r="E249" s="1">
        <f>'Paste cell here'!Y249</f>
        <v>0</v>
      </c>
      <c r="F249" s="1">
        <f>'Paste cell here'!AD249</f>
        <v>5.2900000000000003E-2</v>
      </c>
      <c r="G249" s="1">
        <f>'Paste cell here'!W249</f>
        <v>0</v>
      </c>
      <c r="H249" s="1">
        <f>'Paste cell here'!AE249</f>
        <v>35.492602509999998</v>
      </c>
      <c r="I249" s="1">
        <f>'Paste cell here'!AF249</f>
        <v>35.545493819999997</v>
      </c>
      <c r="J249" s="1">
        <f t="shared" si="18"/>
        <v>8.6900000013656609E-6</v>
      </c>
      <c r="K249" s="1" t="str">
        <f>IF('Bilancio primo strato'!D249&gt;0,1,"")</f>
        <v/>
      </c>
      <c r="L249" s="7">
        <f>Sintesi!$C$34</f>
        <v>9.0200000000000002E-2</v>
      </c>
      <c r="M249" s="7">
        <f>Sintesi!$C$33</f>
        <v>0.196996</v>
      </c>
      <c r="N249" s="1">
        <f>'Paste cell here'!AA249</f>
        <v>0.2</v>
      </c>
      <c r="O249" s="1">
        <f>'Paste cell here'!H249</f>
        <v>0.51286472999999999</v>
      </c>
      <c r="P249" s="1">
        <f t="shared" si="19"/>
        <v>21.359200000000001</v>
      </c>
      <c r="Q249" s="1">
        <f t="shared" si="20"/>
        <v>10.954380341016</v>
      </c>
      <c r="R249" s="1">
        <f t="shared" si="21"/>
        <v>28.444819658984002</v>
      </c>
      <c r="S249" s="5">
        <f t="shared" si="22"/>
        <v>0.17746301254999999</v>
      </c>
      <c r="T249" s="5">
        <f t="shared" si="23"/>
        <v>0.14222409829492</v>
      </c>
    </row>
    <row r="250" spans="1:20">
      <c r="A250" s="1">
        <v>249</v>
      </c>
      <c r="B250" s="2">
        <f>DATE(Sintesi!$C$4-1,12,31)+A250</f>
        <v>44445</v>
      </c>
      <c r="C250" s="1">
        <f>'Paste cell here'!T250</f>
        <v>0</v>
      </c>
      <c r="D250" s="1">
        <f>'Paste cell here'!AC250</f>
        <v>0</v>
      </c>
      <c r="E250" s="1">
        <f>'Paste cell here'!Y250</f>
        <v>0</v>
      </c>
      <c r="F250" s="1">
        <f>'Paste cell here'!AD250</f>
        <v>5.1900000000000002E-2</v>
      </c>
      <c r="G250" s="1">
        <f>'Paste cell here'!W250</f>
        <v>0</v>
      </c>
      <c r="H250" s="1">
        <f>'Paste cell here'!AE250</f>
        <v>35.44073229</v>
      </c>
      <c r="I250" s="1">
        <f>'Paste cell here'!AF250</f>
        <v>35.492602509999998</v>
      </c>
      <c r="J250" s="1">
        <f t="shared" si="18"/>
        <v>2.9780000005530383E-5</v>
      </c>
      <c r="K250" s="1" t="str">
        <f>IF('Bilancio primo strato'!D250&gt;0,1,"")</f>
        <v/>
      </c>
      <c r="L250" s="7">
        <f>Sintesi!$C$34</f>
        <v>9.0200000000000002E-2</v>
      </c>
      <c r="M250" s="7">
        <f>Sintesi!$C$33</f>
        <v>0.196996</v>
      </c>
      <c r="N250" s="1">
        <f>'Paste cell here'!AA250</f>
        <v>0.2</v>
      </c>
      <c r="O250" s="1">
        <f>'Paste cell here'!H250</f>
        <v>0.50562338900000003</v>
      </c>
      <c r="P250" s="1">
        <f t="shared" si="19"/>
        <v>21.359200000000001</v>
      </c>
      <c r="Q250" s="1">
        <f t="shared" si="20"/>
        <v>10.799711090328801</v>
      </c>
      <c r="R250" s="1">
        <f t="shared" si="21"/>
        <v>28.599488909671201</v>
      </c>
      <c r="S250" s="5">
        <f t="shared" si="22"/>
        <v>0.17720366144999999</v>
      </c>
      <c r="T250" s="5">
        <f t="shared" si="23"/>
        <v>0.142997444548356</v>
      </c>
    </row>
    <row r="251" spans="1:20">
      <c r="A251" s="1">
        <v>250</v>
      </c>
      <c r="B251" s="2">
        <f>DATE(Sintesi!$C$4-1,12,31)+A251</f>
        <v>44446</v>
      </c>
      <c r="C251" s="1">
        <f>'Paste cell here'!T251</f>
        <v>0</v>
      </c>
      <c r="D251" s="1">
        <f>'Paste cell here'!AC251</f>
        <v>0</v>
      </c>
      <c r="E251" s="1">
        <f>'Paste cell here'!Y251</f>
        <v>0</v>
      </c>
      <c r="F251" s="1">
        <f>'Paste cell here'!AD251</f>
        <v>5.0900000000000001E-2</v>
      </c>
      <c r="G251" s="1">
        <f>'Paste cell here'!W251</f>
        <v>0</v>
      </c>
      <c r="H251" s="1">
        <f>'Paste cell here'!AE251</f>
        <v>35.389846720000001</v>
      </c>
      <c r="I251" s="1">
        <f>'Paste cell here'!AF251</f>
        <v>35.44073229</v>
      </c>
      <c r="J251" s="1">
        <f t="shared" si="18"/>
        <v>1.4430000000231757E-5</v>
      </c>
      <c r="K251" s="1" t="str">
        <f>IF('Bilancio primo strato'!D251&gt;0,1,"")</f>
        <v/>
      </c>
      <c r="L251" s="7">
        <f>Sintesi!$C$34</f>
        <v>9.0200000000000002E-2</v>
      </c>
      <c r="M251" s="7">
        <f>Sintesi!$C$33</f>
        <v>0.196996</v>
      </c>
      <c r="N251" s="1">
        <f>'Paste cell here'!AA251</f>
        <v>0.2</v>
      </c>
      <c r="O251" s="1">
        <f>'Paste cell here'!H251</f>
        <v>0.49888247499999999</v>
      </c>
      <c r="P251" s="1">
        <f t="shared" si="19"/>
        <v>21.359200000000001</v>
      </c>
      <c r="Q251" s="1">
        <f t="shared" si="20"/>
        <v>10.65573056002</v>
      </c>
      <c r="R251" s="1">
        <f t="shared" si="21"/>
        <v>28.74346943998</v>
      </c>
      <c r="S251" s="5">
        <f t="shared" si="22"/>
        <v>0.17694923360000001</v>
      </c>
      <c r="T251" s="5">
        <f t="shared" si="23"/>
        <v>0.14371734719990001</v>
      </c>
    </row>
    <row r="252" spans="1:20">
      <c r="A252" s="1">
        <v>251</v>
      </c>
      <c r="B252" s="2">
        <f>DATE(Sintesi!$C$4-1,12,31)+A252</f>
        <v>44447</v>
      </c>
      <c r="C252" s="1">
        <f>'Paste cell here'!T252</f>
        <v>0</v>
      </c>
      <c r="D252" s="1">
        <f>'Paste cell here'!AC252</f>
        <v>0</v>
      </c>
      <c r="E252" s="1">
        <f>'Paste cell here'!Y252</f>
        <v>0</v>
      </c>
      <c r="F252" s="1">
        <f>'Paste cell here'!AD252</f>
        <v>4.99E-2</v>
      </c>
      <c r="G252" s="1">
        <f>'Paste cell here'!W252</f>
        <v>0</v>
      </c>
      <c r="H252" s="1">
        <f>'Paste cell here'!AE252</f>
        <v>35.339911209999997</v>
      </c>
      <c r="I252" s="1">
        <f>'Paste cell here'!AF252</f>
        <v>35.389846720000001</v>
      </c>
      <c r="J252" s="1">
        <f t="shared" si="18"/>
        <v>3.5510000003569075E-5</v>
      </c>
      <c r="K252" s="1" t="str">
        <f>IF('Bilancio primo strato'!D252&gt;0,1,"")</f>
        <v/>
      </c>
      <c r="L252" s="7">
        <f>Sintesi!$C$34</f>
        <v>9.0200000000000002E-2</v>
      </c>
      <c r="M252" s="7">
        <f>Sintesi!$C$33</f>
        <v>0.196996</v>
      </c>
      <c r="N252" s="1">
        <f>'Paste cell here'!AA252</f>
        <v>0.2</v>
      </c>
      <c r="O252" s="1">
        <f>'Paste cell here'!H252</f>
        <v>0.50630056700000003</v>
      </c>
      <c r="P252" s="1">
        <f t="shared" si="19"/>
        <v>21.359200000000001</v>
      </c>
      <c r="Q252" s="1">
        <f t="shared" si="20"/>
        <v>10.814175070666401</v>
      </c>
      <c r="R252" s="1">
        <f t="shared" si="21"/>
        <v>28.585024929333599</v>
      </c>
      <c r="S252" s="5">
        <f t="shared" si="22"/>
        <v>0.17669955604999998</v>
      </c>
      <c r="T252" s="5">
        <f t="shared" si="23"/>
        <v>0.14292512464666798</v>
      </c>
    </row>
    <row r="253" spans="1:20">
      <c r="A253" s="1">
        <v>252</v>
      </c>
      <c r="B253" s="2">
        <f>DATE(Sintesi!$C$4-1,12,31)+A253</f>
        <v>44448</v>
      </c>
      <c r="C253" s="1">
        <f>'Paste cell here'!T253</f>
        <v>0</v>
      </c>
      <c r="D253" s="1">
        <f>'Paste cell here'!AC253</f>
        <v>0</v>
      </c>
      <c r="E253" s="1">
        <f>'Paste cell here'!Y253</f>
        <v>0</v>
      </c>
      <c r="F253" s="1">
        <f>'Paste cell here'!AD253</f>
        <v>4.9000000000000002E-2</v>
      </c>
      <c r="G253" s="1">
        <f>'Paste cell here'!W253</f>
        <v>0</v>
      </c>
      <c r="H253" s="1">
        <f>'Paste cell here'!AE253</f>
        <v>35.290892960000001</v>
      </c>
      <c r="I253" s="1">
        <f>'Paste cell here'!AF253</f>
        <v>35.339911209999997</v>
      </c>
      <c r="J253" s="1">
        <f t="shared" si="18"/>
        <v>1.8249999996555744E-5</v>
      </c>
      <c r="K253" s="1" t="str">
        <f>IF('Bilancio primo strato'!D253&gt;0,1,"")</f>
        <v/>
      </c>
      <c r="L253" s="7">
        <f>Sintesi!$C$34</f>
        <v>9.0200000000000002E-2</v>
      </c>
      <c r="M253" s="7">
        <f>Sintesi!$C$33</f>
        <v>0.196996</v>
      </c>
      <c r="N253" s="1">
        <f>'Paste cell here'!AA253</f>
        <v>0.2</v>
      </c>
      <c r="O253" s="1">
        <f>'Paste cell here'!H253</f>
        <v>0.498105615</v>
      </c>
      <c r="P253" s="1">
        <f t="shared" si="19"/>
        <v>21.359200000000001</v>
      </c>
      <c r="Q253" s="1">
        <f t="shared" si="20"/>
        <v>10.639137451908001</v>
      </c>
      <c r="R253" s="1">
        <f t="shared" si="21"/>
        <v>28.760062548092002</v>
      </c>
      <c r="S253" s="5">
        <f t="shared" si="22"/>
        <v>0.17645446480000002</v>
      </c>
      <c r="T253" s="5">
        <f t="shared" si="23"/>
        <v>0.14380031274046001</v>
      </c>
    </row>
    <row r="254" spans="1:20">
      <c r="A254" s="1">
        <v>253</v>
      </c>
      <c r="B254" s="2">
        <f>DATE(Sintesi!$C$4-1,12,31)+A254</f>
        <v>44449</v>
      </c>
      <c r="C254" s="1">
        <f>'Paste cell here'!T254</f>
        <v>0</v>
      </c>
      <c r="D254" s="1">
        <f>'Paste cell here'!AC254</f>
        <v>0</v>
      </c>
      <c r="E254" s="1">
        <f>'Paste cell here'!Y254</f>
        <v>0</v>
      </c>
      <c r="F254" s="1">
        <f>'Paste cell here'!AD254</f>
        <v>4.8099999999999997E-2</v>
      </c>
      <c r="G254" s="1">
        <f>'Paste cell here'!W254</f>
        <v>0</v>
      </c>
      <c r="H254" s="1">
        <f>'Paste cell here'!AE254</f>
        <v>35.242760799999999</v>
      </c>
      <c r="I254" s="1">
        <f>'Paste cell here'!AF254</f>
        <v>35.290892960000001</v>
      </c>
      <c r="J254" s="1">
        <f t="shared" si="18"/>
        <v>3.21600000035005E-5</v>
      </c>
      <c r="K254" s="1" t="str">
        <f>IF('Bilancio primo strato'!D254&gt;0,1,"")</f>
        <v/>
      </c>
      <c r="L254" s="7">
        <f>Sintesi!$C$34</f>
        <v>9.0200000000000002E-2</v>
      </c>
      <c r="M254" s="7">
        <f>Sintesi!$C$33</f>
        <v>0.196996</v>
      </c>
      <c r="N254" s="1">
        <f>'Paste cell here'!AA254</f>
        <v>0.2</v>
      </c>
      <c r="O254" s="1">
        <f>'Paste cell here'!H254</f>
        <v>0.51839127100000004</v>
      </c>
      <c r="P254" s="1">
        <f t="shared" si="19"/>
        <v>21.359200000000001</v>
      </c>
      <c r="Q254" s="1">
        <f t="shared" si="20"/>
        <v>11.072422835543202</v>
      </c>
      <c r="R254" s="1">
        <f t="shared" si="21"/>
        <v>28.3267771644568</v>
      </c>
      <c r="S254" s="5">
        <f t="shared" si="22"/>
        <v>0.176213804</v>
      </c>
      <c r="T254" s="5">
        <f t="shared" si="23"/>
        <v>0.14163388582228401</v>
      </c>
    </row>
    <row r="255" spans="1:20">
      <c r="A255" s="1">
        <v>254</v>
      </c>
      <c r="B255" s="2">
        <f>DATE(Sintesi!$C$4-1,12,31)+A255</f>
        <v>44450</v>
      </c>
      <c r="C255" s="1">
        <f>'Paste cell here'!T255</f>
        <v>0</v>
      </c>
      <c r="D255" s="1">
        <f>'Paste cell here'!AC255</f>
        <v>0</v>
      </c>
      <c r="E255" s="1">
        <f>'Paste cell here'!Y255</f>
        <v>0</v>
      </c>
      <c r="F255" s="1">
        <f>'Paste cell here'!AD255</f>
        <v>4.7300000000000002E-2</v>
      </c>
      <c r="G255" s="1">
        <f>'Paste cell here'!W255</f>
        <v>0</v>
      </c>
      <c r="H255" s="1">
        <f>'Paste cell here'!AE255</f>
        <v>35.195485060000003</v>
      </c>
      <c r="I255" s="1">
        <f>'Paste cell here'!AF255</f>
        <v>35.242760799999999</v>
      </c>
      <c r="J255" s="1">
        <f t="shared" si="18"/>
        <v>2.4260000003550886E-5</v>
      </c>
      <c r="K255" s="1" t="str">
        <f>IF('Bilancio primo strato'!D255&gt;0,1,"")</f>
        <v/>
      </c>
      <c r="L255" s="7">
        <f>Sintesi!$C$34</f>
        <v>9.0200000000000002E-2</v>
      </c>
      <c r="M255" s="7">
        <f>Sintesi!$C$33</f>
        <v>0.196996</v>
      </c>
      <c r="N255" s="1">
        <f>'Paste cell here'!AA255</f>
        <v>0.2</v>
      </c>
      <c r="O255" s="1">
        <f>'Paste cell here'!H255</f>
        <v>0.54266368700000001</v>
      </c>
      <c r="P255" s="1">
        <f t="shared" si="19"/>
        <v>21.359200000000001</v>
      </c>
      <c r="Q255" s="1">
        <f t="shared" si="20"/>
        <v>11.590862223370401</v>
      </c>
      <c r="R255" s="1">
        <f t="shared" si="21"/>
        <v>27.8083377766296</v>
      </c>
      <c r="S255" s="5">
        <f t="shared" si="22"/>
        <v>0.17597742530000002</v>
      </c>
      <c r="T255" s="5">
        <f t="shared" si="23"/>
        <v>0.139041688883148</v>
      </c>
    </row>
    <row r="256" spans="1:20">
      <c r="A256" s="1">
        <v>255</v>
      </c>
      <c r="B256" s="2">
        <f>DATE(Sintesi!$C$4-1,12,31)+A256</f>
        <v>44451</v>
      </c>
      <c r="C256" s="1">
        <f>'Paste cell here'!T256</f>
        <v>0</v>
      </c>
      <c r="D256" s="1">
        <f>'Paste cell here'!AC256</f>
        <v>0</v>
      </c>
      <c r="E256" s="1">
        <f>'Paste cell here'!Y256</f>
        <v>0</v>
      </c>
      <c r="F256" s="1">
        <f>'Paste cell here'!AD256</f>
        <v>4.6399999999999997E-2</v>
      </c>
      <c r="G256" s="1">
        <f>'Paste cell here'!W256</f>
        <v>0</v>
      </c>
      <c r="H256" s="1">
        <f>'Paste cell here'!AE256</f>
        <v>35.149037540000002</v>
      </c>
      <c r="I256" s="1">
        <f>'Paste cell here'!AF256</f>
        <v>35.195485060000003</v>
      </c>
      <c r="J256" s="1">
        <f t="shared" si="18"/>
        <v>4.7520000002521101E-5</v>
      </c>
      <c r="K256" s="1" t="str">
        <f>IF('Bilancio primo strato'!D256&gt;0,1,"")</f>
        <v/>
      </c>
      <c r="L256" s="7">
        <f>Sintesi!$C$34</f>
        <v>9.0200000000000002E-2</v>
      </c>
      <c r="M256" s="7">
        <f>Sintesi!$C$33</f>
        <v>0.196996</v>
      </c>
      <c r="N256" s="1">
        <f>'Paste cell here'!AA256</f>
        <v>0.2</v>
      </c>
      <c r="O256" s="1">
        <f>'Paste cell here'!H256</f>
        <v>0.52077062299999999</v>
      </c>
      <c r="P256" s="1">
        <f t="shared" si="19"/>
        <v>21.359200000000001</v>
      </c>
      <c r="Q256" s="1">
        <f t="shared" si="20"/>
        <v>11.1232438907816</v>
      </c>
      <c r="R256" s="1">
        <f t="shared" si="21"/>
        <v>28.275956109218399</v>
      </c>
      <c r="S256" s="5">
        <f t="shared" si="22"/>
        <v>0.1757451877</v>
      </c>
      <c r="T256" s="5">
        <f t="shared" si="23"/>
        <v>0.14137978054609199</v>
      </c>
    </row>
    <row r="257" spans="1:20">
      <c r="A257" s="1">
        <v>256</v>
      </c>
      <c r="B257" s="2">
        <f>DATE(Sintesi!$C$4-1,12,31)+A257</f>
        <v>44452</v>
      </c>
      <c r="C257" s="1">
        <f>'Paste cell here'!T257</f>
        <v>0</v>
      </c>
      <c r="D257" s="1">
        <f>'Paste cell here'!AC257</f>
        <v>0</v>
      </c>
      <c r="E257" s="1">
        <f>'Paste cell here'!Y257</f>
        <v>0</v>
      </c>
      <c r="F257" s="1">
        <f>'Paste cell here'!AD257</f>
        <v>4.5600000000000002E-2</v>
      </c>
      <c r="G257" s="1">
        <f>'Paste cell here'!W257</f>
        <v>0</v>
      </c>
      <c r="H257" s="1">
        <f>'Paste cell here'!AE257</f>
        <v>35.103391369999997</v>
      </c>
      <c r="I257" s="1">
        <f>'Paste cell here'!AF257</f>
        <v>35.149037540000002</v>
      </c>
      <c r="J257" s="1">
        <f t="shared" si="18"/>
        <v>4.6170000004508438E-5</v>
      </c>
      <c r="K257" s="1" t="str">
        <f>IF('Bilancio primo strato'!D257&gt;0,1,"")</f>
        <v/>
      </c>
      <c r="L257" s="7">
        <f>Sintesi!$C$34</f>
        <v>9.0200000000000002E-2</v>
      </c>
      <c r="M257" s="7">
        <f>Sintesi!$C$33</f>
        <v>0.196996</v>
      </c>
      <c r="N257" s="1">
        <f>'Paste cell here'!AA257</f>
        <v>0.2</v>
      </c>
      <c r="O257" s="1">
        <f>'Paste cell here'!H257</f>
        <v>0.52047151400000002</v>
      </c>
      <c r="P257" s="1">
        <f t="shared" si="19"/>
        <v>21.359200000000001</v>
      </c>
      <c r="Q257" s="1">
        <f t="shared" si="20"/>
        <v>11.116855161828802</v>
      </c>
      <c r="R257" s="1">
        <f t="shared" si="21"/>
        <v>28.282344838171198</v>
      </c>
      <c r="S257" s="5">
        <f t="shared" si="22"/>
        <v>0.17551695684999999</v>
      </c>
      <c r="T257" s="5">
        <f t="shared" si="23"/>
        <v>0.14141172419085599</v>
      </c>
    </row>
    <row r="258" spans="1:20">
      <c r="A258" s="1">
        <v>257</v>
      </c>
      <c r="B258" s="2">
        <f>DATE(Sintesi!$C$4-1,12,31)+A258</f>
        <v>44453</v>
      </c>
      <c r="C258" s="1">
        <f>'Paste cell here'!T258</f>
        <v>0</v>
      </c>
      <c r="D258" s="1">
        <f>'Paste cell here'!AC258</f>
        <v>0</v>
      </c>
      <c r="E258" s="1">
        <f>'Paste cell here'!Y258</f>
        <v>0</v>
      </c>
      <c r="F258" s="1">
        <f>'Paste cell here'!AD258</f>
        <v>4.4900000000000002E-2</v>
      </c>
      <c r="G258" s="1">
        <f>'Paste cell here'!W258</f>
        <v>0</v>
      </c>
      <c r="H258" s="1">
        <f>'Paste cell here'!AE258</f>
        <v>35.058520950000002</v>
      </c>
      <c r="I258" s="1">
        <f>'Paste cell here'!AF258</f>
        <v>35.103391369999997</v>
      </c>
      <c r="J258" s="1">
        <f t="shared" ref="J258:J321" si="24">ABS(I258+C258+D258-E258-F258-G258-H258)</f>
        <v>2.9580000003193163E-5</v>
      </c>
      <c r="K258" s="1" t="str">
        <f>IF('Bilancio primo strato'!D258&gt;0,1,"")</f>
        <v/>
      </c>
      <c r="L258" s="7">
        <f>Sintesi!$C$34</f>
        <v>9.0200000000000002E-2</v>
      </c>
      <c r="M258" s="7">
        <f>Sintesi!$C$33</f>
        <v>0.196996</v>
      </c>
      <c r="N258" s="1">
        <f>'Paste cell here'!AA258</f>
        <v>0.2</v>
      </c>
      <c r="O258" s="1">
        <f>'Paste cell here'!H258</f>
        <v>0.51609791500000002</v>
      </c>
      <c r="P258" s="1">
        <f t="shared" ref="P258:P321" si="25">(M258-L258)*N258*1000</f>
        <v>21.359200000000001</v>
      </c>
      <c r="Q258" s="1">
        <f t="shared" ref="Q258:Q321" si="26">P258*O258</f>
        <v>11.023438586068002</v>
      </c>
      <c r="R258" s="1">
        <f t="shared" ref="R258:R321" si="27">M258*N258*1000-Q258</f>
        <v>28.375761413931997</v>
      </c>
      <c r="S258" s="5">
        <f t="shared" ref="S258:S321" si="28">H258/($N258*1000)</f>
        <v>0.17529260475</v>
      </c>
      <c r="T258" s="5">
        <f t="shared" ref="T258:T321" si="29">R258/($N258*1000)</f>
        <v>0.14187880706966</v>
      </c>
    </row>
    <row r="259" spans="1:20">
      <c r="A259" s="1">
        <v>258</v>
      </c>
      <c r="B259" s="2">
        <f>DATE(Sintesi!$C$4-1,12,31)+A259</f>
        <v>44454</v>
      </c>
      <c r="C259" s="1">
        <f>'Paste cell here'!T259</f>
        <v>0</v>
      </c>
      <c r="D259" s="1">
        <f>'Paste cell here'!AC259</f>
        <v>0</v>
      </c>
      <c r="E259" s="1">
        <f>'Paste cell here'!Y259</f>
        <v>0</v>
      </c>
      <c r="F259" s="1">
        <f>'Paste cell here'!AD259</f>
        <v>4.41E-2</v>
      </c>
      <c r="G259" s="1">
        <f>'Paste cell here'!W259</f>
        <v>0</v>
      </c>
      <c r="H259" s="1">
        <f>'Paste cell here'!AE259</f>
        <v>35.014401839999998</v>
      </c>
      <c r="I259" s="1">
        <f>'Paste cell here'!AF259</f>
        <v>35.058520950000002</v>
      </c>
      <c r="J259" s="1">
        <f t="shared" si="24"/>
        <v>1.9110000003763616E-5</v>
      </c>
      <c r="K259" s="1" t="str">
        <f>IF('Bilancio primo strato'!D259&gt;0,1,"")</f>
        <v/>
      </c>
      <c r="L259" s="7">
        <f>Sintesi!$C$34</f>
        <v>9.0200000000000002E-2</v>
      </c>
      <c r="M259" s="7">
        <f>Sintesi!$C$33</f>
        <v>0.196996</v>
      </c>
      <c r="N259" s="1">
        <f>'Paste cell here'!AA259</f>
        <v>0.2</v>
      </c>
      <c r="O259" s="1">
        <f>'Paste cell here'!H259</f>
        <v>0.56110234599999997</v>
      </c>
      <c r="P259" s="1">
        <f t="shared" si="25"/>
        <v>21.359200000000001</v>
      </c>
      <c r="Q259" s="1">
        <f t="shared" si="26"/>
        <v>11.984697228683201</v>
      </c>
      <c r="R259" s="1">
        <f t="shared" si="27"/>
        <v>27.414502771316798</v>
      </c>
      <c r="S259" s="5">
        <f t="shared" si="28"/>
        <v>0.17507200919999999</v>
      </c>
      <c r="T259" s="5">
        <f t="shared" si="29"/>
        <v>0.13707251385658398</v>
      </c>
    </row>
    <row r="260" spans="1:20">
      <c r="A260" s="1">
        <v>259</v>
      </c>
      <c r="B260" s="2">
        <f>DATE(Sintesi!$C$4-1,12,31)+A260</f>
        <v>44455</v>
      </c>
      <c r="C260" s="1">
        <f>'Paste cell here'!T260</f>
        <v>2.1999999999999999E-2</v>
      </c>
      <c r="D260" s="1">
        <f>'Paste cell here'!AC260</f>
        <v>0</v>
      </c>
      <c r="E260" s="1">
        <f>'Paste cell here'!Y260</f>
        <v>0</v>
      </c>
      <c r="F260" s="1">
        <f>'Paste cell here'!AD260</f>
        <v>4.3400000000000001E-2</v>
      </c>
      <c r="G260" s="1">
        <f>'Paste cell here'!W260</f>
        <v>0</v>
      </c>
      <c r="H260" s="1">
        <f>'Paste cell here'!AE260</f>
        <v>34.992949629999998</v>
      </c>
      <c r="I260" s="1">
        <f>'Paste cell here'!AF260</f>
        <v>35.014401839999998</v>
      </c>
      <c r="J260" s="1">
        <f t="shared" si="24"/>
        <v>5.2209999999774936E-5</v>
      </c>
      <c r="K260" s="1" t="str">
        <f>IF('Bilancio primo strato'!D260&gt;0,1,"")</f>
        <v/>
      </c>
      <c r="L260" s="7">
        <f>Sintesi!$C$34</f>
        <v>9.0200000000000002E-2</v>
      </c>
      <c r="M260" s="7">
        <f>Sintesi!$C$33</f>
        <v>0.196996</v>
      </c>
      <c r="N260" s="1">
        <f>'Paste cell here'!AA260</f>
        <v>0.2</v>
      </c>
      <c r="O260" s="1">
        <f>'Paste cell here'!H260</f>
        <v>0.570503227</v>
      </c>
      <c r="P260" s="1">
        <f t="shared" si="25"/>
        <v>21.359200000000001</v>
      </c>
      <c r="Q260" s="1">
        <f t="shared" si="26"/>
        <v>12.1854925261384</v>
      </c>
      <c r="R260" s="1">
        <f t="shared" si="27"/>
        <v>27.2137074738616</v>
      </c>
      <c r="S260" s="5">
        <f t="shared" si="28"/>
        <v>0.17496474814999999</v>
      </c>
      <c r="T260" s="5">
        <f t="shared" si="29"/>
        <v>0.13606853736930799</v>
      </c>
    </row>
    <row r="261" spans="1:20">
      <c r="A261" s="1">
        <v>260</v>
      </c>
      <c r="B261" s="2">
        <f>DATE(Sintesi!$C$4-1,12,31)+A261</f>
        <v>44456</v>
      </c>
      <c r="C261" s="1">
        <f>'Paste cell here'!T261</f>
        <v>0.13474074699999999</v>
      </c>
      <c r="D261" s="1">
        <f>'Paste cell here'!AC261</f>
        <v>0</v>
      </c>
      <c r="E261" s="1">
        <f>'Paste cell here'!Y261</f>
        <v>0</v>
      </c>
      <c r="F261" s="1">
        <f>'Paste cell here'!AD261</f>
        <v>4.4600000000000001E-2</v>
      </c>
      <c r="G261" s="1">
        <f>'Paste cell here'!W261</f>
        <v>0</v>
      </c>
      <c r="H261" s="1">
        <f>'Paste cell here'!AE261</f>
        <v>35.083116259999997</v>
      </c>
      <c r="I261" s="1">
        <f>'Paste cell here'!AF261</f>
        <v>34.992949629999998</v>
      </c>
      <c r="J261" s="1">
        <f t="shared" si="24"/>
        <v>2.5882999999282674E-5</v>
      </c>
      <c r="K261" s="1" t="str">
        <f>IF('Bilancio primo strato'!D261&gt;0,1,"")</f>
        <v/>
      </c>
      <c r="L261" s="7">
        <f>Sintesi!$C$34</f>
        <v>9.0200000000000002E-2</v>
      </c>
      <c r="M261" s="7">
        <f>Sintesi!$C$33</f>
        <v>0.196996</v>
      </c>
      <c r="N261" s="1">
        <f>'Paste cell here'!AA261</f>
        <v>0.2</v>
      </c>
      <c r="O261" s="1">
        <f>'Paste cell here'!H261</f>
        <v>0.58255290400000004</v>
      </c>
      <c r="P261" s="1">
        <f t="shared" si="25"/>
        <v>21.359200000000001</v>
      </c>
      <c r="Q261" s="1">
        <f t="shared" si="26"/>
        <v>12.442863987116802</v>
      </c>
      <c r="R261" s="1">
        <f t="shared" si="27"/>
        <v>26.956336012883199</v>
      </c>
      <c r="S261" s="5">
        <f t="shared" si="28"/>
        <v>0.17541558129999998</v>
      </c>
      <c r="T261" s="5">
        <f t="shared" si="29"/>
        <v>0.13478168006441599</v>
      </c>
    </row>
    <row r="262" spans="1:20">
      <c r="A262" s="1">
        <v>261</v>
      </c>
      <c r="B262" s="2">
        <f>DATE(Sintesi!$C$4-1,12,31)+A262</f>
        <v>44457</v>
      </c>
      <c r="C262" s="1">
        <f>'Paste cell here'!T262</f>
        <v>1.8800000000000001E-2</v>
      </c>
      <c r="D262" s="1">
        <f>'Paste cell here'!AC262</f>
        <v>0</v>
      </c>
      <c r="E262" s="1">
        <f>'Paste cell here'!Y262</f>
        <v>0</v>
      </c>
      <c r="F262" s="1">
        <f>'Paste cell here'!AD262</f>
        <v>4.4699999999999997E-2</v>
      </c>
      <c r="G262" s="1">
        <f>'Paste cell here'!W262</f>
        <v>0</v>
      </c>
      <c r="H262" s="1">
        <f>'Paste cell here'!AE262</f>
        <v>35.057172729999998</v>
      </c>
      <c r="I262" s="1">
        <f>'Paste cell here'!AF262</f>
        <v>35.083116259999997</v>
      </c>
      <c r="J262" s="1">
        <f t="shared" si="24"/>
        <v>4.3529999999236679E-5</v>
      </c>
      <c r="K262" s="1" t="str">
        <f>IF('Bilancio primo strato'!D262&gt;0,1,"")</f>
        <v/>
      </c>
      <c r="L262" s="7">
        <f>Sintesi!$C$34</f>
        <v>9.0200000000000002E-2</v>
      </c>
      <c r="M262" s="7">
        <f>Sintesi!$C$33</f>
        <v>0.196996</v>
      </c>
      <c r="N262" s="1">
        <f>'Paste cell here'!AA262</f>
        <v>0.2</v>
      </c>
      <c r="O262" s="1">
        <f>'Paste cell here'!H262</f>
        <v>0.55267777600000001</v>
      </c>
      <c r="P262" s="1">
        <f t="shared" si="25"/>
        <v>21.359200000000001</v>
      </c>
      <c r="Q262" s="1">
        <f t="shared" si="26"/>
        <v>11.804755153139201</v>
      </c>
      <c r="R262" s="1">
        <f t="shared" si="27"/>
        <v>27.594444846860799</v>
      </c>
      <c r="S262" s="5">
        <f t="shared" si="28"/>
        <v>0.17528586364999998</v>
      </c>
      <c r="T262" s="5">
        <f t="shared" si="29"/>
        <v>0.137972224234304</v>
      </c>
    </row>
    <row r="263" spans="1:20">
      <c r="A263" s="1">
        <v>262</v>
      </c>
      <c r="B263" s="2">
        <f>DATE(Sintesi!$C$4-1,12,31)+A263</f>
        <v>44458</v>
      </c>
      <c r="C263" s="1">
        <f>'Paste cell here'!T263</f>
        <v>4.4799999999999996E-3</v>
      </c>
      <c r="D263" s="1">
        <f>'Paste cell here'!AC263</f>
        <v>0</v>
      </c>
      <c r="E263" s="1">
        <f>'Paste cell here'!Y263</f>
        <v>0</v>
      </c>
      <c r="F263" s="1">
        <f>'Paste cell here'!AD263</f>
        <v>4.41E-2</v>
      </c>
      <c r="G263" s="1">
        <f>'Paste cell here'!W263</f>
        <v>0</v>
      </c>
      <c r="H263" s="1">
        <f>'Paste cell here'!AE263</f>
        <v>35.01751573</v>
      </c>
      <c r="I263" s="1">
        <f>'Paste cell here'!AF263</f>
        <v>35.057172729999998</v>
      </c>
      <c r="J263" s="1">
        <f t="shared" si="24"/>
        <v>3.6999999998954536E-5</v>
      </c>
      <c r="K263" s="1" t="str">
        <f>IF('Bilancio primo strato'!D263&gt;0,1,"")</f>
        <v/>
      </c>
      <c r="L263" s="7">
        <f>Sintesi!$C$34</f>
        <v>9.0200000000000002E-2</v>
      </c>
      <c r="M263" s="7">
        <f>Sintesi!$C$33</f>
        <v>0.196996</v>
      </c>
      <c r="N263" s="1">
        <f>'Paste cell here'!AA263</f>
        <v>0.2</v>
      </c>
      <c r="O263" s="1">
        <f>'Paste cell here'!H263</f>
        <v>0.56471835999999997</v>
      </c>
      <c r="P263" s="1">
        <f t="shared" si="25"/>
        <v>21.359200000000001</v>
      </c>
      <c r="Q263" s="1">
        <f t="shared" si="26"/>
        <v>12.061932394912001</v>
      </c>
      <c r="R263" s="1">
        <f t="shared" si="27"/>
        <v>27.337267605088002</v>
      </c>
      <c r="S263" s="5">
        <f t="shared" si="28"/>
        <v>0.17508757864999999</v>
      </c>
      <c r="T263" s="5">
        <f t="shared" si="29"/>
        <v>0.13668633802544</v>
      </c>
    </row>
    <row r="264" spans="1:20">
      <c r="A264" s="1">
        <v>263</v>
      </c>
      <c r="B264" s="2">
        <f>DATE(Sintesi!$C$4-1,12,31)+A264</f>
        <v>44459</v>
      </c>
      <c r="C264" s="1">
        <f>'Paste cell here'!T264</f>
        <v>0.18271288499999999</v>
      </c>
      <c r="D264" s="1">
        <f>'Paste cell here'!AC264</f>
        <v>0</v>
      </c>
      <c r="E264" s="1">
        <f>'Paste cell here'!Y264</f>
        <v>0</v>
      </c>
      <c r="F264" s="1">
        <f>'Paste cell here'!AD264</f>
        <v>4.3999999999999997E-2</v>
      </c>
      <c r="G264" s="1">
        <f>'Paste cell here'!W264</f>
        <v>0</v>
      </c>
      <c r="H264" s="1">
        <f>'Paste cell here'!AE264</f>
        <v>35.156189869999999</v>
      </c>
      <c r="I264" s="1">
        <f>'Paste cell here'!AF264</f>
        <v>35.01751573</v>
      </c>
      <c r="J264" s="1">
        <f t="shared" si="24"/>
        <v>3.874500000478065E-5</v>
      </c>
      <c r="K264" s="1" t="str">
        <f>IF('Bilancio primo strato'!D264&gt;0,1,"")</f>
        <v/>
      </c>
      <c r="L264" s="7">
        <f>Sintesi!$C$34</f>
        <v>9.0200000000000002E-2</v>
      </c>
      <c r="M264" s="7">
        <f>Sintesi!$C$33</f>
        <v>0.196996</v>
      </c>
      <c r="N264" s="1">
        <f>'Paste cell here'!AA264</f>
        <v>0.2</v>
      </c>
      <c r="O264" s="1">
        <f>'Paste cell here'!H264</f>
        <v>0.56887688999999997</v>
      </c>
      <c r="P264" s="1">
        <f t="shared" si="25"/>
        <v>21.359200000000001</v>
      </c>
      <c r="Q264" s="1">
        <f t="shared" si="26"/>
        <v>12.150755268888</v>
      </c>
      <c r="R264" s="1">
        <f t="shared" si="27"/>
        <v>27.248444731112002</v>
      </c>
      <c r="S264" s="5">
        <f t="shared" si="28"/>
        <v>0.17578094934999999</v>
      </c>
      <c r="T264" s="5">
        <f t="shared" si="29"/>
        <v>0.13624222365556002</v>
      </c>
    </row>
    <row r="265" spans="1:20">
      <c r="A265" s="1">
        <v>264</v>
      </c>
      <c r="B265" s="2">
        <f>DATE(Sintesi!$C$4-1,12,31)+A265</f>
        <v>44460</v>
      </c>
      <c r="C265" s="1">
        <f>'Paste cell here'!T265</f>
        <v>0.50966671600000002</v>
      </c>
      <c r="D265" s="1">
        <f>'Paste cell here'!AC265</f>
        <v>0</v>
      </c>
      <c r="E265" s="1">
        <f>'Paste cell here'!Y265</f>
        <v>0</v>
      </c>
      <c r="F265" s="1">
        <f>'Paste cell here'!AD265</f>
        <v>5.1999999999999998E-2</v>
      </c>
      <c r="G265" s="1">
        <f>'Paste cell here'!W265</f>
        <v>0</v>
      </c>
      <c r="H265" s="1">
        <f>'Paste cell here'!AE265</f>
        <v>35.613857779999996</v>
      </c>
      <c r="I265" s="1">
        <f>'Paste cell here'!AF265</f>
        <v>35.156189869999999</v>
      </c>
      <c r="J265" s="1">
        <f t="shared" si="24"/>
        <v>1.19399999931602E-6</v>
      </c>
      <c r="K265" s="1" t="str">
        <f>IF('Bilancio primo strato'!D265&gt;0,1,"")</f>
        <v/>
      </c>
      <c r="L265" s="7">
        <f>Sintesi!$C$34</f>
        <v>9.0200000000000002E-2</v>
      </c>
      <c r="M265" s="7">
        <f>Sintesi!$C$33</f>
        <v>0.196996</v>
      </c>
      <c r="N265" s="1">
        <f>'Paste cell here'!AA265</f>
        <v>0.2</v>
      </c>
      <c r="O265" s="1">
        <f>'Paste cell here'!H265</f>
        <v>0.55703942699999998</v>
      </c>
      <c r="P265" s="1">
        <f t="shared" si="25"/>
        <v>21.359200000000001</v>
      </c>
      <c r="Q265" s="1">
        <f t="shared" si="26"/>
        <v>11.897916529178401</v>
      </c>
      <c r="R265" s="1">
        <f t="shared" si="27"/>
        <v>27.501283470821598</v>
      </c>
      <c r="S265" s="5">
        <f t="shared" si="28"/>
        <v>0.17806928889999998</v>
      </c>
      <c r="T265" s="5">
        <f t="shared" si="29"/>
        <v>0.13750641735410798</v>
      </c>
    </row>
    <row r="266" spans="1:20">
      <c r="A266" s="1">
        <v>265</v>
      </c>
      <c r="B266" s="2">
        <f>DATE(Sintesi!$C$4-1,12,31)+A266</f>
        <v>44461</v>
      </c>
      <c r="C266" s="1">
        <f>'Paste cell here'!T266</f>
        <v>9.0300000000000005E-2</v>
      </c>
      <c r="D266" s="1">
        <f>'Paste cell here'!AC266</f>
        <v>0</v>
      </c>
      <c r="E266" s="1">
        <f>'Paste cell here'!Y266</f>
        <v>0</v>
      </c>
      <c r="F266" s="1">
        <f>'Paste cell here'!AD266</f>
        <v>5.5500000000000001E-2</v>
      </c>
      <c r="G266" s="1">
        <f>'Paste cell here'!W266</f>
        <v>0</v>
      </c>
      <c r="H266" s="1">
        <f>'Paste cell here'!AE266</f>
        <v>35.648667580000001</v>
      </c>
      <c r="I266" s="1">
        <f>'Paste cell here'!AF266</f>
        <v>35.613857779999996</v>
      </c>
      <c r="J266" s="1">
        <f t="shared" si="24"/>
        <v>9.8000000079423444E-6</v>
      </c>
      <c r="K266" s="1" t="str">
        <f>IF('Bilancio primo strato'!D266&gt;0,1,"")</f>
        <v/>
      </c>
      <c r="L266" s="7">
        <f>Sintesi!$C$34</f>
        <v>9.0200000000000002E-2</v>
      </c>
      <c r="M266" s="7">
        <f>Sintesi!$C$33</f>
        <v>0.196996</v>
      </c>
      <c r="N266" s="1">
        <f>'Paste cell here'!AA266</f>
        <v>0.2</v>
      </c>
      <c r="O266" s="1">
        <f>'Paste cell here'!H266</f>
        <v>0.56558770000000003</v>
      </c>
      <c r="P266" s="1">
        <f t="shared" si="25"/>
        <v>21.359200000000001</v>
      </c>
      <c r="Q266" s="1">
        <f t="shared" si="26"/>
        <v>12.080500801840001</v>
      </c>
      <c r="R266" s="1">
        <f t="shared" si="27"/>
        <v>27.318699198159997</v>
      </c>
      <c r="S266" s="5">
        <f t="shared" si="28"/>
        <v>0.17824333790000002</v>
      </c>
      <c r="T266" s="5">
        <f t="shared" si="29"/>
        <v>0.13659349599079998</v>
      </c>
    </row>
    <row r="267" spans="1:20">
      <c r="A267" s="1">
        <v>266</v>
      </c>
      <c r="B267" s="2">
        <f>DATE(Sintesi!$C$4-1,12,31)+A267</f>
        <v>44462</v>
      </c>
      <c r="C267" s="1">
        <f>'Paste cell here'!T267</f>
        <v>1.2500000000000001E-2</v>
      </c>
      <c r="D267" s="1">
        <f>'Paste cell here'!AC267</f>
        <v>0</v>
      </c>
      <c r="E267" s="1">
        <f>'Paste cell here'!Y267</f>
        <v>0</v>
      </c>
      <c r="F267" s="1">
        <f>'Paste cell here'!AD267</f>
        <v>5.5100000000000003E-2</v>
      </c>
      <c r="G267" s="1">
        <f>'Paste cell here'!W267</f>
        <v>0</v>
      </c>
      <c r="H267" s="1">
        <f>'Paste cell here'!AE267</f>
        <v>35.606008559999999</v>
      </c>
      <c r="I267" s="1">
        <f>'Paste cell here'!AF267</f>
        <v>35.648667580000001</v>
      </c>
      <c r="J267" s="1">
        <f t="shared" si="24"/>
        <v>5.9020000001908102E-5</v>
      </c>
      <c r="K267" s="1" t="str">
        <f>IF('Bilancio primo strato'!D267&gt;0,1,"")</f>
        <v/>
      </c>
      <c r="L267" s="7">
        <f>Sintesi!$C$34</f>
        <v>9.0200000000000002E-2</v>
      </c>
      <c r="M267" s="7">
        <f>Sintesi!$C$33</f>
        <v>0.196996</v>
      </c>
      <c r="N267" s="1">
        <f>'Paste cell here'!AA267</f>
        <v>0.2</v>
      </c>
      <c r="O267" s="1">
        <f>'Paste cell here'!H267</f>
        <v>0.56608936200000004</v>
      </c>
      <c r="P267" s="1">
        <f t="shared" si="25"/>
        <v>21.359200000000001</v>
      </c>
      <c r="Q267" s="1">
        <f t="shared" si="26"/>
        <v>12.091215900830402</v>
      </c>
      <c r="R267" s="1">
        <f t="shared" si="27"/>
        <v>27.307984099169598</v>
      </c>
      <c r="S267" s="5">
        <f t="shared" si="28"/>
        <v>0.17803004280000001</v>
      </c>
      <c r="T267" s="5">
        <f t="shared" si="29"/>
        <v>0.13653992049584798</v>
      </c>
    </row>
    <row r="268" spans="1:20">
      <c r="A268" s="1">
        <v>267</v>
      </c>
      <c r="B268" s="2">
        <f>DATE(Sintesi!$C$4-1,12,31)+A268</f>
        <v>44463</v>
      </c>
      <c r="C268" s="1">
        <f>'Paste cell here'!T268</f>
        <v>1.1000000000000001E-3</v>
      </c>
      <c r="D268" s="1">
        <f>'Paste cell here'!AC268</f>
        <v>0</v>
      </c>
      <c r="E268" s="1">
        <f>'Paste cell here'!Y268</f>
        <v>0</v>
      </c>
      <c r="F268" s="1">
        <f>'Paste cell here'!AD268</f>
        <v>5.4100000000000002E-2</v>
      </c>
      <c r="G268" s="1">
        <f>'Paste cell here'!W268</f>
        <v>0</v>
      </c>
      <c r="H268" s="1">
        <f>'Paste cell here'!AE268</f>
        <v>35.553008390000002</v>
      </c>
      <c r="I268" s="1">
        <f>'Paste cell here'!AF268</f>
        <v>35.606008559999999</v>
      </c>
      <c r="J268" s="1">
        <f t="shared" si="24"/>
        <v>1.6999999985500835E-7</v>
      </c>
      <c r="K268" s="1" t="str">
        <f>IF('Bilancio primo strato'!D268&gt;0,1,"")</f>
        <v/>
      </c>
      <c r="L268" s="7">
        <f>Sintesi!$C$34</f>
        <v>9.0200000000000002E-2</v>
      </c>
      <c r="M268" s="7">
        <f>Sintesi!$C$33</f>
        <v>0.196996</v>
      </c>
      <c r="N268" s="1">
        <f>'Paste cell here'!AA268</f>
        <v>0.2</v>
      </c>
      <c r="O268" s="1">
        <f>'Paste cell here'!H268</f>
        <v>0.56991915800000004</v>
      </c>
      <c r="P268" s="1">
        <f t="shared" si="25"/>
        <v>21.359200000000001</v>
      </c>
      <c r="Q268" s="1">
        <f t="shared" si="26"/>
        <v>12.173017279553601</v>
      </c>
      <c r="R268" s="1">
        <f t="shared" si="27"/>
        <v>27.226182720446399</v>
      </c>
      <c r="S268" s="5">
        <f t="shared" si="28"/>
        <v>0.17776504195000001</v>
      </c>
      <c r="T268" s="5">
        <f t="shared" si="29"/>
        <v>0.13613091360223201</v>
      </c>
    </row>
    <row r="269" spans="1:20">
      <c r="A269" s="1">
        <v>268</v>
      </c>
      <c r="B269" s="2">
        <f>DATE(Sintesi!$C$4-1,12,31)+A269</f>
        <v>44464</v>
      </c>
      <c r="C269" s="1">
        <f>'Paste cell here'!T269</f>
        <v>6.4200000000000002E-5</v>
      </c>
      <c r="D269" s="1">
        <f>'Paste cell here'!AC269</f>
        <v>0</v>
      </c>
      <c r="E269" s="1">
        <f>'Paste cell here'!Y269</f>
        <v>0</v>
      </c>
      <c r="F269" s="1">
        <f>'Paste cell here'!AD269</f>
        <v>5.2999999999999999E-2</v>
      </c>
      <c r="G269" s="1">
        <f>'Paste cell here'!W269</f>
        <v>0</v>
      </c>
      <c r="H269" s="1">
        <f>'Paste cell here'!AE269</f>
        <v>35.500033909999999</v>
      </c>
      <c r="I269" s="1">
        <f>'Paste cell here'!AF269</f>
        <v>35.553008390000002</v>
      </c>
      <c r="J269" s="1">
        <f t="shared" si="24"/>
        <v>3.8680000002955239E-5</v>
      </c>
      <c r="K269" s="1" t="str">
        <f>IF('Bilancio primo strato'!D269&gt;0,1,"")</f>
        <v/>
      </c>
      <c r="L269" s="7">
        <f>Sintesi!$C$34</f>
        <v>9.0200000000000002E-2</v>
      </c>
      <c r="M269" s="7">
        <f>Sintesi!$C$33</f>
        <v>0.196996</v>
      </c>
      <c r="N269" s="1">
        <f>'Paste cell here'!AA269</f>
        <v>0.2</v>
      </c>
      <c r="O269" s="1">
        <f>'Paste cell here'!H269</f>
        <v>0.56376230999999999</v>
      </c>
      <c r="P269" s="1">
        <f t="shared" si="25"/>
        <v>21.359200000000001</v>
      </c>
      <c r="Q269" s="1">
        <f t="shared" si="26"/>
        <v>12.041511931752</v>
      </c>
      <c r="R269" s="1">
        <f t="shared" si="27"/>
        <v>27.357688068248002</v>
      </c>
      <c r="S269" s="5">
        <f t="shared" si="28"/>
        <v>0.17750016955</v>
      </c>
      <c r="T269" s="5">
        <f t="shared" si="29"/>
        <v>0.13678844034124002</v>
      </c>
    </row>
    <row r="270" spans="1:20">
      <c r="A270" s="1">
        <v>269</v>
      </c>
      <c r="B270" s="2">
        <f>DATE(Sintesi!$C$4-1,12,31)+A270</f>
        <v>44465</v>
      </c>
      <c r="C270" s="1">
        <f>'Paste cell here'!T270</f>
        <v>1.3465761869999999</v>
      </c>
      <c r="D270" s="1">
        <f>'Paste cell here'!AC270</f>
        <v>0</v>
      </c>
      <c r="E270" s="1">
        <f>'Paste cell here'!Y270</f>
        <v>0</v>
      </c>
      <c r="F270" s="1">
        <f>'Paste cell here'!AD270</f>
        <v>5.5300000000000002E-2</v>
      </c>
      <c r="G270" s="1">
        <f>'Paste cell here'!W270</f>
        <v>0</v>
      </c>
      <c r="H270" s="1">
        <f>'Paste cell here'!AE270</f>
        <v>36.791268129999999</v>
      </c>
      <c r="I270" s="1">
        <f>'Paste cell here'!AF270</f>
        <v>35.500033909999999</v>
      </c>
      <c r="J270" s="1">
        <f t="shared" si="24"/>
        <v>4.1966999994258458E-5</v>
      </c>
      <c r="K270" s="1" t="str">
        <f>IF('Bilancio primo strato'!D270&gt;0,1,"")</f>
        <v/>
      </c>
      <c r="L270" s="7">
        <f>Sintesi!$C$34</f>
        <v>9.0200000000000002E-2</v>
      </c>
      <c r="M270" s="7">
        <f>Sintesi!$C$33</f>
        <v>0.196996</v>
      </c>
      <c r="N270" s="1">
        <f>'Paste cell here'!AA270</f>
        <v>0.2</v>
      </c>
      <c r="O270" s="1">
        <f>'Paste cell here'!H270</f>
        <v>0.60002664800000005</v>
      </c>
      <c r="P270" s="1">
        <f t="shared" si="25"/>
        <v>21.359200000000001</v>
      </c>
      <c r="Q270" s="1">
        <f t="shared" si="26"/>
        <v>12.816089179961601</v>
      </c>
      <c r="R270" s="1">
        <f t="shared" si="27"/>
        <v>26.583110820038399</v>
      </c>
      <c r="S270" s="5">
        <f t="shared" si="28"/>
        <v>0.18395634064999999</v>
      </c>
      <c r="T270" s="5">
        <f t="shared" si="29"/>
        <v>0.13291555410019198</v>
      </c>
    </row>
    <row r="271" spans="1:20">
      <c r="A271" s="1">
        <v>270</v>
      </c>
      <c r="B271" s="2">
        <f>DATE(Sintesi!$C$4-1,12,31)+A271</f>
        <v>44466</v>
      </c>
      <c r="C271" s="1">
        <f>'Paste cell here'!T271</f>
        <v>3.3750338150000001</v>
      </c>
      <c r="D271" s="1">
        <f>'Paste cell here'!AC271</f>
        <v>0</v>
      </c>
      <c r="E271" s="1">
        <f>'Paste cell here'!Y271</f>
        <v>0</v>
      </c>
      <c r="F271" s="1">
        <f>'Paste cell here'!AD271</f>
        <v>0.18258148799999999</v>
      </c>
      <c r="G271" s="1">
        <f>'Paste cell here'!W271</f>
        <v>0</v>
      </c>
      <c r="H271" s="1">
        <f>'Paste cell here'!AE271</f>
        <v>39.98372045</v>
      </c>
      <c r="I271" s="1">
        <f>'Paste cell here'!AF271</f>
        <v>36.791268129999999</v>
      </c>
      <c r="J271" s="1">
        <f t="shared" si="24"/>
        <v>7.0000041318962758E-9</v>
      </c>
      <c r="K271" s="1" t="str">
        <f>IF('Bilancio primo strato'!D271&gt;0,1,"")</f>
        <v/>
      </c>
      <c r="L271" s="7">
        <f>Sintesi!$C$34</f>
        <v>9.0200000000000002E-2</v>
      </c>
      <c r="M271" s="7">
        <f>Sintesi!$C$33</f>
        <v>0.196996</v>
      </c>
      <c r="N271" s="1">
        <f>'Paste cell here'!AA271</f>
        <v>0.2</v>
      </c>
      <c r="O271" s="1">
        <f>'Paste cell here'!H271</f>
        <v>0.65585470400000001</v>
      </c>
      <c r="P271" s="1">
        <f t="shared" si="25"/>
        <v>21.359200000000001</v>
      </c>
      <c r="Q271" s="1">
        <f t="shared" si="26"/>
        <v>14.0085317936768</v>
      </c>
      <c r="R271" s="1">
        <f t="shared" si="27"/>
        <v>25.390668206323198</v>
      </c>
      <c r="S271" s="5">
        <f t="shared" si="28"/>
        <v>0.19991860224999999</v>
      </c>
      <c r="T271" s="5">
        <f t="shared" si="29"/>
        <v>0.12695334103161598</v>
      </c>
    </row>
    <row r="272" spans="1:20">
      <c r="A272" s="1">
        <v>271</v>
      </c>
      <c r="B272" s="2">
        <f>DATE(Sintesi!$C$4-1,12,31)+A272</f>
        <v>44467</v>
      </c>
      <c r="C272" s="1">
        <f>'Paste cell here'!T272</f>
        <v>0.61746364799999998</v>
      </c>
      <c r="D272" s="1">
        <f>'Paste cell here'!AC272</f>
        <v>0</v>
      </c>
      <c r="E272" s="1">
        <f>'Paste cell here'!Y272</f>
        <v>0</v>
      </c>
      <c r="F272" s="1">
        <f>'Paste cell here'!AD272</f>
        <v>0.26190532500000002</v>
      </c>
      <c r="G272" s="1">
        <f>'Paste cell here'!W272</f>
        <v>0</v>
      </c>
      <c r="H272" s="1">
        <f>'Paste cell here'!AE272</f>
        <v>40.339278780000001</v>
      </c>
      <c r="I272" s="1">
        <f>'Paste cell here'!AF272</f>
        <v>39.98372045</v>
      </c>
      <c r="J272" s="1">
        <f t="shared" si="24"/>
        <v>7.0000041318962758E-9</v>
      </c>
      <c r="K272" s="1" t="str">
        <f>IF('Bilancio primo strato'!D272&gt;0,1,"")</f>
        <v/>
      </c>
      <c r="L272" s="7">
        <f>Sintesi!$C$34</f>
        <v>9.0200000000000002E-2</v>
      </c>
      <c r="M272" s="7">
        <f>Sintesi!$C$33</f>
        <v>0.196996</v>
      </c>
      <c r="N272" s="1">
        <f>'Paste cell here'!AA272</f>
        <v>0.2</v>
      </c>
      <c r="O272" s="1">
        <f>'Paste cell here'!H272</f>
        <v>0.60884922100000005</v>
      </c>
      <c r="P272" s="1">
        <f t="shared" si="25"/>
        <v>21.359200000000001</v>
      </c>
      <c r="Q272" s="1">
        <f t="shared" si="26"/>
        <v>13.004532281183202</v>
      </c>
      <c r="R272" s="1">
        <f t="shared" si="27"/>
        <v>26.394667718816798</v>
      </c>
      <c r="S272" s="5">
        <f t="shared" si="28"/>
        <v>0.20169639389999999</v>
      </c>
      <c r="T272" s="5">
        <f t="shared" si="29"/>
        <v>0.131973338594084</v>
      </c>
    </row>
    <row r="273" spans="1:20">
      <c r="A273" s="1">
        <v>272</v>
      </c>
      <c r="B273" s="2">
        <f>DATE(Sintesi!$C$4-1,12,31)+A273</f>
        <v>44468</v>
      </c>
      <c r="C273" s="1">
        <f>'Paste cell here'!T273</f>
        <v>0.12031745000000001</v>
      </c>
      <c r="D273" s="1">
        <f>'Paste cell here'!AC273</f>
        <v>0</v>
      </c>
      <c r="E273" s="1">
        <f>'Paste cell here'!Y273</f>
        <v>0</v>
      </c>
      <c r="F273" s="1">
        <f>'Paste cell here'!AD273</f>
        <v>0.26411663000000002</v>
      </c>
      <c r="G273" s="1">
        <f>'Paste cell here'!W273</f>
        <v>0</v>
      </c>
      <c r="H273" s="1">
        <f>'Paste cell here'!AE273</f>
        <v>40.195479599999999</v>
      </c>
      <c r="I273" s="1">
        <f>'Paste cell here'!AF273</f>
        <v>40.339278780000001</v>
      </c>
      <c r="J273" s="1">
        <f t="shared" si="24"/>
        <v>7.1054273576010019E-15</v>
      </c>
      <c r="K273" s="1" t="str">
        <f>IF('Bilancio primo strato'!D273&gt;0,1,"")</f>
        <v/>
      </c>
      <c r="L273" s="7">
        <f>Sintesi!$C$34</f>
        <v>9.0200000000000002E-2</v>
      </c>
      <c r="M273" s="7">
        <f>Sintesi!$C$33</f>
        <v>0.196996</v>
      </c>
      <c r="N273" s="1">
        <f>'Paste cell here'!AA273</f>
        <v>0.2</v>
      </c>
      <c r="O273" s="1">
        <f>'Paste cell here'!H273</f>
        <v>0.57952177000000005</v>
      </c>
      <c r="P273" s="1">
        <f t="shared" si="25"/>
        <v>21.359200000000001</v>
      </c>
      <c r="Q273" s="1">
        <f t="shared" si="26"/>
        <v>12.378121389784003</v>
      </c>
      <c r="R273" s="1">
        <f t="shared" si="27"/>
        <v>27.021078610215998</v>
      </c>
      <c r="S273" s="5">
        <f t="shared" si="28"/>
        <v>0.200977398</v>
      </c>
      <c r="T273" s="5">
        <f t="shared" si="29"/>
        <v>0.13510539305107999</v>
      </c>
    </row>
    <row r="274" spans="1:20">
      <c r="A274" s="1">
        <v>273</v>
      </c>
      <c r="B274" s="2">
        <f>DATE(Sintesi!$C$4-1,12,31)+A274</f>
        <v>44469</v>
      </c>
      <c r="C274" s="1">
        <f>'Paste cell here'!T274</f>
        <v>1.67E-2</v>
      </c>
      <c r="D274" s="1">
        <f>'Paste cell here'!AC274</f>
        <v>0</v>
      </c>
      <c r="E274" s="1">
        <f>'Paste cell here'!Y274</f>
        <v>0</v>
      </c>
      <c r="F274" s="1">
        <f>'Paste cell here'!AD274</f>
        <v>0.247851724</v>
      </c>
      <c r="G274" s="1">
        <f>'Paste cell here'!W274</f>
        <v>0</v>
      </c>
      <c r="H274" s="1">
        <f>'Paste cell here'!AE274</f>
        <v>39.964327300000001</v>
      </c>
      <c r="I274" s="1">
        <f>'Paste cell here'!AF274</f>
        <v>40.195479599999999</v>
      </c>
      <c r="J274" s="1">
        <f t="shared" si="24"/>
        <v>5.7599999792046219E-7</v>
      </c>
      <c r="K274" s="1" t="str">
        <f>IF('Bilancio primo strato'!D274&gt;0,1,"")</f>
        <v/>
      </c>
      <c r="L274" s="7">
        <f>Sintesi!$C$34</f>
        <v>9.0200000000000002E-2</v>
      </c>
      <c r="M274" s="7">
        <f>Sintesi!$C$33</f>
        <v>0.196996</v>
      </c>
      <c r="N274" s="1">
        <f>'Paste cell here'!AA274</f>
        <v>0.2</v>
      </c>
      <c r="O274" s="1">
        <f>'Paste cell here'!H274</f>
        <v>0.559892748</v>
      </c>
      <c r="P274" s="1">
        <f t="shared" si="25"/>
        <v>21.359200000000001</v>
      </c>
      <c r="Q274" s="1">
        <f t="shared" si="26"/>
        <v>11.9588611830816</v>
      </c>
      <c r="R274" s="1">
        <f t="shared" si="27"/>
        <v>27.440338816918398</v>
      </c>
      <c r="S274" s="5">
        <f t="shared" si="28"/>
        <v>0.19982163650000001</v>
      </c>
      <c r="T274" s="5">
        <f t="shared" si="29"/>
        <v>0.13720169408459199</v>
      </c>
    </row>
    <row r="275" spans="1:20">
      <c r="A275" s="1">
        <v>274</v>
      </c>
      <c r="B275" s="2">
        <f>DATE(Sintesi!$C$4-1,12,31)+A275</f>
        <v>44470</v>
      </c>
      <c r="C275" s="1">
        <f>'Paste cell here'!T275</f>
        <v>1.7099999999999999E-3</v>
      </c>
      <c r="D275" s="1">
        <f>'Paste cell here'!AC275</f>
        <v>0</v>
      </c>
      <c r="E275" s="1">
        <f>'Paste cell here'!Y275</f>
        <v>0</v>
      </c>
      <c r="F275" s="1">
        <f>'Paste cell here'!AD275</f>
        <v>0.23057269</v>
      </c>
      <c r="G275" s="1">
        <f>'Paste cell here'!W275</f>
        <v>0</v>
      </c>
      <c r="H275" s="1">
        <f>'Paste cell here'!AE275</f>
        <v>39.735468439999998</v>
      </c>
      <c r="I275" s="1">
        <f>'Paste cell here'!AF275</f>
        <v>39.964327300000001</v>
      </c>
      <c r="J275" s="1">
        <f t="shared" si="24"/>
        <v>3.8299999971513898E-6</v>
      </c>
      <c r="K275" s="1" t="str">
        <f>IF('Bilancio primo strato'!D275&gt;0,1,"")</f>
        <v/>
      </c>
      <c r="L275" s="7">
        <f>Sintesi!$C$34</f>
        <v>9.0200000000000002E-2</v>
      </c>
      <c r="M275" s="7">
        <f>Sintesi!$C$33</f>
        <v>0.196996</v>
      </c>
      <c r="N275" s="1">
        <f>'Paste cell here'!AA275</f>
        <v>0.2</v>
      </c>
      <c r="O275" s="1">
        <f>'Paste cell here'!H275</f>
        <v>0.57323310900000002</v>
      </c>
      <c r="P275" s="1">
        <f t="shared" si="25"/>
        <v>21.359200000000001</v>
      </c>
      <c r="Q275" s="1">
        <f t="shared" si="26"/>
        <v>12.243800621752801</v>
      </c>
      <c r="R275" s="1">
        <f t="shared" si="27"/>
        <v>27.1553993782472</v>
      </c>
      <c r="S275" s="5">
        <f t="shared" si="28"/>
        <v>0.1986773422</v>
      </c>
      <c r="T275" s="5">
        <f t="shared" si="29"/>
        <v>0.13577699689123601</v>
      </c>
    </row>
    <row r="276" spans="1:20">
      <c r="A276" s="1">
        <v>275</v>
      </c>
      <c r="B276" s="2">
        <f>DATE(Sintesi!$C$4-1,12,31)+A276</f>
        <v>44471</v>
      </c>
      <c r="C276" s="1">
        <f>'Paste cell here'!T276</f>
        <v>1.13E-4</v>
      </c>
      <c r="D276" s="1">
        <f>'Paste cell here'!AC276</f>
        <v>0</v>
      </c>
      <c r="E276" s="1">
        <f>'Paste cell here'!Y276</f>
        <v>0</v>
      </c>
      <c r="F276" s="1">
        <f>'Paste cell here'!AD276</f>
        <v>0.21507937199999999</v>
      </c>
      <c r="G276" s="1">
        <f>'Paste cell here'!W276</f>
        <v>0</v>
      </c>
      <c r="H276" s="1">
        <f>'Paste cell here'!AE276</f>
        <v>39.520502190000002</v>
      </c>
      <c r="I276" s="1">
        <f>'Paste cell here'!AF276</f>
        <v>39.735468439999998</v>
      </c>
      <c r="J276" s="1">
        <f t="shared" si="24"/>
        <v>1.220000029888979E-7</v>
      </c>
      <c r="K276" s="1" t="str">
        <f>IF('Bilancio primo strato'!D276&gt;0,1,"")</f>
        <v/>
      </c>
      <c r="L276" s="7">
        <f>Sintesi!$C$34</f>
        <v>9.0200000000000002E-2</v>
      </c>
      <c r="M276" s="7">
        <f>Sintesi!$C$33</f>
        <v>0.196996</v>
      </c>
      <c r="N276" s="1">
        <f>'Paste cell here'!AA276</f>
        <v>0.2</v>
      </c>
      <c r="O276" s="1">
        <f>'Paste cell here'!H276</f>
        <v>0.57209337999999998</v>
      </c>
      <c r="P276" s="1">
        <f t="shared" si="25"/>
        <v>21.359200000000001</v>
      </c>
      <c r="Q276" s="1">
        <f t="shared" si="26"/>
        <v>12.219456922096001</v>
      </c>
      <c r="R276" s="1">
        <f t="shared" si="27"/>
        <v>27.179743077904</v>
      </c>
      <c r="S276" s="5">
        <f t="shared" si="28"/>
        <v>0.19760251095</v>
      </c>
      <c r="T276" s="5">
        <f t="shared" si="29"/>
        <v>0.13589871538952</v>
      </c>
    </row>
    <row r="277" spans="1:20">
      <c r="A277" s="1">
        <v>276</v>
      </c>
      <c r="B277" s="2">
        <f>DATE(Sintesi!$C$4-1,12,31)+A277</f>
        <v>44472</v>
      </c>
      <c r="C277" s="1">
        <f>'Paste cell here'!T277</f>
        <v>8.0400000000000003E-5</v>
      </c>
      <c r="D277" s="1">
        <f>'Paste cell here'!AC277</f>
        <v>0</v>
      </c>
      <c r="E277" s="1">
        <f>'Paste cell here'!Y277</f>
        <v>0</v>
      </c>
      <c r="F277" s="1">
        <f>'Paste cell here'!AD277</f>
        <v>0.20140656800000001</v>
      </c>
      <c r="G277" s="1">
        <f>'Paste cell here'!W277</f>
        <v>0</v>
      </c>
      <c r="H277" s="1">
        <f>'Paste cell here'!AE277</f>
        <v>39.319175970000003</v>
      </c>
      <c r="I277" s="1">
        <f>'Paste cell here'!AF277</f>
        <v>39.520502190000002</v>
      </c>
      <c r="J277" s="1">
        <f t="shared" si="24"/>
        <v>5.1999997197071934E-8</v>
      </c>
      <c r="K277" s="1" t="str">
        <f>IF('Bilancio primo strato'!D277&gt;0,1,"")</f>
        <v/>
      </c>
      <c r="L277" s="7">
        <f>Sintesi!$C$34</f>
        <v>9.0200000000000002E-2</v>
      </c>
      <c r="M277" s="7">
        <f>Sintesi!$C$33</f>
        <v>0.196996</v>
      </c>
      <c r="N277" s="1">
        <f>'Paste cell here'!AA277</f>
        <v>0.2</v>
      </c>
      <c r="O277" s="1">
        <f>'Paste cell here'!H277</f>
        <v>0.57886368700000002</v>
      </c>
      <c r="P277" s="1">
        <f t="shared" si="25"/>
        <v>21.359200000000001</v>
      </c>
      <c r="Q277" s="1">
        <f t="shared" si="26"/>
        <v>12.364065263370401</v>
      </c>
      <c r="R277" s="1">
        <f t="shared" si="27"/>
        <v>27.035134736629601</v>
      </c>
      <c r="S277" s="5">
        <f t="shared" si="28"/>
        <v>0.19659587985000002</v>
      </c>
      <c r="T277" s="5">
        <f t="shared" si="29"/>
        <v>0.13517567368314801</v>
      </c>
    </row>
    <row r="278" spans="1:20">
      <c r="A278" s="1">
        <v>277</v>
      </c>
      <c r="B278" s="2">
        <f>DATE(Sintesi!$C$4-1,12,31)+A278</f>
        <v>44473</v>
      </c>
      <c r="C278" s="1">
        <f>'Paste cell here'!T278</f>
        <v>13.07853725</v>
      </c>
      <c r="D278" s="1">
        <f>'Paste cell here'!AC278</f>
        <v>0</v>
      </c>
      <c r="E278" s="1">
        <f>'Paste cell here'!Y278</f>
        <v>0</v>
      </c>
      <c r="F278" s="1">
        <f>'Paste cell here'!AD278</f>
        <v>0.73571076700000004</v>
      </c>
      <c r="G278" s="1">
        <f>'Paste cell here'!W278</f>
        <v>0</v>
      </c>
      <c r="H278" s="1">
        <f>'Paste cell here'!AE278</f>
        <v>51.662002459999997</v>
      </c>
      <c r="I278" s="1">
        <f>'Paste cell here'!AF278</f>
        <v>39.319175970000003</v>
      </c>
      <c r="J278" s="1">
        <f t="shared" si="24"/>
        <v>6.9999970264689182E-9</v>
      </c>
      <c r="K278" s="1" t="str">
        <f>IF('Bilancio primo strato'!D278&gt;0,1,"")</f>
        <v/>
      </c>
      <c r="L278" s="7">
        <f>Sintesi!$C$34</f>
        <v>9.0200000000000002E-2</v>
      </c>
      <c r="M278" s="7">
        <f>Sintesi!$C$33</f>
        <v>0.196996</v>
      </c>
      <c r="N278" s="1">
        <f>'Paste cell here'!AA278</f>
        <v>0.2</v>
      </c>
      <c r="O278" s="1">
        <f>'Paste cell here'!H278</f>
        <v>0.64308118400000003</v>
      </c>
      <c r="P278" s="1">
        <f t="shared" si="25"/>
        <v>21.359200000000001</v>
      </c>
      <c r="Q278" s="1">
        <f t="shared" si="26"/>
        <v>13.735699625292801</v>
      </c>
      <c r="R278" s="1">
        <f t="shared" si="27"/>
        <v>25.663500374707198</v>
      </c>
      <c r="S278" s="5">
        <f t="shared" si="28"/>
        <v>0.2583100123</v>
      </c>
      <c r="T278" s="5">
        <f t="shared" si="29"/>
        <v>0.12831750187353599</v>
      </c>
    </row>
    <row r="279" spans="1:20">
      <c r="A279" s="1">
        <v>278</v>
      </c>
      <c r="B279" s="2">
        <f>DATE(Sintesi!$C$4-1,12,31)+A279</f>
        <v>44474</v>
      </c>
      <c r="C279" s="1">
        <f>'Paste cell here'!T279</f>
        <v>8.3721908220000003</v>
      </c>
      <c r="D279" s="1">
        <f>'Paste cell here'!AC279</f>
        <v>0</v>
      </c>
      <c r="E279" s="1">
        <f>'Paste cell here'!Y279</f>
        <v>0</v>
      </c>
      <c r="F279" s="1">
        <f>'Paste cell here'!AD279</f>
        <v>7.5458542319999999</v>
      </c>
      <c r="G279" s="1">
        <f>'Paste cell here'!W279</f>
        <v>0</v>
      </c>
      <c r="H279" s="1">
        <f>'Paste cell here'!AE279</f>
        <v>52.48833905</v>
      </c>
      <c r="I279" s="1">
        <f>'Paste cell here'!AF279</f>
        <v>51.662002459999997</v>
      </c>
      <c r="J279" s="1">
        <f t="shared" si="24"/>
        <v>7.1054273576010019E-15</v>
      </c>
      <c r="K279" s="1" t="str">
        <f>IF('Bilancio primo strato'!D279&gt;0,1,"")</f>
        <v/>
      </c>
      <c r="L279" s="7">
        <f>Sintesi!$C$34</f>
        <v>9.0200000000000002E-2</v>
      </c>
      <c r="M279" s="7">
        <f>Sintesi!$C$33</f>
        <v>0.196996</v>
      </c>
      <c r="N279" s="1">
        <f>'Paste cell here'!AA279</f>
        <v>0.2</v>
      </c>
      <c r="O279" s="1">
        <f>'Paste cell here'!H279</f>
        <v>0.641486216</v>
      </c>
      <c r="P279" s="1">
        <f t="shared" si="25"/>
        <v>21.359200000000001</v>
      </c>
      <c r="Q279" s="1">
        <f t="shared" si="26"/>
        <v>13.701632384787201</v>
      </c>
      <c r="R279" s="1">
        <f t="shared" si="27"/>
        <v>25.697567615212797</v>
      </c>
      <c r="S279" s="5">
        <f t="shared" si="28"/>
        <v>0.26244169525</v>
      </c>
      <c r="T279" s="5">
        <f t="shared" si="29"/>
        <v>0.12848783807606398</v>
      </c>
    </row>
    <row r="280" spans="1:20">
      <c r="A280" s="1">
        <v>279</v>
      </c>
      <c r="B280" s="2">
        <f>DATE(Sintesi!$C$4-1,12,31)+A280</f>
        <v>44475</v>
      </c>
      <c r="C280" s="1">
        <f>'Paste cell here'!T280</f>
        <v>5.2864638770000001</v>
      </c>
      <c r="D280" s="1">
        <f>'Paste cell here'!AC280</f>
        <v>0</v>
      </c>
      <c r="E280" s="1">
        <f>'Paste cell here'!Y280</f>
        <v>0</v>
      </c>
      <c r="F280" s="1">
        <f>'Paste cell here'!AD280</f>
        <v>5.404735681</v>
      </c>
      <c r="G280" s="1">
        <f>'Paste cell here'!W280</f>
        <v>0</v>
      </c>
      <c r="H280" s="1">
        <f>'Paste cell here'!AE280</f>
        <v>52.370067239999997</v>
      </c>
      <c r="I280" s="1">
        <f>'Paste cell here'!AF280</f>
        <v>52.48833905</v>
      </c>
      <c r="J280" s="1">
        <f t="shared" si="24"/>
        <v>6.0000076018695836E-9</v>
      </c>
      <c r="K280" s="1" t="str">
        <f>IF('Bilancio primo strato'!D280&gt;0,1,"")</f>
        <v/>
      </c>
      <c r="L280" s="7">
        <f>Sintesi!$C$34</f>
        <v>9.0200000000000002E-2</v>
      </c>
      <c r="M280" s="7">
        <f>Sintesi!$C$33</f>
        <v>0.196996</v>
      </c>
      <c r="N280" s="1">
        <f>'Paste cell here'!AA280</f>
        <v>0.2</v>
      </c>
      <c r="O280" s="1">
        <f>'Paste cell here'!H280</f>
        <v>0.61668509999999999</v>
      </c>
      <c r="P280" s="1">
        <f t="shared" si="25"/>
        <v>21.359200000000001</v>
      </c>
      <c r="Q280" s="1">
        <f t="shared" si="26"/>
        <v>13.171900387920001</v>
      </c>
      <c r="R280" s="1">
        <f t="shared" si="27"/>
        <v>26.227299612079999</v>
      </c>
      <c r="S280" s="5">
        <f t="shared" si="28"/>
        <v>0.26185033619999998</v>
      </c>
      <c r="T280" s="5">
        <f t="shared" si="29"/>
        <v>0.13113649806040001</v>
      </c>
    </row>
    <row r="281" spans="1:20">
      <c r="A281" s="1">
        <v>280</v>
      </c>
      <c r="B281" s="2">
        <f>DATE(Sintesi!$C$4-1,12,31)+A281</f>
        <v>44476</v>
      </c>
      <c r="C281" s="1">
        <f>'Paste cell here'!T281</f>
        <v>2.9824810789999998</v>
      </c>
      <c r="D281" s="1">
        <f>'Paste cell here'!AC281</f>
        <v>0</v>
      </c>
      <c r="E281" s="1">
        <f>'Paste cell here'!Y281</f>
        <v>0</v>
      </c>
      <c r="F281" s="1">
        <f>'Paste cell here'!AD281</f>
        <v>4.9404096879999999</v>
      </c>
      <c r="G281" s="1">
        <f>'Paste cell here'!W281</f>
        <v>0</v>
      </c>
      <c r="H281" s="1">
        <f>'Paste cell here'!AE281</f>
        <v>50.412138640000002</v>
      </c>
      <c r="I281" s="1">
        <f>'Paste cell here'!AF281</f>
        <v>52.370067239999997</v>
      </c>
      <c r="J281" s="1">
        <f t="shared" si="24"/>
        <v>9.0000042973770178E-9</v>
      </c>
      <c r="K281" s="1" t="str">
        <f>IF('Bilancio primo strato'!D281&gt;0,1,"")</f>
        <v/>
      </c>
      <c r="L281" s="7">
        <f>Sintesi!$C$34</f>
        <v>9.0200000000000002E-2</v>
      </c>
      <c r="M281" s="7">
        <f>Sintesi!$C$33</f>
        <v>0.196996</v>
      </c>
      <c r="N281" s="1">
        <f>'Paste cell here'!AA281</f>
        <v>0.2</v>
      </c>
      <c r="O281" s="1">
        <f>'Paste cell here'!H281</f>
        <v>0.64317268999999999</v>
      </c>
      <c r="P281" s="1">
        <f t="shared" si="25"/>
        <v>21.359200000000001</v>
      </c>
      <c r="Q281" s="1">
        <f t="shared" si="26"/>
        <v>13.737654120248001</v>
      </c>
      <c r="R281" s="1">
        <f t="shared" si="27"/>
        <v>25.661545879751998</v>
      </c>
      <c r="S281" s="5">
        <f t="shared" si="28"/>
        <v>0.25206069320000002</v>
      </c>
      <c r="T281" s="5">
        <f t="shared" si="29"/>
        <v>0.12830772939875998</v>
      </c>
    </row>
    <row r="282" spans="1:20">
      <c r="A282" s="1">
        <v>281</v>
      </c>
      <c r="B282" s="2">
        <f>DATE(Sintesi!$C$4-1,12,31)+A282</f>
        <v>44477</v>
      </c>
      <c r="C282" s="1">
        <f>'Paste cell here'!T282</f>
        <v>0.69093480200000001</v>
      </c>
      <c r="D282" s="1">
        <f>'Paste cell here'!AC282</f>
        <v>0</v>
      </c>
      <c r="E282" s="1">
        <f>'Paste cell here'!Y282</f>
        <v>0</v>
      </c>
      <c r="F282" s="1">
        <f>'Paste cell here'!AD282</f>
        <v>2.8844084570000001</v>
      </c>
      <c r="G282" s="1">
        <f>'Paste cell here'!W282</f>
        <v>0</v>
      </c>
      <c r="H282" s="1">
        <f>'Paste cell here'!AE282</f>
        <v>48.21866498</v>
      </c>
      <c r="I282" s="1">
        <f>'Paste cell here'!AF282</f>
        <v>50.412138640000002</v>
      </c>
      <c r="J282" s="1">
        <f t="shared" si="24"/>
        <v>5.0000039664155338E-9</v>
      </c>
      <c r="K282" s="1" t="str">
        <f>IF('Bilancio primo strato'!D282&gt;0,1,"")</f>
        <v/>
      </c>
      <c r="L282" s="7">
        <f>Sintesi!$C$34</f>
        <v>9.0200000000000002E-2</v>
      </c>
      <c r="M282" s="7">
        <f>Sintesi!$C$33</f>
        <v>0.196996</v>
      </c>
      <c r="N282" s="1">
        <f>'Paste cell here'!AA282</f>
        <v>0.2</v>
      </c>
      <c r="O282" s="1">
        <f>'Paste cell here'!H282</f>
        <v>0.62256669200000003</v>
      </c>
      <c r="P282" s="1">
        <f t="shared" si="25"/>
        <v>21.359200000000001</v>
      </c>
      <c r="Q282" s="1">
        <f t="shared" si="26"/>
        <v>13.297526487766401</v>
      </c>
      <c r="R282" s="1">
        <f t="shared" si="27"/>
        <v>26.101673512233599</v>
      </c>
      <c r="S282" s="5">
        <f t="shared" si="28"/>
        <v>0.24109332489999999</v>
      </c>
      <c r="T282" s="5">
        <f t="shared" si="29"/>
        <v>0.13050836756116799</v>
      </c>
    </row>
    <row r="283" spans="1:20">
      <c r="A283" s="1">
        <v>282</v>
      </c>
      <c r="B283" s="2">
        <f>DATE(Sintesi!$C$4-1,12,31)+A283</f>
        <v>44478</v>
      </c>
      <c r="C283" s="1">
        <f>'Paste cell here'!T283</f>
        <v>0.21320444499999999</v>
      </c>
      <c r="D283" s="1">
        <f>'Paste cell here'!AC283</f>
        <v>0</v>
      </c>
      <c r="E283" s="1">
        <f>'Paste cell here'!Y283</f>
        <v>0</v>
      </c>
      <c r="F283" s="1">
        <f>'Paste cell here'!AD283</f>
        <v>1.831230768</v>
      </c>
      <c r="G283" s="1">
        <f>'Paste cell here'!W283</f>
        <v>0</v>
      </c>
      <c r="H283" s="1">
        <f>'Paste cell here'!AE283</f>
        <v>46.600638660000001</v>
      </c>
      <c r="I283" s="1">
        <f>'Paste cell here'!AF283</f>
        <v>48.21866498</v>
      </c>
      <c r="J283" s="1">
        <f t="shared" si="24"/>
        <v>2.9999966955074342E-9</v>
      </c>
      <c r="K283" s="1" t="str">
        <f>IF('Bilancio primo strato'!D283&gt;0,1,"")</f>
        <v/>
      </c>
      <c r="L283" s="7">
        <f>Sintesi!$C$34</f>
        <v>9.0200000000000002E-2</v>
      </c>
      <c r="M283" s="7">
        <f>Sintesi!$C$33</f>
        <v>0.196996</v>
      </c>
      <c r="N283" s="1">
        <f>'Paste cell here'!AA283</f>
        <v>0.2</v>
      </c>
      <c r="O283" s="1">
        <f>'Paste cell here'!H283</f>
        <v>0.61699458200000001</v>
      </c>
      <c r="P283" s="1">
        <f t="shared" si="25"/>
        <v>21.359200000000001</v>
      </c>
      <c r="Q283" s="1">
        <f t="shared" si="26"/>
        <v>13.178510675854401</v>
      </c>
      <c r="R283" s="1">
        <f t="shared" si="27"/>
        <v>26.220689324145599</v>
      </c>
      <c r="S283" s="5">
        <f t="shared" si="28"/>
        <v>0.23300319329999999</v>
      </c>
      <c r="T283" s="5">
        <f t="shared" si="29"/>
        <v>0.13110344662072801</v>
      </c>
    </row>
    <row r="284" spans="1:20">
      <c r="A284" s="1">
        <v>283</v>
      </c>
      <c r="B284" s="2">
        <f>DATE(Sintesi!$C$4-1,12,31)+A284</f>
        <v>44479</v>
      </c>
      <c r="C284" s="1">
        <f>'Paste cell here'!T284</f>
        <v>6.3100000000000003E-2</v>
      </c>
      <c r="D284" s="1">
        <f>'Paste cell here'!AC284</f>
        <v>0</v>
      </c>
      <c r="E284" s="1">
        <f>'Paste cell here'!Y284</f>
        <v>0</v>
      </c>
      <c r="F284" s="1">
        <f>'Paste cell here'!AD284</f>
        <v>1.2862182170000001</v>
      </c>
      <c r="G284" s="1">
        <f>'Paste cell here'!W284</f>
        <v>0</v>
      </c>
      <c r="H284" s="1">
        <f>'Paste cell here'!AE284</f>
        <v>45.377551789999998</v>
      </c>
      <c r="I284" s="1">
        <f>'Paste cell here'!AF284</f>
        <v>46.600638660000001</v>
      </c>
      <c r="J284" s="1">
        <f t="shared" si="24"/>
        <v>3.1346999996628711E-5</v>
      </c>
      <c r="K284" s="1" t="str">
        <f>IF('Bilancio primo strato'!D284&gt;0,1,"")</f>
        <v/>
      </c>
      <c r="L284" s="7">
        <f>Sintesi!$C$34</f>
        <v>9.0200000000000002E-2</v>
      </c>
      <c r="M284" s="7">
        <f>Sintesi!$C$33</f>
        <v>0.196996</v>
      </c>
      <c r="N284" s="1">
        <f>'Paste cell here'!AA284</f>
        <v>0.2</v>
      </c>
      <c r="O284" s="1">
        <f>'Paste cell here'!H284</f>
        <v>0.610835617</v>
      </c>
      <c r="P284" s="1">
        <f t="shared" si="25"/>
        <v>21.359200000000001</v>
      </c>
      <c r="Q284" s="1">
        <f t="shared" si="26"/>
        <v>13.046960110626401</v>
      </c>
      <c r="R284" s="1">
        <f t="shared" si="27"/>
        <v>26.3522398893736</v>
      </c>
      <c r="S284" s="5">
        <f t="shared" si="28"/>
        <v>0.22688775894999999</v>
      </c>
      <c r="T284" s="5">
        <f t="shared" si="29"/>
        <v>0.13176119944686801</v>
      </c>
    </row>
    <row r="285" spans="1:20">
      <c r="A285" s="1">
        <v>284</v>
      </c>
      <c r="B285" s="2">
        <f>DATE(Sintesi!$C$4-1,12,31)+A285</f>
        <v>44480</v>
      </c>
      <c r="C285" s="1">
        <f>'Paste cell here'!T285</f>
        <v>1.7500000000000002E-2</v>
      </c>
      <c r="D285" s="1">
        <f>'Paste cell here'!AC285</f>
        <v>0</v>
      </c>
      <c r="E285" s="1">
        <f>'Paste cell here'!Y285</f>
        <v>0</v>
      </c>
      <c r="F285" s="1">
        <f>'Paste cell here'!AD285</f>
        <v>0.97267759899999995</v>
      </c>
      <c r="G285" s="1">
        <f>'Paste cell here'!W285</f>
        <v>0</v>
      </c>
      <c r="H285" s="1">
        <f>'Paste cell here'!AE285</f>
        <v>44.422409620000003</v>
      </c>
      <c r="I285" s="1">
        <f>'Paste cell here'!AF285</f>
        <v>45.377551789999998</v>
      </c>
      <c r="J285" s="1">
        <f t="shared" si="24"/>
        <v>3.5429000007525246E-5</v>
      </c>
      <c r="K285" s="1" t="str">
        <f>IF('Bilancio primo strato'!D285&gt;0,1,"")</f>
        <v/>
      </c>
      <c r="L285" s="7">
        <f>Sintesi!$C$34</f>
        <v>9.0200000000000002E-2</v>
      </c>
      <c r="M285" s="7">
        <f>Sintesi!$C$33</f>
        <v>0.196996</v>
      </c>
      <c r="N285" s="1">
        <f>'Paste cell here'!AA285</f>
        <v>0.2</v>
      </c>
      <c r="O285" s="1">
        <f>'Paste cell here'!H285</f>
        <v>0.61638288600000002</v>
      </c>
      <c r="P285" s="1">
        <f t="shared" si="25"/>
        <v>21.359200000000001</v>
      </c>
      <c r="Q285" s="1">
        <f t="shared" si="26"/>
        <v>13.165445338651201</v>
      </c>
      <c r="R285" s="1">
        <f t="shared" si="27"/>
        <v>26.233754661348797</v>
      </c>
      <c r="S285" s="5">
        <f t="shared" si="28"/>
        <v>0.22211204810000001</v>
      </c>
      <c r="T285" s="5">
        <f t="shared" si="29"/>
        <v>0.13116877330674398</v>
      </c>
    </row>
    <row r="286" spans="1:20">
      <c r="A286" s="1">
        <v>285</v>
      </c>
      <c r="B286" s="2">
        <f>DATE(Sintesi!$C$4-1,12,31)+A286</f>
        <v>44481</v>
      </c>
      <c r="C286" s="1">
        <f>'Paste cell here'!T286</f>
        <v>3.9699999999999996E-3</v>
      </c>
      <c r="D286" s="1">
        <f>'Paste cell here'!AC286</f>
        <v>0</v>
      </c>
      <c r="E286" s="1">
        <f>'Paste cell here'!Y286</f>
        <v>0</v>
      </c>
      <c r="F286" s="1">
        <f>'Paste cell here'!AD286</f>
        <v>0.77465750700000002</v>
      </c>
      <c r="G286" s="1">
        <f>'Paste cell here'!W286</f>
        <v>0</v>
      </c>
      <c r="H286" s="1">
        <f>'Paste cell here'!AE286</f>
        <v>43.651726480000001</v>
      </c>
      <c r="I286" s="1">
        <f>'Paste cell here'!AF286</f>
        <v>44.422409620000003</v>
      </c>
      <c r="J286" s="1">
        <f t="shared" si="24"/>
        <v>4.3669999953976912E-6</v>
      </c>
      <c r="K286" s="1" t="str">
        <f>IF('Bilancio primo strato'!D286&gt;0,1,"")</f>
        <v/>
      </c>
      <c r="L286" s="7">
        <f>Sintesi!$C$34</f>
        <v>9.0200000000000002E-2</v>
      </c>
      <c r="M286" s="7">
        <f>Sintesi!$C$33</f>
        <v>0.196996</v>
      </c>
      <c r="N286" s="1">
        <f>'Paste cell here'!AA286</f>
        <v>0.2</v>
      </c>
      <c r="O286" s="1">
        <f>'Paste cell here'!H286</f>
        <v>0.61428846599999998</v>
      </c>
      <c r="P286" s="1">
        <f t="shared" si="25"/>
        <v>21.359200000000001</v>
      </c>
      <c r="Q286" s="1">
        <f t="shared" si="26"/>
        <v>13.120710202987201</v>
      </c>
      <c r="R286" s="1">
        <f t="shared" si="27"/>
        <v>26.278489797012799</v>
      </c>
      <c r="S286" s="5">
        <f t="shared" si="28"/>
        <v>0.21825863240000001</v>
      </c>
      <c r="T286" s="5">
        <f t="shared" si="29"/>
        <v>0.131392448985064</v>
      </c>
    </row>
    <row r="287" spans="1:20">
      <c r="A287" s="1">
        <v>286</v>
      </c>
      <c r="B287" s="2">
        <f>DATE(Sintesi!$C$4-1,12,31)+A287</f>
        <v>44482</v>
      </c>
      <c r="C287" s="1">
        <f>'Paste cell here'!T287</f>
        <v>7.3899999999999997E-4</v>
      </c>
      <c r="D287" s="1">
        <f>'Paste cell here'!AC287</f>
        <v>0</v>
      </c>
      <c r="E287" s="1">
        <f>'Paste cell here'!Y287</f>
        <v>0</v>
      </c>
      <c r="F287" s="1">
        <f>'Paste cell here'!AD287</f>
        <v>0.63935951000000002</v>
      </c>
      <c r="G287" s="1">
        <f>'Paste cell here'!W287</f>
        <v>0</v>
      </c>
      <c r="H287" s="1">
        <f>'Paste cell here'!AE287</f>
        <v>43.013105830000001</v>
      </c>
      <c r="I287" s="1">
        <f>'Paste cell here'!AF287</f>
        <v>43.651726480000001</v>
      </c>
      <c r="J287" s="1">
        <f t="shared" si="24"/>
        <v>1.4000000447822458E-7</v>
      </c>
      <c r="K287" s="1" t="str">
        <f>IF('Bilancio primo strato'!D287&gt;0,1,"")</f>
        <v/>
      </c>
      <c r="L287" s="7">
        <f>Sintesi!$C$34</f>
        <v>9.0200000000000002E-2</v>
      </c>
      <c r="M287" s="7">
        <f>Sintesi!$C$33</f>
        <v>0.196996</v>
      </c>
      <c r="N287" s="1">
        <f>'Paste cell here'!AA287</f>
        <v>0.2</v>
      </c>
      <c r="O287" s="1">
        <f>'Paste cell here'!H287</f>
        <v>0.61809794299999998</v>
      </c>
      <c r="P287" s="1">
        <f t="shared" si="25"/>
        <v>21.359200000000001</v>
      </c>
      <c r="Q287" s="1">
        <f t="shared" si="26"/>
        <v>13.2020775841256</v>
      </c>
      <c r="R287" s="1">
        <f t="shared" si="27"/>
        <v>26.1971224158744</v>
      </c>
      <c r="S287" s="5">
        <f t="shared" si="28"/>
        <v>0.21506552914999999</v>
      </c>
      <c r="T287" s="5">
        <f t="shared" si="29"/>
        <v>0.13098561207937201</v>
      </c>
    </row>
    <row r="288" spans="1:20">
      <c r="A288" s="1">
        <v>287</v>
      </c>
      <c r="B288" s="2">
        <f>DATE(Sintesi!$C$4-1,12,31)+A288</f>
        <v>44483</v>
      </c>
      <c r="C288" s="1">
        <f>'Paste cell here'!T288</f>
        <v>1.2E-4</v>
      </c>
      <c r="D288" s="1">
        <f>'Paste cell here'!AC288</f>
        <v>0</v>
      </c>
      <c r="E288" s="1">
        <f>'Paste cell here'!Y288</f>
        <v>0</v>
      </c>
      <c r="F288" s="1">
        <f>'Paste cell here'!AD288</f>
        <v>0.542469702</v>
      </c>
      <c r="G288" s="1">
        <f>'Paste cell here'!W288</f>
        <v>0</v>
      </c>
      <c r="H288" s="1">
        <f>'Paste cell here'!AE288</f>
        <v>42.470755959999998</v>
      </c>
      <c r="I288" s="1">
        <f>'Paste cell here'!AF288</f>
        <v>43.013105830000001</v>
      </c>
      <c r="J288" s="1">
        <f t="shared" si="24"/>
        <v>1.6800000679495497E-7</v>
      </c>
      <c r="K288" s="1" t="str">
        <f>IF('Bilancio primo strato'!D288&gt;0,1,"")</f>
        <v/>
      </c>
      <c r="L288" s="7">
        <f>Sintesi!$C$34</f>
        <v>9.0200000000000002E-2</v>
      </c>
      <c r="M288" s="7">
        <f>Sintesi!$C$33</f>
        <v>0.196996</v>
      </c>
      <c r="N288" s="1">
        <f>'Paste cell here'!AA288</f>
        <v>0.2</v>
      </c>
      <c r="O288" s="1">
        <f>'Paste cell here'!H288</f>
        <v>0.61478056000000003</v>
      </c>
      <c r="P288" s="1">
        <f t="shared" si="25"/>
        <v>21.359200000000001</v>
      </c>
      <c r="Q288" s="1">
        <f t="shared" si="26"/>
        <v>13.131220937152001</v>
      </c>
      <c r="R288" s="1">
        <f t="shared" si="27"/>
        <v>26.267979062847999</v>
      </c>
      <c r="S288" s="5">
        <f t="shared" si="28"/>
        <v>0.2123537798</v>
      </c>
      <c r="T288" s="5">
        <f t="shared" si="29"/>
        <v>0.13133989531424001</v>
      </c>
    </row>
    <row r="289" spans="1:20">
      <c r="A289" s="1">
        <v>288</v>
      </c>
      <c r="B289" s="2">
        <f>DATE(Sintesi!$C$4-1,12,31)+A289</f>
        <v>44484</v>
      </c>
      <c r="C289" s="1">
        <f>'Paste cell here'!T289</f>
        <v>2.0000000000000002E-5</v>
      </c>
      <c r="D289" s="1">
        <f>'Paste cell here'!AC289</f>
        <v>0</v>
      </c>
      <c r="E289" s="1">
        <f>'Paste cell here'!Y289</f>
        <v>0</v>
      </c>
      <c r="F289" s="1">
        <f>'Paste cell here'!AD289</f>
        <v>0.46994734300000002</v>
      </c>
      <c r="G289" s="1">
        <f>'Paste cell here'!W289</f>
        <v>0</v>
      </c>
      <c r="H289" s="1">
        <f>'Paste cell here'!AE289</f>
        <v>42.000828630000001</v>
      </c>
      <c r="I289" s="1">
        <f>'Paste cell here'!AF289</f>
        <v>42.470755959999998</v>
      </c>
      <c r="J289" s="1">
        <f t="shared" si="24"/>
        <v>1.3000004628338502E-8</v>
      </c>
      <c r="K289" s="1" t="str">
        <f>IF('Bilancio primo strato'!D289&gt;0,1,"")</f>
        <v/>
      </c>
      <c r="L289" s="7">
        <f>Sintesi!$C$34</f>
        <v>9.0200000000000002E-2</v>
      </c>
      <c r="M289" s="7">
        <f>Sintesi!$C$33</f>
        <v>0.196996</v>
      </c>
      <c r="N289" s="1">
        <f>'Paste cell here'!AA289</f>
        <v>0.2</v>
      </c>
      <c r="O289" s="1">
        <f>'Paste cell here'!H289</f>
        <v>0.61659657099999998</v>
      </c>
      <c r="P289" s="1">
        <f t="shared" si="25"/>
        <v>21.359200000000001</v>
      </c>
      <c r="Q289" s="1">
        <f t="shared" si="26"/>
        <v>13.1700094793032</v>
      </c>
      <c r="R289" s="1">
        <f t="shared" si="27"/>
        <v>26.2291905206968</v>
      </c>
      <c r="S289" s="5">
        <f t="shared" si="28"/>
        <v>0.21000414315000002</v>
      </c>
      <c r="T289" s="5">
        <f t="shared" si="29"/>
        <v>0.131145952603484</v>
      </c>
    </row>
    <row r="290" spans="1:20">
      <c r="A290" s="1">
        <v>289</v>
      </c>
      <c r="B290" s="2">
        <f>DATE(Sintesi!$C$4-1,12,31)+A290</f>
        <v>44485</v>
      </c>
      <c r="C290" s="1">
        <f>'Paste cell here'!T290</f>
        <v>3.7400000000000002E-6</v>
      </c>
      <c r="D290" s="1">
        <f>'Paste cell here'!AC290</f>
        <v>0</v>
      </c>
      <c r="E290" s="1">
        <f>'Paste cell here'!Y290</f>
        <v>0</v>
      </c>
      <c r="F290" s="1">
        <f>'Paste cell here'!AD290</f>
        <v>0.41375220099999999</v>
      </c>
      <c r="G290" s="1">
        <f>'Paste cell here'!W290</f>
        <v>0</v>
      </c>
      <c r="H290" s="1">
        <f>'Paste cell here'!AE290</f>
        <v>41.58708017</v>
      </c>
      <c r="I290" s="1">
        <f>'Paste cell here'!AF290</f>
        <v>42.000828630000001</v>
      </c>
      <c r="J290" s="1">
        <f t="shared" si="24"/>
        <v>1.0000036354540498E-9</v>
      </c>
      <c r="K290" s="1" t="str">
        <f>IF('Bilancio primo strato'!D290&gt;0,1,"")</f>
        <v/>
      </c>
      <c r="L290" s="7">
        <f>Sintesi!$C$34</f>
        <v>9.0200000000000002E-2</v>
      </c>
      <c r="M290" s="7">
        <f>Sintesi!$C$33</f>
        <v>0.196996</v>
      </c>
      <c r="N290" s="1">
        <f>'Paste cell here'!AA290</f>
        <v>0.2</v>
      </c>
      <c r="O290" s="1">
        <f>'Paste cell here'!H290</f>
        <v>0.62489466500000002</v>
      </c>
      <c r="P290" s="1">
        <f t="shared" si="25"/>
        <v>21.359200000000001</v>
      </c>
      <c r="Q290" s="1">
        <f t="shared" si="26"/>
        <v>13.347250128668001</v>
      </c>
      <c r="R290" s="1">
        <f t="shared" si="27"/>
        <v>26.051949871331999</v>
      </c>
      <c r="S290" s="5">
        <f t="shared" si="28"/>
        <v>0.20793540085000001</v>
      </c>
      <c r="T290" s="5">
        <f t="shared" si="29"/>
        <v>0.13025974935665999</v>
      </c>
    </row>
    <row r="291" spans="1:20">
      <c r="A291" s="1">
        <v>290</v>
      </c>
      <c r="B291" s="2">
        <f>DATE(Sintesi!$C$4-1,12,31)+A291</f>
        <v>44486</v>
      </c>
      <c r="C291" s="1">
        <f>'Paste cell here'!T291</f>
        <v>6.7400000000000003E-7</v>
      </c>
      <c r="D291" s="1">
        <f>'Paste cell here'!AC291</f>
        <v>0</v>
      </c>
      <c r="E291" s="1">
        <f>'Paste cell here'!Y291</f>
        <v>0</v>
      </c>
      <c r="F291" s="1">
        <f>'Paste cell here'!AD291</f>
        <v>0.36900028200000001</v>
      </c>
      <c r="G291" s="1">
        <f>'Paste cell here'!W291</f>
        <v>0</v>
      </c>
      <c r="H291" s="1">
        <f>'Paste cell here'!AE291</f>
        <v>41.218080559999997</v>
      </c>
      <c r="I291" s="1">
        <f>'Paste cell here'!AF291</f>
        <v>41.58708017</v>
      </c>
      <c r="J291" s="1">
        <f t="shared" si="24"/>
        <v>2.000000165480742E-9</v>
      </c>
      <c r="K291" s="1" t="str">
        <f>IF('Bilancio primo strato'!D291&gt;0,1,"")</f>
        <v/>
      </c>
      <c r="L291" s="7">
        <f>Sintesi!$C$34</f>
        <v>9.0200000000000002E-2</v>
      </c>
      <c r="M291" s="7">
        <f>Sintesi!$C$33</f>
        <v>0.196996</v>
      </c>
      <c r="N291" s="1">
        <f>'Paste cell here'!AA291</f>
        <v>0.2</v>
      </c>
      <c r="O291" s="1">
        <f>'Paste cell here'!H291</f>
        <v>0.62398555600000005</v>
      </c>
      <c r="P291" s="1">
        <f t="shared" si="25"/>
        <v>21.359200000000001</v>
      </c>
      <c r="Q291" s="1">
        <f t="shared" si="26"/>
        <v>13.327832287715202</v>
      </c>
      <c r="R291" s="1">
        <f t="shared" si="27"/>
        <v>26.071367712284797</v>
      </c>
      <c r="S291" s="5">
        <f t="shared" si="28"/>
        <v>0.20609040279999999</v>
      </c>
      <c r="T291" s="5">
        <f t="shared" si="29"/>
        <v>0.13035683856142399</v>
      </c>
    </row>
    <row r="292" spans="1:20">
      <c r="A292" s="1">
        <v>291</v>
      </c>
      <c r="B292" s="2">
        <f>DATE(Sintesi!$C$4-1,12,31)+A292</f>
        <v>44487</v>
      </c>
      <c r="C292" s="1">
        <f>'Paste cell here'!T292</f>
        <v>1.24E-7</v>
      </c>
      <c r="D292" s="1">
        <f>'Paste cell here'!AC292</f>
        <v>0</v>
      </c>
      <c r="E292" s="1">
        <f>'Paste cell here'!Y292</f>
        <v>0</v>
      </c>
      <c r="F292" s="1">
        <f>'Paste cell here'!AD292</f>
        <v>0.33256611400000002</v>
      </c>
      <c r="G292" s="1">
        <f>'Paste cell here'!W292</f>
        <v>0</v>
      </c>
      <c r="H292" s="1">
        <f>'Paste cell here'!AE292</f>
        <v>40.885514569999998</v>
      </c>
      <c r="I292" s="1">
        <f>'Paste cell here'!AF292</f>
        <v>41.218080559999997</v>
      </c>
      <c r="J292" s="1">
        <f t="shared" si="24"/>
        <v>0</v>
      </c>
      <c r="K292" s="1" t="str">
        <f>IF('Bilancio primo strato'!D292&gt;0,1,"")</f>
        <v/>
      </c>
      <c r="L292" s="7">
        <f>Sintesi!$C$34</f>
        <v>9.0200000000000002E-2</v>
      </c>
      <c r="M292" s="7">
        <f>Sintesi!$C$33</f>
        <v>0.196996</v>
      </c>
      <c r="N292" s="1">
        <f>'Paste cell here'!AA292</f>
        <v>0.2</v>
      </c>
      <c r="O292" s="1">
        <f>'Paste cell here'!H292</f>
        <v>0.62657084100000005</v>
      </c>
      <c r="P292" s="1">
        <f t="shared" si="25"/>
        <v>21.359200000000001</v>
      </c>
      <c r="Q292" s="1">
        <f t="shared" si="26"/>
        <v>13.383051907087202</v>
      </c>
      <c r="R292" s="1">
        <f t="shared" si="27"/>
        <v>26.0161480929128</v>
      </c>
      <c r="S292" s="5">
        <f t="shared" si="28"/>
        <v>0.20442757284999999</v>
      </c>
      <c r="T292" s="5">
        <f t="shared" si="29"/>
        <v>0.130080740464564</v>
      </c>
    </row>
    <row r="293" spans="1:20">
      <c r="A293" s="1">
        <v>292</v>
      </c>
      <c r="B293" s="2">
        <f>DATE(Sintesi!$C$4-1,12,31)+A293</f>
        <v>44488</v>
      </c>
      <c r="C293" s="1">
        <f>'Paste cell here'!T293</f>
        <v>2.37E-8</v>
      </c>
      <c r="D293" s="1">
        <f>'Paste cell here'!AC293</f>
        <v>0</v>
      </c>
      <c r="E293" s="1">
        <f>'Paste cell here'!Y293</f>
        <v>0</v>
      </c>
      <c r="F293" s="1">
        <f>'Paste cell here'!AD293</f>
        <v>0.30236025900000002</v>
      </c>
      <c r="G293" s="1">
        <f>'Paste cell here'!W293</f>
        <v>0</v>
      </c>
      <c r="H293" s="1">
        <f>'Paste cell here'!AE293</f>
        <v>40.583154329999999</v>
      </c>
      <c r="I293" s="1">
        <f>'Paste cell here'!AF293</f>
        <v>40.885514569999998</v>
      </c>
      <c r="J293" s="1">
        <f t="shared" si="24"/>
        <v>4.6999986125229043E-9</v>
      </c>
      <c r="K293" s="1" t="str">
        <f>IF('Bilancio primo strato'!D293&gt;0,1,"")</f>
        <v/>
      </c>
      <c r="L293" s="7">
        <f>Sintesi!$C$34</f>
        <v>9.0200000000000002E-2</v>
      </c>
      <c r="M293" s="7">
        <f>Sintesi!$C$33</f>
        <v>0.196996</v>
      </c>
      <c r="N293" s="1">
        <f>'Paste cell here'!AA293</f>
        <v>0.2</v>
      </c>
      <c r="O293" s="1">
        <f>'Paste cell here'!H293</f>
        <v>0.62881941799999996</v>
      </c>
      <c r="P293" s="1">
        <f t="shared" si="25"/>
        <v>21.359200000000001</v>
      </c>
      <c r="Q293" s="1">
        <f t="shared" si="26"/>
        <v>13.4310797129456</v>
      </c>
      <c r="R293" s="1">
        <f t="shared" si="27"/>
        <v>25.968120287054401</v>
      </c>
      <c r="S293" s="5">
        <f t="shared" si="28"/>
        <v>0.20291577164999999</v>
      </c>
      <c r="T293" s="5">
        <f t="shared" si="29"/>
        <v>0.12984060143527201</v>
      </c>
    </row>
    <row r="294" spans="1:20">
      <c r="A294" s="1">
        <v>293</v>
      </c>
      <c r="B294" s="2">
        <f>DATE(Sintesi!$C$4-1,12,31)+A294</f>
        <v>44489</v>
      </c>
      <c r="C294" s="1">
        <f>'Paste cell here'!T294</f>
        <v>5.7100000000000003E-9</v>
      </c>
      <c r="D294" s="1">
        <f>'Paste cell here'!AC294</f>
        <v>0</v>
      </c>
      <c r="E294" s="1">
        <f>'Paste cell here'!Y294</f>
        <v>0</v>
      </c>
      <c r="F294" s="1">
        <f>'Paste cell here'!AD294</f>
        <v>0.27693448799999998</v>
      </c>
      <c r="G294" s="1">
        <f>'Paste cell here'!W294</f>
        <v>0</v>
      </c>
      <c r="H294" s="1">
        <f>'Paste cell here'!AE294</f>
        <v>40.306219849999998</v>
      </c>
      <c r="I294" s="1">
        <f>'Paste cell here'!AF294</f>
        <v>40.583154329999999</v>
      </c>
      <c r="J294" s="1">
        <f t="shared" si="24"/>
        <v>2.2900010776538693E-9</v>
      </c>
      <c r="K294" s="1" t="str">
        <f>IF('Bilancio primo strato'!D294&gt;0,1,"")</f>
        <v/>
      </c>
      <c r="L294" s="7">
        <f>Sintesi!$C$34</f>
        <v>9.0200000000000002E-2</v>
      </c>
      <c r="M294" s="7">
        <f>Sintesi!$C$33</f>
        <v>0.196996</v>
      </c>
      <c r="N294" s="1">
        <f>'Paste cell here'!AA294</f>
        <v>0.2</v>
      </c>
      <c r="O294" s="1">
        <f>'Paste cell here'!H294</f>
        <v>0.63816589400000001</v>
      </c>
      <c r="P294" s="1">
        <f t="shared" si="25"/>
        <v>21.359200000000001</v>
      </c>
      <c r="Q294" s="1">
        <f t="shared" si="26"/>
        <v>13.6307129631248</v>
      </c>
      <c r="R294" s="1">
        <f t="shared" si="27"/>
        <v>25.7684870368752</v>
      </c>
      <c r="S294" s="5">
        <f t="shared" si="28"/>
        <v>0.20153109924999998</v>
      </c>
      <c r="T294" s="5">
        <f t="shared" si="29"/>
        <v>0.12884243518437599</v>
      </c>
    </row>
    <row r="295" spans="1:20">
      <c r="A295" s="1">
        <v>294</v>
      </c>
      <c r="B295" s="2">
        <f>DATE(Sintesi!$C$4-1,12,31)+A295</f>
        <v>44490</v>
      </c>
      <c r="C295" s="1">
        <f>'Paste cell here'!T295</f>
        <v>1.09E-7</v>
      </c>
      <c r="D295" s="1">
        <f>'Paste cell here'!AC295</f>
        <v>0</v>
      </c>
      <c r="E295" s="1">
        <f>'Paste cell here'!Y295</f>
        <v>0</v>
      </c>
      <c r="F295" s="1">
        <f>'Paste cell here'!AD295</f>
        <v>0.25525424299999999</v>
      </c>
      <c r="G295" s="1">
        <f>'Paste cell here'!W295</f>
        <v>0</v>
      </c>
      <c r="H295" s="1">
        <f>'Paste cell here'!AE295</f>
        <v>40.050965720000001</v>
      </c>
      <c r="I295" s="1">
        <f>'Paste cell here'!AF295</f>
        <v>40.306219849999998</v>
      </c>
      <c r="J295" s="1">
        <f t="shared" si="24"/>
        <v>4.0000074363888416E-9</v>
      </c>
      <c r="K295" s="1" t="str">
        <f>IF('Bilancio primo strato'!D295&gt;0,1,"")</f>
        <v/>
      </c>
      <c r="L295" s="7">
        <f>Sintesi!$C$34</f>
        <v>9.0200000000000002E-2</v>
      </c>
      <c r="M295" s="7">
        <f>Sintesi!$C$33</f>
        <v>0.196996</v>
      </c>
      <c r="N295" s="1">
        <f>'Paste cell here'!AA295</f>
        <v>0.2</v>
      </c>
      <c r="O295" s="1">
        <f>'Paste cell here'!H295</f>
        <v>0.64963646799999997</v>
      </c>
      <c r="P295" s="1">
        <f t="shared" si="25"/>
        <v>21.359200000000001</v>
      </c>
      <c r="Q295" s="1">
        <f t="shared" si="26"/>
        <v>13.8757152473056</v>
      </c>
      <c r="R295" s="1">
        <f t="shared" si="27"/>
        <v>25.523484752694401</v>
      </c>
      <c r="S295" s="5">
        <f t="shared" si="28"/>
        <v>0.20025482859999999</v>
      </c>
      <c r="T295" s="5">
        <f t="shared" si="29"/>
        <v>0.12761742376347202</v>
      </c>
    </row>
    <row r="296" spans="1:20">
      <c r="A296" s="1">
        <v>295</v>
      </c>
      <c r="B296" s="2">
        <f>DATE(Sintesi!$C$4-1,12,31)+A296</f>
        <v>44491</v>
      </c>
      <c r="C296" s="1">
        <f>'Paste cell here'!T296</f>
        <v>3.4299999999999999E-7</v>
      </c>
      <c r="D296" s="1">
        <f>'Paste cell here'!AC296</f>
        <v>0</v>
      </c>
      <c r="E296" s="1">
        <f>'Paste cell here'!Y296</f>
        <v>0</v>
      </c>
      <c r="F296" s="1">
        <f>'Paste cell here'!AD296</f>
        <v>0.236561352</v>
      </c>
      <c r="G296" s="1">
        <f>'Paste cell here'!W296</f>
        <v>0</v>
      </c>
      <c r="H296" s="1">
        <f>'Paste cell here'!AE296</f>
        <v>39.814404709999998</v>
      </c>
      <c r="I296" s="1">
        <f>'Paste cell here'!AF296</f>
        <v>40.050965720000001</v>
      </c>
      <c r="J296" s="1">
        <f t="shared" si="24"/>
        <v>1.0000036354540498E-9</v>
      </c>
      <c r="K296" s="1" t="str">
        <f>IF('Bilancio primo strato'!D296&gt;0,1,"")</f>
        <v/>
      </c>
      <c r="L296" s="7">
        <f>Sintesi!$C$34</f>
        <v>9.0200000000000002E-2</v>
      </c>
      <c r="M296" s="7">
        <f>Sintesi!$C$33</f>
        <v>0.196996</v>
      </c>
      <c r="N296" s="1">
        <f>'Paste cell here'!AA296</f>
        <v>0.2</v>
      </c>
      <c r="O296" s="1">
        <f>'Paste cell here'!H296</f>
        <v>0.67056729999999998</v>
      </c>
      <c r="P296" s="1">
        <f t="shared" si="25"/>
        <v>21.359200000000001</v>
      </c>
      <c r="Q296" s="1">
        <f t="shared" si="26"/>
        <v>14.32278107416</v>
      </c>
      <c r="R296" s="1">
        <f t="shared" si="27"/>
        <v>25.076418925840002</v>
      </c>
      <c r="S296" s="5">
        <f t="shared" si="28"/>
        <v>0.19907202354999998</v>
      </c>
      <c r="T296" s="5">
        <f t="shared" si="29"/>
        <v>0.12538209462920002</v>
      </c>
    </row>
    <row r="297" spans="1:20">
      <c r="A297" s="1">
        <v>296</v>
      </c>
      <c r="B297" s="2">
        <f>DATE(Sintesi!$C$4-1,12,31)+A297</f>
        <v>44492</v>
      </c>
      <c r="C297" s="1">
        <f>'Paste cell here'!T297</f>
        <v>9.8500000000000002E-8</v>
      </c>
      <c r="D297" s="1">
        <f>'Paste cell here'!AC297</f>
        <v>0</v>
      </c>
      <c r="E297" s="1">
        <f>'Paste cell here'!Y297</f>
        <v>0</v>
      </c>
      <c r="F297" s="1">
        <f>'Paste cell here'!AD297</f>
        <v>0.220287812</v>
      </c>
      <c r="G297" s="1">
        <f>'Paste cell here'!W297</f>
        <v>0</v>
      </c>
      <c r="H297" s="1">
        <f>'Paste cell here'!AE297</f>
        <v>39.594116990000003</v>
      </c>
      <c r="I297" s="1">
        <f>'Paste cell here'!AF297</f>
        <v>39.814404709999998</v>
      </c>
      <c r="J297" s="1">
        <f t="shared" si="24"/>
        <v>6.4999952087418933E-9</v>
      </c>
      <c r="K297" s="1" t="str">
        <f>IF('Bilancio primo strato'!D297&gt;0,1,"")</f>
        <v/>
      </c>
      <c r="L297" s="7">
        <f>Sintesi!$C$34</f>
        <v>9.0200000000000002E-2</v>
      </c>
      <c r="M297" s="7">
        <f>Sintesi!$C$33</f>
        <v>0.196996</v>
      </c>
      <c r="N297" s="1">
        <f>'Paste cell here'!AA297</f>
        <v>0.2</v>
      </c>
      <c r="O297" s="1">
        <f>'Paste cell here'!H297</f>
        <v>0.642113449</v>
      </c>
      <c r="P297" s="1">
        <f t="shared" si="25"/>
        <v>21.359200000000001</v>
      </c>
      <c r="Q297" s="1">
        <f t="shared" si="26"/>
        <v>13.715029579880801</v>
      </c>
      <c r="R297" s="1">
        <f t="shared" si="27"/>
        <v>25.684170420119202</v>
      </c>
      <c r="S297" s="5">
        <f t="shared" si="28"/>
        <v>0.19797058495000003</v>
      </c>
      <c r="T297" s="5">
        <f t="shared" si="29"/>
        <v>0.12842085210059601</v>
      </c>
    </row>
    <row r="298" spans="1:20">
      <c r="A298" s="1">
        <v>297</v>
      </c>
      <c r="B298" s="2">
        <f>DATE(Sintesi!$C$4-1,12,31)+A298</f>
        <v>44493</v>
      </c>
      <c r="C298" s="1">
        <f>'Paste cell here'!T298</f>
        <v>2.77E-8</v>
      </c>
      <c r="D298" s="1">
        <f>'Paste cell here'!AC298</f>
        <v>0</v>
      </c>
      <c r="E298" s="1">
        <f>'Paste cell here'!Y298</f>
        <v>0</v>
      </c>
      <c r="F298" s="1">
        <f>'Paste cell here'!AD298</f>
        <v>0.205999985</v>
      </c>
      <c r="G298" s="1">
        <f>'Paste cell here'!W298</f>
        <v>0</v>
      </c>
      <c r="H298" s="1">
        <f>'Paste cell here'!AE298</f>
        <v>39.388117039999997</v>
      </c>
      <c r="I298" s="1">
        <f>'Paste cell here'!AF298</f>
        <v>39.594116990000003</v>
      </c>
      <c r="J298" s="1">
        <f t="shared" si="24"/>
        <v>7.2999952749341901E-9</v>
      </c>
      <c r="K298" s="1" t="str">
        <f>IF('Bilancio primo strato'!D298&gt;0,1,"")</f>
        <v/>
      </c>
      <c r="L298" s="7">
        <f>Sintesi!$C$34</f>
        <v>9.0200000000000002E-2</v>
      </c>
      <c r="M298" s="7">
        <f>Sintesi!$C$33</f>
        <v>0.196996</v>
      </c>
      <c r="N298" s="1">
        <f>'Paste cell here'!AA298</f>
        <v>0.2</v>
      </c>
      <c r="O298" s="1">
        <f>'Paste cell here'!H298</f>
        <v>0.64823561399999996</v>
      </c>
      <c r="P298" s="1">
        <f t="shared" si="25"/>
        <v>21.359200000000001</v>
      </c>
      <c r="Q298" s="1">
        <f t="shared" si="26"/>
        <v>13.8457941265488</v>
      </c>
      <c r="R298" s="1">
        <f t="shared" si="27"/>
        <v>25.553405873451201</v>
      </c>
      <c r="S298" s="5">
        <f t="shared" si="28"/>
        <v>0.19694058519999999</v>
      </c>
      <c r="T298" s="5">
        <f t="shared" si="29"/>
        <v>0.12776702936725601</v>
      </c>
    </row>
    <row r="299" spans="1:20">
      <c r="A299" s="1">
        <v>298</v>
      </c>
      <c r="B299" s="2">
        <f>DATE(Sintesi!$C$4-1,12,31)+A299</f>
        <v>44494</v>
      </c>
      <c r="C299" s="1">
        <f>'Paste cell here'!T299</f>
        <v>7.0299999999999999E-9</v>
      </c>
      <c r="D299" s="1">
        <f>'Paste cell here'!AC299</f>
        <v>0</v>
      </c>
      <c r="E299" s="1">
        <f>'Paste cell here'!Y299</f>
        <v>0</v>
      </c>
      <c r="F299" s="1">
        <f>'Paste cell here'!AD299</f>
        <v>0.19336123699999999</v>
      </c>
      <c r="G299" s="1">
        <f>'Paste cell here'!W299</f>
        <v>0</v>
      </c>
      <c r="H299" s="1">
        <f>'Paste cell here'!AE299</f>
        <v>39.194755809999997</v>
      </c>
      <c r="I299" s="1">
        <f>'Paste cell here'!AF299</f>
        <v>39.388117039999997</v>
      </c>
      <c r="J299" s="1">
        <f t="shared" si="24"/>
        <v>3.0006219731149031E-11</v>
      </c>
      <c r="K299" s="1" t="str">
        <f>IF('Bilancio primo strato'!D299&gt;0,1,"")</f>
        <v/>
      </c>
      <c r="L299" s="7">
        <f>Sintesi!$C$34</f>
        <v>9.0200000000000002E-2</v>
      </c>
      <c r="M299" s="7">
        <f>Sintesi!$C$33</f>
        <v>0.196996</v>
      </c>
      <c r="N299" s="1">
        <f>'Paste cell here'!AA299</f>
        <v>0.2</v>
      </c>
      <c r="O299" s="1">
        <f>'Paste cell here'!H299</f>
        <v>0.63950870599999998</v>
      </c>
      <c r="P299" s="1">
        <f t="shared" si="25"/>
        <v>21.359200000000001</v>
      </c>
      <c r="Q299" s="1">
        <f t="shared" si="26"/>
        <v>13.6593943531952</v>
      </c>
      <c r="R299" s="1">
        <f t="shared" si="27"/>
        <v>25.7398056468048</v>
      </c>
      <c r="S299" s="5">
        <f t="shared" si="28"/>
        <v>0.19597377904999999</v>
      </c>
      <c r="T299" s="5">
        <f t="shared" si="29"/>
        <v>0.12869902823402402</v>
      </c>
    </row>
    <row r="300" spans="1:20">
      <c r="A300" s="1">
        <v>299</v>
      </c>
      <c r="B300" s="2">
        <f>DATE(Sintesi!$C$4-1,12,31)+A300</f>
        <v>44495</v>
      </c>
      <c r="C300" s="1">
        <f>'Paste cell here'!T300</f>
        <v>1.87E-9</v>
      </c>
      <c r="D300" s="1">
        <f>'Paste cell here'!AC300</f>
        <v>0</v>
      </c>
      <c r="E300" s="1">
        <f>'Paste cell here'!Y300</f>
        <v>0</v>
      </c>
      <c r="F300" s="1">
        <f>'Paste cell here'!AD300</f>
        <v>0.18210635999999999</v>
      </c>
      <c r="G300" s="1">
        <f>'Paste cell here'!W300</f>
        <v>0</v>
      </c>
      <c r="H300" s="1">
        <f>'Paste cell here'!AE300</f>
        <v>39.012649449999998</v>
      </c>
      <c r="I300" s="1">
        <f>'Paste cell here'!AF300</f>
        <v>39.194755809999997</v>
      </c>
      <c r="J300" s="1">
        <f t="shared" si="24"/>
        <v>1.8699992665460741E-9</v>
      </c>
      <c r="K300" s="1" t="str">
        <f>IF('Bilancio primo strato'!D300&gt;0,1,"")</f>
        <v/>
      </c>
      <c r="L300" s="7">
        <f>Sintesi!$C$34</f>
        <v>9.0200000000000002E-2</v>
      </c>
      <c r="M300" s="7">
        <f>Sintesi!$C$33</f>
        <v>0.196996</v>
      </c>
      <c r="N300" s="1">
        <f>'Paste cell here'!AA300</f>
        <v>0.2</v>
      </c>
      <c r="O300" s="1">
        <f>'Paste cell here'!H300</f>
        <v>0.64901807099999997</v>
      </c>
      <c r="P300" s="1">
        <f t="shared" si="25"/>
        <v>21.359200000000001</v>
      </c>
      <c r="Q300" s="1">
        <f t="shared" si="26"/>
        <v>13.8625067821032</v>
      </c>
      <c r="R300" s="1">
        <f t="shared" si="27"/>
        <v>25.536693217896801</v>
      </c>
      <c r="S300" s="5">
        <f t="shared" si="28"/>
        <v>0.19506324724999999</v>
      </c>
      <c r="T300" s="5">
        <f t="shared" si="29"/>
        <v>0.127683466089484</v>
      </c>
    </row>
    <row r="301" spans="1:20">
      <c r="A301" s="1">
        <v>300</v>
      </c>
      <c r="B301" s="2">
        <f>DATE(Sintesi!$C$4-1,12,31)+A301</f>
        <v>44496</v>
      </c>
      <c r="C301" s="1">
        <f>'Paste cell here'!T301</f>
        <v>6.6399999999999998E-10</v>
      </c>
      <c r="D301" s="1">
        <f>'Paste cell here'!AC301</f>
        <v>0</v>
      </c>
      <c r="E301" s="1">
        <f>'Paste cell here'!Y301</f>
        <v>0</v>
      </c>
      <c r="F301" s="1">
        <f>'Paste cell here'!AD301</f>
        <v>0.17202366999999999</v>
      </c>
      <c r="G301" s="1">
        <f>'Paste cell here'!W301</f>
        <v>0</v>
      </c>
      <c r="H301" s="1">
        <f>'Paste cell here'!AE301</f>
        <v>38.840625780000003</v>
      </c>
      <c r="I301" s="1">
        <f>'Paste cell here'!AF301</f>
        <v>39.012649449999998</v>
      </c>
      <c r="J301" s="1">
        <f t="shared" si="24"/>
        <v>6.6399508114045602E-10</v>
      </c>
      <c r="K301" s="1" t="str">
        <f>IF('Bilancio primo strato'!D301&gt;0,1,"")</f>
        <v/>
      </c>
      <c r="L301" s="7">
        <f>Sintesi!$C$34</f>
        <v>9.0200000000000002E-2</v>
      </c>
      <c r="M301" s="7">
        <f>Sintesi!$C$33</f>
        <v>0.196996</v>
      </c>
      <c r="N301" s="1">
        <f>'Paste cell here'!AA301</f>
        <v>0.2</v>
      </c>
      <c r="O301" s="1">
        <f>'Paste cell here'!H301</f>
        <v>0.64340088100000004</v>
      </c>
      <c r="P301" s="1">
        <f t="shared" si="25"/>
        <v>21.359200000000001</v>
      </c>
      <c r="Q301" s="1">
        <f t="shared" si="26"/>
        <v>13.742528097455201</v>
      </c>
      <c r="R301" s="1">
        <f t="shared" si="27"/>
        <v>25.656671902544801</v>
      </c>
      <c r="S301" s="5">
        <f t="shared" si="28"/>
        <v>0.19420312890000002</v>
      </c>
      <c r="T301" s="5">
        <f t="shared" si="29"/>
        <v>0.12828335951272402</v>
      </c>
    </row>
    <row r="302" spans="1:20">
      <c r="A302" s="1">
        <v>301</v>
      </c>
      <c r="B302" s="2">
        <f>DATE(Sintesi!$C$4-1,12,31)+A302</f>
        <v>44497</v>
      </c>
      <c r="C302" s="1">
        <f>'Paste cell here'!T302</f>
        <v>3.14E-10</v>
      </c>
      <c r="D302" s="1">
        <f>'Paste cell here'!AC302</f>
        <v>0</v>
      </c>
      <c r="E302" s="1">
        <f>'Paste cell here'!Y302</f>
        <v>0</v>
      </c>
      <c r="F302" s="1">
        <f>'Paste cell here'!AD302</f>
        <v>0.162942211</v>
      </c>
      <c r="G302" s="1">
        <f>'Paste cell here'!W302</f>
        <v>0</v>
      </c>
      <c r="H302" s="1">
        <f>'Paste cell here'!AE302</f>
        <v>38.677683569999999</v>
      </c>
      <c r="I302" s="1">
        <f>'Paste cell here'!AF302</f>
        <v>38.840625780000003</v>
      </c>
      <c r="J302" s="1">
        <f t="shared" si="24"/>
        <v>6.8599348423958872E-10</v>
      </c>
      <c r="K302" s="1" t="str">
        <f>IF('Bilancio primo strato'!D302&gt;0,1,"")</f>
        <v/>
      </c>
      <c r="L302" s="7">
        <f>Sintesi!$C$34</f>
        <v>9.0200000000000002E-2</v>
      </c>
      <c r="M302" s="7">
        <f>Sintesi!$C$33</f>
        <v>0.196996</v>
      </c>
      <c r="N302" s="1">
        <f>'Paste cell here'!AA302</f>
        <v>0.2</v>
      </c>
      <c r="O302" s="1">
        <f>'Paste cell here'!H302</f>
        <v>0.63788339000000005</v>
      </c>
      <c r="P302" s="1">
        <f t="shared" si="25"/>
        <v>21.359200000000001</v>
      </c>
      <c r="Q302" s="1">
        <f t="shared" si="26"/>
        <v>13.624678903688002</v>
      </c>
      <c r="R302" s="1">
        <f t="shared" si="27"/>
        <v>25.774521096312</v>
      </c>
      <c r="S302" s="5">
        <f t="shared" si="28"/>
        <v>0.19338841784999999</v>
      </c>
      <c r="T302" s="5">
        <f t="shared" si="29"/>
        <v>0.12887260548155999</v>
      </c>
    </row>
    <row r="303" spans="1:20">
      <c r="A303" s="1">
        <v>302</v>
      </c>
      <c r="B303" s="2">
        <f>DATE(Sintesi!$C$4-1,12,31)+A303</f>
        <v>44498</v>
      </c>
      <c r="C303" s="1">
        <f>'Paste cell here'!T303</f>
        <v>7.2799999999999997E-11</v>
      </c>
      <c r="D303" s="1">
        <f>'Paste cell here'!AC303</f>
        <v>0</v>
      </c>
      <c r="E303" s="1">
        <f>'Paste cell here'!Y303</f>
        <v>0</v>
      </c>
      <c r="F303" s="1">
        <f>'Paste cell here'!AD303</f>
        <v>0.15472245800000001</v>
      </c>
      <c r="G303" s="1">
        <f>'Paste cell here'!W303</f>
        <v>0</v>
      </c>
      <c r="H303" s="1">
        <f>'Paste cell here'!AE303</f>
        <v>38.522961109999997</v>
      </c>
      <c r="I303" s="1">
        <f>'Paste cell here'!AF303</f>
        <v>38.677683569999999</v>
      </c>
      <c r="J303" s="1">
        <f t="shared" si="24"/>
        <v>2.0728023741867219E-9</v>
      </c>
      <c r="K303" s="1" t="str">
        <f>IF('Bilancio primo strato'!D303&gt;0,1,"")</f>
        <v/>
      </c>
      <c r="L303" s="7">
        <f>Sintesi!$C$34</f>
        <v>9.0200000000000002E-2</v>
      </c>
      <c r="M303" s="7">
        <f>Sintesi!$C$33</f>
        <v>0.196996</v>
      </c>
      <c r="N303" s="1">
        <f>'Paste cell here'!AA303</f>
        <v>0.2</v>
      </c>
      <c r="O303" s="1">
        <f>'Paste cell here'!H303</f>
        <v>0.64583567399999997</v>
      </c>
      <c r="P303" s="1">
        <f t="shared" si="25"/>
        <v>21.359200000000001</v>
      </c>
      <c r="Q303" s="1">
        <f t="shared" si="26"/>
        <v>13.794533328100799</v>
      </c>
      <c r="R303" s="1">
        <f t="shared" si="27"/>
        <v>25.604666671899203</v>
      </c>
      <c r="S303" s="5">
        <f t="shared" si="28"/>
        <v>0.19261480554999999</v>
      </c>
      <c r="T303" s="5">
        <f t="shared" si="29"/>
        <v>0.12802333335949601</v>
      </c>
    </row>
    <row r="304" spans="1:20">
      <c r="A304" s="1">
        <v>303</v>
      </c>
      <c r="B304" s="2">
        <f>DATE(Sintesi!$C$4-1,12,31)+A304</f>
        <v>44499</v>
      </c>
      <c r="C304" s="1">
        <f>'Paste cell here'!T304</f>
        <v>1.37E-9</v>
      </c>
      <c r="D304" s="1">
        <f>'Paste cell here'!AC304</f>
        <v>0</v>
      </c>
      <c r="E304" s="1">
        <f>'Paste cell here'!Y304</f>
        <v>0</v>
      </c>
      <c r="F304" s="1">
        <f>'Paste cell here'!AD304</f>
        <v>0.14724944300000001</v>
      </c>
      <c r="G304" s="1">
        <f>'Paste cell here'!W304</f>
        <v>0</v>
      </c>
      <c r="H304" s="1">
        <f>'Paste cell here'!AE304</f>
        <v>38.375711670000001</v>
      </c>
      <c r="I304" s="1">
        <f>'Paste cell here'!AF304</f>
        <v>38.522961109999997</v>
      </c>
      <c r="J304" s="1">
        <f t="shared" si="24"/>
        <v>1.6300063521157426E-9</v>
      </c>
      <c r="K304" s="1" t="str">
        <f>IF('Bilancio primo strato'!D304&gt;0,1,"")</f>
        <v/>
      </c>
      <c r="L304" s="7">
        <f>Sintesi!$C$34</f>
        <v>9.0200000000000002E-2</v>
      </c>
      <c r="M304" s="7">
        <f>Sintesi!$C$33</f>
        <v>0.196996</v>
      </c>
      <c r="N304" s="1">
        <f>'Paste cell here'!AA304</f>
        <v>0.2</v>
      </c>
      <c r="O304" s="1">
        <f>'Paste cell here'!H304</f>
        <v>0.64869514299999997</v>
      </c>
      <c r="P304" s="1">
        <f t="shared" si="25"/>
        <v>21.359200000000001</v>
      </c>
      <c r="Q304" s="1">
        <f t="shared" si="26"/>
        <v>13.8556092983656</v>
      </c>
      <c r="R304" s="1">
        <f t="shared" si="27"/>
        <v>25.5435907016344</v>
      </c>
      <c r="S304" s="5">
        <f t="shared" si="28"/>
        <v>0.19187855835000001</v>
      </c>
      <c r="T304" s="5">
        <f t="shared" si="29"/>
        <v>0.127717953508172</v>
      </c>
    </row>
    <row r="305" spans="1:20">
      <c r="A305" s="1">
        <v>304</v>
      </c>
      <c r="B305" s="2">
        <f>DATE(Sintesi!$C$4-1,12,31)+A305</f>
        <v>44500</v>
      </c>
      <c r="C305" s="1">
        <f>'Paste cell here'!T305</f>
        <v>5.6500000000000001E-9</v>
      </c>
      <c r="D305" s="1">
        <f>'Paste cell here'!AC305</f>
        <v>0</v>
      </c>
      <c r="E305" s="1">
        <f>'Paste cell here'!Y305</f>
        <v>0</v>
      </c>
      <c r="F305" s="1">
        <f>'Paste cell here'!AD305</f>
        <v>0.14042760800000001</v>
      </c>
      <c r="G305" s="1">
        <f>'Paste cell here'!W305</f>
        <v>0</v>
      </c>
      <c r="H305" s="1">
        <f>'Paste cell here'!AE305</f>
        <v>38.235284069999999</v>
      </c>
      <c r="I305" s="1">
        <f>'Paste cell here'!AF305</f>
        <v>38.375711670000001</v>
      </c>
      <c r="J305" s="1">
        <f t="shared" si="24"/>
        <v>2.3499993062614521E-9</v>
      </c>
      <c r="K305" s="1" t="str">
        <f>IF('Bilancio primo strato'!D305&gt;0,1,"")</f>
        <v/>
      </c>
      <c r="L305" s="7">
        <f>Sintesi!$C$34</f>
        <v>9.0200000000000002E-2</v>
      </c>
      <c r="M305" s="7">
        <f>Sintesi!$C$33</f>
        <v>0.196996</v>
      </c>
      <c r="N305" s="1">
        <f>'Paste cell here'!AA305</f>
        <v>0.2</v>
      </c>
      <c r="O305" s="1">
        <f>'Paste cell here'!H305</f>
        <v>0.66643061199999998</v>
      </c>
      <c r="P305" s="1">
        <f t="shared" si="25"/>
        <v>21.359200000000001</v>
      </c>
      <c r="Q305" s="1">
        <f t="shared" si="26"/>
        <v>14.234424727830401</v>
      </c>
      <c r="R305" s="1">
        <f t="shared" si="27"/>
        <v>25.164775272169599</v>
      </c>
      <c r="S305" s="5">
        <f t="shared" si="28"/>
        <v>0.19117642034999999</v>
      </c>
      <c r="T305" s="5">
        <f t="shared" si="29"/>
        <v>0.12582387636084799</v>
      </c>
    </row>
    <row r="306" spans="1:20">
      <c r="A306" s="1">
        <v>305</v>
      </c>
      <c r="B306" s="2">
        <f>DATE(Sintesi!$C$4-1,12,31)+A306</f>
        <v>44501</v>
      </c>
      <c r="C306" s="1">
        <f>'Paste cell here'!T306</f>
        <v>6.7677870159999998</v>
      </c>
      <c r="D306" s="1">
        <f>'Paste cell here'!AC306</f>
        <v>0</v>
      </c>
      <c r="E306" s="1">
        <f>'Paste cell here'!Y306</f>
        <v>0</v>
      </c>
      <c r="F306" s="1">
        <f>'Paste cell here'!AD306</f>
        <v>0.212288223</v>
      </c>
      <c r="G306" s="1">
        <f>'Paste cell here'!W306</f>
        <v>0</v>
      </c>
      <c r="H306" s="1">
        <f>'Paste cell here'!AE306</f>
        <v>44.79078286</v>
      </c>
      <c r="I306" s="1">
        <f>'Paste cell here'!AF306</f>
        <v>38.235284069999999</v>
      </c>
      <c r="J306" s="1">
        <f t="shared" si="24"/>
        <v>2.9999966955074342E-9</v>
      </c>
      <c r="K306" s="1" t="str">
        <f>IF('Bilancio primo strato'!D306&gt;0,1,"")</f>
        <v/>
      </c>
      <c r="L306" s="7">
        <f>Sintesi!$C$34</f>
        <v>9.0200000000000002E-2</v>
      </c>
      <c r="M306" s="7">
        <f>Sintesi!$C$33</f>
        <v>0.196996</v>
      </c>
      <c r="N306" s="1">
        <f>'Paste cell here'!AA306</f>
        <v>0.2</v>
      </c>
      <c r="O306" s="1">
        <f>'Paste cell here'!H306</f>
        <v>0.67070637700000002</v>
      </c>
      <c r="P306" s="1">
        <f t="shared" si="25"/>
        <v>21.359200000000001</v>
      </c>
      <c r="Q306" s="1">
        <f t="shared" si="26"/>
        <v>14.325751647618402</v>
      </c>
      <c r="R306" s="1">
        <f t="shared" si="27"/>
        <v>25.073448352381597</v>
      </c>
      <c r="S306" s="5">
        <f t="shared" si="28"/>
        <v>0.2239539143</v>
      </c>
      <c r="T306" s="5">
        <f t="shared" si="29"/>
        <v>0.12536724176190797</v>
      </c>
    </row>
    <row r="307" spans="1:20">
      <c r="A307" s="1">
        <v>306</v>
      </c>
      <c r="B307" s="2">
        <f>DATE(Sintesi!$C$4-1,12,31)+A307</f>
        <v>44502</v>
      </c>
      <c r="C307" s="1">
        <f>'Paste cell here'!T307</f>
        <v>8.7317205999999992</v>
      </c>
      <c r="D307" s="1">
        <f>'Paste cell here'!AC307</f>
        <v>0</v>
      </c>
      <c r="E307" s="1">
        <f>'Paste cell here'!Y307</f>
        <v>0</v>
      </c>
      <c r="F307" s="1">
        <f>'Paste cell here'!AD307</f>
        <v>3.0091828309999999</v>
      </c>
      <c r="G307" s="1">
        <f>'Paste cell here'!W307</f>
        <v>0</v>
      </c>
      <c r="H307" s="1">
        <f>'Paste cell here'!AE307</f>
        <v>50.513320630000003</v>
      </c>
      <c r="I307" s="1">
        <f>'Paste cell here'!AF307</f>
        <v>44.79078286</v>
      </c>
      <c r="J307" s="1">
        <f t="shared" si="24"/>
        <v>1.0000036354540498E-9</v>
      </c>
      <c r="K307" s="1" t="str">
        <f>IF('Bilancio primo strato'!D307&gt;0,1,"")</f>
        <v/>
      </c>
      <c r="L307" s="7">
        <f>Sintesi!$C$34</f>
        <v>9.0200000000000002E-2</v>
      </c>
      <c r="M307" s="7">
        <f>Sintesi!$C$33</f>
        <v>0.196996</v>
      </c>
      <c r="N307" s="1">
        <f>'Paste cell here'!AA307</f>
        <v>0.2</v>
      </c>
      <c r="O307" s="1">
        <f>'Paste cell here'!H307</f>
        <v>0.67864024000000001</v>
      </c>
      <c r="P307" s="1">
        <f t="shared" si="25"/>
        <v>21.359200000000001</v>
      </c>
      <c r="Q307" s="1">
        <f t="shared" si="26"/>
        <v>14.495212614208</v>
      </c>
      <c r="R307" s="1">
        <f t="shared" si="27"/>
        <v>24.903987385792</v>
      </c>
      <c r="S307" s="5">
        <f t="shared" si="28"/>
        <v>0.25256660315000001</v>
      </c>
      <c r="T307" s="5">
        <f t="shared" si="29"/>
        <v>0.12451993692896</v>
      </c>
    </row>
    <row r="308" spans="1:20">
      <c r="A308" s="1">
        <v>307</v>
      </c>
      <c r="B308" s="2">
        <f>DATE(Sintesi!$C$4-1,12,31)+A308</f>
        <v>44503</v>
      </c>
      <c r="C308" s="1">
        <f>'Paste cell here'!T308</f>
        <v>10.213248180000001</v>
      </c>
      <c r="D308" s="1">
        <f>'Paste cell here'!AC308</f>
        <v>0</v>
      </c>
      <c r="E308" s="1">
        <f>'Paste cell here'!Y308</f>
        <v>0</v>
      </c>
      <c r="F308" s="1">
        <f>'Paste cell here'!AD308</f>
        <v>5.8966868720000001</v>
      </c>
      <c r="G308" s="1">
        <f>'Paste cell here'!W308</f>
        <v>0</v>
      </c>
      <c r="H308" s="1">
        <f>'Paste cell here'!AE308</f>
        <v>54.82988194</v>
      </c>
      <c r="I308" s="1">
        <f>'Paste cell here'!AF308</f>
        <v>50.513320630000003</v>
      </c>
      <c r="J308" s="1">
        <f t="shared" si="24"/>
        <v>2.000000165480742E-9</v>
      </c>
      <c r="K308" s="1" t="str">
        <f>IF('Bilancio primo strato'!D308&gt;0,1,"")</f>
        <v/>
      </c>
      <c r="L308" s="7">
        <f>Sintesi!$C$34</f>
        <v>9.0200000000000002E-2</v>
      </c>
      <c r="M308" s="7">
        <f>Sintesi!$C$33</f>
        <v>0.196996</v>
      </c>
      <c r="N308" s="1">
        <f>'Paste cell here'!AA308</f>
        <v>0.2</v>
      </c>
      <c r="O308" s="1">
        <f>'Paste cell here'!H308</f>
        <v>0.67193705400000003</v>
      </c>
      <c r="P308" s="1">
        <f t="shared" si="25"/>
        <v>21.359200000000001</v>
      </c>
      <c r="Q308" s="1">
        <f t="shared" si="26"/>
        <v>14.352037923796802</v>
      </c>
      <c r="R308" s="1">
        <f t="shared" si="27"/>
        <v>25.0471620762032</v>
      </c>
      <c r="S308" s="5">
        <f t="shared" si="28"/>
        <v>0.27414940970000001</v>
      </c>
      <c r="T308" s="5">
        <f t="shared" si="29"/>
        <v>0.125235810381016</v>
      </c>
    </row>
    <row r="309" spans="1:20">
      <c r="A309" s="1">
        <v>308</v>
      </c>
      <c r="B309" s="2">
        <f>DATE(Sintesi!$C$4-1,12,31)+A309</f>
        <v>44504</v>
      </c>
      <c r="C309" s="1">
        <f>'Paste cell here'!T309</f>
        <v>0</v>
      </c>
      <c r="D309" s="1">
        <f>'Paste cell here'!AC309</f>
        <v>0</v>
      </c>
      <c r="E309" s="1">
        <f>'Paste cell here'!Y309</f>
        <v>0</v>
      </c>
      <c r="F309" s="1">
        <f>'Paste cell here'!AD309</f>
        <v>0</v>
      </c>
      <c r="G309" s="1">
        <f>'Paste cell here'!W309</f>
        <v>0</v>
      </c>
      <c r="H309" s="1">
        <f>'Paste cell here'!AE309</f>
        <v>0</v>
      </c>
      <c r="I309" s="1">
        <f>'Paste cell here'!AF309</f>
        <v>0</v>
      </c>
      <c r="J309" s="1">
        <f t="shared" si="24"/>
        <v>0</v>
      </c>
      <c r="K309" s="1" t="str">
        <f>IF('Bilancio primo strato'!D309&gt;0,1,"")</f>
        <v/>
      </c>
      <c r="L309" s="7">
        <f>Sintesi!$C$34</f>
        <v>9.0200000000000002E-2</v>
      </c>
      <c r="M309" s="7">
        <f>Sintesi!$C$33</f>
        <v>0.196996</v>
      </c>
      <c r="N309" s="1">
        <f>'Paste cell here'!AA309</f>
        <v>0</v>
      </c>
      <c r="O309" s="1">
        <f>'Paste cell here'!H309</f>
        <v>0</v>
      </c>
      <c r="P309" s="1">
        <f t="shared" si="25"/>
        <v>0</v>
      </c>
      <c r="Q309" s="1">
        <f t="shared" si="26"/>
        <v>0</v>
      </c>
      <c r="R309" s="1">
        <f t="shared" si="27"/>
        <v>0</v>
      </c>
      <c r="S309" s="5" t="e">
        <f t="shared" si="28"/>
        <v>#DIV/0!</v>
      </c>
      <c r="T309" s="5" t="e">
        <f t="shared" si="29"/>
        <v>#DIV/0!</v>
      </c>
    </row>
    <row r="310" spans="1:20">
      <c r="A310" s="1">
        <v>309</v>
      </c>
      <c r="B310" s="2">
        <f>DATE(Sintesi!$C$4-1,12,31)+A310</f>
        <v>44505</v>
      </c>
      <c r="C310" s="1">
        <f>'Paste cell here'!T310</f>
        <v>0</v>
      </c>
      <c r="D310" s="1">
        <f>'Paste cell here'!AC310</f>
        <v>0</v>
      </c>
      <c r="E310" s="1">
        <f>'Paste cell here'!Y310</f>
        <v>0</v>
      </c>
      <c r="F310" s="1">
        <f>'Paste cell here'!AD310</f>
        <v>0</v>
      </c>
      <c r="G310" s="1">
        <f>'Paste cell here'!W310</f>
        <v>0</v>
      </c>
      <c r="H310" s="1">
        <f>'Paste cell here'!AE310</f>
        <v>0</v>
      </c>
      <c r="I310" s="1">
        <f>'Paste cell here'!AF310</f>
        <v>0</v>
      </c>
      <c r="J310" s="1">
        <f t="shared" si="24"/>
        <v>0</v>
      </c>
      <c r="K310" s="1" t="str">
        <f>IF('Bilancio primo strato'!D310&gt;0,1,"")</f>
        <v/>
      </c>
      <c r="L310" s="7">
        <f>Sintesi!$C$34</f>
        <v>9.0200000000000002E-2</v>
      </c>
      <c r="M310" s="7">
        <f>Sintesi!$C$33</f>
        <v>0.196996</v>
      </c>
      <c r="N310" s="1">
        <f>'Paste cell here'!AA310</f>
        <v>0</v>
      </c>
      <c r="O310" s="1">
        <f>'Paste cell here'!H310</f>
        <v>0</v>
      </c>
      <c r="P310" s="1">
        <f t="shared" si="25"/>
        <v>0</v>
      </c>
      <c r="Q310" s="1">
        <f t="shared" si="26"/>
        <v>0</v>
      </c>
      <c r="R310" s="1">
        <f t="shared" si="27"/>
        <v>0</v>
      </c>
      <c r="S310" s="5" t="e">
        <f t="shared" si="28"/>
        <v>#DIV/0!</v>
      </c>
      <c r="T310" s="5" t="e">
        <f t="shared" si="29"/>
        <v>#DIV/0!</v>
      </c>
    </row>
    <row r="311" spans="1:20">
      <c r="A311" s="1">
        <v>310</v>
      </c>
      <c r="B311" s="2">
        <f>DATE(Sintesi!$C$4-1,12,31)+A311</f>
        <v>44506</v>
      </c>
      <c r="C311" s="1">
        <f>'Paste cell here'!T311</f>
        <v>0</v>
      </c>
      <c r="D311" s="1">
        <f>'Paste cell here'!AC311</f>
        <v>0</v>
      </c>
      <c r="E311" s="1">
        <f>'Paste cell here'!Y311</f>
        <v>0</v>
      </c>
      <c r="F311" s="1">
        <f>'Paste cell here'!AD311</f>
        <v>0</v>
      </c>
      <c r="G311" s="1">
        <f>'Paste cell here'!W311</f>
        <v>0</v>
      </c>
      <c r="H311" s="1">
        <f>'Paste cell here'!AE311</f>
        <v>0</v>
      </c>
      <c r="I311" s="1">
        <f>'Paste cell here'!AF311</f>
        <v>0</v>
      </c>
      <c r="J311" s="1">
        <f t="shared" si="24"/>
        <v>0</v>
      </c>
      <c r="K311" s="1" t="str">
        <f>IF('Bilancio primo strato'!D311&gt;0,1,"")</f>
        <v/>
      </c>
      <c r="L311" s="7">
        <f>Sintesi!$C$34</f>
        <v>9.0200000000000002E-2</v>
      </c>
      <c r="M311" s="7">
        <f>Sintesi!$C$33</f>
        <v>0.196996</v>
      </c>
      <c r="N311" s="1">
        <f>'Paste cell here'!AA311</f>
        <v>0</v>
      </c>
      <c r="O311" s="1">
        <f>'Paste cell here'!H311</f>
        <v>0</v>
      </c>
      <c r="P311" s="1">
        <f t="shared" si="25"/>
        <v>0</v>
      </c>
      <c r="Q311" s="1">
        <f t="shared" si="26"/>
        <v>0</v>
      </c>
      <c r="R311" s="1">
        <f t="shared" si="27"/>
        <v>0</v>
      </c>
      <c r="S311" s="5" t="e">
        <f t="shared" si="28"/>
        <v>#DIV/0!</v>
      </c>
      <c r="T311" s="5" t="e">
        <f t="shared" si="29"/>
        <v>#DIV/0!</v>
      </c>
    </row>
    <row r="312" spans="1:20">
      <c r="A312" s="1">
        <v>311</v>
      </c>
      <c r="B312" s="2">
        <f>DATE(Sintesi!$C$4-1,12,31)+A312</f>
        <v>44507</v>
      </c>
      <c r="C312" s="1">
        <f>'Paste cell here'!T312</f>
        <v>0</v>
      </c>
      <c r="D312" s="1">
        <f>'Paste cell here'!AC312</f>
        <v>0</v>
      </c>
      <c r="E312" s="1">
        <f>'Paste cell here'!Y312</f>
        <v>0</v>
      </c>
      <c r="F312" s="1">
        <f>'Paste cell here'!AD312</f>
        <v>0</v>
      </c>
      <c r="G312" s="1">
        <f>'Paste cell here'!W312</f>
        <v>0</v>
      </c>
      <c r="H312" s="1">
        <f>'Paste cell here'!AE312</f>
        <v>0</v>
      </c>
      <c r="I312" s="1">
        <f>'Paste cell here'!AF312</f>
        <v>0</v>
      </c>
      <c r="J312" s="1">
        <f t="shared" si="24"/>
        <v>0</v>
      </c>
      <c r="K312" s="1" t="str">
        <f>IF('Bilancio primo strato'!D312&gt;0,1,"")</f>
        <v/>
      </c>
      <c r="L312" s="7">
        <f>Sintesi!$C$34</f>
        <v>9.0200000000000002E-2</v>
      </c>
      <c r="M312" s="7">
        <f>Sintesi!$C$33</f>
        <v>0.196996</v>
      </c>
      <c r="N312" s="1">
        <f>'Paste cell here'!AA312</f>
        <v>0</v>
      </c>
      <c r="O312" s="1">
        <f>'Paste cell here'!H312</f>
        <v>0</v>
      </c>
      <c r="P312" s="1">
        <f t="shared" si="25"/>
        <v>0</v>
      </c>
      <c r="Q312" s="1">
        <f t="shared" si="26"/>
        <v>0</v>
      </c>
      <c r="R312" s="1">
        <f t="shared" si="27"/>
        <v>0</v>
      </c>
      <c r="S312" s="5" t="e">
        <f t="shared" si="28"/>
        <v>#DIV/0!</v>
      </c>
      <c r="T312" s="5" t="e">
        <f t="shared" si="29"/>
        <v>#DIV/0!</v>
      </c>
    </row>
    <row r="313" spans="1:20">
      <c r="A313" s="1">
        <v>312</v>
      </c>
      <c r="B313" s="2">
        <f>DATE(Sintesi!$C$4-1,12,31)+A313</f>
        <v>44508</v>
      </c>
      <c r="C313" s="1">
        <f>'Paste cell here'!T313</f>
        <v>0</v>
      </c>
      <c r="D313" s="1">
        <f>'Paste cell here'!AC313</f>
        <v>0</v>
      </c>
      <c r="E313" s="1">
        <f>'Paste cell here'!Y313</f>
        <v>0</v>
      </c>
      <c r="F313" s="1">
        <f>'Paste cell here'!AD313</f>
        <v>0</v>
      </c>
      <c r="G313" s="1">
        <f>'Paste cell here'!W313</f>
        <v>0</v>
      </c>
      <c r="H313" s="1">
        <f>'Paste cell here'!AE313</f>
        <v>0</v>
      </c>
      <c r="I313" s="1">
        <f>'Paste cell here'!AF313</f>
        <v>0</v>
      </c>
      <c r="J313" s="1">
        <f t="shared" si="24"/>
        <v>0</v>
      </c>
      <c r="K313" s="1" t="str">
        <f>IF('Bilancio primo strato'!D313&gt;0,1,"")</f>
        <v/>
      </c>
      <c r="L313" s="7">
        <f>Sintesi!$C$34</f>
        <v>9.0200000000000002E-2</v>
      </c>
      <c r="M313" s="7">
        <f>Sintesi!$C$33</f>
        <v>0.196996</v>
      </c>
      <c r="N313" s="1">
        <f>'Paste cell here'!AA313</f>
        <v>0</v>
      </c>
      <c r="O313" s="1">
        <f>'Paste cell here'!H313</f>
        <v>0</v>
      </c>
      <c r="P313" s="1">
        <f t="shared" si="25"/>
        <v>0</v>
      </c>
      <c r="Q313" s="1">
        <f t="shared" si="26"/>
        <v>0</v>
      </c>
      <c r="R313" s="1">
        <f t="shared" si="27"/>
        <v>0</v>
      </c>
      <c r="S313" s="5" t="e">
        <f t="shared" si="28"/>
        <v>#DIV/0!</v>
      </c>
      <c r="T313" s="5" t="e">
        <f t="shared" si="29"/>
        <v>#DIV/0!</v>
      </c>
    </row>
    <row r="314" spans="1:20">
      <c r="A314" s="1">
        <v>313</v>
      </c>
      <c r="B314" s="2">
        <f>DATE(Sintesi!$C$4-1,12,31)+A314</f>
        <v>44509</v>
      </c>
      <c r="C314" s="1">
        <f>'Paste cell here'!T314</f>
        <v>0</v>
      </c>
      <c r="D314" s="1">
        <f>'Paste cell here'!AC314</f>
        <v>0</v>
      </c>
      <c r="E314" s="1">
        <f>'Paste cell here'!Y314</f>
        <v>0</v>
      </c>
      <c r="F314" s="1">
        <f>'Paste cell here'!AD314</f>
        <v>0</v>
      </c>
      <c r="G314" s="1">
        <f>'Paste cell here'!W314</f>
        <v>0</v>
      </c>
      <c r="H314" s="1">
        <f>'Paste cell here'!AE314</f>
        <v>0</v>
      </c>
      <c r="I314" s="1">
        <f>'Paste cell here'!AF314</f>
        <v>0</v>
      </c>
      <c r="J314" s="1">
        <f t="shared" si="24"/>
        <v>0</v>
      </c>
      <c r="K314" s="1" t="str">
        <f>IF('Bilancio primo strato'!D314&gt;0,1,"")</f>
        <v/>
      </c>
      <c r="L314" s="7">
        <f>Sintesi!$C$34</f>
        <v>9.0200000000000002E-2</v>
      </c>
      <c r="M314" s="7">
        <f>Sintesi!$C$33</f>
        <v>0.196996</v>
      </c>
      <c r="N314" s="1">
        <f>'Paste cell here'!AA314</f>
        <v>0</v>
      </c>
      <c r="O314" s="1">
        <f>'Paste cell here'!H314</f>
        <v>0</v>
      </c>
      <c r="P314" s="1">
        <f t="shared" si="25"/>
        <v>0</v>
      </c>
      <c r="Q314" s="1">
        <f t="shared" si="26"/>
        <v>0</v>
      </c>
      <c r="R314" s="1">
        <f t="shared" si="27"/>
        <v>0</v>
      </c>
      <c r="S314" s="5" t="e">
        <f t="shared" si="28"/>
        <v>#DIV/0!</v>
      </c>
      <c r="T314" s="5" t="e">
        <f t="shared" si="29"/>
        <v>#DIV/0!</v>
      </c>
    </row>
    <row r="315" spans="1:20">
      <c r="A315" s="1">
        <v>314</v>
      </c>
      <c r="B315" s="2">
        <f>DATE(Sintesi!$C$4-1,12,31)+A315</f>
        <v>44510</v>
      </c>
      <c r="C315" s="1">
        <f>'Paste cell here'!T315</f>
        <v>0</v>
      </c>
      <c r="D315" s="1">
        <f>'Paste cell here'!AC315</f>
        <v>0</v>
      </c>
      <c r="E315" s="1">
        <f>'Paste cell here'!Y315</f>
        <v>0</v>
      </c>
      <c r="F315" s="1">
        <f>'Paste cell here'!AD315</f>
        <v>0</v>
      </c>
      <c r="G315" s="1">
        <f>'Paste cell here'!W315</f>
        <v>0</v>
      </c>
      <c r="H315" s="1">
        <f>'Paste cell here'!AE315</f>
        <v>0</v>
      </c>
      <c r="I315" s="1">
        <f>'Paste cell here'!AF315</f>
        <v>0</v>
      </c>
      <c r="J315" s="1">
        <f t="shared" si="24"/>
        <v>0</v>
      </c>
      <c r="K315" s="1" t="str">
        <f>IF('Bilancio primo strato'!D315&gt;0,1,"")</f>
        <v/>
      </c>
      <c r="L315" s="7">
        <f>Sintesi!$C$34</f>
        <v>9.0200000000000002E-2</v>
      </c>
      <c r="M315" s="7">
        <f>Sintesi!$C$33</f>
        <v>0.196996</v>
      </c>
      <c r="N315" s="1">
        <f>'Paste cell here'!AA315</f>
        <v>0</v>
      </c>
      <c r="O315" s="1">
        <f>'Paste cell here'!H315</f>
        <v>0</v>
      </c>
      <c r="P315" s="1">
        <f t="shared" si="25"/>
        <v>0</v>
      </c>
      <c r="Q315" s="1">
        <f t="shared" si="26"/>
        <v>0</v>
      </c>
      <c r="R315" s="1">
        <f t="shared" si="27"/>
        <v>0</v>
      </c>
      <c r="S315" s="5" t="e">
        <f t="shared" si="28"/>
        <v>#DIV/0!</v>
      </c>
      <c r="T315" s="5" t="e">
        <f t="shared" si="29"/>
        <v>#DIV/0!</v>
      </c>
    </row>
    <row r="316" spans="1:20">
      <c r="A316" s="1">
        <v>315</v>
      </c>
      <c r="B316" s="2">
        <f>DATE(Sintesi!$C$4-1,12,31)+A316</f>
        <v>44511</v>
      </c>
      <c r="C316" s="1">
        <f>'Paste cell here'!T316</f>
        <v>0</v>
      </c>
      <c r="D316" s="1">
        <f>'Paste cell here'!AC316</f>
        <v>0</v>
      </c>
      <c r="E316" s="1">
        <f>'Paste cell here'!Y316</f>
        <v>0</v>
      </c>
      <c r="F316" s="1">
        <f>'Paste cell here'!AD316</f>
        <v>0</v>
      </c>
      <c r="G316" s="1">
        <f>'Paste cell here'!W316</f>
        <v>0</v>
      </c>
      <c r="H316" s="1">
        <f>'Paste cell here'!AE316</f>
        <v>0</v>
      </c>
      <c r="I316" s="1">
        <f>'Paste cell here'!AF316</f>
        <v>0</v>
      </c>
      <c r="J316" s="1">
        <f t="shared" si="24"/>
        <v>0</v>
      </c>
      <c r="K316" s="1" t="str">
        <f>IF('Bilancio primo strato'!D316&gt;0,1,"")</f>
        <v/>
      </c>
      <c r="L316" s="7">
        <f>Sintesi!$C$34</f>
        <v>9.0200000000000002E-2</v>
      </c>
      <c r="M316" s="7">
        <f>Sintesi!$C$33</f>
        <v>0.196996</v>
      </c>
      <c r="N316" s="1">
        <f>'Paste cell here'!AA316</f>
        <v>0</v>
      </c>
      <c r="O316" s="1">
        <f>'Paste cell here'!H316</f>
        <v>0</v>
      </c>
      <c r="P316" s="1">
        <f t="shared" si="25"/>
        <v>0</v>
      </c>
      <c r="Q316" s="1">
        <f t="shared" si="26"/>
        <v>0</v>
      </c>
      <c r="R316" s="1">
        <f t="shared" si="27"/>
        <v>0</v>
      </c>
      <c r="S316" s="5" t="e">
        <f t="shared" si="28"/>
        <v>#DIV/0!</v>
      </c>
      <c r="T316" s="5" t="e">
        <f t="shared" si="29"/>
        <v>#DIV/0!</v>
      </c>
    </row>
    <row r="317" spans="1:20">
      <c r="A317" s="1">
        <v>316</v>
      </c>
      <c r="B317" s="2">
        <f>DATE(Sintesi!$C$4-1,12,31)+A317</f>
        <v>44512</v>
      </c>
      <c r="C317" s="1">
        <f>'Paste cell here'!T317</f>
        <v>0</v>
      </c>
      <c r="D317" s="1">
        <f>'Paste cell here'!AC317</f>
        <v>0</v>
      </c>
      <c r="E317" s="1">
        <f>'Paste cell here'!Y317</f>
        <v>0</v>
      </c>
      <c r="F317" s="1">
        <f>'Paste cell here'!AD317</f>
        <v>0</v>
      </c>
      <c r="G317" s="1">
        <f>'Paste cell here'!W317</f>
        <v>0</v>
      </c>
      <c r="H317" s="1">
        <f>'Paste cell here'!AE317</f>
        <v>0</v>
      </c>
      <c r="I317" s="1">
        <f>'Paste cell here'!AF317</f>
        <v>0</v>
      </c>
      <c r="J317" s="1">
        <f t="shared" si="24"/>
        <v>0</v>
      </c>
      <c r="K317" s="1" t="str">
        <f>IF('Bilancio primo strato'!D317&gt;0,1,"")</f>
        <v/>
      </c>
      <c r="L317" s="7">
        <f>Sintesi!$C$34</f>
        <v>9.0200000000000002E-2</v>
      </c>
      <c r="M317" s="7">
        <f>Sintesi!$C$33</f>
        <v>0.196996</v>
      </c>
      <c r="N317" s="1">
        <f>'Paste cell here'!AA317</f>
        <v>0</v>
      </c>
      <c r="O317" s="1">
        <f>'Paste cell here'!H317</f>
        <v>0</v>
      </c>
      <c r="P317" s="1">
        <f t="shared" si="25"/>
        <v>0</v>
      </c>
      <c r="Q317" s="1">
        <f t="shared" si="26"/>
        <v>0</v>
      </c>
      <c r="R317" s="1">
        <f t="shared" si="27"/>
        <v>0</v>
      </c>
      <c r="S317" s="5" t="e">
        <f t="shared" si="28"/>
        <v>#DIV/0!</v>
      </c>
      <c r="T317" s="5" t="e">
        <f t="shared" si="29"/>
        <v>#DIV/0!</v>
      </c>
    </row>
    <row r="318" spans="1:20">
      <c r="A318" s="1">
        <v>317</v>
      </c>
      <c r="B318" s="2">
        <f>DATE(Sintesi!$C$4-1,12,31)+A318</f>
        <v>44513</v>
      </c>
      <c r="C318" s="1">
        <f>'Paste cell here'!T318</f>
        <v>0</v>
      </c>
      <c r="D318" s="1">
        <f>'Paste cell here'!AC318</f>
        <v>0</v>
      </c>
      <c r="E318" s="1">
        <f>'Paste cell here'!Y318</f>
        <v>0</v>
      </c>
      <c r="F318" s="1">
        <f>'Paste cell here'!AD318</f>
        <v>0</v>
      </c>
      <c r="G318" s="1">
        <f>'Paste cell here'!W318</f>
        <v>0</v>
      </c>
      <c r="H318" s="1">
        <f>'Paste cell here'!AE318</f>
        <v>0</v>
      </c>
      <c r="I318" s="1">
        <f>'Paste cell here'!AF318</f>
        <v>0</v>
      </c>
      <c r="J318" s="1">
        <f t="shared" si="24"/>
        <v>0</v>
      </c>
      <c r="K318" s="1" t="str">
        <f>IF('Bilancio primo strato'!D318&gt;0,1,"")</f>
        <v/>
      </c>
      <c r="L318" s="7">
        <f>Sintesi!$C$34</f>
        <v>9.0200000000000002E-2</v>
      </c>
      <c r="M318" s="7">
        <f>Sintesi!$C$33</f>
        <v>0.196996</v>
      </c>
      <c r="N318" s="1">
        <f>'Paste cell here'!AA318</f>
        <v>0</v>
      </c>
      <c r="O318" s="1">
        <f>'Paste cell here'!H318</f>
        <v>0</v>
      </c>
      <c r="P318" s="1">
        <f t="shared" si="25"/>
        <v>0</v>
      </c>
      <c r="Q318" s="1">
        <f t="shared" si="26"/>
        <v>0</v>
      </c>
      <c r="R318" s="1">
        <f t="shared" si="27"/>
        <v>0</v>
      </c>
      <c r="S318" s="5" t="e">
        <f t="shared" si="28"/>
        <v>#DIV/0!</v>
      </c>
      <c r="T318" s="5" t="e">
        <f t="shared" si="29"/>
        <v>#DIV/0!</v>
      </c>
    </row>
    <row r="319" spans="1:20">
      <c r="A319" s="1">
        <v>318</v>
      </c>
      <c r="B319" s="2">
        <f>DATE(Sintesi!$C$4-1,12,31)+A319</f>
        <v>44514</v>
      </c>
      <c r="C319" s="1">
        <f>'Paste cell here'!T319</f>
        <v>0</v>
      </c>
      <c r="D319" s="1">
        <f>'Paste cell here'!AC319</f>
        <v>0</v>
      </c>
      <c r="E319" s="1">
        <f>'Paste cell here'!Y319</f>
        <v>0</v>
      </c>
      <c r="F319" s="1">
        <f>'Paste cell here'!AD319</f>
        <v>0</v>
      </c>
      <c r="G319" s="1">
        <f>'Paste cell here'!W319</f>
        <v>0</v>
      </c>
      <c r="H319" s="1">
        <f>'Paste cell here'!AE319</f>
        <v>0</v>
      </c>
      <c r="I319" s="1">
        <f>'Paste cell here'!AF319</f>
        <v>0</v>
      </c>
      <c r="J319" s="1">
        <f t="shared" si="24"/>
        <v>0</v>
      </c>
      <c r="K319" s="1" t="str">
        <f>IF('Bilancio primo strato'!D319&gt;0,1,"")</f>
        <v/>
      </c>
      <c r="L319" s="7">
        <f>Sintesi!$C$34</f>
        <v>9.0200000000000002E-2</v>
      </c>
      <c r="M319" s="7">
        <f>Sintesi!$C$33</f>
        <v>0.196996</v>
      </c>
      <c r="N319" s="1">
        <f>'Paste cell here'!AA319</f>
        <v>0</v>
      </c>
      <c r="O319" s="1">
        <f>'Paste cell here'!H319</f>
        <v>0</v>
      </c>
      <c r="P319" s="1">
        <f t="shared" si="25"/>
        <v>0</v>
      </c>
      <c r="Q319" s="1">
        <f t="shared" si="26"/>
        <v>0</v>
      </c>
      <c r="R319" s="1">
        <f t="shared" si="27"/>
        <v>0</v>
      </c>
      <c r="S319" s="5" t="e">
        <f t="shared" si="28"/>
        <v>#DIV/0!</v>
      </c>
      <c r="T319" s="5" t="e">
        <f t="shared" si="29"/>
        <v>#DIV/0!</v>
      </c>
    </row>
    <row r="320" spans="1:20">
      <c r="A320" s="1">
        <v>319</v>
      </c>
      <c r="B320" s="2">
        <f>DATE(Sintesi!$C$4-1,12,31)+A320</f>
        <v>44515</v>
      </c>
      <c r="C320" s="1">
        <f>'Paste cell here'!T320</f>
        <v>0</v>
      </c>
      <c r="D320" s="1">
        <f>'Paste cell here'!AC320</f>
        <v>0</v>
      </c>
      <c r="E320" s="1">
        <f>'Paste cell here'!Y320</f>
        <v>0</v>
      </c>
      <c r="F320" s="1">
        <f>'Paste cell here'!AD320</f>
        <v>0</v>
      </c>
      <c r="G320" s="1">
        <f>'Paste cell here'!W320</f>
        <v>0</v>
      </c>
      <c r="H320" s="1">
        <f>'Paste cell here'!AE320</f>
        <v>0</v>
      </c>
      <c r="I320" s="1">
        <f>'Paste cell here'!AF320</f>
        <v>0</v>
      </c>
      <c r="J320" s="1">
        <f t="shared" si="24"/>
        <v>0</v>
      </c>
      <c r="K320" s="1" t="str">
        <f>IF('Bilancio primo strato'!D320&gt;0,1,"")</f>
        <v/>
      </c>
      <c r="L320" s="7">
        <f>Sintesi!$C$34</f>
        <v>9.0200000000000002E-2</v>
      </c>
      <c r="M320" s="7">
        <f>Sintesi!$C$33</f>
        <v>0.196996</v>
      </c>
      <c r="N320" s="1">
        <f>'Paste cell here'!AA320</f>
        <v>0</v>
      </c>
      <c r="O320" s="1">
        <f>'Paste cell here'!H320</f>
        <v>0</v>
      </c>
      <c r="P320" s="1">
        <f t="shared" si="25"/>
        <v>0</v>
      </c>
      <c r="Q320" s="1">
        <f t="shared" si="26"/>
        <v>0</v>
      </c>
      <c r="R320" s="1">
        <f t="shared" si="27"/>
        <v>0</v>
      </c>
      <c r="S320" s="5" t="e">
        <f t="shared" si="28"/>
        <v>#DIV/0!</v>
      </c>
      <c r="T320" s="5" t="e">
        <f t="shared" si="29"/>
        <v>#DIV/0!</v>
      </c>
    </row>
    <row r="321" spans="1:20">
      <c r="A321" s="1">
        <v>320</v>
      </c>
      <c r="B321" s="2">
        <f>DATE(Sintesi!$C$4-1,12,31)+A321</f>
        <v>44516</v>
      </c>
      <c r="C321" s="1">
        <f>'Paste cell here'!T321</f>
        <v>0</v>
      </c>
      <c r="D321" s="1">
        <f>'Paste cell here'!AC321</f>
        <v>0</v>
      </c>
      <c r="E321" s="1">
        <f>'Paste cell here'!Y321</f>
        <v>0</v>
      </c>
      <c r="F321" s="1">
        <f>'Paste cell here'!AD321</f>
        <v>0</v>
      </c>
      <c r="G321" s="1">
        <f>'Paste cell here'!W321</f>
        <v>0</v>
      </c>
      <c r="H321" s="1">
        <f>'Paste cell here'!AE321</f>
        <v>0</v>
      </c>
      <c r="I321" s="1">
        <f>'Paste cell here'!AF321</f>
        <v>0</v>
      </c>
      <c r="J321" s="1">
        <f t="shared" si="24"/>
        <v>0</v>
      </c>
      <c r="K321" s="1" t="str">
        <f>IF('Bilancio primo strato'!D321&gt;0,1,"")</f>
        <v/>
      </c>
      <c r="L321" s="7">
        <f>Sintesi!$C$34</f>
        <v>9.0200000000000002E-2</v>
      </c>
      <c r="M321" s="7">
        <f>Sintesi!$C$33</f>
        <v>0.196996</v>
      </c>
      <c r="N321" s="1">
        <f>'Paste cell here'!AA321</f>
        <v>0</v>
      </c>
      <c r="O321" s="1">
        <f>'Paste cell here'!H321</f>
        <v>0</v>
      </c>
      <c r="P321" s="1">
        <f t="shared" si="25"/>
        <v>0</v>
      </c>
      <c r="Q321" s="1">
        <f t="shared" si="26"/>
        <v>0</v>
      </c>
      <c r="R321" s="1">
        <f t="shared" si="27"/>
        <v>0</v>
      </c>
      <c r="S321" s="5" t="e">
        <f t="shared" si="28"/>
        <v>#DIV/0!</v>
      </c>
      <c r="T321" s="5" t="e">
        <f t="shared" si="29"/>
        <v>#DIV/0!</v>
      </c>
    </row>
    <row r="322" spans="1:20">
      <c r="A322" s="1">
        <v>321</v>
      </c>
      <c r="B322" s="2">
        <f>DATE(Sintesi!$C$4-1,12,31)+A322</f>
        <v>44517</v>
      </c>
      <c r="C322" s="1">
        <f>'Paste cell here'!T322</f>
        <v>0</v>
      </c>
      <c r="D322" s="1">
        <f>'Paste cell here'!AC322</f>
        <v>0</v>
      </c>
      <c r="E322" s="1">
        <f>'Paste cell here'!Y322</f>
        <v>0</v>
      </c>
      <c r="F322" s="1">
        <f>'Paste cell here'!AD322</f>
        <v>0</v>
      </c>
      <c r="G322" s="1">
        <f>'Paste cell here'!W322</f>
        <v>0</v>
      </c>
      <c r="H322" s="1">
        <f>'Paste cell here'!AE322</f>
        <v>0</v>
      </c>
      <c r="I322" s="1">
        <f>'Paste cell here'!AF322</f>
        <v>0</v>
      </c>
      <c r="J322" s="1">
        <f t="shared" ref="J322:J366" si="30">ABS(I322+C322+D322-E322-F322-G322-H322)</f>
        <v>0</v>
      </c>
      <c r="K322" s="1" t="str">
        <f>IF('Bilancio primo strato'!D322&gt;0,1,"")</f>
        <v/>
      </c>
      <c r="L322" s="7">
        <f>Sintesi!$C$34</f>
        <v>9.0200000000000002E-2</v>
      </c>
      <c r="M322" s="7">
        <f>Sintesi!$C$33</f>
        <v>0.196996</v>
      </c>
      <c r="N322" s="1">
        <f>'Paste cell here'!AA322</f>
        <v>0</v>
      </c>
      <c r="O322" s="1">
        <f>'Paste cell here'!H322</f>
        <v>0</v>
      </c>
      <c r="P322" s="1">
        <f t="shared" ref="P322:P366" si="31">(M322-L322)*N322*1000</f>
        <v>0</v>
      </c>
      <c r="Q322" s="1">
        <f t="shared" ref="Q322:Q366" si="32">P322*O322</f>
        <v>0</v>
      </c>
      <c r="R322" s="1">
        <f t="shared" ref="R322:R366" si="33">M322*N322*1000-Q322</f>
        <v>0</v>
      </c>
      <c r="S322" s="5" t="e">
        <f t="shared" ref="S322:S366" si="34">H322/($N322*1000)</f>
        <v>#DIV/0!</v>
      </c>
      <c r="T322" s="5" t="e">
        <f t="shared" ref="T322:T366" si="35">R322/($N322*1000)</f>
        <v>#DIV/0!</v>
      </c>
    </row>
    <row r="323" spans="1:20">
      <c r="A323" s="1">
        <v>322</v>
      </c>
      <c r="B323" s="2">
        <f>DATE(Sintesi!$C$4-1,12,31)+A323</f>
        <v>44518</v>
      </c>
      <c r="C323" s="1">
        <f>'Paste cell here'!T323</f>
        <v>0</v>
      </c>
      <c r="D323" s="1">
        <f>'Paste cell here'!AC323</f>
        <v>0</v>
      </c>
      <c r="E323" s="1">
        <f>'Paste cell here'!Y323</f>
        <v>0</v>
      </c>
      <c r="F323" s="1">
        <f>'Paste cell here'!AD323</f>
        <v>0</v>
      </c>
      <c r="G323" s="1">
        <f>'Paste cell here'!W323</f>
        <v>0</v>
      </c>
      <c r="H323" s="1">
        <f>'Paste cell here'!AE323</f>
        <v>0</v>
      </c>
      <c r="I323" s="1">
        <f>'Paste cell here'!AF323</f>
        <v>0</v>
      </c>
      <c r="J323" s="1">
        <f t="shared" si="30"/>
        <v>0</v>
      </c>
      <c r="K323" s="1" t="str">
        <f>IF('Bilancio primo strato'!D323&gt;0,1,"")</f>
        <v/>
      </c>
      <c r="L323" s="7">
        <f>Sintesi!$C$34</f>
        <v>9.0200000000000002E-2</v>
      </c>
      <c r="M323" s="7">
        <f>Sintesi!$C$33</f>
        <v>0.196996</v>
      </c>
      <c r="N323" s="1">
        <f>'Paste cell here'!AA323</f>
        <v>0</v>
      </c>
      <c r="O323" s="1">
        <f>'Paste cell here'!H323</f>
        <v>0</v>
      </c>
      <c r="P323" s="1">
        <f t="shared" si="31"/>
        <v>0</v>
      </c>
      <c r="Q323" s="1">
        <f t="shared" si="32"/>
        <v>0</v>
      </c>
      <c r="R323" s="1">
        <f t="shared" si="33"/>
        <v>0</v>
      </c>
      <c r="S323" s="5" t="e">
        <f t="shared" si="34"/>
        <v>#DIV/0!</v>
      </c>
      <c r="T323" s="5" t="e">
        <f t="shared" si="35"/>
        <v>#DIV/0!</v>
      </c>
    </row>
    <row r="324" spans="1:20">
      <c r="A324" s="1">
        <v>323</v>
      </c>
      <c r="B324" s="2">
        <f>DATE(Sintesi!$C$4-1,12,31)+A324</f>
        <v>44519</v>
      </c>
      <c r="C324" s="1">
        <f>'Paste cell here'!T324</f>
        <v>0</v>
      </c>
      <c r="D324" s="1">
        <f>'Paste cell here'!AC324</f>
        <v>0</v>
      </c>
      <c r="E324" s="1">
        <f>'Paste cell here'!Y324</f>
        <v>0</v>
      </c>
      <c r="F324" s="1">
        <f>'Paste cell here'!AD324</f>
        <v>0</v>
      </c>
      <c r="G324" s="1">
        <f>'Paste cell here'!W324</f>
        <v>0</v>
      </c>
      <c r="H324" s="1">
        <f>'Paste cell here'!AE324</f>
        <v>0</v>
      </c>
      <c r="I324" s="1">
        <f>'Paste cell here'!AF324</f>
        <v>0</v>
      </c>
      <c r="J324" s="1">
        <f t="shared" si="30"/>
        <v>0</v>
      </c>
      <c r="K324" s="1" t="str">
        <f>IF('Bilancio primo strato'!D324&gt;0,1,"")</f>
        <v/>
      </c>
      <c r="L324" s="7">
        <f>Sintesi!$C$34</f>
        <v>9.0200000000000002E-2</v>
      </c>
      <c r="M324" s="7">
        <f>Sintesi!$C$33</f>
        <v>0.196996</v>
      </c>
      <c r="N324" s="1">
        <f>'Paste cell here'!AA324</f>
        <v>0</v>
      </c>
      <c r="O324" s="1">
        <f>'Paste cell here'!H324</f>
        <v>0</v>
      </c>
      <c r="P324" s="1">
        <f t="shared" si="31"/>
        <v>0</v>
      </c>
      <c r="Q324" s="1">
        <f t="shared" si="32"/>
        <v>0</v>
      </c>
      <c r="R324" s="1">
        <f t="shared" si="33"/>
        <v>0</v>
      </c>
      <c r="S324" s="5" t="e">
        <f t="shared" si="34"/>
        <v>#DIV/0!</v>
      </c>
      <c r="T324" s="5" t="e">
        <f t="shared" si="35"/>
        <v>#DIV/0!</v>
      </c>
    </row>
    <row r="325" spans="1:20">
      <c r="A325" s="1">
        <v>324</v>
      </c>
      <c r="B325" s="2">
        <f>DATE(Sintesi!$C$4-1,12,31)+A325</f>
        <v>44520</v>
      </c>
      <c r="C325" s="1">
        <f>'Paste cell here'!T325</f>
        <v>0</v>
      </c>
      <c r="D325" s="1">
        <f>'Paste cell here'!AC325</f>
        <v>0</v>
      </c>
      <c r="E325" s="1">
        <f>'Paste cell here'!Y325</f>
        <v>0</v>
      </c>
      <c r="F325" s="1">
        <f>'Paste cell here'!AD325</f>
        <v>0</v>
      </c>
      <c r="G325" s="1">
        <f>'Paste cell here'!W325</f>
        <v>0</v>
      </c>
      <c r="H325" s="1">
        <f>'Paste cell here'!AE325</f>
        <v>0</v>
      </c>
      <c r="I325" s="1">
        <f>'Paste cell here'!AF325</f>
        <v>0</v>
      </c>
      <c r="J325" s="1">
        <f t="shared" si="30"/>
        <v>0</v>
      </c>
      <c r="K325" s="1" t="str">
        <f>IF('Bilancio primo strato'!D325&gt;0,1,"")</f>
        <v/>
      </c>
      <c r="L325" s="7">
        <f>Sintesi!$C$34</f>
        <v>9.0200000000000002E-2</v>
      </c>
      <c r="M325" s="7">
        <f>Sintesi!$C$33</f>
        <v>0.196996</v>
      </c>
      <c r="N325" s="1">
        <f>'Paste cell here'!AA325</f>
        <v>0</v>
      </c>
      <c r="O325" s="1">
        <f>'Paste cell here'!H325</f>
        <v>0</v>
      </c>
      <c r="P325" s="1">
        <f t="shared" si="31"/>
        <v>0</v>
      </c>
      <c r="Q325" s="1">
        <f t="shared" si="32"/>
        <v>0</v>
      </c>
      <c r="R325" s="1">
        <f t="shared" si="33"/>
        <v>0</v>
      </c>
      <c r="S325" s="5" t="e">
        <f t="shared" si="34"/>
        <v>#DIV/0!</v>
      </c>
      <c r="T325" s="5" t="e">
        <f t="shared" si="35"/>
        <v>#DIV/0!</v>
      </c>
    </row>
    <row r="326" spans="1:20">
      <c r="A326" s="1">
        <v>325</v>
      </c>
      <c r="B326" s="2">
        <f>DATE(Sintesi!$C$4-1,12,31)+A326</f>
        <v>44521</v>
      </c>
      <c r="C326" s="1">
        <f>'Paste cell here'!T326</f>
        <v>0</v>
      </c>
      <c r="D326" s="1">
        <f>'Paste cell here'!AC326</f>
        <v>0</v>
      </c>
      <c r="E326" s="1">
        <f>'Paste cell here'!Y326</f>
        <v>0</v>
      </c>
      <c r="F326" s="1">
        <f>'Paste cell here'!AD326</f>
        <v>0</v>
      </c>
      <c r="G326" s="1">
        <f>'Paste cell here'!W326</f>
        <v>0</v>
      </c>
      <c r="H326" s="1">
        <f>'Paste cell here'!AE326</f>
        <v>0</v>
      </c>
      <c r="I326" s="1">
        <f>'Paste cell here'!AF326</f>
        <v>0</v>
      </c>
      <c r="J326" s="1">
        <f t="shared" si="30"/>
        <v>0</v>
      </c>
      <c r="K326" s="1" t="str">
        <f>IF('Bilancio primo strato'!D326&gt;0,1,"")</f>
        <v/>
      </c>
      <c r="L326" s="7">
        <f>Sintesi!$C$34</f>
        <v>9.0200000000000002E-2</v>
      </c>
      <c r="M326" s="7">
        <f>Sintesi!$C$33</f>
        <v>0.196996</v>
      </c>
      <c r="N326" s="1">
        <f>'Paste cell here'!AA326</f>
        <v>0</v>
      </c>
      <c r="O326" s="1">
        <f>'Paste cell here'!H326</f>
        <v>0</v>
      </c>
      <c r="P326" s="1">
        <f t="shared" si="31"/>
        <v>0</v>
      </c>
      <c r="Q326" s="1">
        <f t="shared" si="32"/>
        <v>0</v>
      </c>
      <c r="R326" s="1">
        <f t="shared" si="33"/>
        <v>0</v>
      </c>
      <c r="S326" s="5" t="e">
        <f t="shared" si="34"/>
        <v>#DIV/0!</v>
      </c>
      <c r="T326" s="5" t="e">
        <f t="shared" si="35"/>
        <v>#DIV/0!</v>
      </c>
    </row>
    <row r="327" spans="1:20">
      <c r="A327" s="1">
        <v>326</v>
      </c>
      <c r="B327" s="2">
        <f>DATE(Sintesi!$C$4-1,12,31)+A327</f>
        <v>44522</v>
      </c>
      <c r="C327" s="1">
        <f>'Paste cell here'!T327</f>
        <v>0</v>
      </c>
      <c r="D327" s="1">
        <f>'Paste cell here'!AC327</f>
        <v>0</v>
      </c>
      <c r="E327" s="1">
        <f>'Paste cell here'!Y327</f>
        <v>0</v>
      </c>
      <c r="F327" s="1">
        <f>'Paste cell here'!AD327</f>
        <v>0</v>
      </c>
      <c r="G327" s="1">
        <f>'Paste cell here'!W327</f>
        <v>0</v>
      </c>
      <c r="H327" s="1">
        <f>'Paste cell here'!AE327</f>
        <v>0</v>
      </c>
      <c r="I327" s="1">
        <f>'Paste cell here'!AF327</f>
        <v>0</v>
      </c>
      <c r="J327" s="1">
        <f t="shared" si="30"/>
        <v>0</v>
      </c>
      <c r="K327" s="1" t="str">
        <f>IF('Bilancio primo strato'!D327&gt;0,1,"")</f>
        <v/>
      </c>
      <c r="L327" s="7">
        <f>Sintesi!$C$34</f>
        <v>9.0200000000000002E-2</v>
      </c>
      <c r="M327" s="7">
        <f>Sintesi!$C$33</f>
        <v>0.196996</v>
      </c>
      <c r="N327" s="1">
        <f>'Paste cell here'!AA327</f>
        <v>0</v>
      </c>
      <c r="O327" s="1">
        <f>'Paste cell here'!H327</f>
        <v>0</v>
      </c>
      <c r="P327" s="1">
        <f t="shared" si="31"/>
        <v>0</v>
      </c>
      <c r="Q327" s="1">
        <f t="shared" si="32"/>
        <v>0</v>
      </c>
      <c r="R327" s="1">
        <f t="shared" si="33"/>
        <v>0</v>
      </c>
      <c r="S327" s="5" t="e">
        <f t="shared" si="34"/>
        <v>#DIV/0!</v>
      </c>
      <c r="T327" s="5" t="e">
        <f t="shared" si="35"/>
        <v>#DIV/0!</v>
      </c>
    </row>
    <row r="328" spans="1:20">
      <c r="A328" s="1">
        <v>327</v>
      </c>
      <c r="B328" s="2">
        <f>DATE(Sintesi!$C$4-1,12,31)+A328</f>
        <v>44523</v>
      </c>
      <c r="C328" s="1">
        <f>'Paste cell here'!T328</f>
        <v>0</v>
      </c>
      <c r="D328" s="1">
        <f>'Paste cell here'!AC328</f>
        <v>0</v>
      </c>
      <c r="E328" s="1">
        <f>'Paste cell here'!Y328</f>
        <v>0</v>
      </c>
      <c r="F328" s="1">
        <f>'Paste cell here'!AD328</f>
        <v>0</v>
      </c>
      <c r="G328" s="1">
        <f>'Paste cell here'!W328</f>
        <v>0</v>
      </c>
      <c r="H328" s="1">
        <f>'Paste cell here'!AE328</f>
        <v>0</v>
      </c>
      <c r="I328" s="1">
        <f>'Paste cell here'!AF328</f>
        <v>0</v>
      </c>
      <c r="J328" s="1">
        <f t="shared" si="30"/>
        <v>0</v>
      </c>
      <c r="K328" s="1" t="str">
        <f>IF('Bilancio primo strato'!D328&gt;0,1,"")</f>
        <v/>
      </c>
      <c r="L328" s="7">
        <f>Sintesi!$C$34</f>
        <v>9.0200000000000002E-2</v>
      </c>
      <c r="M328" s="7">
        <f>Sintesi!$C$33</f>
        <v>0.196996</v>
      </c>
      <c r="N328" s="1">
        <f>'Paste cell here'!AA328</f>
        <v>0</v>
      </c>
      <c r="O328" s="1">
        <f>'Paste cell here'!H328</f>
        <v>0</v>
      </c>
      <c r="P328" s="1">
        <f t="shared" si="31"/>
        <v>0</v>
      </c>
      <c r="Q328" s="1">
        <f t="shared" si="32"/>
        <v>0</v>
      </c>
      <c r="R328" s="1">
        <f t="shared" si="33"/>
        <v>0</v>
      </c>
      <c r="S328" s="5" t="e">
        <f t="shared" si="34"/>
        <v>#DIV/0!</v>
      </c>
      <c r="T328" s="5" t="e">
        <f t="shared" si="35"/>
        <v>#DIV/0!</v>
      </c>
    </row>
    <row r="329" spans="1:20">
      <c r="A329" s="1">
        <v>328</v>
      </c>
      <c r="B329" s="2">
        <f>DATE(Sintesi!$C$4-1,12,31)+A329</f>
        <v>44524</v>
      </c>
      <c r="C329" s="1">
        <f>'Paste cell here'!T329</f>
        <v>0</v>
      </c>
      <c r="D329" s="1">
        <f>'Paste cell here'!AC329</f>
        <v>0</v>
      </c>
      <c r="E329" s="1">
        <f>'Paste cell here'!Y329</f>
        <v>0</v>
      </c>
      <c r="F329" s="1">
        <f>'Paste cell here'!AD329</f>
        <v>0</v>
      </c>
      <c r="G329" s="1">
        <f>'Paste cell here'!W329</f>
        <v>0</v>
      </c>
      <c r="H329" s="1">
        <f>'Paste cell here'!AE329</f>
        <v>0</v>
      </c>
      <c r="I329" s="1">
        <f>'Paste cell here'!AF329</f>
        <v>0</v>
      </c>
      <c r="J329" s="1">
        <f t="shared" si="30"/>
        <v>0</v>
      </c>
      <c r="K329" s="1" t="str">
        <f>IF('Bilancio primo strato'!D329&gt;0,1,"")</f>
        <v/>
      </c>
      <c r="L329" s="7">
        <f>Sintesi!$C$34</f>
        <v>9.0200000000000002E-2</v>
      </c>
      <c r="M329" s="7">
        <f>Sintesi!$C$33</f>
        <v>0.196996</v>
      </c>
      <c r="N329" s="1">
        <f>'Paste cell here'!AA329</f>
        <v>0</v>
      </c>
      <c r="O329" s="1">
        <f>'Paste cell here'!H329</f>
        <v>0</v>
      </c>
      <c r="P329" s="1">
        <f t="shared" si="31"/>
        <v>0</v>
      </c>
      <c r="Q329" s="1">
        <f t="shared" si="32"/>
        <v>0</v>
      </c>
      <c r="R329" s="1">
        <f t="shared" si="33"/>
        <v>0</v>
      </c>
      <c r="S329" s="5" t="e">
        <f t="shared" si="34"/>
        <v>#DIV/0!</v>
      </c>
      <c r="T329" s="5" t="e">
        <f t="shared" si="35"/>
        <v>#DIV/0!</v>
      </c>
    </row>
    <row r="330" spans="1:20">
      <c r="A330" s="1">
        <v>329</v>
      </c>
      <c r="B330" s="2">
        <f>DATE(Sintesi!$C$4-1,12,31)+A330</f>
        <v>44525</v>
      </c>
      <c r="C330" s="1">
        <f>'Paste cell here'!T330</f>
        <v>0</v>
      </c>
      <c r="D330" s="1">
        <f>'Paste cell here'!AC330</f>
        <v>0</v>
      </c>
      <c r="E330" s="1">
        <f>'Paste cell here'!Y330</f>
        <v>0</v>
      </c>
      <c r="F330" s="1">
        <f>'Paste cell here'!AD330</f>
        <v>0</v>
      </c>
      <c r="G330" s="1">
        <f>'Paste cell here'!W330</f>
        <v>0</v>
      </c>
      <c r="H330" s="1">
        <f>'Paste cell here'!AE330</f>
        <v>0</v>
      </c>
      <c r="I330" s="1">
        <f>'Paste cell here'!AF330</f>
        <v>0</v>
      </c>
      <c r="J330" s="1">
        <f t="shared" si="30"/>
        <v>0</v>
      </c>
      <c r="K330" s="1" t="str">
        <f>IF('Bilancio primo strato'!D330&gt;0,1,"")</f>
        <v/>
      </c>
      <c r="L330" s="7">
        <f>Sintesi!$C$34</f>
        <v>9.0200000000000002E-2</v>
      </c>
      <c r="M330" s="7">
        <f>Sintesi!$C$33</f>
        <v>0.196996</v>
      </c>
      <c r="N330" s="1">
        <f>'Paste cell here'!AA330</f>
        <v>0</v>
      </c>
      <c r="O330" s="1">
        <f>'Paste cell here'!H330</f>
        <v>0</v>
      </c>
      <c r="P330" s="1">
        <f t="shared" si="31"/>
        <v>0</v>
      </c>
      <c r="Q330" s="1">
        <f t="shared" si="32"/>
        <v>0</v>
      </c>
      <c r="R330" s="1">
        <f t="shared" si="33"/>
        <v>0</v>
      </c>
      <c r="S330" s="5" t="e">
        <f t="shared" si="34"/>
        <v>#DIV/0!</v>
      </c>
      <c r="T330" s="5" t="e">
        <f t="shared" si="35"/>
        <v>#DIV/0!</v>
      </c>
    </row>
    <row r="331" spans="1:20">
      <c r="A331" s="1">
        <v>330</v>
      </c>
      <c r="B331" s="2">
        <f>DATE(Sintesi!$C$4-1,12,31)+A331</f>
        <v>44526</v>
      </c>
      <c r="C331" s="1">
        <f>'Paste cell here'!T331</f>
        <v>0</v>
      </c>
      <c r="D331" s="1">
        <f>'Paste cell here'!AC331</f>
        <v>0</v>
      </c>
      <c r="E331" s="1">
        <f>'Paste cell here'!Y331</f>
        <v>0</v>
      </c>
      <c r="F331" s="1">
        <f>'Paste cell here'!AD331</f>
        <v>0</v>
      </c>
      <c r="G331" s="1">
        <f>'Paste cell here'!W331</f>
        <v>0</v>
      </c>
      <c r="H331" s="1">
        <f>'Paste cell here'!AE331</f>
        <v>0</v>
      </c>
      <c r="I331" s="1">
        <f>'Paste cell here'!AF331</f>
        <v>0</v>
      </c>
      <c r="J331" s="1">
        <f t="shared" si="30"/>
        <v>0</v>
      </c>
      <c r="K331" s="1" t="str">
        <f>IF('Bilancio primo strato'!D331&gt;0,1,"")</f>
        <v/>
      </c>
      <c r="L331" s="7">
        <f>Sintesi!$C$34</f>
        <v>9.0200000000000002E-2</v>
      </c>
      <c r="M331" s="7">
        <f>Sintesi!$C$33</f>
        <v>0.196996</v>
      </c>
      <c r="N331" s="1">
        <f>'Paste cell here'!AA331</f>
        <v>0</v>
      </c>
      <c r="O331" s="1">
        <f>'Paste cell here'!H331</f>
        <v>0</v>
      </c>
      <c r="P331" s="1">
        <f t="shared" si="31"/>
        <v>0</v>
      </c>
      <c r="Q331" s="1">
        <f t="shared" si="32"/>
        <v>0</v>
      </c>
      <c r="R331" s="1">
        <f t="shared" si="33"/>
        <v>0</v>
      </c>
      <c r="S331" s="5" t="e">
        <f t="shared" si="34"/>
        <v>#DIV/0!</v>
      </c>
      <c r="T331" s="5" t="e">
        <f t="shared" si="35"/>
        <v>#DIV/0!</v>
      </c>
    </row>
    <row r="332" spans="1:20">
      <c r="A332" s="1">
        <v>331</v>
      </c>
      <c r="B332" s="2">
        <f>DATE(Sintesi!$C$4-1,12,31)+A332</f>
        <v>44527</v>
      </c>
      <c r="C332" s="1">
        <f>'Paste cell here'!T332</f>
        <v>0</v>
      </c>
      <c r="D332" s="1">
        <f>'Paste cell here'!AC332</f>
        <v>0</v>
      </c>
      <c r="E332" s="1">
        <f>'Paste cell here'!Y332</f>
        <v>0</v>
      </c>
      <c r="F332" s="1">
        <f>'Paste cell here'!AD332</f>
        <v>0</v>
      </c>
      <c r="G332" s="1">
        <f>'Paste cell here'!W332</f>
        <v>0</v>
      </c>
      <c r="H332" s="1">
        <f>'Paste cell here'!AE332</f>
        <v>0</v>
      </c>
      <c r="I332" s="1">
        <f>'Paste cell here'!AF332</f>
        <v>0</v>
      </c>
      <c r="J332" s="1">
        <f t="shared" si="30"/>
        <v>0</v>
      </c>
      <c r="K332" s="1" t="str">
        <f>IF('Bilancio primo strato'!D332&gt;0,1,"")</f>
        <v/>
      </c>
      <c r="L332" s="7">
        <f>Sintesi!$C$34</f>
        <v>9.0200000000000002E-2</v>
      </c>
      <c r="M332" s="7">
        <f>Sintesi!$C$33</f>
        <v>0.196996</v>
      </c>
      <c r="N332" s="1">
        <f>'Paste cell here'!AA332</f>
        <v>0</v>
      </c>
      <c r="O332" s="1">
        <f>'Paste cell here'!H332</f>
        <v>0</v>
      </c>
      <c r="P332" s="1">
        <f t="shared" si="31"/>
        <v>0</v>
      </c>
      <c r="Q332" s="1">
        <f t="shared" si="32"/>
        <v>0</v>
      </c>
      <c r="R332" s="1">
        <f t="shared" si="33"/>
        <v>0</v>
      </c>
      <c r="S332" s="5" t="e">
        <f t="shared" si="34"/>
        <v>#DIV/0!</v>
      </c>
      <c r="T332" s="5" t="e">
        <f t="shared" si="35"/>
        <v>#DIV/0!</v>
      </c>
    </row>
    <row r="333" spans="1:20">
      <c r="A333" s="1">
        <v>332</v>
      </c>
      <c r="B333" s="2">
        <f>DATE(Sintesi!$C$4-1,12,31)+A333</f>
        <v>44528</v>
      </c>
      <c r="C333" s="1">
        <f>'Paste cell here'!T333</f>
        <v>0</v>
      </c>
      <c r="D333" s="1">
        <f>'Paste cell here'!AC333</f>
        <v>0</v>
      </c>
      <c r="E333" s="1">
        <f>'Paste cell here'!Y333</f>
        <v>0</v>
      </c>
      <c r="F333" s="1">
        <f>'Paste cell here'!AD333</f>
        <v>0</v>
      </c>
      <c r="G333" s="1">
        <f>'Paste cell here'!W333</f>
        <v>0</v>
      </c>
      <c r="H333" s="1">
        <f>'Paste cell here'!AE333</f>
        <v>0</v>
      </c>
      <c r="I333" s="1">
        <f>'Paste cell here'!AF333</f>
        <v>0</v>
      </c>
      <c r="J333" s="1">
        <f t="shared" si="30"/>
        <v>0</v>
      </c>
      <c r="K333" s="1" t="str">
        <f>IF('Bilancio primo strato'!D333&gt;0,1,"")</f>
        <v/>
      </c>
      <c r="L333" s="7">
        <f>Sintesi!$C$34</f>
        <v>9.0200000000000002E-2</v>
      </c>
      <c r="M333" s="7">
        <f>Sintesi!$C$33</f>
        <v>0.196996</v>
      </c>
      <c r="N333" s="1">
        <f>'Paste cell here'!AA333</f>
        <v>0</v>
      </c>
      <c r="O333" s="1">
        <f>'Paste cell here'!H333</f>
        <v>0</v>
      </c>
      <c r="P333" s="1">
        <f t="shared" si="31"/>
        <v>0</v>
      </c>
      <c r="Q333" s="1">
        <f t="shared" si="32"/>
        <v>0</v>
      </c>
      <c r="R333" s="1">
        <f t="shared" si="33"/>
        <v>0</v>
      </c>
      <c r="S333" s="5" t="e">
        <f t="shared" si="34"/>
        <v>#DIV/0!</v>
      </c>
      <c r="T333" s="5" t="e">
        <f t="shared" si="35"/>
        <v>#DIV/0!</v>
      </c>
    </row>
    <row r="334" spans="1:20">
      <c r="A334" s="1">
        <v>333</v>
      </c>
      <c r="B334" s="2">
        <f>DATE(Sintesi!$C$4-1,12,31)+A334</f>
        <v>44529</v>
      </c>
      <c r="C334" s="1">
        <f>'Paste cell here'!T334</f>
        <v>0</v>
      </c>
      <c r="D334" s="1">
        <f>'Paste cell here'!AC334</f>
        <v>0</v>
      </c>
      <c r="E334" s="1">
        <f>'Paste cell here'!Y334</f>
        <v>0</v>
      </c>
      <c r="F334" s="1">
        <f>'Paste cell here'!AD334</f>
        <v>0</v>
      </c>
      <c r="G334" s="1">
        <f>'Paste cell here'!W334</f>
        <v>0</v>
      </c>
      <c r="H334" s="1">
        <f>'Paste cell here'!AE334</f>
        <v>0</v>
      </c>
      <c r="I334" s="1">
        <f>'Paste cell here'!AF334</f>
        <v>0</v>
      </c>
      <c r="J334" s="1">
        <f t="shared" si="30"/>
        <v>0</v>
      </c>
      <c r="K334" s="1" t="str">
        <f>IF('Bilancio primo strato'!D334&gt;0,1,"")</f>
        <v/>
      </c>
      <c r="L334" s="7">
        <f>Sintesi!$C$34</f>
        <v>9.0200000000000002E-2</v>
      </c>
      <c r="M334" s="7">
        <f>Sintesi!$C$33</f>
        <v>0.196996</v>
      </c>
      <c r="N334" s="1">
        <f>'Paste cell here'!AA334</f>
        <v>0</v>
      </c>
      <c r="O334" s="1">
        <f>'Paste cell here'!H334</f>
        <v>0</v>
      </c>
      <c r="P334" s="1">
        <f t="shared" si="31"/>
        <v>0</v>
      </c>
      <c r="Q334" s="1">
        <f t="shared" si="32"/>
        <v>0</v>
      </c>
      <c r="R334" s="1">
        <f t="shared" si="33"/>
        <v>0</v>
      </c>
      <c r="S334" s="5" t="e">
        <f t="shared" si="34"/>
        <v>#DIV/0!</v>
      </c>
      <c r="T334" s="5" t="e">
        <f t="shared" si="35"/>
        <v>#DIV/0!</v>
      </c>
    </row>
    <row r="335" spans="1:20">
      <c r="A335" s="1">
        <v>334</v>
      </c>
      <c r="B335" s="2">
        <f>DATE(Sintesi!$C$4-1,12,31)+A335</f>
        <v>44530</v>
      </c>
      <c r="C335" s="1">
        <f>'Paste cell here'!T335</f>
        <v>0</v>
      </c>
      <c r="D335" s="1">
        <f>'Paste cell here'!AC335</f>
        <v>0</v>
      </c>
      <c r="E335" s="1">
        <f>'Paste cell here'!Y335</f>
        <v>0</v>
      </c>
      <c r="F335" s="1">
        <f>'Paste cell here'!AD335</f>
        <v>0</v>
      </c>
      <c r="G335" s="1">
        <f>'Paste cell here'!W335</f>
        <v>0</v>
      </c>
      <c r="H335" s="1">
        <f>'Paste cell here'!AE335</f>
        <v>0</v>
      </c>
      <c r="I335" s="1">
        <f>'Paste cell here'!AF335</f>
        <v>0</v>
      </c>
      <c r="J335" s="1">
        <f t="shared" si="30"/>
        <v>0</v>
      </c>
      <c r="K335" s="1" t="str">
        <f>IF('Bilancio primo strato'!D335&gt;0,1,"")</f>
        <v/>
      </c>
      <c r="L335" s="7">
        <f>Sintesi!$C$34</f>
        <v>9.0200000000000002E-2</v>
      </c>
      <c r="M335" s="7">
        <f>Sintesi!$C$33</f>
        <v>0.196996</v>
      </c>
      <c r="N335" s="1">
        <f>'Paste cell here'!AA335</f>
        <v>0</v>
      </c>
      <c r="O335" s="1">
        <f>'Paste cell here'!H335</f>
        <v>0</v>
      </c>
      <c r="P335" s="1">
        <f t="shared" si="31"/>
        <v>0</v>
      </c>
      <c r="Q335" s="1">
        <f t="shared" si="32"/>
        <v>0</v>
      </c>
      <c r="R335" s="1">
        <f t="shared" si="33"/>
        <v>0</v>
      </c>
      <c r="S335" s="5" t="e">
        <f t="shared" si="34"/>
        <v>#DIV/0!</v>
      </c>
      <c r="T335" s="5" t="e">
        <f t="shared" si="35"/>
        <v>#DIV/0!</v>
      </c>
    </row>
    <row r="336" spans="1:20">
      <c r="A336" s="1">
        <v>335</v>
      </c>
      <c r="B336" s="2">
        <f>DATE(Sintesi!$C$4-1,12,31)+A336</f>
        <v>44531</v>
      </c>
      <c r="C336" s="1">
        <f>'Paste cell here'!T336</f>
        <v>0</v>
      </c>
      <c r="D336" s="1">
        <f>'Paste cell here'!AC336</f>
        <v>0</v>
      </c>
      <c r="E336" s="1">
        <f>'Paste cell here'!Y336</f>
        <v>0</v>
      </c>
      <c r="F336" s="1">
        <f>'Paste cell here'!AD336</f>
        <v>0</v>
      </c>
      <c r="G336" s="1">
        <f>'Paste cell here'!W336</f>
        <v>0</v>
      </c>
      <c r="H336" s="1">
        <f>'Paste cell here'!AE336</f>
        <v>0</v>
      </c>
      <c r="I336" s="1">
        <f>'Paste cell here'!AF336</f>
        <v>0</v>
      </c>
      <c r="J336" s="1">
        <f t="shared" si="30"/>
        <v>0</v>
      </c>
      <c r="K336" s="1" t="str">
        <f>IF('Bilancio primo strato'!D336&gt;0,1,"")</f>
        <v/>
      </c>
      <c r="L336" s="7">
        <f>Sintesi!$C$34</f>
        <v>9.0200000000000002E-2</v>
      </c>
      <c r="M336" s="7">
        <f>Sintesi!$C$33</f>
        <v>0.196996</v>
      </c>
      <c r="N336" s="1">
        <f>'Paste cell here'!AA336</f>
        <v>0</v>
      </c>
      <c r="O336" s="1">
        <f>'Paste cell here'!H336</f>
        <v>0</v>
      </c>
      <c r="P336" s="1">
        <f t="shared" si="31"/>
        <v>0</v>
      </c>
      <c r="Q336" s="1">
        <f t="shared" si="32"/>
        <v>0</v>
      </c>
      <c r="R336" s="1">
        <f t="shared" si="33"/>
        <v>0</v>
      </c>
      <c r="S336" s="5" t="e">
        <f t="shared" si="34"/>
        <v>#DIV/0!</v>
      </c>
      <c r="T336" s="5" t="e">
        <f t="shared" si="35"/>
        <v>#DIV/0!</v>
      </c>
    </row>
    <row r="337" spans="1:20">
      <c r="A337" s="1">
        <v>336</v>
      </c>
      <c r="B337" s="2">
        <f>DATE(Sintesi!$C$4-1,12,31)+A337</f>
        <v>44532</v>
      </c>
      <c r="C337" s="1">
        <f>'Paste cell here'!T337</f>
        <v>0</v>
      </c>
      <c r="D337" s="1">
        <f>'Paste cell here'!AC337</f>
        <v>0</v>
      </c>
      <c r="E337" s="1">
        <f>'Paste cell here'!Y337</f>
        <v>0</v>
      </c>
      <c r="F337" s="1">
        <f>'Paste cell here'!AD337</f>
        <v>0</v>
      </c>
      <c r="G337" s="1">
        <f>'Paste cell here'!W337</f>
        <v>0</v>
      </c>
      <c r="H337" s="1">
        <f>'Paste cell here'!AE337</f>
        <v>0</v>
      </c>
      <c r="I337" s="1">
        <f>'Paste cell here'!AF337</f>
        <v>0</v>
      </c>
      <c r="J337" s="1">
        <f t="shared" si="30"/>
        <v>0</v>
      </c>
      <c r="K337" s="1" t="str">
        <f>IF('Bilancio primo strato'!D337&gt;0,1,"")</f>
        <v/>
      </c>
      <c r="L337" s="7">
        <f>Sintesi!$C$34</f>
        <v>9.0200000000000002E-2</v>
      </c>
      <c r="M337" s="7">
        <f>Sintesi!$C$33</f>
        <v>0.196996</v>
      </c>
      <c r="N337" s="1">
        <f>'Paste cell here'!AA337</f>
        <v>0</v>
      </c>
      <c r="O337" s="1">
        <f>'Paste cell here'!H337</f>
        <v>0</v>
      </c>
      <c r="P337" s="1">
        <f t="shared" si="31"/>
        <v>0</v>
      </c>
      <c r="Q337" s="1">
        <f t="shared" si="32"/>
        <v>0</v>
      </c>
      <c r="R337" s="1">
        <f t="shared" si="33"/>
        <v>0</v>
      </c>
      <c r="S337" s="5" t="e">
        <f t="shared" si="34"/>
        <v>#DIV/0!</v>
      </c>
      <c r="T337" s="5" t="e">
        <f t="shared" si="35"/>
        <v>#DIV/0!</v>
      </c>
    </row>
    <row r="338" spans="1:20">
      <c r="A338" s="1">
        <v>337</v>
      </c>
      <c r="B338" s="2">
        <f>DATE(Sintesi!$C$4-1,12,31)+A338</f>
        <v>44533</v>
      </c>
      <c r="C338" s="1">
        <f>'Paste cell here'!T338</f>
        <v>0</v>
      </c>
      <c r="D338" s="1">
        <f>'Paste cell here'!AC338</f>
        <v>0</v>
      </c>
      <c r="E338" s="1">
        <f>'Paste cell here'!Y338</f>
        <v>0</v>
      </c>
      <c r="F338" s="1">
        <f>'Paste cell here'!AD338</f>
        <v>0</v>
      </c>
      <c r="G338" s="1">
        <f>'Paste cell here'!W338</f>
        <v>0</v>
      </c>
      <c r="H338" s="1">
        <f>'Paste cell here'!AE338</f>
        <v>0</v>
      </c>
      <c r="I338" s="1">
        <f>'Paste cell here'!AF338</f>
        <v>0</v>
      </c>
      <c r="J338" s="1">
        <f t="shared" si="30"/>
        <v>0</v>
      </c>
      <c r="K338" s="1" t="str">
        <f>IF('Bilancio primo strato'!D338&gt;0,1,"")</f>
        <v/>
      </c>
      <c r="L338" s="7">
        <f>Sintesi!$C$34</f>
        <v>9.0200000000000002E-2</v>
      </c>
      <c r="M338" s="7">
        <f>Sintesi!$C$33</f>
        <v>0.196996</v>
      </c>
      <c r="N338" s="1">
        <f>'Paste cell here'!AA338</f>
        <v>0</v>
      </c>
      <c r="O338" s="1">
        <f>'Paste cell here'!H338</f>
        <v>0</v>
      </c>
      <c r="P338" s="1">
        <f t="shared" si="31"/>
        <v>0</v>
      </c>
      <c r="Q338" s="1">
        <f t="shared" si="32"/>
        <v>0</v>
      </c>
      <c r="R338" s="1">
        <f t="shared" si="33"/>
        <v>0</v>
      </c>
      <c r="S338" s="5" t="e">
        <f t="shared" si="34"/>
        <v>#DIV/0!</v>
      </c>
      <c r="T338" s="5" t="e">
        <f t="shared" si="35"/>
        <v>#DIV/0!</v>
      </c>
    </row>
    <row r="339" spans="1:20">
      <c r="A339" s="1">
        <v>338</v>
      </c>
      <c r="B339" s="2">
        <f>DATE(Sintesi!$C$4-1,12,31)+A339</f>
        <v>44534</v>
      </c>
      <c r="C339" s="1">
        <f>'Paste cell here'!T339</f>
        <v>0</v>
      </c>
      <c r="D339" s="1">
        <f>'Paste cell here'!AC339</f>
        <v>0</v>
      </c>
      <c r="E339" s="1">
        <f>'Paste cell here'!Y339</f>
        <v>0</v>
      </c>
      <c r="F339" s="1">
        <f>'Paste cell here'!AD339</f>
        <v>0</v>
      </c>
      <c r="G339" s="1">
        <f>'Paste cell here'!W339</f>
        <v>0</v>
      </c>
      <c r="H339" s="1">
        <f>'Paste cell here'!AE339</f>
        <v>0</v>
      </c>
      <c r="I339" s="1">
        <f>'Paste cell here'!AF339</f>
        <v>0</v>
      </c>
      <c r="J339" s="1">
        <f t="shared" si="30"/>
        <v>0</v>
      </c>
      <c r="K339" s="1" t="str">
        <f>IF('Bilancio primo strato'!D339&gt;0,1,"")</f>
        <v/>
      </c>
      <c r="L339" s="7">
        <f>Sintesi!$C$34</f>
        <v>9.0200000000000002E-2</v>
      </c>
      <c r="M339" s="7">
        <f>Sintesi!$C$33</f>
        <v>0.196996</v>
      </c>
      <c r="N339" s="1">
        <f>'Paste cell here'!AA339</f>
        <v>0</v>
      </c>
      <c r="O339" s="1">
        <f>'Paste cell here'!H339</f>
        <v>0</v>
      </c>
      <c r="P339" s="1">
        <f t="shared" si="31"/>
        <v>0</v>
      </c>
      <c r="Q339" s="1">
        <f t="shared" si="32"/>
        <v>0</v>
      </c>
      <c r="R339" s="1">
        <f t="shared" si="33"/>
        <v>0</v>
      </c>
      <c r="S339" s="5" t="e">
        <f t="shared" si="34"/>
        <v>#DIV/0!</v>
      </c>
      <c r="T339" s="5" t="e">
        <f t="shared" si="35"/>
        <v>#DIV/0!</v>
      </c>
    </row>
    <row r="340" spans="1:20">
      <c r="A340" s="1">
        <v>339</v>
      </c>
      <c r="B340" s="2">
        <f>DATE(Sintesi!$C$4-1,12,31)+A340</f>
        <v>44535</v>
      </c>
      <c r="C340" s="1">
        <f>'Paste cell here'!T340</f>
        <v>0</v>
      </c>
      <c r="D340" s="1">
        <f>'Paste cell here'!AC340</f>
        <v>0</v>
      </c>
      <c r="E340" s="1">
        <f>'Paste cell here'!Y340</f>
        <v>0</v>
      </c>
      <c r="F340" s="1">
        <f>'Paste cell here'!AD340</f>
        <v>0</v>
      </c>
      <c r="G340" s="1">
        <f>'Paste cell here'!W340</f>
        <v>0</v>
      </c>
      <c r="H340" s="1">
        <f>'Paste cell here'!AE340</f>
        <v>0</v>
      </c>
      <c r="I340" s="1">
        <f>'Paste cell here'!AF340</f>
        <v>0</v>
      </c>
      <c r="J340" s="1">
        <f t="shared" si="30"/>
        <v>0</v>
      </c>
      <c r="K340" s="1" t="str">
        <f>IF('Bilancio primo strato'!D340&gt;0,1,"")</f>
        <v/>
      </c>
      <c r="L340" s="7">
        <f>Sintesi!$C$34</f>
        <v>9.0200000000000002E-2</v>
      </c>
      <c r="M340" s="7">
        <f>Sintesi!$C$33</f>
        <v>0.196996</v>
      </c>
      <c r="N340" s="1">
        <f>'Paste cell here'!AA340</f>
        <v>0</v>
      </c>
      <c r="O340" s="1">
        <f>'Paste cell here'!H340</f>
        <v>0</v>
      </c>
      <c r="P340" s="1">
        <f t="shared" si="31"/>
        <v>0</v>
      </c>
      <c r="Q340" s="1">
        <f t="shared" si="32"/>
        <v>0</v>
      </c>
      <c r="R340" s="1">
        <f t="shared" si="33"/>
        <v>0</v>
      </c>
      <c r="S340" s="5" t="e">
        <f t="shared" si="34"/>
        <v>#DIV/0!</v>
      </c>
      <c r="T340" s="5" t="e">
        <f t="shared" si="35"/>
        <v>#DIV/0!</v>
      </c>
    </row>
    <row r="341" spans="1:20">
      <c r="A341" s="1">
        <v>340</v>
      </c>
      <c r="B341" s="2">
        <f>DATE(Sintesi!$C$4-1,12,31)+A341</f>
        <v>44536</v>
      </c>
      <c r="C341" s="1">
        <f>'Paste cell here'!T341</f>
        <v>0</v>
      </c>
      <c r="D341" s="1">
        <f>'Paste cell here'!AC341</f>
        <v>0</v>
      </c>
      <c r="E341" s="1">
        <f>'Paste cell here'!Y341</f>
        <v>0</v>
      </c>
      <c r="F341" s="1">
        <f>'Paste cell here'!AD341</f>
        <v>0</v>
      </c>
      <c r="G341" s="1">
        <f>'Paste cell here'!W341</f>
        <v>0</v>
      </c>
      <c r="H341" s="1">
        <f>'Paste cell here'!AE341</f>
        <v>0</v>
      </c>
      <c r="I341" s="1">
        <f>'Paste cell here'!AF341</f>
        <v>0</v>
      </c>
      <c r="J341" s="1">
        <f t="shared" si="30"/>
        <v>0</v>
      </c>
      <c r="K341" s="1" t="str">
        <f>IF('Bilancio primo strato'!D341&gt;0,1,"")</f>
        <v/>
      </c>
      <c r="L341" s="7">
        <f>Sintesi!$C$34</f>
        <v>9.0200000000000002E-2</v>
      </c>
      <c r="M341" s="7">
        <f>Sintesi!$C$33</f>
        <v>0.196996</v>
      </c>
      <c r="N341" s="1">
        <f>'Paste cell here'!AA341</f>
        <v>0</v>
      </c>
      <c r="O341" s="1">
        <f>'Paste cell here'!H341</f>
        <v>0</v>
      </c>
      <c r="P341" s="1">
        <f t="shared" si="31"/>
        <v>0</v>
      </c>
      <c r="Q341" s="1">
        <f t="shared" si="32"/>
        <v>0</v>
      </c>
      <c r="R341" s="1">
        <f t="shared" si="33"/>
        <v>0</v>
      </c>
      <c r="S341" s="5" t="e">
        <f t="shared" si="34"/>
        <v>#DIV/0!</v>
      </c>
      <c r="T341" s="5" t="e">
        <f t="shared" si="35"/>
        <v>#DIV/0!</v>
      </c>
    </row>
    <row r="342" spans="1:20">
      <c r="A342" s="1">
        <v>341</v>
      </c>
      <c r="B342" s="2">
        <f>DATE(Sintesi!$C$4-1,12,31)+A342</f>
        <v>44537</v>
      </c>
      <c r="C342" s="1">
        <f>'Paste cell here'!T342</f>
        <v>0</v>
      </c>
      <c r="D342" s="1">
        <f>'Paste cell here'!AC342</f>
        <v>0</v>
      </c>
      <c r="E342" s="1">
        <f>'Paste cell here'!Y342</f>
        <v>0</v>
      </c>
      <c r="F342" s="1">
        <f>'Paste cell here'!AD342</f>
        <v>0</v>
      </c>
      <c r="G342" s="1">
        <f>'Paste cell here'!W342</f>
        <v>0</v>
      </c>
      <c r="H342" s="1">
        <f>'Paste cell here'!AE342</f>
        <v>0</v>
      </c>
      <c r="I342" s="1">
        <f>'Paste cell here'!AF342</f>
        <v>0</v>
      </c>
      <c r="J342" s="1">
        <f t="shared" si="30"/>
        <v>0</v>
      </c>
      <c r="K342" s="1" t="str">
        <f>IF('Bilancio primo strato'!D342&gt;0,1,"")</f>
        <v/>
      </c>
      <c r="L342" s="7">
        <f>Sintesi!$C$34</f>
        <v>9.0200000000000002E-2</v>
      </c>
      <c r="M342" s="7">
        <f>Sintesi!$C$33</f>
        <v>0.196996</v>
      </c>
      <c r="N342" s="1">
        <f>'Paste cell here'!AA342</f>
        <v>0</v>
      </c>
      <c r="O342" s="1">
        <f>'Paste cell here'!H342</f>
        <v>0</v>
      </c>
      <c r="P342" s="1">
        <f t="shared" si="31"/>
        <v>0</v>
      </c>
      <c r="Q342" s="1">
        <f t="shared" si="32"/>
        <v>0</v>
      </c>
      <c r="R342" s="1">
        <f t="shared" si="33"/>
        <v>0</v>
      </c>
      <c r="S342" s="5" t="e">
        <f t="shared" si="34"/>
        <v>#DIV/0!</v>
      </c>
      <c r="T342" s="5" t="e">
        <f t="shared" si="35"/>
        <v>#DIV/0!</v>
      </c>
    </row>
    <row r="343" spans="1:20">
      <c r="A343" s="1">
        <v>342</v>
      </c>
      <c r="B343" s="2">
        <f>DATE(Sintesi!$C$4-1,12,31)+A343</f>
        <v>44538</v>
      </c>
      <c r="C343" s="1">
        <f>'Paste cell here'!T343</f>
        <v>0</v>
      </c>
      <c r="D343" s="1">
        <f>'Paste cell here'!AC343</f>
        <v>0</v>
      </c>
      <c r="E343" s="1">
        <f>'Paste cell here'!Y343</f>
        <v>0</v>
      </c>
      <c r="F343" s="1">
        <f>'Paste cell here'!AD343</f>
        <v>0</v>
      </c>
      <c r="G343" s="1">
        <f>'Paste cell here'!W343</f>
        <v>0</v>
      </c>
      <c r="H343" s="1">
        <f>'Paste cell here'!AE343</f>
        <v>0</v>
      </c>
      <c r="I343" s="1">
        <f>'Paste cell here'!AF343</f>
        <v>0</v>
      </c>
      <c r="J343" s="1">
        <f t="shared" si="30"/>
        <v>0</v>
      </c>
      <c r="K343" s="1" t="str">
        <f>IF('Bilancio primo strato'!D343&gt;0,1,"")</f>
        <v/>
      </c>
      <c r="L343" s="7">
        <f>Sintesi!$C$34</f>
        <v>9.0200000000000002E-2</v>
      </c>
      <c r="M343" s="7">
        <f>Sintesi!$C$33</f>
        <v>0.196996</v>
      </c>
      <c r="N343" s="1">
        <f>'Paste cell here'!AA343</f>
        <v>0</v>
      </c>
      <c r="O343" s="1">
        <f>'Paste cell here'!H343</f>
        <v>0</v>
      </c>
      <c r="P343" s="1">
        <f t="shared" si="31"/>
        <v>0</v>
      </c>
      <c r="Q343" s="1">
        <f t="shared" si="32"/>
        <v>0</v>
      </c>
      <c r="R343" s="1">
        <f t="shared" si="33"/>
        <v>0</v>
      </c>
      <c r="S343" s="5" t="e">
        <f t="shared" si="34"/>
        <v>#DIV/0!</v>
      </c>
      <c r="T343" s="5" t="e">
        <f t="shared" si="35"/>
        <v>#DIV/0!</v>
      </c>
    </row>
    <row r="344" spans="1:20">
      <c r="A344" s="1">
        <v>343</v>
      </c>
      <c r="B344" s="2">
        <f>DATE(Sintesi!$C$4-1,12,31)+A344</f>
        <v>44539</v>
      </c>
      <c r="C344" s="1">
        <f>'Paste cell here'!T344</f>
        <v>0</v>
      </c>
      <c r="D344" s="1">
        <f>'Paste cell here'!AC344</f>
        <v>0</v>
      </c>
      <c r="E344" s="1">
        <f>'Paste cell here'!Y344</f>
        <v>0</v>
      </c>
      <c r="F344" s="1">
        <f>'Paste cell here'!AD344</f>
        <v>0</v>
      </c>
      <c r="G344" s="1">
        <f>'Paste cell here'!W344</f>
        <v>0</v>
      </c>
      <c r="H344" s="1">
        <f>'Paste cell here'!AE344</f>
        <v>0</v>
      </c>
      <c r="I344" s="1">
        <f>'Paste cell here'!AF344</f>
        <v>0</v>
      </c>
      <c r="J344" s="1">
        <f t="shared" si="30"/>
        <v>0</v>
      </c>
      <c r="K344" s="1" t="str">
        <f>IF('Bilancio primo strato'!D344&gt;0,1,"")</f>
        <v/>
      </c>
      <c r="L344" s="7">
        <f>Sintesi!$C$34</f>
        <v>9.0200000000000002E-2</v>
      </c>
      <c r="M344" s="7">
        <f>Sintesi!$C$33</f>
        <v>0.196996</v>
      </c>
      <c r="N344" s="1">
        <f>'Paste cell here'!AA344</f>
        <v>0</v>
      </c>
      <c r="O344" s="1">
        <f>'Paste cell here'!H344</f>
        <v>0</v>
      </c>
      <c r="P344" s="1">
        <f t="shared" si="31"/>
        <v>0</v>
      </c>
      <c r="Q344" s="1">
        <f t="shared" si="32"/>
        <v>0</v>
      </c>
      <c r="R344" s="1">
        <f t="shared" si="33"/>
        <v>0</v>
      </c>
      <c r="S344" s="5" t="e">
        <f t="shared" si="34"/>
        <v>#DIV/0!</v>
      </c>
      <c r="T344" s="5" t="e">
        <f t="shared" si="35"/>
        <v>#DIV/0!</v>
      </c>
    </row>
    <row r="345" spans="1:20">
      <c r="A345" s="1">
        <v>344</v>
      </c>
      <c r="B345" s="2">
        <f>DATE(Sintesi!$C$4-1,12,31)+A345</f>
        <v>44540</v>
      </c>
      <c r="C345" s="1">
        <f>'Paste cell here'!T345</f>
        <v>0</v>
      </c>
      <c r="D345" s="1">
        <f>'Paste cell here'!AC345</f>
        <v>0</v>
      </c>
      <c r="E345" s="1">
        <f>'Paste cell here'!Y345</f>
        <v>0</v>
      </c>
      <c r="F345" s="1">
        <f>'Paste cell here'!AD345</f>
        <v>0</v>
      </c>
      <c r="G345" s="1">
        <f>'Paste cell here'!W345</f>
        <v>0</v>
      </c>
      <c r="H345" s="1">
        <f>'Paste cell here'!AE345</f>
        <v>0</v>
      </c>
      <c r="I345" s="1">
        <f>'Paste cell here'!AF345</f>
        <v>0</v>
      </c>
      <c r="J345" s="1">
        <f t="shared" si="30"/>
        <v>0</v>
      </c>
      <c r="K345" s="1" t="str">
        <f>IF('Bilancio primo strato'!D345&gt;0,1,"")</f>
        <v/>
      </c>
      <c r="L345" s="7">
        <f>Sintesi!$C$34</f>
        <v>9.0200000000000002E-2</v>
      </c>
      <c r="M345" s="7">
        <f>Sintesi!$C$33</f>
        <v>0.196996</v>
      </c>
      <c r="N345" s="1">
        <f>'Paste cell here'!AA345</f>
        <v>0</v>
      </c>
      <c r="O345" s="1">
        <f>'Paste cell here'!H345</f>
        <v>0</v>
      </c>
      <c r="P345" s="1">
        <f t="shared" si="31"/>
        <v>0</v>
      </c>
      <c r="Q345" s="1">
        <f t="shared" si="32"/>
        <v>0</v>
      </c>
      <c r="R345" s="1">
        <f t="shared" si="33"/>
        <v>0</v>
      </c>
      <c r="S345" s="5" t="e">
        <f t="shared" si="34"/>
        <v>#DIV/0!</v>
      </c>
      <c r="T345" s="5" t="e">
        <f t="shared" si="35"/>
        <v>#DIV/0!</v>
      </c>
    </row>
    <row r="346" spans="1:20">
      <c r="A346" s="1">
        <v>345</v>
      </c>
      <c r="B346" s="2">
        <f>DATE(Sintesi!$C$4-1,12,31)+A346</f>
        <v>44541</v>
      </c>
      <c r="C346" s="1">
        <f>'Paste cell here'!T346</f>
        <v>0</v>
      </c>
      <c r="D346" s="1">
        <f>'Paste cell here'!AC346</f>
        <v>0</v>
      </c>
      <c r="E346" s="1">
        <f>'Paste cell here'!Y346</f>
        <v>0</v>
      </c>
      <c r="F346" s="1">
        <f>'Paste cell here'!AD346</f>
        <v>0</v>
      </c>
      <c r="G346" s="1">
        <f>'Paste cell here'!W346</f>
        <v>0</v>
      </c>
      <c r="H346" s="1">
        <f>'Paste cell here'!AE346</f>
        <v>0</v>
      </c>
      <c r="I346" s="1">
        <f>'Paste cell here'!AF346</f>
        <v>0</v>
      </c>
      <c r="J346" s="1">
        <f t="shared" si="30"/>
        <v>0</v>
      </c>
      <c r="K346" s="1" t="str">
        <f>IF('Bilancio primo strato'!D346&gt;0,1,"")</f>
        <v/>
      </c>
      <c r="L346" s="7">
        <f>Sintesi!$C$34</f>
        <v>9.0200000000000002E-2</v>
      </c>
      <c r="M346" s="7">
        <f>Sintesi!$C$33</f>
        <v>0.196996</v>
      </c>
      <c r="N346" s="1">
        <f>'Paste cell here'!AA346</f>
        <v>0</v>
      </c>
      <c r="O346" s="1">
        <f>'Paste cell here'!H346</f>
        <v>0</v>
      </c>
      <c r="P346" s="1">
        <f t="shared" si="31"/>
        <v>0</v>
      </c>
      <c r="Q346" s="1">
        <f t="shared" si="32"/>
        <v>0</v>
      </c>
      <c r="R346" s="1">
        <f t="shared" si="33"/>
        <v>0</v>
      </c>
      <c r="S346" s="5" t="e">
        <f t="shared" si="34"/>
        <v>#DIV/0!</v>
      </c>
      <c r="T346" s="5" t="e">
        <f t="shared" si="35"/>
        <v>#DIV/0!</v>
      </c>
    </row>
    <row r="347" spans="1:20">
      <c r="A347" s="1">
        <v>346</v>
      </c>
      <c r="B347" s="2">
        <f>DATE(Sintesi!$C$4-1,12,31)+A347</f>
        <v>44542</v>
      </c>
      <c r="C347" s="1">
        <f>'Paste cell here'!T347</f>
        <v>0</v>
      </c>
      <c r="D347" s="1">
        <f>'Paste cell here'!AC347</f>
        <v>0</v>
      </c>
      <c r="E347" s="1">
        <f>'Paste cell here'!Y347</f>
        <v>0</v>
      </c>
      <c r="F347" s="1">
        <f>'Paste cell here'!AD347</f>
        <v>0</v>
      </c>
      <c r="G347" s="1">
        <f>'Paste cell here'!W347</f>
        <v>0</v>
      </c>
      <c r="H347" s="1">
        <f>'Paste cell here'!AE347</f>
        <v>0</v>
      </c>
      <c r="I347" s="1">
        <f>'Paste cell here'!AF347</f>
        <v>0</v>
      </c>
      <c r="J347" s="1">
        <f t="shared" si="30"/>
        <v>0</v>
      </c>
      <c r="K347" s="1" t="str">
        <f>IF('Bilancio primo strato'!D347&gt;0,1,"")</f>
        <v/>
      </c>
      <c r="L347" s="7">
        <f>Sintesi!$C$34</f>
        <v>9.0200000000000002E-2</v>
      </c>
      <c r="M347" s="7">
        <f>Sintesi!$C$33</f>
        <v>0.196996</v>
      </c>
      <c r="N347" s="1">
        <f>'Paste cell here'!AA347</f>
        <v>0</v>
      </c>
      <c r="O347" s="1">
        <f>'Paste cell here'!H347</f>
        <v>0</v>
      </c>
      <c r="P347" s="1">
        <f t="shared" si="31"/>
        <v>0</v>
      </c>
      <c r="Q347" s="1">
        <f t="shared" si="32"/>
        <v>0</v>
      </c>
      <c r="R347" s="1">
        <f t="shared" si="33"/>
        <v>0</v>
      </c>
      <c r="S347" s="5" t="e">
        <f t="shared" si="34"/>
        <v>#DIV/0!</v>
      </c>
      <c r="T347" s="5" t="e">
        <f t="shared" si="35"/>
        <v>#DIV/0!</v>
      </c>
    </row>
    <row r="348" spans="1:20">
      <c r="A348" s="1">
        <v>347</v>
      </c>
      <c r="B348" s="2">
        <f>DATE(Sintesi!$C$4-1,12,31)+A348</f>
        <v>44543</v>
      </c>
      <c r="C348" s="1">
        <f>'Paste cell here'!T348</f>
        <v>0</v>
      </c>
      <c r="D348" s="1">
        <f>'Paste cell here'!AC348</f>
        <v>0</v>
      </c>
      <c r="E348" s="1">
        <f>'Paste cell here'!Y348</f>
        <v>0</v>
      </c>
      <c r="F348" s="1">
        <f>'Paste cell here'!AD348</f>
        <v>0</v>
      </c>
      <c r="G348" s="1">
        <f>'Paste cell here'!W348</f>
        <v>0</v>
      </c>
      <c r="H348" s="1">
        <f>'Paste cell here'!AE348</f>
        <v>0</v>
      </c>
      <c r="I348" s="1">
        <f>'Paste cell here'!AF348</f>
        <v>0</v>
      </c>
      <c r="J348" s="1">
        <f t="shared" si="30"/>
        <v>0</v>
      </c>
      <c r="K348" s="1" t="str">
        <f>IF('Bilancio primo strato'!D348&gt;0,1,"")</f>
        <v/>
      </c>
      <c r="L348" s="7">
        <f>Sintesi!$C$34</f>
        <v>9.0200000000000002E-2</v>
      </c>
      <c r="M348" s="7">
        <f>Sintesi!$C$33</f>
        <v>0.196996</v>
      </c>
      <c r="N348" s="1">
        <f>'Paste cell here'!AA348</f>
        <v>0</v>
      </c>
      <c r="O348" s="1">
        <f>'Paste cell here'!H348</f>
        <v>0</v>
      </c>
      <c r="P348" s="1">
        <f t="shared" si="31"/>
        <v>0</v>
      </c>
      <c r="Q348" s="1">
        <f t="shared" si="32"/>
        <v>0</v>
      </c>
      <c r="R348" s="1">
        <f t="shared" si="33"/>
        <v>0</v>
      </c>
      <c r="S348" s="5" t="e">
        <f t="shared" si="34"/>
        <v>#DIV/0!</v>
      </c>
      <c r="T348" s="5" t="e">
        <f t="shared" si="35"/>
        <v>#DIV/0!</v>
      </c>
    </row>
    <row r="349" spans="1:20">
      <c r="A349" s="1">
        <v>348</v>
      </c>
      <c r="B349" s="2">
        <f>DATE(Sintesi!$C$4-1,12,31)+A349</f>
        <v>44544</v>
      </c>
      <c r="C349" s="1">
        <f>'Paste cell here'!T349</f>
        <v>0</v>
      </c>
      <c r="D349" s="1">
        <f>'Paste cell here'!AC349</f>
        <v>0</v>
      </c>
      <c r="E349" s="1">
        <f>'Paste cell here'!Y349</f>
        <v>0</v>
      </c>
      <c r="F349" s="1">
        <f>'Paste cell here'!AD349</f>
        <v>0</v>
      </c>
      <c r="G349" s="1">
        <f>'Paste cell here'!W349</f>
        <v>0</v>
      </c>
      <c r="H349" s="1">
        <f>'Paste cell here'!AE349</f>
        <v>0</v>
      </c>
      <c r="I349" s="1">
        <f>'Paste cell here'!AF349</f>
        <v>0</v>
      </c>
      <c r="J349" s="1">
        <f t="shared" si="30"/>
        <v>0</v>
      </c>
      <c r="K349" s="1" t="str">
        <f>IF('Bilancio primo strato'!D349&gt;0,1,"")</f>
        <v/>
      </c>
      <c r="L349" s="7">
        <f>Sintesi!$C$34</f>
        <v>9.0200000000000002E-2</v>
      </c>
      <c r="M349" s="7">
        <f>Sintesi!$C$33</f>
        <v>0.196996</v>
      </c>
      <c r="N349" s="1">
        <f>'Paste cell here'!AA349</f>
        <v>0</v>
      </c>
      <c r="O349" s="1">
        <f>'Paste cell here'!H349</f>
        <v>0</v>
      </c>
      <c r="P349" s="1">
        <f t="shared" si="31"/>
        <v>0</v>
      </c>
      <c r="Q349" s="1">
        <f t="shared" si="32"/>
        <v>0</v>
      </c>
      <c r="R349" s="1">
        <f t="shared" si="33"/>
        <v>0</v>
      </c>
      <c r="S349" s="5" t="e">
        <f t="shared" si="34"/>
        <v>#DIV/0!</v>
      </c>
      <c r="T349" s="5" t="e">
        <f t="shared" si="35"/>
        <v>#DIV/0!</v>
      </c>
    </row>
    <row r="350" spans="1:20">
      <c r="A350" s="1">
        <v>349</v>
      </c>
      <c r="B350" s="2">
        <f>DATE(Sintesi!$C$4-1,12,31)+A350</f>
        <v>44545</v>
      </c>
      <c r="C350" s="1">
        <f>'Paste cell here'!T350</f>
        <v>0</v>
      </c>
      <c r="D350" s="1">
        <f>'Paste cell here'!AC350</f>
        <v>0</v>
      </c>
      <c r="E350" s="1">
        <f>'Paste cell here'!Y350</f>
        <v>0</v>
      </c>
      <c r="F350" s="1">
        <f>'Paste cell here'!AD350</f>
        <v>0</v>
      </c>
      <c r="G350" s="1">
        <f>'Paste cell here'!W350</f>
        <v>0</v>
      </c>
      <c r="H350" s="1">
        <f>'Paste cell here'!AE350</f>
        <v>0</v>
      </c>
      <c r="I350" s="1">
        <f>'Paste cell here'!AF350</f>
        <v>0</v>
      </c>
      <c r="J350" s="1">
        <f t="shared" si="30"/>
        <v>0</v>
      </c>
      <c r="K350" s="1" t="str">
        <f>IF('Bilancio primo strato'!D350&gt;0,1,"")</f>
        <v/>
      </c>
      <c r="L350" s="7">
        <f>Sintesi!$C$34</f>
        <v>9.0200000000000002E-2</v>
      </c>
      <c r="M350" s="7">
        <f>Sintesi!$C$33</f>
        <v>0.196996</v>
      </c>
      <c r="N350" s="1">
        <f>'Paste cell here'!AA350</f>
        <v>0</v>
      </c>
      <c r="O350" s="1">
        <f>'Paste cell here'!H350</f>
        <v>0</v>
      </c>
      <c r="P350" s="1">
        <f t="shared" si="31"/>
        <v>0</v>
      </c>
      <c r="Q350" s="1">
        <f t="shared" si="32"/>
        <v>0</v>
      </c>
      <c r="R350" s="1">
        <f t="shared" si="33"/>
        <v>0</v>
      </c>
      <c r="S350" s="5" t="e">
        <f t="shared" si="34"/>
        <v>#DIV/0!</v>
      </c>
      <c r="T350" s="5" t="e">
        <f t="shared" si="35"/>
        <v>#DIV/0!</v>
      </c>
    </row>
    <row r="351" spans="1:20">
      <c r="A351" s="1">
        <v>350</v>
      </c>
      <c r="B351" s="2">
        <f>DATE(Sintesi!$C$4-1,12,31)+A351</f>
        <v>44546</v>
      </c>
      <c r="C351" s="1">
        <f>'Paste cell here'!T351</f>
        <v>0</v>
      </c>
      <c r="D351" s="1">
        <f>'Paste cell here'!AC351</f>
        <v>0</v>
      </c>
      <c r="E351" s="1">
        <f>'Paste cell here'!Y351</f>
        <v>0</v>
      </c>
      <c r="F351" s="1">
        <f>'Paste cell here'!AD351</f>
        <v>0</v>
      </c>
      <c r="G351" s="1">
        <f>'Paste cell here'!W351</f>
        <v>0</v>
      </c>
      <c r="H351" s="1">
        <f>'Paste cell here'!AE351</f>
        <v>0</v>
      </c>
      <c r="I351" s="1">
        <f>'Paste cell here'!AF351</f>
        <v>0</v>
      </c>
      <c r="J351" s="1">
        <f t="shared" si="30"/>
        <v>0</v>
      </c>
      <c r="K351" s="1" t="str">
        <f>IF('Bilancio primo strato'!D351&gt;0,1,"")</f>
        <v/>
      </c>
      <c r="L351" s="7">
        <f>Sintesi!$C$34</f>
        <v>9.0200000000000002E-2</v>
      </c>
      <c r="M351" s="7">
        <f>Sintesi!$C$33</f>
        <v>0.196996</v>
      </c>
      <c r="N351" s="1">
        <f>'Paste cell here'!AA351</f>
        <v>0</v>
      </c>
      <c r="O351" s="1">
        <f>'Paste cell here'!H351</f>
        <v>0</v>
      </c>
      <c r="P351" s="1">
        <f t="shared" si="31"/>
        <v>0</v>
      </c>
      <c r="Q351" s="1">
        <f t="shared" si="32"/>
        <v>0</v>
      </c>
      <c r="R351" s="1">
        <f t="shared" si="33"/>
        <v>0</v>
      </c>
      <c r="S351" s="5" t="e">
        <f t="shared" si="34"/>
        <v>#DIV/0!</v>
      </c>
      <c r="T351" s="5" t="e">
        <f t="shared" si="35"/>
        <v>#DIV/0!</v>
      </c>
    </row>
    <row r="352" spans="1:20">
      <c r="A352" s="1">
        <v>351</v>
      </c>
      <c r="B352" s="2">
        <f>DATE(Sintesi!$C$4-1,12,31)+A352</f>
        <v>44547</v>
      </c>
      <c r="C352" s="1">
        <f>'Paste cell here'!T352</f>
        <v>0</v>
      </c>
      <c r="D352" s="1">
        <f>'Paste cell here'!AC352</f>
        <v>0</v>
      </c>
      <c r="E352" s="1">
        <f>'Paste cell here'!Y352</f>
        <v>0</v>
      </c>
      <c r="F352" s="1">
        <f>'Paste cell here'!AD352</f>
        <v>0</v>
      </c>
      <c r="G352" s="1">
        <f>'Paste cell here'!W352</f>
        <v>0</v>
      </c>
      <c r="H352" s="1">
        <f>'Paste cell here'!AE352</f>
        <v>0</v>
      </c>
      <c r="I352" s="1">
        <f>'Paste cell here'!AF352</f>
        <v>0</v>
      </c>
      <c r="J352" s="1">
        <f t="shared" si="30"/>
        <v>0</v>
      </c>
      <c r="K352" s="1" t="str">
        <f>IF('Bilancio primo strato'!D352&gt;0,1,"")</f>
        <v/>
      </c>
      <c r="L352" s="7">
        <f>Sintesi!$C$34</f>
        <v>9.0200000000000002E-2</v>
      </c>
      <c r="M352" s="7">
        <f>Sintesi!$C$33</f>
        <v>0.196996</v>
      </c>
      <c r="N352" s="1">
        <f>'Paste cell here'!AA352</f>
        <v>0</v>
      </c>
      <c r="O352" s="1">
        <f>'Paste cell here'!H352</f>
        <v>0</v>
      </c>
      <c r="P352" s="1">
        <f t="shared" si="31"/>
        <v>0</v>
      </c>
      <c r="Q352" s="1">
        <f t="shared" si="32"/>
        <v>0</v>
      </c>
      <c r="R352" s="1">
        <f t="shared" si="33"/>
        <v>0</v>
      </c>
      <c r="S352" s="5" t="e">
        <f t="shared" si="34"/>
        <v>#DIV/0!</v>
      </c>
      <c r="T352" s="5" t="e">
        <f t="shared" si="35"/>
        <v>#DIV/0!</v>
      </c>
    </row>
    <row r="353" spans="1:20">
      <c r="A353" s="1">
        <v>352</v>
      </c>
      <c r="B353" s="2">
        <f>DATE(Sintesi!$C$4-1,12,31)+A353</f>
        <v>44548</v>
      </c>
      <c r="C353" s="1">
        <f>'Paste cell here'!T353</f>
        <v>0</v>
      </c>
      <c r="D353" s="1">
        <f>'Paste cell here'!AC353</f>
        <v>0</v>
      </c>
      <c r="E353" s="1">
        <f>'Paste cell here'!Y353</f>
        <v>0</v>
      </c>
      <c r="F353" s="1">
        <f>'Paste cell here'!AD353</f>
        <v>0</v>
      </c>
      <c r="G353" s="1">
        <f>'Paste cell here'!W353</f>
        <v>0</v>
      </c>
      <c r="H353" s="1">
        <f>'Paste cell here'!AE353</f>
        <v>0</v>
      </c>
      <c r="I353" s="1">
        <f>'Paste cell here'!AF353</f>
        <v>0</v>
      </c>
      <c r="J353" s="1">
        <f t="shared" si="30"/>
        <v>0</v>
      </c>
      <c r="K353" s="1" t="str">
        <f>IF('Bilancio primo strato'!D353&gt;0,1,"")</f>
        <v/>
      </c>
      <c r="L353" s="7">
        <f>Sintesi!$C$34</f>
        <v>9.0200000000000002E-2</v>
      </c>
      <c r="M353" s="7">
        <f>Sintesi!$C$33</f>
        <v>0.196996</v>
      </c>
      <c r="N353" s="1">
        <f>'Paste cell here'!AA353</f>
        <v>0</v>
      </c>
      <c r="O353" s="1">
        <f>'Paste cell here'!H353</f>
        <v>0</v>
      </c>
      <c r="P353" s="1">
        <f t="shared" si="31"/>
        <v>0</v>
      </c>
      <c r="Q353" s="1">
        <f t="shared" si="32"/>
        <v>0</v>
      </c>
      <c r="R353" s="1">
        <f t="shared" si="33"/>
        <v>0</v>
      </c>
      <c r="S353" s="5" t="e">
        <f t="shared" si="34"/>
        <v>#DIV/0!</v>
      </c>
      <c r="T353" s="5" t="e">
        <f t="shared" si="35"/>
        <v>#DIV/0!</v>
      </c>
    </row>
    <row r="354" spans="1:20">
      <c r="A354" s="1">
        <v>353</v>
      </c>
      <c r="B354" s="2">
        <f>DATE(Sintesi!$C$4-1,12,31)+A354</f>
        <v>44549</v>
      </c>
      <c r="C354" s="1">
        <f>'Paste cell here'!T354</f>
        <v>0</v>
      </c>
      <c r="D354" s="1">
        <f>'Paste cell here'!AC354</f>
        <v>0</v>
      </c>
      <c r="E354" s="1">
        <f>'Paste cell here'!Y354</f>
        <v>0</v>
      </c>
      <c r="F354" s="1">
        <f>'Paste cell here'!AD354</f>
        <v>0</v>
      </c>
      <c r="G354" s="1">
        <f>'Paste cell here'!W354</f>
        <v>0</v>
      </c>
      <c r="H354" s="1">
        <f>'Paste cell here'!AE354</f>
        <v>0</v>
      </c>
      <c r="I354" s="1">
        <f>'Paste cell here'!AF354</f>
        <v>0</v>
      </c>
      <c r="J354" s="1">
        <f t="shared" si="30"/>
        <v>0</v>
      </c>
      <c r="K354" s="1" t="str">
        <f>IF('Bilancio primo strato'!D354&gt;0,1,"")</f>
        <v/>
      </c>
      <c r="L354" s="7">
        <f>Sintesi!$C$34</f>
        <v>9.0200000000000002E-2</v>
      </c>
      <c r="M354" s="7">
        <f>Sintesi!$C$33</f>
        <v>0.196996</v>
      </c>
      <c r="N354" s="1">
        <f>'Paste cell here'!AA354</f>
        <v>0</v>
      </c>
      <c r="O354" s="1">
        <f>'Paste cell here'!H354</f>
        <v>0</v>
      </c>
      <c r="P354" s="1">
        <f t="shared" si="31"/>
        <v>0</v>
      </c>
      <c r="Q354" s="1">
        <f t="shared" si="32"/>
        <v>0</v>
      </c>
      <c r="R354" s="1">
        <f t="shared" si="33"/>
        <v>0</v>
      </c>
      <c r="S354" s="5" t="e">
        <f t="shared" si="34"/>
        <v>#DIV/0!</v>
      </c>
      <c r="T354" s="5" t="e">
        <f t="shared" si="35"/>
        <v>#DIV/0!</v>
      </c>
    </row>
    <row r="355" spans="1:20">
      <c r="A355" s="1">
        <v>354</v>
      </c>
      <c r="B355" s="2">
        <f>DATE(Sintesi!$C$4-1,12,31)+A355</f>
        <v>44550</v>
      </c>
      <c r="C355" s="1">
        <f>'Paste cell here'!T355</f>
        <v>0</v>
      </c>
      <c r="D355" s="1">
        <f>'Paste cell here'!AC355</f>
        <v>0</v>
      </c>
      <c r="E355" s="1">
        <f>'Paste cell here'!Y355</f>
        <v>0</v>
      </c>
      <c r="F355" s="1">
        <f>'Paste cell here'!AD355</f>
        <v>0</v>
      </c>
      <c r="G355" s="1">
        <f>'Paste cell here'!W355</f>
        <v>0</v>
      </c>
      <c r="H355" s="1">
        <f>'Paste cell here'!AE355</f>
        <v>0</v>
      </c>
      <c r="I355" s="1">
        <f>'Paste cell here'!AF355</f>
        <v>0</v>
      </c>
      <c r="J355" s="1">
        <f t="shared" si="30"/>
        <v>0</v>
      </c>
      <c r="K355" s="1" t="str">
        <f>IF('Bilancio primo strato'!D355&gt;0,1,"")</f>
        <v/>
      </c>
      <c r="L355" s="7">
        <f>Sintesi!$C$34</f>
        <v>9.0200000000000002E-2</v>
      </c>
      <c r="M355" s="7">
        <f>Sintesi!$C$33</f>
        <v>0.196996</v>
      </c>
      <c r="N355" s="1">
        <f>'Paste cell here'!AA355</f>
        <v>0</v>
      </c>
      <c r="O355" s="1">
        <f>'Paste cell here'!H355</f>
        <v>0</v>
      </c>
      <c r="P355" s="1">
        <f t="shared" si="31"/>
        <v>0</v>
      </c>
      <c r="Q355" s="1">
        <f t="shared" si="32"/>
        <v>0</v>
      </c>
      <c r="R355" s="1">
        <f t="shared" si="33"/>
        <v>0</v>
      </c>
      <c r="S355" s="5" t="e">
        <f t="shared" si="34"/>
        <v>#DIV/0!</v>
      </c>
      <c r="T355" s="5" t="e">
        <f t="shared" si="35"/>
        <v>#DIV/0!</v>
      </c>
    </row>
    <row r="356" spans="1:20">
      <c r="A356" s="1">
        <v>355</v>
      </c>
      <c r="B356" s="2">
        <f>DATE(Sintesi!$C$4-1,12,31)+A356</f>
        <v>44551</v>
      </c>
      <c r="C356" s="1">
        <f>'Paste cell here'!T356</f>
        <v>0</v>
      </c>
      <c r="D356" s="1">
        <f>'Paste cell here'!AC356</f>
        <v>0</v>
      </c>
      <c r="E356" s="1">
        <f>'Paste cell here'!Y356</f>
        <v>0</v>
      </c>
      <c r="F356" s="1">
        <f>'Paste cell here'!AD356</f>
        <v>0</v>
      </c>
      <c r="G356" s="1">
        <f>'Paste cell here'!W356</f>
        <v>0</v>
      </c>
      <c r="H356" s="1">
        <f>'Paste cell here'!AE356</f>
        <v>0</v>
      </c>
      <c r="I356" s="1">
        <f>'Paste cell here'!AF356</f>
        <v>0</v>
      </c>
      <c r="J356" s="1">
        <f t="shared" si="30"/>
        <v>0</v>
      </c>
      <c r="K356" s="1" t="str">
        <f>IF('Bilancio primo strato'!D356&gt;0,1,"")</f>
        <v/>
      </c>
      <c r="L356" s="7">
        <f>Sintesi!$C$34</f>
        <v>9.0200000000000002E-2</v>
      </c>
      <c r="M356" s="7">
        <f>Sintesi!$C$33</f>
        <v>0.196996</v>
      </c>
      <c r="N356" s="1">
        <f>'Paste cell here'!AA356</f>
        <v>0</v>
      </c>
      <c r="O356" s="1">
        <f>'Paste cell here'!H356</f>
        <v>0</v>
      </c>
      <c r="P356" s="1">
        <f t="shared" si="31"/>
        <v>0</v>
      </c>
      <c r="Q356" s="1">
        <f t="shared" si="32"/>
        <v>0</v>
      </c>
      <c r="R356" s="1">
        <f t="shared" si="33"/>
        <v>0</v>
      </c>
      <c r="S356" s="5" t="e">
        <f t="shared" si="34"/>
        <v>#DIV/0!</v>
      </c>
      <c r="T356" s="5" t="e">
        <f t="shared" si="35"/>
        <v>#DIV/0!</v>
      </c>
    </row>
    <row r="357" spans="1:20">
      <c r="A357" s="1">
        <v>356</v>
      </c>
      <c r="B357" s="2">
        <f>DATE(Sintesi!$C$4-1,12,31)+A357</f>
        <v>44552</v>
      </c>
      <c r="C357" s="1">
        <f>'Paste cell here'!T357</f>
        <v>0</v>
      </c>
      <c r="D357" s="1">
        <f>'Paste cell here'!AC357</f>
        <v>0</v>
      </c>
      <c r="E357" s="1">
        <f>'Paste cell here'!Y357</f>
        <v>0</v>
      </c>
      <c r="F357" s="1">
        <f>'Paste cell here'!AD357</f>
        <v>0</v>
      </c>
      <c r="G357" s="1">
        <f>'Paste cell here'!W357</f>
        <v>0</v>
      </c>
      <c r="H357" s="1">
        <f>'Paste cell here'!AE357</f>
        <v>0</v>
      </c>
      <c r="I357" s="1">
        <f>'Paste cell here'!AF357</f>
        <v>0</v>
      </c>
      <c r="J357" s="1">
        <f t="shared" si="30"/>
        <v>0</v>
      </c>
      <c r="K357" s="1" t="str">
        <f>IF('Bilancio primo strato'!D357&gt;0,1,"")</f>
        <v/>
      </c>
      <c r="L357" s="7">
        <f>Sintesi!$C$34</f>
        <v>9.0200000000000002E-2</v>
      </c>
      <c r="M357" s="7">
        <f>Sintesi!$C$33</f>
        <v>0.196996</v>
      </c>
      <c r="N357" s="1">
        <f>'Paste cell here'!AA357</f>
        <v>0</v>
      </c>
      <c r="O357" s="1">
        <f>'Paste cell here'!H357</f>
        <v>0</v>
      </c>
      <c r="P357" s="1">
        <f t="shared" si="31"/>
        <v>0</v>
      </c>
      <c r="Q357" s="1">
        <f t="shared" si="32"/>
        <v>0</v>
      </c>
      <c r="R357" s="1">
        <f t="shared" si="33"/>
        <v>0</v>
      </c>
      <c r="S357" s="5" t="e">
        <f t="shared" si="34"/>
        <v>#DIV/0!</v>
      </c>
      <c r="T357" s="5" t="e">
        <f t="shared" si="35"/>
        <v>#DIV/0!</v>
      </c>
    </row>
    <row r="358" spans="1:20">
      <c r="A358" s="1">
        <v>357</v>
      </c>
      <c r="B358" s="2">
        <f>DATE(Sintesi!$C$4-1,12,31)+A358</f>
        <v>44553</v>
      </c>
      <c r="C358" s="1">
        <f>'Paste cell here'!T358</f>
        <v>0</v>
      </c>
      <c r="D358" s="1">
        <f>'Paste cell here'!AC358</f>
        <v>0</v>
      </c>
      <c r="E358" s="1">
        <f>'Paste cell here'!Y358</f>
        <v>0</v>
      </c>
      <c r="F358" s="1">
        <f>'Paste cell here'!AD358</f>
        <v>0</v>
      </c>
      <c r="G358" s="1">
        <f>'Paste cell here'!W358</f>
        <v>0</v>
      </c>
      <c r="H358" s="1">
        <f>'Paste cell here'!AE358</f>
        <v>0</v>
      </c>
      <c r="I358" s="1">
        <f>'Paste cell here'!AF358</f>
        <v>0</v>
      </c>
      <c r="J358" s="1">
        <f t="shared" si="30"/>
        <v>0</v>
      </c>
      <c r="K358" s="1" t="str">
        <f>IF('Bilancio primo strato'!D358&gt;0,1,"")</f>
        <v/>
      </c>
      <c r="L358" s="7">
        <f>Sintesi!$C$34</f>
        <v>9.0200000000000002E-2</v>
      </c>
      <c r="M358" s="7">
        <f>Sintesi!$C$33</f>
        <v>0.196996</v>
      </c>
      <c r="N358" s="1">
        <f>'Paste cell here'!AA358</f>
        <v>0</v>
      </c>
      <c r="O358" s="1">
        <f>'Paste cell here'!H358</f>
        <v>0</v>
      </c>
      <c r="P358" s="1">
        <f t="shared" si="31"/>
        <v>0</v>
      </c>
      <c r="Q358" s="1">
        <f t="shared" si="32"/>
        <v>0</v>
      </c>
      <c r="R358" s="1">
        <f t="shared" si="33"/>
        <v>0</v>
      </c>
      <c r="S358" s="5" t="e">
        <f t="shared" si="34"/>
        <v>#DIV/0!</v>
      </c>
      <c r="T358" s="5" t="e">
        <f t="shared" si="35"/>
        <v>#DIV/0!</v>
      </c>
    </row>
    <row r="359" spans="1:20">
      <c r="A359" s="1">
        <v>358</v>
      </c>
      <c r="B359" s="2">
        <f>DATE(Sintesi!$C$4-1,12,31)+A359</f>
        <v>44554</v>
      </c>
      <c r="C359" s="1">
        <f>'Paste cell here'!T359</f>
        <v>0</v>
      </c>
      <c r="D359" s="1">
        <f>'Paste cell here'!AC359</f>
        <v>0</v>
      </c>
      <c r="E359" s="1">
        <f>'Paste cell here'!Y359</f>
        <v>0</v>
      </c>
      <c r="F359" s="1">
        <f>'Paste cell here'!AD359</f>
        <v>0</v>
      </c>
      <c r="G359" s="1">
        <f>'Paste cell here'!W359</f>
        <v>0</v>
      </c>
      <c r="H359" s="1">
        <f>'Paste cell here'!AE359</f>
        <v>0</v>
      </c>
      <c r="I359" s="1">
        <f>'Paste cell here'!AF359</f>
        <v>0</v>
      </c>
      <c r="J359" s="1">
        <f t="shared" si="30"/>
        <v>0</v>
      </c>
      <c r="K359" s="1" t="str">
        <f>IF('Bilancio primo strato'!D359&gt;0,1,"")</f>
        <v/>
      </c>
      <c r="L359" s="7">
        <f>Sintesi!$C$34</f>
        <v>9.0200000000000002E-2</v>
      </c>
      <c r="M359" s="7">
        <f>Sintesi!$C$33</f>
        <v>0.196996</v>
      </c>
      <c r="N359" s="1">
        <f>'Paste cell here'!AA359</f>
        <v>0</v>
      </c>
      <c r="O359" s="1">
        <f>'Paste cell here'!H359</f>
        <v>0</v>
      </c>
      <c r="P359" s="1">
        <f t="shared" si="31"/>
        <v>0</v>
      </c>
      <c r="Q359" s="1">
        <f t="shared" si="32"/>
        <v>0</v>
      </c>
      <c r="R359" s="1">
        <f t="shared" si="33"/>
        <v>0</v>
      </c>
      <c r="S359" s="5" t="e">
        <f t="shared" si="34"/>
        <v>#DIV/0!</v>
      </c>
      <c r="T359" s="5" t="e">
        <f t="shared" si="35"/>
        <v>#DIV/0!</v>
      </c>
    </row>
    <row r="360" spans="1:20">
      <c r="A360" s="1">
        <v>359</v>
      </c>
      <c r="B360" s="2">
        <f>DATE(Sintesi!$C$4-1,12,31)+A360</f>
        <v>44555</v>
      </c>
      <c r="C360" s="1">
        <f>'Paste cell here'!T360</f>
        <v>0</v>
      </c>
      <c r="D360" s="1">
        <f>'Paste cell here'!AC360</f>
        <v>0</v>
      </c>
      <c r="E360" s="1">
        <f>'Paste cell here'!Y360</f>
        <v>0</v>
      </c>
      <c r="F360" s="1">
        <f>'Paste cell here'!AD360</f>
        <v>0</v>
      </c>
      <c r="G360" s="1">
        <f>'Paste cell here'!W360</f>
        <v>0</v>
      </c>
      <c r="H360" s="1">
        <f>'Paste cell here'!AE360</f>
        <v>0</v>
      </c>
      <c r="I360" s="1">
        <f>'Paste cell here'!AF360</f>
        <v>0</v>
      </c>
      <c r="J360" s="1">
        <f t="shared" si="30"/>
        <v>0</v>
      </c>
      <c r="K360" s="1" t="str">
        <f>IF('Bilancio primo strato'!D360&gt;0,1,"")</f>
        <v/>
      </c>
      <c r="L360" s="7">
        <f>Sintesi!$C$34</f>
        <v>9.0200000000000002E-2</v>
      </c>
      <c r="M360" s="7">
        <f>Sintesi!$C$33</f>
        <v>0.196996</v>
      </c>
      <c r="N360" s="1">
        <f>'Paste cell here'!AA360</f>
        <v>0</v>
      </c>
      <c r="O360" s="1">
        <f>'Paste cell here'!H360</f>
        <v>0</v>
      </c>
      <c r="P360" s="1">
        <f t="shared" si="31"/>
        <v>0</v>
      </c>
      <c r="Q360" s="1">
        <f t="shared" si="32"/>
        <v>0</v>
      </c>
      <c r="R360" s="1">
        <f t="shared" si="33"/>
        <v>0</v>
      </c>
      <c r="S360" s="5" t="e">
        <f t="shared" si="34"/>
        <v>#DIV/0!</v>
      </c>
      <c r="T360" s="5" t="e">
        <f t="shared" si="35"/>
        <v>#DIV/0!</v>
      </c>
    </row>
    <row r="361" spans="1:20">
      <c r="A361" s="1">
        <v>360</v>
      </c>
      <c r="B361" s="2">
        <f>DATE(Sintesi!$C$4-1,12,31)+A361</f>
        <v>44556</v>
      </c>
      <c r="C361" s="1">
        <f>'Paste cell here'!T361</f>
        <v>0</v>
      </c>
      <c r="D361" s="1">
        <f>'Paste cell here'!AC361</f>
        <v>0</v>
      </c>
      <c r="E361" s="1">
        <f>'Paste cell here'!Y361</f>
        <v>0</v>
      </c>
      <c r="F361" s="1">
        <f>'Paste cell here'!AD361</f>
        <v>0</v>
      </c>
      <c r="G361" s="1">
        <f>'Paste cell here'!W361</f>
        <v>0</v>
      </c>
      <c r="H361" s="1">
        <f>'Paste cell here'!AE361</f>
        <v>0</v>
      </c>
      <c r="I361" s="1">
        <f>'Paste cell here'!AF361</f>
        <v>0</v>
      </c>
      <c r="J361" s="1">
        <f t="shared" si="30"/>
        <v>0</v>
      </c>
      <c r="K361" s="1" t="str">
        <f>IF('Bilancio primo strato'!D361&gt;0,1,"")</f>
        <v/>
      </c>
      <c r="L361" s="7">
        <f>Sintesi!$C$34</f>
        <v>9.0200000000000002E-2</v>
      </c>
      <c r="M361" s="7">
        <f>Sintesi!$C$33</f>
        <v>0.196996</v>
      </c>
      <c r="N361" s="1">
        <f>'Paste cell here'!AA361</f>
        <v>0</v>
      </c>
      <c r="O361" s="1">
        <f>'Paste cell here'!H361</f>
        <v>0</v>
      </c>
      <c r="P361" s="1">
        <f t="shared" si="31"/>
        <v>0</v>
      </c>
      <c r="Q361" s="1">
        <f t="shared" si="32"/>
        <v>0</v>
      </c>
      <c r="R361" s="1">
        <f t="shared" si="33"/>
        <v>0</v>
      </c>
      <c r="S361" s="5" t="e">
        <f t="shared" si="34"/>
        <v>#DIV/0!</v>
      </c>
      <c r="T361" s="5" t="e">
        <f t="shared" si="35"/>
        <v>#DIV/0!</v>
      </c>
    </row>
    <row r="362" spans="1:20">
      <c r="A362" s="1">
        <v>361</v>
      </c>
      <c r="B362" s="2">
        <f>DATE(Sintesi!$C$4-1,12,31)+A362</f>
        <v>44557</v>
      </c>
      <c r="C362" s="1">
        <f>'Paste cell here'!T362</f>
        <v>0</v>
      </c>
      <c r="D362" s="1">
        <f>'Paste cell here'!AC362</f>
        <v>0</v>
      </c>
      <c r="E362" s="1">
        <f>'Paste cell here'!Y362</f>
        <v>0</v>
      </c>
      <c r="F362" s="1">
        <f>'Paste cell here'!AD362</f>
        <v>0</v>
      </c>
      <c r="G362" s="1">
        <f>'Paste cell here'!W362</f>
        <v>0</v>
      </c>
      <c r="H362" s="1">
        <f>'Paste cell here'!AE362</f>
        <v>0</v>
      </c>
      <c r="I362" s="1">
        <f>'Paste cell here'!AF362</f>
        <v>0</v>
      </c>
      <c r="J362" s="1">
        <f t="shared" si="30"/>
        <v>0</v>
      </c>
      <c r="K362" s="1" t="str">
        <f>IF('Bilancio primo strato'!D362&gt;0,1,"")</f>
        <v/>
      </c>
      <c r="L362" s="7">
        <f>Sintesi!$C$34</f>
        <v>9.0200000000000002E-2</v>
      </c>
      <c r="M362" s="7">
        <f>Sintesi!$C$33</f>
        <v>0.196996</v>
      </c>
      <c r="N362" s="1">
        <f>'Paste cell here'!AA362</f>
        <v>0</v>
      </c>
      <c r="O362" s="1">
        <f>'Paste cell here'!H362</f>
        <v>0</v>
      </c>
      <c r="P362" s="1">
        <f t="shared" si="31"/>
        <v>0</v>
      </c>
      <c r="Q362" s="1">
        <f t="shared" si="32"/>
        <v>0</v>
      </c>
      <c r="R362" s="1">
        <f t="shared" si="33"/>
        <v>0</v>
      </c>
      <c r="S362" s="5" t="e">
        <f t="shared" si="34"/>
        <v>#DIV/0!</v>
      </c>
      <c r="T362" s="5" t="e">
        <f t="shared" si="35"/>
        <v>#DIV/0!</v>
      </c>
    </row>
    <row r="363" spans="1:20">
      <c r="A363" s="1">
        <v>362</v>
      </c>
      <c r="B363" s="2">
        <f>DATE(Sintesi!$C$4-1,12,31)+A363</f>
        <v>44558</v>
      </c>
      <c r="C363" s="1">
        <f>'Paste cell here'!T363</f>
        <v>0</v>
      </c>
      <c r="D363" s="1">
        <f>'Paste cell here'!AC363</f>
        <v>0</v>
      </c>
      <c r="E363" s="1">
        <f>'Paste cell here'!Y363</f>
        <v>0</v>
      </c>
      <c r="F363" s="1">
        <f>'Paste cell here'!AD363</f>
        <v>0</v>
      </c>
      <c r="G363" s="1">
        <f>'Paste cell here'!W363</f>
        <v>0</v>
      </c>
      <c r="H363" s="1">
        <f>'Paste cell here'!AE363</f>
        <v>0</v>
      </c>
      <c r="I363" s="1">
        <f>'Paste cell here'!AF363</f>
        <v>0</v>
      </c>
      <c r="J363" s="1">
        <f t="shared" si="30"/>
        <v>0</v>
      </c>
      <c r="K363" s="1" t="str">
        <f>IF('Bilancio primo strato'!D363&gt;0,1,"")</f>
        <v/>
      </c>
      <c r="L363" s="7">
        <f>Sintesi!$C$34</f>
        <v>9.0200000000000002E-2</v>
      </c>
      <c r="M363" s="7">
        <f>Sintesi!$C$33</f>
        <v>0.196996</v>
      </c>
      <c r="N363" s="1">
        <f>'Paste cell here'!AA363</f>
        <v>0</v>
      </c>
      <c r="O363" s="1">
        <f>'Paste cell here'!H363</f>
        <v>0</v>
      </c>
      <c r="P363" s="1">
        <f t="shared" si="31"/>
        <v>0</v>
      </c>
      <c r="Q363" s="1">
        <f t="shared" si="32"/>
        <v>0</v>
      </c>
      <c r="R363" s="1">
        <f t="shared" si="33"/>
        <v>0</v>
      </c>
      <c r="S363" s="5" t="e">
        <f t="shared" si="34"/>
        <v>#DIV/0!</v>
      </c>
      <c r="T363" s="5" t="e">
        <f t="shared" si="35"/>
        <v>#DIV/0!</v>
      </c>
    </row>
    <row r="364" spans="1:20">
      <c r="A364" s="1">
        <v>363</v>
      </c>
      <c r="B364" s="2">
        <f>DATE(Sintesi!$C$4-1,12,31)+A364</f>
        <v>44559</v>
      </c>
      <c r="C364" s="1">
        <f>'Paste cell here'!T364</f>
        <v>0</v>
      </c>
      <c r="D364" s="1">
        <f>'Paste cell here'!AC364</f>
        <v>0</v>
      </c>
      <c r="E364" s="1">
        <f>'Paste cell here'!Y364</f>
        <v>0</v>
      </c>
      <c r="F364" s="1">
        <f>'Paste cell here'!AD364</f>
        <v>0</v>
      </c>
      <c r="G364" s="1">
        <f>'Paste cell here'!W364</f>
        <v>0</v>
      </c>
      <c r="H364" s="1">
        <f>'Paste cell here'!AE364</f>
        <v>0</v>
      </c>
      <c r="I364" s="1">
        <f>'Paste cell here'!AF364</f>
        <v>0</v>
      </c>
      <c r="J364" s="1">
        <f t="shared" si="30"/>
        <v>0</v>
      </c>
      <c r="K364" s="1" t="str">
        <f>IF('Bilancio primo strato'!D364&gt;0,1,"")</f>
        <v/>
      </c>
      <c r="L364" s="7">
        <f>Sintesi!$C$34</f>
        <v>9.0200000000000002E-2</v>
      </c>
      <c r="M364" s="7">
        <f>Sintesi!$C$33</f>
        <v>0.196996</v>
      </c>
      <c r="N364" s="1">
        <f>'Paste cell here'!AA364</f>
        <v>0</v>
      </c>
      <c r="O364" s="1">
        <f>'Paste cell here'!H364</f>
        <v>0</v>
      </c>
      <c r="P364" s="1">
        <f t="shared" si="31"/>
        <v>0</v>
      </c>
      <c r="Q364" s="1">
        <f t="shared" si="32"/>
        <v>0</v>
      </c>
      <c r="R364" s="1">
        <f t="shared" si="33"/>
        <v>0</v>
      </c>
      <c r="S364" s="5" t="e">
        <f t="shared" si="34"/>
        <v>#DIV/0!</v>
      </c>
      <c r="T364" s="5" t="e">
        <f t="shared" si="35"/>
        <v>#DIV/0!</v>
      </c>
    </row>
    <row r="365" spans="1:20">
      <c r="A365" s="1">
        <v>364</v>
      </c>
      <c r="B365" s="2">
        <f>DATE(Sintesi!$C$4-1,12,31)+A365</f>
        <v>44560</v>
      </c>
      <c r="C365" s="1">
        <f>'Paste cell here'!T365</f>
        <v>0</v>
      </c>
      <c r="D365" s="1">
        <f>'Paste cell here'!AC365</f>
        <v>0</v>
      </c>
      <c r="E365" s="1">
        <f>'Paste cell here'!Y365</f>
        <v>0</v>
      </c>
      <c r="F365" s="1">
        <f>'Paste cell here'!AD365</f>
        <v>0</v>
      </c>
      <c r="G365" s="1">
        <f>'Paste cell here'!W365</f>
        <v>0</v>
      </c>
      <c r="H365" s="1">
        <f>'Paste cell here'!AE365</f>
        <v>0</v>
      </c>
      <c r="I365" s="1">
        <f>'Paste cell here'!AF365</f>
        <v>0</v>
      </c>
      <c r="J365" s="1">
        <f t="shared" si="30"/>
        <v>0</v>
      </c>
      <c r="K365" s="1" t="str">
        <f>IF('Bilancio primo strato'!D365&gt;0,1,"")</f>
        <v/>
      </c>
      <c r="L365" s="7">
        <f>Sintesi!$C$34</f>
        <v>9.0200000000000002E-2</v>
      </c>
      <c r="M365" s="7">
        <f>Sintesi!$C$33</f>
        <v>0.196996</v>
      </c>
      <c r="N365" s="1">
        <f>'Paste cell here'!AA365</f>
        <v>0</v>
      </c>
      <c r="O365" s="1">
        <f>'Paste cell here'!H365</f>
        <v>0</v>
      </c>
      <c r="P365" s="1">
        <f t="shared" si="31"/>
        <v>0</v>
      </c>
      <c r="Q365" s="1">
        <f t="shared" si="32"/>
        <v>0</v>
      </c>
      <c r="R365" s="1">
        <f t="shared" si="33"/>
        <v>0</v>
      </c>
      <c r="S365" s="5" t="e">
        <f t="shared" si="34"/>
        <v>#DIV/0!</v>
      </c>
      <c r="T365" s="5" t="e">
        <f t="shared" si="35"/>
        <v>#DIV/0!</v>
      </c>
    </row>
    <row r="366" spans="1:20">
      <c r="A366" s="1">
        <v>365</v>
      </c>
      <c r="B366" s="2">
        <f>DATE(Sintesi!$C$4-1,12,31)+A366</f>
        <v>44561</v>
      </c>
      <c r="C366" s="1">
        <f>'Paste cell here'!T366</f>
        <v>0</v>
      </c>
      <c r="D366" s="1">
        <f>'Paste cell here'!AC366</f>
        <v>0</v>
      </c>
      <c r="E366" s="1">
        <f>'Paste cell here'!Y366</f>
        <v>0</v>
      </c>
      <c r="F366" s="1">
        <f>'Paste cell here'!AD366</f>
        <v>0</v>
      </c>
      <c r="G366" s="1">
        <f>'Paste cell here'!W366</f>
        <v>0</v>
      </c>
      <c r="H366" s="1">
        <f>'Paste cell here'!AE366</f>
        <v>0</v>
      </c>
      <c r="I366" s="1">
        <f>'Paste cell here'!AF366</f>
        <v>0</v>
      </c>
      <c r="J366" s="1">
        <f t="shared" si="30"/>
        <v>0</v>
      </c>
      <c r="K366" s="1" t="str">
        <f>IF('Bilancio primo strato'!D366&gt;0,1,"")</f>
        <v/>
      </c>
      <c r="L366" s="7">
        <f>Sintesi!$C$34</f>
        <v>9.0200000000000002E-2</v>
      </c>
      <c r="M366" s="7">
        <f>Sintesi!$C$33</f>
        <v>0.196996</v>
      </c>
      <c r="N366" s="1">
        <f>'Paste cell here'!AA366</f>
        <v>0</v>
      </c>
      <c r="O366" s="1">
        <f>'Paste cell here'!H366</f>
        <v>0</v>
      </c>
      <c r="P366" s="1">
        <f t="shared" si="31"/>
        <v>0</v>
      </c>
      <c r="Q366" s="1">
        <f t="shared" si="32"/>
        <v>0</v>
      </c>
      <c r="R366" s="1">
        <f t="shared" si="33"/>
        <v>0</v>
      </c>
      <c r="S366" s="5" t="e">
        <f t="shared" si="34"/>
        <v>#DIV/0!</v>
      </c>
      <c r="T366" s="5" t="e">
        <f t="shared" si="35"/>
        <v>#DIV/0!</v>
      </c>
    </row>
    <row r="368" spans="1:20">
      <c r="C368" s="1">
        <f>C113+C158+C162+C164+C166+C167+C169+C171+C173+C176+C177+C179+C180+C181+C183+C184+C187+C188+C190+C193+C195+C199+C200+C203+C204+C206+C207+C209+C213+C220+C230+C232+C234+C238+C240+C242+C244+C248</f>
        <v>618.15270065210007</v>
      </c>
      <c r="D368" s="1">
        <f t="shared" ref="D368:I368" si="36">D113+D158+D162+D164+D166+D167+D169+D171+D173+D176+D177+D179+D180+D181+D183+D184+D187+D188+D190+D193+D195+D199+D200+D203+D204+D206+D207+D209+D213+D220+D230+D232+D234+D238+D240+D242+D244+D248</f>
        <v>0</v>
      </c>
      <c r="E368" s="1">
        <f t="shared" si="36"/>
        <v>167.37442463399998</v>
      </c>
      <c r="F368" s="1">
        <f>F113+F158+F162+F164+F166+F167+F169+F171+F173+F176+F177+F179+F180+F181+F183+F184+F187+F188+F190+F193+F195+F199+F200+F203+F204+F206+F207+F209+F213+F220+F230+F232+F234+F238+F240+F242+F244+F248</f>
        <v>357.66758853099998</v>
      </c>
      <c r="G368" s="1">
        <f t="shared" si="36"/>
        <v>0</v>
      </c>
      <c r="H368" s="1">
        <f t="shared" si="36"/>
        <v>5112.8533530400009</v>
      </c>
      <c r="I368" s="1">
        <f t="shared" si="36"/>
        <v>5019.7427297199993</v>
      </c>
    </row>
    <row r="369" spans="3:10">
      <c r="C369" s="1">
        <f>C368/38</f>
        <v>16.267176332950001</v>
      </c>
      <c r="D369" s="1">
        <f t="shared" ref="D369:I369" si="37">D368/38</f>
        <v>0</v>
      </c>
      <c r="E369" s="1">
        <f t="shared" si="37"/>
        <v>4.4045901219473675</v>
      </c>
      <c r="F369" s="1">
        <f t="shared" si="37"/>
        <v>9.4123049613421053</v>
      </c>
      <c r="G369" s="1">
        <f t="shared" si="37"/>
        <v>0</v>
      </c>
      <c r="H369" s="1">
        <f t="shared" si="37"/>
        <v>134.54877244842109</v>
      </c>
      <c r="I369" s="1">
        <f t="shared" si="37"/>
        <v>132.09849288736839</v>
      </c>
      <c r="J369" s="1">
        <f>H369-I369</f>
        <v>2.450279561052696</v>
      </c>
    </row>
    <row r="371" spans="3:10">
      <c r="C371" s="1">
        <f>C113+C162+C164+C166+C167+C169+C171+C173+C176+C177+C179+C180+C181+C183+C184+C187+C188+C190+C193+C195+C199+C200+C203+C204+C206+C207+C213+C230+C232+C234+C238+C240+C242+C244+C248</f>
        <v>605.06290373310014</v>
      </c>
      <c r="D371" s="1">
        <f t="shared" ref="D371:I371" si="38">D113+D162+D164+D166+D167+D169+D171+D173+D176+D177+D179+D180+D181+D183+D184+D187+D188+D190+D193+D195+D199+D200+D203+D204+D206+D207+D213+D230+D232+D234+D238+D240+D242+D244+D248</f>
        <v>0</v>
      </c>
      <c r="E371" s="1">
        <f t="shared" si="38"/>
        <v>155.022366318</v>
      </c>
      <c r="F371" s="1">
        <f t="shared" si="38"/>
        <v>327.66671261299996</v>
      </c>
      <c r="G371" s="1">
        <f t="shared" si="38"/>
        <v>0</v>
      </c>
      <c r="H371" s="1">
        <f t="shared" si="38"/>
        <v>4621.4891258399994</v>
      </c>
      <c r="I371" s="1">
        <f t="shared" si="38"/>
        <v>4499.1153652199991</v>
      </c>
    </row>
    <row r="372" spans="3:10">
      <c r="C372" s="1">
        <f>C371/35</f>
        <v>17.287511535231431</v>
      </c>
      <c r="D372" s="1">
        <f t="shared" ref="D372:I372" si="39">D371/35</f>
        <v>0</v>
      </c>
      <c r="E372" s="1">
        <f t="shared" si="39"/>
        <v>4.4292104662285716</v>
      </c>
      <c r="F372" s="1">
        <f t="shared" si="39"/>
        <v>9.3619060746571421</v>
      </c>
      <c r="G372" s="1">
        <f t="shared" si="39"/>
        <v>0</v>
      </c>
      <c r="H372" s="1">
        <f t="shared" si="39"/>
        <v>132.0425464525714</v>
      </c>
      <c r="I372" s="1">
        <f t="shared" si="39"/>
        <v>128.54615329199999</v>
      </c>
      <c r="J372" s="1">
        <f>H372-I372</f>
        <v>3.4963931605714151</v>
      </c>
    </row>
  </sheetData>
  <conditionalFormatting sqref="J1:J366">
    <cfRule type="cellIs" dxfId="5" priority="4" stopIfTrue="1" operator="lessThan">
      <formula>0.00001</formula>
    </cfRule>
  </conditionalFormatting>
  <conditionalFormatting sqref="J2">
    <cfRule type="cellIs" dxfId="4" priority="1" stopIfTrue="1" operator="lessThan">
      <formula>0.01</formula>
    </cfRule>
    <cfRule type="cellIs" dxfId="3" priority="2" operator="greaterThanOrEqual">
      <formula>0.01</formula>
    </cfRule>
  </conditionalFormatting>
  <conditionalFormatting sqref="J3:J366">
    <cfRule type="cellIs" dxfId="2" priority="5" stopIfTrue="1" operator="lessThan">
      <formula>0.01</formula>
    </cfRule>
    <cfRule type="cellIs" dxfId="1" priority="6" operator="greaterThanOrEqual">
      <formula>0.01</formula>
    </cfRule>
  </conditionalFormatting>
  <conditionalFormatting sqref="N2:N366">
    <cfRule type="cellIs" dxfId="0" priority="7" operator="notEqual">
      <formula>$N$2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Fogli di lavoro</vt:lpstr>
      </vt:variant>
      <vt:variant>
        <vt:i4>8</vt:i4>
      </vt:variant>
      <vt:variant>
        <vt:lpstr>Grafici</vt:lpstr>
      </vt:variant>
      <vt:variant>
        <vt:i4>2</vt:i4>
      </vt:variant>
      <vt:variant>
        <vt:lpstr>Intervalli denominati</vt:lpstr>
      </vt:variant>
      <vt:variant>
        <vt:i4>14</vt:i4>
      </vt:variant>
    </vt:vector>
  </HeadingPairs>
  <TitlesOfParts>
    <vt:vector size="24" baseType="lpstr">
      <vt:lpstr>Sintesi</vt:lpstr>
      <vt:lpstr>Paste cell here</vt:lpstr>
      <vt:lpstr>Paste cellparameters here</vt:lpstr>
      <vt:lpstr>Paste cellinfo here</vt:lpstr>
      <vt:lpstr>Rootzone balance</vt:lpstr>
      <vt:lpstr>Verifica produttività</vt:lpstr>
      <vt:lpstr>Bilancio primo strato</vt:lpstr>
      <vt:lpstr>Bilancio secondo strato</vt:lpstr>
      <vt:lpstr>Strato evaporativo</vt:lpstr>
      <vt:lpstr>Strato traspirativo</vt:lpstr>
      <vt:lpstr>Dati_colture</vt:lpstr>
      <vt:lpstr>HI</vt:lpstr>
      <vt:lpstr>ii0</vt:lpstr>
      <vt:lpstr>iid</vt:lpstr>
      <vt:lpstr>iie</vt:lpstr>
      <vt:lpstr>irandom</vt:lpstr>
      <vt:lpstr>Kcbini</vt:lpstr>
      <vt:lpstr>Kcbmax</vt:lpstr>
      <vt:lpstr>Kcbmin</vt:lpstr>
      <vt:lpstr>KyP</vt:lpstr>
      <vt:lpstr>KyT</vt:lpstr>
      <vt:lpstr>Tcrit</vt:lpstr>
      <vt:lpstr>Tlim</vt:lpstr>
      <vt:lpstr>WPadj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Paolo Soffietti</cp:lastModifiedBy>
  <dcterms:created xsi:type="dcterms:W3CDTF">2016-06-02T09:54:49Z</dcterms:created>
  <dcterms:modified xsi:type="dcterms:W3CDTF">2026-07-17T09:59:36Z</dcterms:modified>
</cp:coreProperties>
</file>